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f68b6d7c7ba0d41/RASA/RASA Financials/Financials for Dashboard/"/>
    </mc:Choice>
  </mc:AlternateContent>
  <xr:revisionPtr revIDLastSave="0" documentId="8_{57F097D6-9D6C-435A-8BBB-BAA5DA744E87}" xr6:coauthVersionLast="47" xr6:coauthVersionMax="47" xr10:uidLastSave="{00000000-0000-0000-0000-000000000000}"/>
  <bookViews>
    <workbookView xWindow="-28920" yWindow="7080" windowWidth="29040" windowHeight="15720" xr2:uid="{00000000-000D-0000-FFFF-FFFF00000000}"/>
  </bookViews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0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44" i="7" l="1"/>
  <c r="W444" i="7"/>
  <c r="N444" i="7"/>
  <c r="H444" i="7"/>
  <c r="Z442" i="7"/>
  <c r="AA442" i="7" s="1"/>
  <c r="T442" i="7"/>
  <c r="U442" i="7" s="1"/>
  <c r="R442" i="7"/>
  <c r="Q442" i="7"/>
  <c r="L442" i="7"/>
  <c r="K442" i="7"/>
  <c r="F442" i="7"/>
  <c r="E442" i="7"/>
  <c r="B442" i="7"/>
  <c r="C442" i="7" s="1"/>
  <c r="Z441" i="7"/>
  <c r="AA441" i="7" s="1"/>
  <c r="T441" i="7"/>
  <c r="U441" i="7" s="1"/>
  <c r="Q441" i="7"/>
  <c r="N441" i="7"/>
  <c r="O441" i="7" s="1"/>
  <c r="L441" i="7"/>
  <c r="K441" i="7"/>
  <c r="H441" i="7"/>
  <c r="I441" i="7" s="1"/>
  <c r="F441" i="7"/>
  <c r="E441" i="7"/>
  <c r="B441" i="7"/>
  <c r="C441" i="7" s="1"/>
  <c r="AD440" i="7"/>
  <c r="AC440" i="7"/>
  <c r="AA440" i="7"/>
  <c r="W440" i="7"/>
  <c r="X440" i="7" s="1"/>
  <c r="U440" i="7"/>
  <c r="R440" i="7"/>
  <c r="N440" i="7"/>
  <c r="O440" i="7" s="1"/>
  <c r="L440" i="7"/>
  <c r="H440" i="7"/>
  <c r="I440" i="7" s="1"/>
  <c r="F440" i="7"/>
  <c r="C440" i="7"/>
  <c r="AC439" i="7"/>
  <c r="AD439" i="7" s="1"/>
  <c r="AA439" i="7"/>
  <c r="X439" i="7"/>
  <c r="W439" i="7"/>
  <c r="U439" i="7"/>
  <c r="R439" i="7"/>
  <c r="O439" i="7"/>
  <c r="N439" i="7"/>
  <c r="L439" i="7"/>
  <c r="I439" i="7"/>
  <c r="H439" i="7"/>
  <c r="F439" i="7"/>
  <c r="C439" i="7"/>
  <c r="AD438" i="7"/>
  <c r="AC438" i="7"/>
  <c r="AA438" i="7"/>
  <c r="X438" i="7"/>
  <c r="W438" i="7"/>
  <c r="U438" i="7"/>
  <c r="R438" i="7"/>
  <c r="O438" i="7"/>
  <c r="N438" i="7"/>
  <c r="L438" i="7"/>
  <c r="H438" i="7"/>
  <c r="I438" i="7" s="1"/>
  <c r="F438" i="7"/>
  <c r="C438" i="7"/>
  <c r="AC437" i="7"/>
  <c r="AD437" i="7" s="1"/>
  <c r="AA437" i="7"/>
  <c r="X437" i="7"/>
  <c r="W437" i="7"/>
  <c r="U437" i="7"/>
  <c r="R437" i="7"/>
  <c r="O437" i="7"/>
  <c r="N437" i="7"/>
  <c r="L437" i="7"/>
  <c r="H437" i="7"/>
  <c r="I437" i="7" s="1"/>
  <c r="F437" i="7"/>
  <c r="C437" i="7"/>
  <c r="AD436" i="7"/>
  <c r="AC436" i="7"/>
  <c r="AA436" i="7"/>
  <c r="W436" i="7"/>
  <c r="X436" i="7" s="1"/>
  <c r="U436" i="7"/>
  <c r="R436" i="7"/>
  <c r="N436" i="7"/>
  <c r="O436" i="7" s="1"/>
  <c r="L436" i="7"/>
  <c r="H436" i="7"/>
  <c r="I436" i="7" s="1"/>
  <c r="F436" i="7"/>
  <c r="C436" i="7"/>
  <c r="AC435" i="7"/>
  <c r="AD435" i="7" s="1"/>
  <c r="AA435" i="7"/>
  <c r="X435" i="7"/>
  <c r="W435" i="7"/>
  <c r="U435" i="7"/>
  <c r="R435" i="7"/>
  <c r="O435" i="7"/>
  <c r="N435" i="7"/>
  <c r="L435" i="7"/>
  <c r="I435" i="7"/>
  <c r="H435" i="7"/>
  <c r="F435" i="7"/>
  <c r="C435" i="7"/>
  <c r="AD434" i="7"/>
  <c r="AC434" i="7"/>
  <c r="AA434" i="7"/>
  <c r="X434" i="7"/>
  <c r="W434" i="7"/>
  <c r="U434" i="7"/>
  <c r="R434" i="7"/>
  <c r="O434" i="7"/>
  <c r="N434" i="7"/>
  <c r="L434" i="7"/>
  <c r="H434" i="7"/>
  <c r="I434" i="7" s="1"/>
  <c r="F434" i="7"/>
  <c r="C434" i="7"/>
  <c r="AC433" i="7"/>
  <c r="AD433" i="7" s="1"/>
  <c r="AA433" i="7"/>
  <c r="X433" i="7"/>
  <c r="W433" i="7"/>
  <c r="U433" i="7"/>
  <c r="R433" i="7"/>
  <c r="O433" i="7"/>
  <c r="N433" i="7"/>
  <c r="L433" i="7"/>
  <c r="I433" i="7"/>
  <c r="H433" i="7"/>
  <c r="F433" i="7"/>
  <c r="C433" i="7"/>
  <c r="AD432" i="7"/>
  <c r="AC432" i="7"/>
  <c r="AA432" i="7"/>
  <c r="W432" i="7"/>
  <c r="X432" i="7" s="1"/>
  <c r="U432" i="7"/>
  <c r="R432" i="7"/>
  <c r="N432" i="7"/>
  <c r="O432" i="7" s="1"/>
  <c r="L432" i="7"/>
  <c r="H432" i="7"/>
  <c r="I432" i="7" s="1"/>
  <c r="F432" i="7"/>
  <c r="C432" i="7"/>
  <c r="AC429" i="7"/>
  <c r="AD429" i="7" s="1"/>
  <c r="AA429" i="7"/>
  <c r="Z429" i="7"/>
  <c r="U429" i="7"/>
  <c r="T429" i="7"/>
  <c r="Q429" i="7"/>
  <c r="R429" i="7" s="1"/>
  <c r="K429" i="7"/>
  <c r="L429" i="7" s="1"/>
  <c r="E429" i="7"/>
  <c r="F429" i="7" s="1"/>
  <c r="C429" i="7"/>
  <c r="B429" i="7"/>
  <c r="AA428" i="7"/>
  <c r="Z428" i="7"/>
  <c r="U428" i="7"/>
  <c r="T428" i="7"/>
  <c r="Q428" i="7"/>
  <c r="R428" i="7" s="1"/>
  <c r="K428" i="7"/>
  <c r="E428" i="7"/>
  <c r="F428" i="7" s="1"/>
  <c r="B428" i="7"/>
  <c r="AC427" i="7"/>
  <c r="AD427" i="7" s="1"/>
  <c r="AA427" i="7"/>
  <c r="X427" i="7"/>
  <c r="W427" i="7"/>
  <c r="U427" i="7"/>
  <c r="R427" i="7"/>
  <c r="O427" i="7"/>
  <c r="N427" i="7"/>
  <c r="L427" i="7"/>
  <c r="I427" i="7"/>
  <c r="H427" i="7"/>
  <c r="F427" i="7"/>
  <c r="C427" i="7"/>
  <c r="AD426" i="7"/>
  <c r="AC426" i="7"/>
  <c r="AA426" i="7"/>
  <c r="X426" i="7"/>
  <c r="W426" i="7"/>
  <c r="U426" i="7"/>
  <c r="R426" i="7"/>
  <c r="O426" i="7"/>
  <c r="N426" i="7"/>
  <c r="L426" i="7"/>
  <c r="H426" i="7"/>
  <c r="I426" i="7" s="1"/>
  <c r="F426" i="7"/>
  <c r="C426" i="7"/>
  <c r="AC425" i="7"/>
  <c r="AD425" i="7" s="1"/>
  <c r="AA425" i="7"/>
  <c r="X425" i="7"/>
  <c r="W425" i="7"/>
  <c r="U425" i="7"/>
  <c r="R425" i="7"/>
  <c r="O425" i="7"/>
  <c r="N425" i="7"/>
  <c r="L425" i="7"/>
  <c r="I425" i="7"/>
  <c r="H425" i="7"/>
  <c r="F425" i="7"/>
  <c r="C425" i="7"/>
  <c r="AD424" i="7"/>
  <c r="AC424" i="7"/>
  <c r="AA424" i="7"/>
  <c r="W424" i="7"/>
  <c r="X424" i="7" s="1"/>
  <c r="U424" i="7"/>
  <c r="R424" i="7"/>
  <c r="N424" i="7"/>
  <c r="O424" i="7" s="1"/>
  <c r="L424" i="7"/>
  <c r="H424" i="7"/>
  <c r="I424" i="7" s="1"/>
  <c r="F424" i="7"/>
  <c r="C424" i="7"/>
  <c r="AC423" i="7"/>
  <c r="AD423" i="7" s="1"/>
  <c r="AA423" i="7"/>
  <c r="X423" i="7"/>
  <c r="W423" i="7"/>
  <c r="U423" i="7"/>
  <c r="R423" i="7"/>
  <c r="O423" i="7"/>
  <c r="N423" i="7"/>
  <c r="L423" i="7"/>
  <c r="I423" i="7"/>
  <c r="H423" i="7"/>
  <c r="F423" i="7"/>
  <c r="C423" i="7"/>
  <c r="AD422" i="7"/>
  <c r="AC422" i="7"/>
  <c r="AA422" i="7"/>
  <c r="X422" i="7"/>
  <c r="W422" i="7"/>
  <c r="U422" i="7"/>
  <c r="R422" i="7"/>
  <c r="O422" i="7"/>
  <c r="N422" i="7"/>
  <c r="L422" i="7"/>
  <c r="H422" i="7"/>
  <c r="I422" i="7" s="1"/>
  <c r="F422" i="7"/>
  <c r="C422" i="7"/>
  <c r="AC421" i="7"/>
  <c r="AD421" i="7" s="1"/>
  <c r="AA421" i="7"/>
  <c r="X421" i="7"/>
  <c r="W421" i="7"/>
  <c r="U421" i="7"/>
  <c r="R421" i="7"/>
  <c r="O421" i="7"/>
  <c r="N421" i="7"/>
  <c r="L421" i="7"/>
  <c r="H421" i="7"/>
  <c r="I421" i="7" s="1"/>
  <c r="F421" i="7"/>
  <c r="C421" i="7"/>
  <c r="AD420" i="7"/>
  <c r="AC420" i="7"/>
  <c r="AA420" i="7"/>
  <c r="W420" i="7"/>
  <c r="X420" i="7" s="1"/>
  <c r="U420" i="7"/>
  <c r="R420" i="7"/>
  <c r="N420" i="7"/>
  <c r="O420" i="7" s="1"/>
  <c r="L420" i="7"/>
  <c r="H420" i="7"/>
  <c r="I420" i="7" s="1"/>
  <c r="F420" i="7"/>
  <c r="C420" i="7"/>
  <c r="AC419" i="7"/>
  <c r="AD419" i="7" s="1"/>
  <c r="AA419" i="7"/>
  <c r="X419" i="7"/>
  <c r="W419" i="7"/>
  <c r="U419" i="7"/>
  <c r="R419" i="7"/>
  <c r="O419" i="7"/>
  <c r="N419" i="7"/>
  <c r="L419" i="7"/>
  <c r="I419" i="7"/>
  <c r="H419" i="7"/>
  <c r="F419" i="7"/>
  <c r="C419" i="7"/>
  <c r="AD418" i="7"/>
  <c r="AC418" i="7"/>
  <c r="AA418" i="7"/>
  <c r="X418" i="7"/>
  <c r="W418" i="7"/>
  <c r="U418" i="7"/>
  <c r="R418" i="7"/>
  <c r="O418" i="7"/>
  <c r="N418" i="7"/>
  <c r="L418" i="7"/>
  <c r="H418" i="7"/>
  <c r="I418" i="7" s="1"/>
  <c r="F418" i="7"/>
  <c r="C418" i="7"/>
  <c r="AC417" i="7"/>
  <c r="AD417" i="7" s="1"/>
  <c r="AA417" i="7"/>
  <c r="X417" i="7"/>
  <c r="W417" i="7"/>
  <c r="U417" i="7"/>
  <c r="R417" i="7"/>
  <c r="O417" i="7"/>
  <c r="N417" i="7"/>
  <c r="L417" i="7"/>
  <c r="I417" i="7"/>
  <c r="H417" i="7"/>
  <c r="F417" i="7"/>
  <c r="C417" i="7"/>
  <c r="AD416" i="7"/>
  <c r="AC416" i="7"/>
  <c r="AA416" i="7"/>
  <c r="W416" i="7"/>
  <c r="X416" i="7" s="1"/>
  <c r="U416" i="7"/>
  <c r="R416" i="7"/>
  <c r="N416" i="7"/>
  <c r="O416" i="7" s="1"/>
  <c r="L416" i="7"/>
  <c r="H416" i="7"/>
  <c r="I416" i="7" s="1"/>
  <c r="F416" i="7"/>
  <c r="C416" i="7"/>
  <c r="AC415" i="7"/>
  <c r="AD415" i="7" s="1"/>
  <c r="AA415" i="7"/>
  <c r="X415" i="7"/>
  <c r="W415" i="7"/>
  <c r="U415" i="7"/>
  <c r="R415" i="7"/>
  <c r="O415" i="7"/>
  <c r="N415" i="7"/>
  <c r="L415" i="7"/>
  <c r="I415" i="7"/>
  <c r="H415" i="7"/>
  <c r="F415" i="7"/>
  <c r="C415" i="7"/>
  <c r="AD414" i="7"/>
  <c r="AC414" i="7"/>
  <c r="AA414" i="7"/>
  <c r="X414" i="7"/>
  <c r="W414" i="7"/>
  <c r="U414" i="7"/>
  <c r="R414" i="7"/>
  <c r="O414" i="7"/>
  <c r="N414" i="7"/>
  <c r="L414" i="7"/>
  <c r="H414" i="7"/>
  <c r="I414" i="7" s="1"/>
  <c r="F414" i="7"/>
  <c r="C414" i="7"/>
  <c r="AC413" i="7"/>
  <c r="AD413" i="7" s="1"/>
  <c r="AA413" i="7"/>
  <c r="X413" i="7"/>
  <c r="W413" i="7"/>
  <c r="U413" i="7"/>
  <c r="R413" i="7"/>
  <c r="O413" i="7"/>
  <c r="N413" i="7"/>
  <c r="L413" i="7"/>
  <c r="H413" i="7"/>
  <c r="I413" i="7" s="1"/>
  <c r="F413" i="7"/>
  <c r="C413" i="7"/>
  <c r="AD412" i="7"/>
  <c r="AC412" i="7"/>
  <c r="AA412" i="7"/>
  <c r="W412" i="7"/>
  <c r="X412" i="7" s="1"/>
  <c r="U412" i="7"/>
  <c r="R412" i="7"/>
  <c r="N412" i="7"/>
  <c r="O412" i="7" s="1"/>
  <c r="L412" i="7"/>
  <c r="H412" i="7"/>
  <c r="I412" i="7" s="1"/>
  <c r="F412" i="7"/>
  <c r="C412" i="7"/>
  <c r="AC411" i="7"/>
  <c r="AD411" i="7" s="1"/>
  <c r="AA411" i="7"/>
  <c r="X411" i="7"/>
  <c r="W411" i="7"/>
  <c r="U411" i="7"/>
  <c r="R411" i="7"/>
  <c r="O411" i="7"/>
  <c r="N411" i="7"/>
  <c r="L411" i="7"/>
  <c r="I411" i="7"/>
  <c r="H411" i="7"/>
  <c r="F411" i="7"/>
  <c r="C411" i="7"/>
  <c r="AD410" i="7"/>
  <c r="AC410" i="7"/>
  <c r="AA410" i="7"/>
  <c r="X410" i="7"/>
  <c r="W410" i="7"/>
  <c r="U410" i="7"/>
  <c r="R410" i="7"/>
  <c r="O410" i="7"/>
  <c r="N410" i="7"/>
  <c r="L410" i="7"/>
  <c r="H410" i="7"/>
  <c r="I410" i="7" s="1"/>
  <c r="F410" i="7"/>
  <c r="C410" i="7"/>
  <c r="AC409" i="7"/>
  <c r="AD409" i="7" s="1"/>
  <c r="AA409" i="7"/>
  <c r="X409" i="7"/>
  <c r="W409" i="7"/>
  <c r="U409" i="7"/>
  <c r="R409" i="7"/>
  <c r="O409" i="7"/>
  <c r="N409" i="7"/>
  <c r="L409" i="7"/>
  <c r="I409" i="7"/>
  <c r="H409" i="7"/>
  <c r="F409" i="7"/>
  <c r="C409" i="7"/>
  <c r="AD408" i="7"/>
  <c r="AC408" i="7"/>
  <c r="AA408" i="7"/>
  <c r="W408" i="7"/>
  <c r="X408" i="7" s="1"/>
  <c r="U408" i="7"/>
  <c r="R408" i="7"/>
  <c r="N408" i="7"/>
  <c r="O408" i="7" s="1"/>
  <c r="L408" i="7"/>
  <c r="H408" i="7"/>
  <c r="I408" i="7" s="1"/>
  <c r="F408" i="7"/>
  <c r="C408" i="7"/>
  <c r="AC407" i="7"/>
  <c r="AD407" i="7" s="1"/>
  <c r="AA407" i="7"/>
  <c r="X407" i="7"/>
  <c r="W407" i="7"/>
  <c r="U407" i="7"/>
  <c r="R407" i="7"/>
  <c r="O407" i="7"/>
  <c r="N407" i="7"/>
  <c r="L407" i="7"/>
  <c r="I407" i="7"/>
  <c r="H407" i="7"/>
  <c r="F407" i="7"/>
  <c r="C407" i="7"/>
  <c r="Z403" i="7"/>
  <c r="AA403" i="7" s="1"/>
  <c r="X403" i="7"/>
  <c r="W403" i="7"/>
  <c r="T403" i="7"/>
  <c r="U403" i="7" s="1"/>
  <c r="R403" i="7"/>
  <c r="Q403" i="7"/>
  <c r="AC403" i="7" s="1"/>
  <c r="AD403" i="7" s="1"/>
  <c r="K403" i="7"/>
  <c r="L403" i="7" s="1"/>
  <c r="F403" i="7"/>
  <c r="E403" i="7"/>
  <c r="B403" i="7"/>
  <c r="AD402" i="7"/>
  <c r="AC402" i="7"/>
  <c r="AA402" i="7"/>
  <c r="W402" i="7"/>
  <c r="X402" i="7" s="1"/>
  <c r="U402" i="7"/>
  <c r="R402" i="7"/>
  <c r="O402" i="7"/>
  <c r="N402" i="7"/>
  <c r="L402" i="7"/>
  <c r="H402" i="7"/>
  <c r="I402" i="7" s="1"/>
  <c r="F402" i="7"/>
  <c r="C402" i="7"/>
  <c r="AC401" i="7"/>
  <c r="AD401" i="7" s="1"/>
  <c r="AA401" i="7"/>
  <c r="X401" i="7"/>
  <c r="W401" i="7"/>
  <c r="U401" i="7"/>
  <c r="R401" i="7"/>
  <c r="O401" i="7"/>
  <c r="N401" i="7"/>
  <c r="L401" i="7"/>
  <c r="H401" i="7"/>
  <c r="I401" i="7" s="1"/>
  <c r="F401" i="7"/>
  <c r="C401" i="7"/>
  <c r="AD400" i="7"/>
  <c r="AC400" i="7"/>
  <c r="AA400" i="7"/>
  <c r="X400" i="7"/>
  <c r="W400" i="7"/>
  <c r="U400" i="7"/>
  <c r="R400" i="7"/>
  <c r="O400" i="7"/>
  <c r="N400" i="7"/>
  <c r="L400" i="7"/>
  <c r="H400" i="7"/>
  <c r="I400" i="7" s="1"/>
  <c r="F400" i="7"/>
  <c r="C400" i="7"/>
  <c r="AC399" i="7"/>
  <c r="AD399" i="7" s="1"/>
  <c r="AA399" i="7"/>
  <c r="X399" i="7"/>
  <c r="W399" i="7"/>
  <c r="U399" i="7"/>
  <c r="R399" i="7"/>
  <c r="O399" i="7"/>
  <c r="N399" i="7"/>
  <c r="L399" i="7"/>
  <c r="I399" i="7"/>
  <c r="H399" i="7"/>
  <c r="F399" i="7"/>
  <c r="C399" i="7"/>
  <c r="AD398" i="7"/>
  <c r="AC398" i="7"/>
  <c r="AA398" i="7"/>
  <c r="X398" i="7"/>
  <c r="W398" i="7"/>
  <c r="U398" i="7"/>
  <c r="R398" i="7"/>
  <c r="N398" i="7"/>
  <c r="O398" i="7" s="1"/>
  <c r="L398" i="7"/>
  <c r="H398" i="7"/>
  <c r="I398" i="7" s="1"/>
  <c r="F398" i="7"/>
  <c r="C398" i="7"/>
  <c r="AC397" i="7"/>
  <c r="AD397" i="7" s="1"/>
  <c r="AA397" i="7"/>
  <c r="X397" i="7"/>
  <c r="W397" i="7"/>
  <c r="U397" i="7"/>
  <c r="R397" i="7"/>
  <c r="O397" i="7"/>
  <c r="N397" i="7"/>
  <c r="L397" i="7"/>
  <c r="H397" i="7"/>
  <c r="I397" i="7" s="1"/>
  <c r="F397" i="7"/>
  <c r="C397" i="7"/>
  <c r="Z396" i="7"/>
  <c r="AA396" i="7" s="1"/>
  <c r="X396" i="7"/>
  <c r="W396" i="7"/>
  <c r="T396" i="7"/>
  <c r="U396" i="7" s="1"/>
  <c r="R396" i="7"/>
  <c r="Q396" i="7"/>
  <c r="K396" i="7"/>
  <c r="H396" i="7"/>
  <c r="I396" i="7" s="1"/>
  <c r="F396" i="7"/>
  <c r="E396" i="7"/>
  <c r="B396" i="7"/>
  <c r="C396" i="7" s="1"/>
  <c r="AD395" i="7"/>
  <c r="AC395" i="7"/>
  <c r="AA395" i="7"/>
  <c r="X395" i="7"/>
  <c r="W395" i="7"/>
  <c r="U395" i="7"/>
  <c r="R395" i="7"/>
  <c r="N395" i="7"/>
  <c r="O395" i="7" s="1"/>
  <c r="L395" i="7"/>
  <c r="H395" i="7"/>
  <c r="I395" i="7" s="1"/>
  <c r="F395" i="7"/>
  <c r="C395" i="7"/>
  <c r="AC394" i="7"/>
  <c r="AD394" i="7" s="1"/>
  <c r="AA394" i="7"/>
  <c r="X394" i="7"/>
  <c r="W394" i="7"/>
  <c r="U394" i="7"/>
  <c r="R394" i="7"/>
  <c r="O394" i="7"/>
  <c r="N394" i="7"/>
  <c r="L394" i="7"/>
  <c r="H394" i="7"/>
  <c r="I394" i="7" s="1"/>
  <c r="F394" i="7"/>
  <c r="C394" i="7"/>
  <c r="Z393" i="7"/>
  <c r="AA393" i="7" s="1"/>
  <c r="X393" i="7"/>
  <c r="W393" i="7"/>
  <c r="T393" i="7"/>
  <c r="U393" i="7" s="1"/>
  <c r="R393" i="7"/>
  <c r="Q393" i="7"/>
  <c r="K393" i="7"/>
  <c r="N393" i="7" s="1"/>
  <c r="O393" i="7" s="1"/>
  <c r="H393" i="7"/>
  <c r="I393" i="7" s="1"/>
  <c r="F393" i="7"/>
  <c r="E393" i="7"/>
  <c r="B393" i="7"/>
  <c r="C393" i="7" s="1"/>
  <c r="AC392" i="7"/>
  <c r="AD392" i="7" s="1"/>
  <c r="AA392" i="7"/>
  <c r="X392" i="7"/>
  <c r="W392" i="7"/>
  <c r="U392" i="7"/>
  <c r="R392" i="7"/>
  <c r="N392" i="7"/>
  <c r="O392" i="7" s="1"/>
  <c r="L392" i="7"/>
  <c r="H392" i="7"/>
  <c r="I392" i="7" s="1"/>
  <c r="F392" i="7"/>
  <c r="C392" i="7"/>
  <c r="AC391" i="7"/>
  <c r="AD391" i="7" s="1"/>
  <c r="AA391" i="7"/>
  <c r="X391" i="7"/>
  <c r="W391" i="7"/>
  <c r="U391" i="7"/>
  <c r="R391" i="7"/>
  <c r="O391" i="7"/>
  <c r="N391" i="7"/>
  <c r="L391" i="7"/>
  <c r="H391" i="7"/>
  <c r="I391" i="7" s="1"/>
  <c r="F391" i="7"/>
  <c r="C391" i="7"/>
  <c r="AD390" i="7"/>
  <c r="AC390" i="7"/>
  <c r="AA390" i="7"/>
  <c r="X390" i="7"/>
  <c r="W390" i="7"/>
  <c r="U390" i="7"/>
  <c r="R390" i="7"/>
  <c r="N390" i="7"/>
  <c r="O390" i="7" s="1"/>
  <c r="L390" i="7"/>
  <c r="H390" i="7"/>
  <c r="I390" i="7" s="1"/>
  <c r="F390" i="7"/>
  <c r="C390" i="7"/>
  <c r="AC389" i="7"/>
  <c r="AD389" i="7" s="1"/>
  <c r="AA389" i="7"/>
  <c r="X389" i="7"/>
  <c r="W389" i="7"/>
  <c r="U389" i="7"/>
  <c r="R389" i="7"/>
  <c r="O389" i="7"/>
  <c r="N389" i="7"/>
  <c r="L389" i="7"/>
  <c r="I389" i="7"/>
  <c r="H389" i="7"/>
  <c r="F389" i="7"/>
  <c r="C389" i="7"/>
  <c r="AD388" i="7"/>
  <c r="AC388" i="7"/>
  <c r="AA388" i="7"/>
  <c r="W388" i="7"/>
  <c r="X388" i="7" s="1"/>
  <c r="U388" i="7"/>
  <c r="R388" i="7"/>
  <c r="O388" i="7"/>
  <c r="N388" i="7"/>
  <c r="L388" i="7"/>
  <c r="H388" i="7"/>
  <c r="I388" i="7" s="1"/>
  <c r="F388" i="7"/>
  <c r="C388" i="7"/>
  <c r="AC386" i="7"/>
  <c r="AD386" i="7" s="1"/>
  <c r="AA386" i="7"/>
  <c r="X386" i="7"/>
  <c r="W386" i="7"/>
  <c r="U386" i="7"/>
  <c r="R386" i="7"/>
  <c r="O386" i="7"/>
  <c r="N386" i="7"/>
  <c r="L386" i="7"/>
  <c r="I386" i="7"/>
  <c r="H386" i="7"/>
  <c r="F386" i="7"/>
  <c r="C386" i="7"/>
  <c r="AD385" i="7"/>
  <c r="AC385" i="7"/>
  <c r="AA385" i="7"/>
  <c r="W385" i="7"/>
  <c r="X385" i="7" s="1"/>
  <c r="U385" i="7"/>
  <c r="R385" i="7"/>
  <c r="O385" i="7"/>
  <c r="N385" i="7"/>
  <c r="L385" i="7"/>
  <c r="H385" i="7"/>
  <c r="I385" i="7" s="1"/>
  <c r="F385" i="7"/>
  <c r="C385" i="7"/>
  <c r="AC383" i="7"/>
  <c r="AD383" i="7" s="1"/>
  <c r="AA383" i="7"/>
  <c r="X383" i="7"/>
  <c r="W383" i="7"/>
  <c r="U383" i="7"/>
  <c r="R383" i="7"/>
  <c r="O383" i="7"/>
  <c r="N383" i="7"/>
  <c r="L383" i="7"/>
  <c r="I383" i="7"/>
  <c r="H383" i="7"/>
  <c r="F383" i="7"/>
  <c r="C383" i="7"/>
  <c r="AC382" i="7"/>
  <c r="AD382" i="7" s="1"/>
  <c r="AA382" i="7"/>
  <c r="X382" i="7"/>
  <c r="W382" i="7"/>
  <c r="U382" i="7"/>
  <c r="R382" i="7"/>
  <c r="N382" i="7"/>
  <c r="O382" i="7" s="1"/>
  <c r="L382" i="7"/>
  <c r="H382" i="7"/>
  <c r="I382" i="7" s="1"/>
  <c r="F382" i="7"/>
  <c r="C382" i="7"/>
  <c r="AC381" i="7"/>
  <c r="AD381" i="7" s="1"/>
  <c r="AA381" i="7"/>
  <c r="X381" i="7"/>
  <c r="W381" i="7"/>
  <c r="U381" i="7"/>
  <c r="R381" i="7"/>
  <c r="O381" i="7"/>
  <c r="N381" i="7"/>
  <c r="L381" i="7"/>
  <c r="H381" i="7"/>
  <c r="I381" i="7" s="1"/>
  <c r="F381" i="7"/>
  <c r="C381" i="7"/>
  <c r="AD380" i="7"/>
  <c r="AC380" i="7"/>
  <c r="AA380" i="7"/>
  <c r="X380" i="7"/>
  <c r="W380" i="7"/>
  <c r="U380" i="7"/>
  <c r="R380" i="7"/>
  <c r="N380" i="7"/>
  <c r="O380" i="7" s="1"/>
  <c r="L380" i="7"/>
  <c r="H380" i="7"/>
  <c r="I380" i="7" s="1"/>
  <c r="F380" i="7"/>
  <c r="C380" i="7"/>
  <c r="AC379" i="7"/>
  <c r="AD379" i="7" s="1"/>
  <c r="AA379" i="7"/>
  <c r="X379" i="7"/>
  <c r="W379" i="7"/>
  <c r="U379" i="7"/>
  <c r="R379" i="7"/>
  <c r="O379" i="7"/>
  <c r="N379" i="7"/>
  <c r="L379" i="7"/>
  <c r="I379" i="7"/>
  <c r="H379" i="7"/>
  <c r="F379" i="7"/>
  <c r="C379" i="7"/>
  <c r="AD378" i="7"/>
  <c r="AC378" i="7"/>
  <c r="AA378" i="7"/>
  <c r="W378" i="7"/>
  <c r="X378" i="7" s="1"/>
  <c r="U378" i="7"/>
  <c r="R378" i="7"/>
  <c r="O378" i="7"/>
  <c r="N378" i="7"/>
  <c r="L378" i="7"/>
  <c r="H378" i="7"/>
  <c r="I378" i="7" s="1"/>
  <c r="F378" i="7"/>
  <c r="C378" i="7"/>
  <c r="AC377" i="7"/>
  <c r="AD377" i="7" s="1"/>
  <c r="AA377" i="7"/>
  <c r="X377" i="7"/>
  <c r="W377" i="7"/>
  <c r="U377" i="7"/>
  <c r="R377" i="7"/>
  <c r="O377" i="7"/>
  <c r="N377" i="7"/>
  <c r="L377" i="7"/>
  <c r="H377" i="7"/>
  <c r="I377" i="7" s="1"/>
  <c r="F377" i="7"/>
  <c r="C377" i="7"/>
  <c r="AD376" i="7"/>
  <c r="AC376" i="7"/>
  <c r="AA376" i="7"/>
  <c r="W376" i="7"/>
  <c r="X376" i="7" s="1"/>
  <c r="U376" i="7"/>
  <c r="R376" i="7"/>
  <c r="O376" i="7"/>
  <c r="N376" i="7"/>
  <c r="L376" i="7"/>
  <c r="H376" i="7"/>
  <c r="I376" i="7" s="1"/>
  <c r="F376" i="7"/>
  <c r="C376" i="7"/>
  <c r="AC375" i="7"/>
  <c r="AD375" i="7" s="1"/>
  <c r="AA375" i="7"/>
  <c r="X375" i="7"/>
  <c r="W375" i="7"/>
  <c r="U375" i="7"/>
  <c r="R375" i="7"/>
  <c r="O375" i="7"/>
  <c r="N375" i="7"/>
  <c r="L375" i="7"/>
  <c r="I375" i="7"/>
  <c r="H375" i="7"/>
  <c r="F375" i="7"/>
  <c r="C375" i="7"/>
  <c r="AC374" i="7"/>
  <c r="AD374" i="7" s="1"/>
  <c r="AA374" i="7"/>
  <c r="X374" i="7"/>
  <c r="W374" i="7"/>
  <c r="U374" i="7"/>
  <c r="R374" i="7"/>
  <c r="N374" i="7"/>
  <c r="O374" i="7" s="1"/>
  <c r="L374" i="7"/>
  <c r="H374" i="7"/>
  <c r="I374" i="7" s="1"/>
  <c r="F374" i="7"/>
  <c r="C374" i="7"/>
  <c r="AC373" i="7"/>
  <c r="AD373" i="7" s="1"/>
  <c r="AA373" i="7"/>
  <c r="X373" i="7"/>
  <c r="W373" i="7"/>
  <c r="U373" i="7"/>
  <c r="R373" i="7"/>
  <c r="O373" i="7"/>
  <c r="N373" i="7"/>
  <c r="L373" i="7"/>
  <c r="H373" i="7"/>
  <c r="I373" i="7" s="1"/>
  <c r="F373" i="7"/>
  <c r="C373" i="7"/>
  <c r="AC372" i="7"/>
  <c r="AD372" i="7" s="1"/>
  <c r="AA372" i="7"/>
  <c r="X372" i="7"/>
  <c r="W372" i="7"/>
  <c r="U372" i="7"/>
  <c r="R372" i="7"/>
  <c r="N372" i="7"/>
  <c r="O372" i="7" s="1"/>
  <c r="L372" i="7"/>
  <c r="H372" i="7"/>
  <c r="I372" i="7" s="1"/>
  <c r="F372" i="7"/>
  <c r="C372" i="7"/>
  <c r="AC371" i="7"/>
  <c r="AD371" i="7" s="1"/>
  <c r="AA371" i="7"/>
  <c r="X371" i="7"/>
  <c r="W371" i="7"/>
  <c r="U371" i="7"/>
  <c r="R371" i="7"/>
  <c r="O371" i="7"/>
  <c r="N371" i="7"/>
  <c r="L371" i="7"/>
  <c r="H371" i="7"/>
  <c r="I371" i="7" s="1"/>
  <c r="F371" i="7"/>
  <c r="C371" i="7"/>
  <c r="AC370" i="7"/>
  <c r="AD370" i="7" s="1"/>
  <c r="AA370" i="7"/>
  <c r="W370" i="7"/>
  <c r="X370" i="7" s="1"/>
  <c r="U370" i="7"/>
  <c r="R370" i="7"/>
  <c r="O370" i="7"/>
  <c r="N370" i="7"/>
  <c r="L370" i="7"/>
  <c r="H370" i="7"/>
  <c r="I370" i="7" s="1"/>
  <c r="F370" i="7"/>
  <c r="C370" i="7"/>
  <c r="AC369" i="7"/>
  <c r="AD369" i="7" s="1"/>
  <c r="AA369" i="7"/>
  <c r="X369" i="7"/>
  <c r="W369" i="7"/>
  <c r="U369" i="7"/>
  <c r="R369" i="7"/>
  <c r="O369" i="7"/>
  <c r="N369" i="7"/>
  <c r="L369" i="7"/>
  <c r="H369" i="7"/>
  <c r="I369" i="7" s="1"/>
  <c r="F369" i="7"/>
  <c r="C369" i="7"/>
  <c r="Z368" i="7"/>
  <c r="AA368" i="7" s="1"/>
  <c r="T368" i="7"/>
  <c r="U368" i="7" s="1"/>
  <c r="Q368" i="7"/>
  <c r="K368" i="7"/>
  <c r="L368" i="7" s="1"/>
  <c r="E368" i="7"/>
  <c r="H368" i="7" s="1"/>
  <c r="I368" i="7" s="1"/>
  <c r="B368" i="7"/>
  <c r="C368" i="7" s="1"/>
  <c r="AD367" i="7"/>
  <c r="AC367" i="7"/>
  <c r="AA367" i="7"/>
  <c r="X367" i="7"/>
  <c r="W367" i="7"/>
  <c r="U367" i="7"/>
  <c r="R367" i="7"/>
  <c r="N367" i="7"/>
  <c r="O367" i="7" s="1"/>
  <c r="L367" i="7"/>
  <c r="H367" i="7"/>
  <c r="I367" i="7" s="1"/>
  <c r="F367" i="7"/>
  <c r="C367" i="7"/>
  <c r="AC366" i="7"/>
  <c r="AD366" i="7" s="1"/>
  <c r="AA366" i="7"/>
  <c r="X366" i="7"/>
  <c r="W366" i="7"/>
  <c r="U366" i="7"/>
  <c r="R366" i="7"/>
  <c r="O366" i="7"/>
  <c r="N366" i="7"/>
  <c r="L366" i="7"/>
  <c r="H366" i="7"/>
  <c r="I366" i="7" s="1"/>
  <c r="F366" i="7"/>
  <c r="C366" i="7"/>
  <c r="AC365" i="7"/>
  <c r="AD365" i="7" s="1"/>
  <c r="AA365" i="7"/>
  <c r="W365" i="7"/>
  <c r="X365" i="7" s="1"/>
  <c r="U365" i="7"/>
  <c r="R365" i="7"/>
  <c r="N365" i="7"/>
  <c r="O365" i="7" s="1"/>
  <c r="L365" i="7"/>
  <c r="H365" i="7"/>
  <c r="I365" i="7" s="1"/>
  <c r="F365" i="7"/>
  <c r="C365" i="7"/>
  <c r="AC364" i="7"/>
  <c r="AD364" i="7" s="1"/>
  <c r="AA364" i="7"/>
  <c r="X364" i="7"/>
  <c r="W364" i="7"/>
  <c r="U364" i="7"/>
  <c r="R364" i="7"/>
  <c r="O364" i="7"/>
  <c r="N364" i="7"/>
  <c r="L364" i="7"/>
  <c r="I364" i="7"/>
  <c r="H364" i="7"/>
  <c r="F364" i="7"/>
  <c r="C364" i="7"/>
  <c r="AC363" i="7"/>
  <c r="AD363" i="7" s="1"/>
  <c r="AA363" i="7"/>
  <c r="W363" i="7"/>
  <c r="X363" i="7" s="1"/>
  <c r="U363" i="7"/>
  <c r="R363" i="7"/>
  <c r="O363" i="7"/>
  <c r="N363" i="7"/>
  <c r="L363" i="7"/>
  <c r="H363" i="7"/>
  <c r="I363" i="7" s="1"/>
  <c r="F363" i="7"/>
  <c r="C363" i="7"/>
  <c r="AC362" i="7"/>
  <c r="AD362" i="7" s="1"/>
  <c r="AA362" i="7"/>
  <c r="X362" i="7"/>
  <c r="W362" i="7"/>
  <c r="U362" i="7"/>
  <c r="R362" i="7"/>
  <c r="O362" i="7"/>
  <c r="N362" i="7"/>
  <c r="L362" i="7"/>
  <c r="H362" i="7"/>
  <c r="I362" i="7" s="1"/>
  <c r="F362" i="7"/>
  <c r="C362" i="7"/>
  <c r="AD361" i="7"/>
  <c r="AC361" i="7"/>
  <c r="AA361" i="7"/>
  <c r="W361" i="7"/>
  <c r="X361" i="7" s="1"/>
  <c r="U361" i="7"/>
  <c r="R361" i="7"/>
  <c r="O361" i="7"/>
  <c r="N361" i="7"/>
  <c r="L361" i="7"/>
  <c r="H361" i="7"/>
  <c r="I361" i="7" s="1"/>
  <c r="F361" i="7"/>
  <c r="C361" i="7"/>
  <c r="AC360" i="7"/>
  <c r="AD360" i="7" s="1"/>
  <c r="AA360" i="7"/>
  <c r="X360" i="7"/>
  <c r="W360" i="7"/>
  <c r="U360" i="7"/>
  <c r="R360" i="7"/>
  <c r="O360" i="7"/>
  <c r="N360" i="7"/>
  <c r="L360" i="7"/>
  <c r="H360" i="7"/>
  <c r="I360" i="7" s="1"/>
  <c r="F360" i="7"/>
  <c r="C360" i="7"/>
  <c r="Z358" i="7"/>
  <c r="AA358" i="7" s="1"/>
  <c r="T358" i="7"/>
  <c r="U358" i="7" s="1"/>
  <c r="Q358" i="7"/>
  <c r="AC358" i="7" s="1"/>
  <c r="AD358" i="7" s="1"/>
  <c r="K358" i="7"/>
  <c r="L358" i="7" s="1"/>
  <c r="E358" i="7"/>
  <c r="F358" i="7" s="1"/>
  <c r="B358" i="7"/>
  <c r="AC357" i="7"/>
  <c r="AD357" i="7" s="1"/>
  <c r="AA357" i="7"/>
  <c r="W357" i="7"/>
  <c r="X357" i="7" s="1"/>
  <c r="U357" i="7"/>
  <c r="R357" i="7"/>
  <c r="N357" i="7"/>
  <c r="O357" i="7" s="1"/>
  <c r="L357" i="7"/>
  <c r="H357" i="7"/>
  <c r="I357" i="7" s="1"/>
  <c r="F357" i="7"/>
  <c r="C357" i="7"/>
  <c r="AC356" i="7"/>
  <c r="AD356" i="7" s="1"/>
  <c r="AA356" i="7"/>
  <c r="X356" i="7"/>
  <c r="W356" i="7"/>
  <c r="U356" i="7"/>
  <c r="R356" i="7"/>
  <c r="O356" i="7"/>
  <c r="N356" i="7"/>
  <c r="L356" i="7"/>
  <c r="H356" i="7"/>
  <c r="I356" i="7" s="1"/>
  <c r="F356" i="7"/>
  <c r="C356" i="7"/>
  <c r="AC355" i="7"/>
  <c r="AD355" i="7" s="1"/>
  <c r="AA355" i="7"/>
  <c r="W355" i="7"/>
  <c r="X355" i="7" s="1"/>
  <c r="U355" i="7"/>
  <c r="R355" i="7"/>
  <c r="O355" i="7"/>
  <c r="N355" i="7"/>
  <c r="L355" i="7"/>
  <c r="H355" i="7"/>
  <c r="I355" i="7" s="1"/>
  <c r="F355" i="7"/>
  <c r="C355" i="7"/>
  <c r="AC354" i="7"/>
  <c r="AD354" i="7" s="1"/>
  <c r="AA354" i="7"/>
  <c r="X354" i="7"/>
  <c r="W354" i="7"/>
  <c r="U354" i="7"/>
  <c r="R354" i="7"/>
  <c r="O354" i="7"/>
  <c r="N354" i="7"/>
  <c r="L354" i="7"/>
  <c r="H354" i="7"/>
  <c r="I354" i="7" s="1"/>
  <c r="F354" i="7"/>
  <c r="C354" i="7"/>
  <c r="AD353" i="7"/>
  <c r="AC353" i="7"/>
  <c r="AA353" i="7"/>
  <c r="W353" i="7"/>
  <c r="X353" i="7" s="1"/>
  <c r="U353" i="7"/>
  <c r="R353" i="7"/>
  <c r="N353" i="7"/>
  <c r="O353" i="7" s="1"/>
  <c r="L353" i="7"/>
  <c r="H353" i="7"/>
  <c r="I353" i="7" s="1"/>
  <c r="F353" i="7"/>
  <c r="C353" i="7"/>
  <c r="AC352" i="7"/>
  <c r="AD352" i="7" s="1"/>
  <c r="AA352" i="7"/>
  <c r="X352" i="7"/>
  <c r="W352" i="7"/>
  <c r="U352" i="7"/>
  <c r="R352" i="7"/>
  <c r="O352" i="7"/>
  <c r="N352" i="7"/>
  <c r="L352" i="7"/>
  <c r="H352" i="7"/>
  <c r="I352" i="7" s="1"/>
  <c r="F352" i="7"/>
  <c r="C352" i="7"/>
  <c r="AD351" i="7"/>
  <c r="AC351" i="7"/>
  <c r="AA351" i="7"/>
  <c r="X351" i="7"/>
  <c r="W351" i="7"/>
  <c r="U351" i="7"/>
  <c r="R351" i="7"/>
  <c r="N351" i="7"/>
  <c r="O351" i="7" s="1"/>
  <c r="L351" i="7"/>
  <c r="H351" i="7"/>
  <c r="I351" i="7" s="1"/>
  <c r="F351" i="7"/>
  <c r="C351" i="7"/>
  <c r="AC350" i="7"/>
  <c r="AD350" i="7" s="1"/>
  <c r="AA350" i="7"/>
  <c r="X350" i="7"/>
  <c r="W350" i="7"/>
  <c r="U350" i="7"/>
  <c r="R350" i="7"/>
  <c r="O350" i="7"/>
  <c r="N350" i="7"/>
  <c r="L350" i="7"/>
  <c r="I350" i="7"/>
  <c r="H350" i="7"/>
  <c r="F350" i="7"/>
  <c r="C350" i="7"/>
  <c r="AC349" i="7"/>
  <c r="AD349" i="7" s="1"/>
  <c r="AA349" i="7"/>
  <c r="W349" i="7"/>
  <c r="X349" i="7" s="1"/>
  <c r="U349" i="7"/>
  <c r="R349" i="7"/>
  <c r="O349" i="7"/>
  <c r="N349" i="7"/>
  <c r="L349" i="7"/>
  <c r="H349" i="7"/>
  <c r="I349" i="7" s="1"/>
  <c r="F349" i="7"/>
  <c r="C349" i="7"/>
  <c r="AC347" i="7"/>
  <c r="AD347" i="7" s="1"/>
  <c r="AA347" i="7"/>
  <c r="X347" i="7"/>
  <c r="W347" i="7"/>
  <c r="U347" i="7"/>
  <c r="R347" i="7"/>
  <c r="O347" i="7"/>
  <c r="N347" i="7"/>
  <c r="L347" i="7"/>
  <c r="I347" i="7"/>
  <c r="H347" i="7"/>
  <c r="F347" i="7"/>
  <c r="C347" i="7"/>
  <c r="Z344" i="7"/>
  <c r="AA344" i="7" s="1"/>
  <c r="T344" i="7"/>
  <c r="U344" i="7" s="1"/>
  <c r="Q344" i="7"/>
  <c r="N344" i="7"/>
  <c r="O344" i="7" s="1"/>
  <c r="K344" i="7"/>
  <c r="L344" i="7" s="1"/>
  <c r="H344" i="7"/>
  <c r="I344" i="7" s="1"/>
  <c r="F344" i="7"/>
  <c r="E344" i="7"/>
  <c r="B344" i="7"/>
  <c r="C344" i="7" s="1"/>
  <c r="AC343" i="7"/>
  <c r="AD343" i="7" s="1"/>
  <c r="Z343" i="7"/>
  <c r="AA343" i="7" s="1"/>
  <c r="W343" i="7"/>
  <c r="X343" i="7" s="1"/>
  <c r="T343" i="7"/>
  <c r="U343" i="7" s="1"/>
  <c r="R343" i="7"/>
  <c r="Q343" i="7"/>
  <c r="L343" i="7"/>
  <c r="K343" i="7"/>
  <c r="E343" i="7"/>
  <c r="F343" i="7" s="1"/>
  <c r="B343" i="7"/>
  <c r="Z342" i="7"/>
  <c r="AA342" i="7" s="1"/>
  <c r="T342" i="7"/>
  <c r="U342" i="7" s="1"/>
  <c r="R342" i="7"/>
  <c r="Q342" i="7"/>
  <c r="K342" i="7"/>
  <c r="N342" i="7" s="1"/>
  <c r="O342" i="7" s="1"/>
  <c r="E342" i="7"/>
  <c r="F342" i="7" s="1"/>
  <c r="B342" i="7"/>
  <c r="AC341" i="7"/>
  <c r="AD341" i="7" s="1"/>
  <c r="AA341" i="7"/>
  <c r="X341" i="7"/>
  <c r="W341" i="7"/>
  <c r="U341" i="7"/>
  <c r="R341" i="7"/>
  <c r="N341" i="7"/>
  <c r="O341" i="7" s="1"/>
  <c r="L341" i="7"/>
  <c r="H341" i="7"/>
  <c r="I341" i="7" s="1"/>
  <c r="F341" i="7"/>
  <c r="C341" i="7"/>
  <c r="AC340" i="7"/>
  <c r="AD340" i="7" s="1"/>
  <c r="AA340" i="7"/>
  <c r="X340" i="7"/>
  <c r="W340" i="7"/>
  <c r="U340" i="7"/>
  <c r="R340" i="7"/>
  <c r="O340" i="7"/>
  <c r="N340" i="7"/>
  <c r="L340" i="7"/>
  <c r="H340" i="7"/>
  <c r="I340" i="7" s="1"/>
  <c r="F340" i="7"/>
  <c r="C340" i="7"/>
  <c r="AD339" i="7"/>
  <c r="AC339" i="7"/>
  <c r="AA339" i="7"/>
  <c r="W339" i="7"/>
  <c r="X339" i="7" s="1"/>
  <c r="U339" i="7"/>
  <c r="R339" i="7"/>
  <c r="N339" i="7"/>
  <c r="O339" i="7" s="1"/>
  <c r="L339" i="7"/>
  <c r="H339" i="7"/>
  <c r="I339" i="7" s="1"/>
  <c r="F339" i="7"/>
  <c r="C339" i="7"/>
  <c r="AC338" i="7"/>
  <c r="AD338" i="7" s="1"/>
  <c r="AA338" i="7"/>
  <c r="X338" i="7"/>
  <c r="W338" i="7"/>
  <c r="U338" i="7"/>
  <c r="R338" i="7"/>
  <c r="O338" i="7"/>
  <c r="N338" i="7"/>
  <c r="L338" i="7"/>
  <c r="H338" i="7"/>
  <c r="I338" i="7" s="1"/>
  <c r="F338" i="7"/>
  <c r="C338" i="7"/>
  <c r="AC337" i="7"/>
  <c r="AD337" i="7" s="1"/>
  <c r="AA337" i="7"/>
  <c r="X337" i="7"/>
  <c r="W337" i="7"/>
  <c r="U337" i="7"/>
  <c r="R337" i="7"/>
  <c r="O337" i="7"/>
  <c r="N337" i="7"/>
  <c r="L337" i="7"/>
  <c r="H337" i="7"/>
  <c r="I337" i="7" s="1"/>
  <c r="F337" i="7"/>
  <c r="C337" i="7"/>
  <c r="AC335" i="7"/>
  <c r="AD335" i="7" s="1"/>
  <c r="AA335" i="7"/>
  <c r="X335" i="7"/>
  <c r="W335" i="7"/>
  <c r="U335" i="7"/>
  <c r="R335" i="7"/>
  <c r="N335" i="7"/>
  <c r="O335" i="7" s="1"/>
  <c r="L335" i="7"/>
  <c r="I335" i="7"/>
  <c r="H335" i="7"/>
  <c r="F335" i="7"/>
  <c r="C335" i="7"/>
  <c r="AD334" i="7"/>
  <c r="AC334" i="7"/>
  <c r="AA334" i="7"/>
  <c r="W334" i="7"/>
  <c r="X334" i="7" s="1"/>
  <c r="U334" i="7"/>
  <c r="R334" i="7"/>
  <c r="N334" i="7"/>
  <c r="O334" i="7" s="1"/>
  <c r="L334" i="7"/>
  <c r="H334" i="7"/>
  <c r="I334" i="7" s="1"/>
  <c r="F334" i="7"/>
  <c r="C334" i="7"/>
  <c r="AC333" i="7"/>
  <c r="AD333" i="7" s="1"/>
  <c r="AA333" i="7"/>
  <c r="X333" i="7"/>
  <c r="W333" i="7"/>
  <c r="U333" i="7"/>
  <c r="R333" i="7"/>
  <c r="O333" i="7"/>
  <c r="N333" i="7"/>
  <c r="L333" i="7"/>
  <c r="H333" i="7"/>
  <c r="I333" i="7" s="1"/>
  <c r="F333" i="7"/>
  <c r="C333" i="7"/>
  <c r="AC332" i="7"/>
  <c r="AD332" i="7" s="1"/>
  <c r="AA332" i="7"/>
  <c r="W332" i="7"/>
  <c r="X332" i="7" s="1"/>
  <c r="U332" i="7"/>
  <c r="R332" i="7"/>
  <c r="N332" i="7"/>
  <c r="O332" i="7" s="1"/>
  <c r="L332" i="7"/>
  <c r="H332" i="7"/>
  <c r="I332" i="7" s="1"/>
  <c r="F332" i="7"/>
  <c r="C332" i="7"/>
  <c r="AD331" i="7"/>
  <c r="AC331" i="7"/>
  <c r="AA331" i="7"/>
  <c r="X331" i="7"/>
  <c r="W331" i="7"/>
  <c r="U331" i="7"/>
  <c r="R331" i="7"/>
  <c r="N331" i="7"/>
  <c r="O331" i="7" s="1"/>
  <c r="L331" i="7"/>
  <c r="H331" i="7"/>
  <c r="I331" i="7" s="1"/>
  <c r="F331" i="7"/>
  <c r="C331" i="7"/>
  <c r="AC330" i="7"/>
  <c r="AD330" i="7" s="1"/>
  <c r="AA330" i="7"/>
  <c r="W330" i="7"/>
  <c r="X330" i="7" s="1"/>
  <c r="U330" i="7"/>
  <c r="R330" i="7"/>
  <c r="N330" i="7"/>
  <c r="O330" i="7" s="1"/>
  <c r="L330" i="7"/>
  <c r="H330" i="7"/>
  <c r="I330" i="7" s="1"/>
  <c r="F330" i="7"/>
  <c r="C330" i="7"/>
  <c r="AC329" i="7"/>
  <c r="AD329" i="7" s="1"/>
  <c r="AA329" i="7"/>
  <c r="W329" i="7"/>
  <c r="X329" i="7" s="1"/>
  <c r="U329" i="7"/>
  <c r="R329" i="7"/>
  <c r="O329" i="7"/>
  <c r="N329" i="7"/>
  <c r="L329" i="7"/>
  <c r="H329" i="7"/>
  <c r="I329" i="7" s="1"/>
  <c r="F329" i="7"/>
  <c r="C329" i="7"/>
  <c r="AC328" i="7"/>
  <c r="AD328" i="7" s="1"/>
  <c r="AA328" i="7"/>
  <c r="X328" i="7"/>
  <c r="W328" i="7"/>
  <c r="U328" i="7"/>
  <c r="R328" i="7"/>
  <c r="N328" i="7"/>
  <c r="O328" i="7" s="1"/>
  <c r="L328" i="7"/>
  <c r="H328" i="7"/>
  <c r="I328" i="7" s="1"/>
  <c r="F328" i="7"/>
  <c r="C328" i="7"/>
  <c r="Z325" i="7"/>
  <c r="AC325" i="7" s="1"/>
  <c r="AD325" i="7" s="1"/>
  <c r="T325" i="7"/>
  <c r="Q325" i="7"/>
  <c r="R325" i="7" s="1"/>
  <c r="K325" i="7"/>
  <c r="L325" i="7" s="1"/>
  <c r="F325" i="7"/>
  <c r="E325" i="7"/>
  <c r="B325" i="7"/>
  <c r="Z324" i="7"/>
  <c r="AA324" i="7" s="1"/>
  <c r="T324" i="7"/>
  <c r="U324" i="7" s="1"/>
  <c r="Q324" i="7"/>
  <c r="L324" i="7"/>
  <c r="K324" i="7"/>
  <c r="E324" i="7"/>
  <c r="B324" i="7"/>
  <c r="N324" i="7" s="1"/>
  <c r="O324" i="7" s="1"/>
  <c r="AD323" i="7"/>
  <c r="AC323" i="7"/>
  <c r="AA323" i="7"/>
  <c r="W323" i="7"/>
  <c r="X323" i="7" s="1"/>
  <c r="U323" i="7"/>
  <c r="R323" i="7"/>
  <c r="O323" i="7"/>
  <c r="N323" i="7"/>
  <c r="L323" i="7"/>
  <c r="H323" i="7"/>
  <c r="I323" i="7" s="1"/>
  <c r="F323" i="7"/>
  <c r="C323" i="7"/>
  <c r="AD322" i="7"/>
  <c r="AC322" i="7"/>
  <c r="AA322" i="7"/>
  <c r="W322" i="7"/>
  <c r="X322" i="7" s="1"/>
  <c r="U322" i="7"/>
  <c r="R322" i="7"/>
  <c r="N322" i="7"/>
  <c r="O322" i="7" s="1"/>
  <c r="L322" i="7"/>
  <c r="I322" i="7"/>
  <c r="H322" i="7"/>
  <c r="F322" i="7"/>
  <c r="C322" i="7"/>
  <c r="AC321" i="7"/>
  <c r="AD321" i="7" s="1"/>
  <c r="AA321" i="7"/>
  <c r="X321" i="7"/>
  <c r="W321" i="7"/>
  <c r="U321" i="7"/>
  <c r="R321" i="7"/>
  <c r="N321" i="7"/>
  <c r="O321" i="7" s="1"/>
  <c r="L321" i="7"/>
  <c r="H321" i="7"/>
  <c r="I321" i="7" s="1"/>
  <c r="F321" i="7"/>
  <c r="C321" i="7"/>
  <c r="AC320" i="7"/>
  <c r="AD320" i="7" s="1"/>
  <c r="AA320" i="7"/>
  <c r="W320" i="7"/>
  <c r="X320" i="7" s="1"/>
  <c r="U320" i="7"/>
  <c r="R320" i="7"/>
  <c r="N320" i="7"/>
  <c r="O320" i="7" s="1"/>
  <c r="L320" i="7"/>
  <c r="H320" i="7"/>
  <c r="I320" i="7" s="1"/>
  <c r="F320" i="7"/>
  <c r="C320" i="7"/>
  <c r="AD319" i="7"/>
  <c r="AC319" i="7"/>
  <c r="AA319" i="7"/>
  <c r="X319" i="7"/>
  <c r="W319" i="7"/>
  <c r="U319" i="7"/>
  <c r="R319" i="7"/>
  <c r="O319" i="7"/>
  <c r="N319" i="7"/>
  <c r="L319" i="7"/>
  <c r="H319" i="7"/>
  <c r="I319" i="7" s="1"/>
  <c r="F319" i="7"/>
  <c r="C319" i="7"/>
  <c r="AC318" i="7"/>
  <c r="AD318" i="7" s="1"/>
  <c r="AA318" i="7"/>
  <c r="W318" i="7"/>
  <c r="X318" i="7" s="1"/>
  <c r="U318" i="7"/>
  <c r="R318" i="7"/>
  <c r="O318" i="7"/>
  <c r="N318" i="7"/>
  <c r="L318" i="7"/>
  <c r="I318" i="7"/>
  <c r="H318" i="7"/>
  <c r="F318" i="7"/>
  <c r="C318" i="7"/>
  <c r="AC317" i="7"/>
  <c r="AD317" i="7" s="1"/>
  <c r="AA317" i="7"/>
  <c r="W317" i="7"/>
  <c r="X317" i="7" s="1"/>
  <c r="U317" i="7"/>
  <c r="R317" i="7"/>
  <c r="O317" i="7"/>
  <c r="N317" i="7"/>
  <c r="L317" i="7"/>
  <c r="H317" i="7"/>
  <c r="I317" i="7" s="1"/>
  <c r="F317" i="7"/>
  <c r="C317" i="7"/>
  <c r="AC316" i="7"/>
  <c r="AD316" i="7" s="1"/>
  <c r="AA316" i="7"/>
  <c r="X316" i="7"/>
  <c r="W316" i="7"/>
  <c r="U316" i="7"/>
  <c r="R316" i="7"/>
  <c r="N316" i="7"/>
  <c r="O316" i="7" s="1"/>
  <c r="L316" i="7"/>
  <c r="I316" i="7"/>
  <c r="H316" i="7"/>
  <c r="F316" i="7"/>
  <c r="C316" i="7"/>
  <c r="AD315" i="7"/>
  <c r="AC315" i="7"/>
  <c r="AA315" i="7"/>
  <c r="W315" i="7"/>
  <c r="X315" i="7" s="1"/>
  <c r="U315" i="7"/>
  <c r="R315" i="7"/>
  <c r="O315" i="7"/>
  <c r="N315" i="7"/>
  <c r="L315" i="7"/>
  <c r="H315" i="7"/>
  <c r="I315" i="7" s="1"/>
  <c r="F315" i="7"/>
  <c r="C315" i="7"/>
  <c r="AC314" i="7"/>
  <c r="AD314" i="7" s="1"/>
  <c r="AA314" i="7"/>
  <c r="W314" i="7"/>
  <c r="X314" i="7" s="1"/>
  <c r="U314" i="7"/>
  <c r="R314" i="7"/>
  <c r="N314" i="7"/>
  <c r="O314" i="7" s="1"/>
  <c r="L314" i="7"/>
  <c r="I314" i="7"/>
  <c r="H314" i="7"/>
  <c r="F314" i="7"/>
  <c r="C314" i="7"/>
  <c r="AC313" i="7"/>
  <c r="AD313" i="7" s="1"/>
  <c r="AA313" i="7"/>
  <c r="X313" i="7"/>
  <c r="W313" i="7"/>
  <c r="U313" i="7"/>
  <c r="R313" i="7"/>
  <c r="N313" i="7"/>
  <c r="O313" i="7" s="1"/>
  <c r="L313" i="7"/>
  <c r="H313" i="7"/>
  <c r="I313" i="7" s="1"/>
  <c r="F313" i="7"/>
  <c r="C313" i="7"/>
  <c r="AC312" i="7"/>
  <c r="AD312" i="7" s="1"/>
  <c r="AA312" i="7"/>
  <c r="W312" i="7"/>
  <c r="X312" i="7" s="1"/>
  <c r="U312" i="7"/>
  <c r="R312" i="7"/>
  <c r="N312" i="7"/>
  <c r="O312" i="7" s="1"/>
  <c r="L312" i="7"/>
  <c r="H312" i="7"/>
  <c r="I312" i="7" s="1"/>
  <c r="F312" i="7"/>
  <c r="C312" i="7"/>
  <c r="AD311" i="7"/>
  <c r="AC311" i="7"/>
  <c r="AA311" i="7"/>
  <c r="X311" i="7"/>
  <c r="W311" i="7"/>
  <c r="U311" i="7"/>
  <c r="R311" i="7"/>
  <c r="N311" i="7"/>
  <c r="O311" i="7" s="1"/>
  <c r="L311" i="7"/>
  <c r="H311" i="7"/>
  <c r="I311" i="7" s="1"/>
  <c r="F311" i="7"/>
  <c r="C311" i="7"/>
  <c r="AC310" i="7"/>
  <c r="AD310" i="7" s="1"/>
  <c r="AA310" i="7"/>
  <c r="W310" i="7"/>
  <c r="X310" i="7" s="1"/>
  <c r="U310" i="7"/>
  <c r="R310" i="7"/>
  <c r="O310" i="7"/>
  <c r="N310" i="7"/>
  <c r="L310" i="7"/>
  <c r="I310" i="7"/>
  <c r="H310" i="7"/>
  <c r="F310" i="7"/>
  <c r="C310" i="7"/>
  <c r="AC309" i="7"/>
  <c r="AD309" i="7" s="1"/>
  <c r="AA309" i="7"/>
  <c r="W309" i="7"/>
  <c r="X309" i="7" s="1"/>
  <c r="U309" i="7"/>
  <c r="R309" i="7"/>
  <c r="N309" i="7"/>
  <c r="O309" i="7" s="1"/>
  <c r="L309" i="7"/>
  <c r="H309" i="7"/>
  <c r="I309" i="7" s="1"/>
  <c r="F309" i="7"/>
  <c r="C309" i="7"/>
  <c r="AC308" i="7"/>
  <c r="AD308" i="7" s="1"/>
  <c r="AA308" i="7"/>
  <c r="W308" i="7"/>
  <c r="X308" i="7" s="1"/>
  <c r="U308" i="7"/>
  <c r="R308" i="7"/>
  <c r="N308" i="7"/>
  <c r="O308" i="7" s="1"/>
  <c r="L308" i="7"/>
  <c r="H308" i="7"/>
  <c r="I308" i="7" s="1"/>
  <c r="F308" i="7"/>
  <c r="C308" i="7"/>
  <c r="AD307" i="7"/>
  <c r="AC307" i="7"/>
  <c r="AA307" i="7"/>
  <c r="X307" i="7"/>
  <c r="W307" i="7"/>
  <c r="U307" i="7"/>
  <c r="R307" i="7"/>
  <c r="O307" i="7"/>
  <c r="N307" i="7"/>
  <c r="L307" i="7"/>
  <c r="H307" i="7"/>
  <c r="I307" i="7" s="1"/>
  <c r="F307" i="7"/>
  <c r="C307" i="7"/>
  <c r="AD306" i="7"/>
  <c r="AC306" i="7"/>
  <c r="AA306" i="7"/>
  <c r="W306" i="7"/>
  <c r="X306" i="7" s="1"/>
  <c r="U306" i="7"/>
  <c r="R306" i="7"/>
  <c r="O306" i="7"/>
  <c r="N306" i="7"/>
  <c r="L306" i="7"/>
  <c r="I306" i="7"/>
  <c r="H306" i="7"/>
  <c r="F306" i="7"/>
  <c r="C306" i="7"/>
  <c r="AC305" i="7"/>
  <c r="AD305" i="7" s="1"/>
  <c r="AA305" i="7"/>
  <c r="W305" i="7"/>
  <c r="X305" i="7" s="1"/>
  <c r="U305" i="7"/>
  <c r="R305" i="7"/>
  <c r="N305" i="7"/>
  <c r="O305" i="7" s="1"/>
  <c r="L305" i="7"/>
  <c r="H305" i="7"/>
  <c r="I305" i="7" s="1"/>
  <c r="F305" i="7"/>
  <c r="C305" i="7"/>
  <c r="AC304" i="7"/>
  <c r="AD304" i="7" s="1"/>
  <c r="AA304" i="7"/>
  <c r="W304" i="7"/>
  <c r="X304" i="7" s="1"/>
  <c r="U304" i="7"/>
  <c r="R304" i="7"/>
  <c r="N304" i="7"/>
  <c r="O304" i="7" s="1"/>
  <c r="L304" i="7"/>
  <c r="H304" i="7"/>
  <c r="I304" i="7" s="1"/>
  <c r="F304" i="7"/>
  <c r="C304" i="7"/>
  <c r="AD303" i="7"/>
  <c r="AC303" i="7"/>
  <c r="AA303" i="7"/>
  <c r="X303" i="7"/>
  <c r="W303" i="7"/>
  <c r="U303" i="7"/>
  <c r="R303" i="7"/>
  <c r="N303" i="7"/>
  <c r="O303" i="7" s="1"/>
  <c r="L303" i="7"/>
  <c r="H303" i="7"/>
  <c r="I303" i="7" s="1"/>
  <c r="F303" i="7"/>
  <c r="C303" i="7"/>
  <c r="AC302" i="7"/>
  <c r="AD302" i="7" s="1"/>
  <c r="AA302" i="7"/>
  <c r="W302" i="7"/>
  <c r="X302" i="7" s="1"/>
  <c r="U302" i="7"/>
  <c r="R302" i="7"/>
  <c r="O302" i="7"/>
  <c r="N302" i="7"/>
  <c r="L302" i="7"/>
  <c r="I302" i="7"/>
  <c r="H302" i="7"/>
  <c r="F302" i="7"/>
  <c r="C302" i="7"/>
  <c r="AD301" i="7"/>
  <c r="AC301" i="7"/>
  <c r="AA301" i="7"/>
  <c r="W301" i="7"/>
  <c r="X301" i="7" s="1"/>
  <c r="U301" i="7"/>
  <c r="R301" i="7"/>
  <c r="N301" i="7"/>
  <c r="O301" i="7" s="1"/>
  <c r="L301" i="7"/>
  <c r="H301" i="7"/>
  <c r="I301" i="7" s="1"/>
  <c r="F301" i="7"/>
  <c r="C301" i="7"/>
  <c r="AC300" i="7"/>
  <c r="AD300" i="7" s="1"/>
  <c r="AA300" i="7"/>
  <c r="W300" i="7"/>
  <c r="X300" i="7" s="1"/>
  <c r="U300" i="7"/>
  <c r="R300" i="7"/>
  <c r="N300" i="7"/>
  <c r="O300" i="7" s="1"/>
  <c r="L300" i="7"/>
  <c r="I300" i="7"/>
  <c r="H300" i="7"/>
  <c r="F300" i="7"/>
  <c r="C300" i="7"/>
  <c r="AD299" i="7"/>
  <c r="AC299" i="7"/>
  <c r="AA299" i="7"/>
  <c r="W299" i="7"/>
  <c r="X299" i="7" s="1"/>
  <c r="U299" i="7"/>
  <c r="R299" i="7"/>
  <c r="O299" i="7"/>
  <c r="N299" i="7"/>
  <c r="L299" i="7"/>
  <c r="H299" i="7"/>
  <c r="I299" i="7" s="1"/>
  <c r="F299" i="7"/>
  <c r="C299" i="7"/>
  <c r="AC298" i="7"/>
  <c r="AD298" i="7" s="1"/>
  <c r="AA298" i="7"/>
  <c r="W298" i="7"/>
  <c r="X298" i="7" s="1"/>
  <c r="U298" i="7"/>
  <c r="R298" i="7"/>
  <c r="N298" i="7"/>
  <c r="O298" i="7" s="1"/>
  <c r="L298" i="7"/>
  <c r="I298" i="7"/>
  <c r="H298" i="7"/>
  <c r="F298" i="7"/>
  <c r="C298" i="7"/>
  <c r="AC297" i="7"/>
  <c r="AD297" i="7" s="1"/>
  <c r="AA297" i="7"/>
  <c r="X297" i="7"/>
  <c r="W297" i="7"/>
  <c r="U297" i="7"/>
  <c r="R297" i="7"/>
  <c r="N297" i="7"/>
  <c r="O297" i="7" s="1"/>
  <c r="L297" i="7"/>
  <c r="I297" i="7"/>
  <c r="H297" i="7"/>
  <c r="F297" i="7"/>
  <c r="C297" i="7"/>
  <c r="Z295" i="7"/>
  <c r="AA295" i="7" s="1"/>
  <c r="W295" i="7"/>
  <c r="X295" i="7" s="1"/>
  <c r="U295" i="7"/>
  <c r="T295" i="7"/>
  <c r="Q295" i="7"/>
  <c r="K295" i="7"/>
  <c r="L295" i="7" s="1"/>
  <c r="E295" i="7"/>
  <c r="F295" i="7" s="1"/>
  <c r="C295" i="7"/>
  <c r="B295" i="7"/>
  <c r="AC294" i="7"/>
  <c r="AD294" i="7" s="1"/>
  <c r="AA294" i="7"/>
  <c r="W294" i="7"/>
  <c r="X294" i="7" s="1"/>
  <c r="U294" i="7"/>
  <c r="R294" i="7"/>
  <c r="N294" i="7"/>
  <c r="O294" i="7" s="1"/>
  <c r="L294" i="7"/>
  <c r="I294" i="7"/>
  <c r="H294" i="7"/>
  <c r="F294" i="7"/>
  <c r="C294" i="7"/>
  <c r="AC293" i="7"/>
  <c r="AD293" i="7" s="1"/>
  <c r="AA293" i="7"/>
  <c r="W293" i="7"/>
  <c r="X293" i="7" s="1"/>
  <c r="U293" i="7"/>
  <c r="R293" i="7"/>
  <c r="N293" i="7"/>
  <c r="O293" i="7" s="1"/>
  <c r="L293" i="7"/>
  <c r="I293" i="7"/>
  <c r="H293" i="7"/>
  <c r="F293" i="7"/>
  <c r="C293" i="7"/>
  <c r="AC292" i="7"/>
  <c r="AD292" i="7" s="1"/>
  <c r="AA292" i="7"/>
  <c r="X292" i="7"/>
  <c r="W292" i="7"/>
  <c r="U292" i="7"/>
  <c r="R292" i="7"/>
  <c r="N292" i="7"/>
  <c r="O292" i="7" s="1"/>
  <c r="L292" i="7"/>
  <c r="I292" i="7"/>
  <c r="H292" i="7"/>
  <c r="F292" i="7"/>
  <c r="C292" i="7"/>
  <c r="AD291" i="7"/>
  <c r="AC291" i="7"/>
  <c r="AA291" i="7"/>
  <c r="W291" i="7"/>
  <c r="X291" i="7" s="1"/>
  <c r="U291" i="7"/>
  <c r="R291" i="7"/>
  <c r="O291" i="7"/>
  <c r="N291" i="7"/>
  <c r="L291" i="7"/>
  <c r="H291" i="7"/>
  <c r="I291" i="7" s="1"/>
  <c r="F291" i="7"/>
  <c r="C291" i="7"/>
  <c r="AD290" i="7"/>
  <c r="AC290" i="7"/>
  <c r="AA290" i="7"/>
  <c r="W290" i="7"/>
  <c r="X290" i="7" s="1"/>
  <c r="U290" i="7"/>
  <c r="R290" i="7"/>
  <c r="N290" i="7"/>
  <c r="O290" i="7" s="1"/>
  <c r="L290" i="7"/>
  <c r="I290" i="7"/>
  <c r="H290" i="7"/>
  <c r="F290" i="7"/>
  <c r="C290" i="7"/>
  <c r="AC289" i="7"/>
  <c r="AD289" i="7" s="1"/>
  <c r="AA289" i="7"/>
  <c r="W289" i="7"/>
  <c r="X289" i="7" s="1"/>
  <c r="U289" i="7"/>
  <c r="R289" i="7"/>
  <c r="N289" i="7"/>
  <c r="O289" i="7" s="1"/>
  <c r="L289" i="7"/>
  <c r="H289" i="7"/>
  <c r="I289" i="7" s="1"/>
  <c r="F289" i="7"/>
  <c r="C289" i="7"/>
  <c r="AC288" i="7"/>
  <c r="AD288" i="7" s="1"/>
  <c r="AA288" i="7"/>
  <c r="W288" i="7"/>
  <c r="X288" i="7" s="1"/>
  <c r="U288" i="7"/>
  <c r="R288" i="7"/>
  <c r="N288" i="7"/>
  <c r="O288" i="7" s="1"/>
  <c r="L288" i="7"/>
  <c r="I288" i="7"/>
  <c r="H288" i="7"/>
  <c r="F288" i="7"/>
  <c r="C288" i="7"/>
  <c r="AD287" i="7"/>
  <c r="AC287" i="7"/>
  <c r="AA287" i="7"/>
  <c r="W287" i="7"/>
  <c r="X287" i="7" s="1"/>
  <c r="U287" i="7"/>
  <c r="R287" i="7"/>
  <c r="N287" i="7"/>
  <c r="O287" i="7" s="1"/>
  <c r="L287" i="7"/>
  <c r="H287" i="7"/>
  <c r="I287" i="7" s="1"/>
  <c r="F287" i="7"/>
  <c r="C287" i="7"/>
  <c r="AC286" i="7"/>
  <c r="AD286" i="7" s="1"/>
  <c r="AA286" i="7"/>
  <c r="W286" i="7"/>
  <c r="X286" i="7" s="1"/>
  <c r="U286" i="7"/>
  <c r="R286" i="7"/>
  <c r="N286" i="7"/>
  <c r="O286" i="7" s="1"/>
  <c r="L286" i="7"/>
  <c r="I286" i="7"/>
  <c r="H286" i="7"/>
  <c r="F286" i="7"/>
  <c r="C286" i="7"/>
  <c r="AC284" i="7"/>
  <c r="AD284" i="7" s="1"/>
  <c r="AA284" i="7"/>
  <c r="Z284" i="7"/>
  <c r="T284" i="7"/>
  <c r="U284" i="7" s="1"/>
  <c r="R284" i="7"/>
  <c r="Q284" i="7"/>
  <c r="W284" i="7" s="1"/>
  <c r="X284" i="7" s="1"/>
  <c r="L284" i="7"/>
  <c r="K284" i="7"/>
  <c r="E284" i="7"/>
  <c r="F284" i="7" s="1"/>
  <c r="C284" i="7"/>
  <c r="B284" i="7"/>
  <c r="AD283" i="7"/>
  <c r="AC283" i="7"/>
  <c r="AA283" i="7"/>
  <c r="W283" i="7"/>
  <c r="X283" i="7" s="1"/>
  <c r="U283" i="7"/>
  <c r="R283" i="7"/>
  <c r="O283" i="7"/>
  <c r="N283" i="7"/>
  <c r="L283" i="7"/>
  <c r="H283" i="7"/>
  <c r="I283" i="7" s="1"/>
  <c r="F283" i="7"/>
  <c r="C283" i="7"/>
  <c r="AD282" i="7"/>
  <c r="AC282" i="7"/>
  <c r="AA282" i="7"/>
  <c r="W282" i="7"/>
  <c r="X282" i="7" s="1"/>
  <c r="U282" i="7"/>
  <c r="R282" i="7"/>
  <c r="N282" i="7"/>
  <c r="O282" i="7" s="1"/>
  <c r="L282" i="7"/>
  <c r="I282" i="7"/>
  <c r="H282" i="7"/>
  <c r="F282" i="7"/>
  <c r="C282" i="7"/>
  <c r="AC281" i="7"/>
  <c r="AD281" i="7" s="1"/>
  <c r="AA281" i="7"/>
  <c r="W281" i="7"/>
  <c r="X281" i="7" s="1"/>
  <c r="U281" i="7"/>
  <c r="R281" i="7"/>
  <c r="O281" i="7"/>
  <c r="N281" i="7"/>
  <c r="L281" i="7"/>
  <c r="H281" i="7"/>
  <c r="I281" i="7" s="1"/>
  <c r="F281" i="7"/>
  <c r="C281" i="7"/>
  <c r="AC280" i="7"/>
  <c r="AD280" i="7" s="1"/>
  <c r="AA280" i="7"/>
  <c r="W280" i="7"/>
  <c r="X280" i="7" s="1"/>
  <c r="U280" i="7"/>
  <c r="R280" i="7"/>
  <c r="N280" i="7"/>
  <c r="O280" i="7" s="1"/>
  <c r="L280" i="7"/>
  <c r="H280" i="7"/>
  <c r="I280" i="7" s="1"/>
  <c r="F280" i="7"/>
  <c r="C280" i="7"/>
  <c r="AD279" i="7"/>
  <c r="AC279" i="7"/>
  <c r="AA279" i="7"/>
  <c r="W279" i="7"/>
  <c r="X279" i="7" s="1"/>
  <c r="U279" i="7"/>
  <c r="R279" i="7"/>
  <c r="N279" i="7"/>
  <c r="O279" i="7" s="1"/>
  <c r="L279" i="7"/>
  <c r="H279" i="7"/>
  <c r="I279" i="7" s="1"/>
  <c r="F279" i="7"/>
  <c r="C279" i="7"/>
  <c r="AD278" i="7"/>
  <c r="AC278" i="7"/>
  <c r="AA278" i="7"/>
  <c r="W278" i="7"/>
  <c r="X278" i="7" s="1"/>
  <c r="U278" i="7"/>
  <c r="R278" i="7"/>
  <c r="O278" i="7"/>
  <c r="N278" i="7"/>
  <c r="L278" i="7"/>
  <c r="I278" i="7"/>
  <c r="H278" i="7"/>
  <c r="F278" i="7"/>
  <c r="C278" i="7"/>
  <c r="AC277" i="7"/>
  <c r="AD277" i="7" s="1"/>
  <c r="AA277" i="7"/>
  <c r="X277" i="7"/>
  <c r="W277" i="7"/>
  <c r="U277" i="7"/>
  <c r="R277" i="7"/>
  <c r="O277" i="7"/>
  <c r="N277" i="7"/>
  <c r="L277" i="7"/>
  <c r="H277" i="7"/>
  <c r="I277" i="7" s="1"/>
  <c r="F277" i="7"/>
  <c r="C277" i="7"/>
  <c r="AC276" i="7"/>
  <c r="AD276" i="7" s="1"/>
  <c r="AA276" i="7"/>
  <c r="W276" i="7"/>
  <c r="X276" i="7" s="1"/>
  <c r="U276" i="7"/>
  <c r="R276" i="7"/>
  <c r="N276" i="7"/>
  <c r="O276" i="7" s="1"/>
  <c r="L276" i="7"/>
  <c r="H276" i="7"/>
  <c r="I276" i="7" s="1"/>
  <c r="F276" i="7"/>
  <c r="C276" i="7"/>
  <c r="AD275" i="7"/>
  <c r="AC275" i="7"/>
  <c r="AA275" i="7"/>
  <c r="W275" i="7"/>
  <c r="X275" i="7" s="1"/>
  <c r="U275" i="7"/>
  <c r="R275" i="7"/>
  <c r="N275" i="7"/>
  <c r="O275" i="7" s="1"/>
  <c r="L275" i="7"/>
  <c r="H275" i="7"/>
  <c r="I275" i="7" s="1"/>
  <c r="F275" i="7"/>
  <c r="C275" i="7"/>
  <c r="AA273" i="7"/>
  <c r="Z273" i="7"/>
  <c r="T273" i="7"/>
  <c r="U273" i="7" s="1"/>
  <c r="R273" i="7"/>
  <c r="Q273" i="7"/>
  <c r="W273" i="7" s="1"/>
  <c r="X273" i="7" s="1"/>
  <c r="O273" i="7"/>
  <c r="K273" i="7"/>
  <c r="L273" i="7" s="1"/>
  <c r="F273" i="7"/>
  <c r="E273" i="7"/>
  <c r="H273" i="7" s="1"/>
  <c r="I273" i="7" s="1"/>
  <c r="C273" i="7"/>
  <c r="B273" i="7"/>
  <c r="N273" i="7" s="1"/>
  <c r="AC272" i="7"/>
  <c r="AD272" i="7" s="1"/>
  <c r="AA272" i="7"/>
  <c r="X272" i="7"/>
  <c r="W272" i="7"/>
  <c r="U272" i="7"/>
  <c r="R272" i="7"/>
  <c r="N272" i="7"/>
  <c r="O272" i="7" s="1"/>
  <c r="L272" i="7"/>
  <c r="H272" i="7"/>
  <c r="I272" i="7" s="1"/>
  <c r="F272" i="7"/>
  <c r="C272" i="7"/>
  <c r="AD271" i="7"/>
  <c r="AC271" i="7"/>
  <c r="AA271" i="7"/>
  <c r="W271" i="7"/>
  <c r="X271" i="7" s="1"/>
  <c r="U271" i="7"/>
  <c r="R271" i="7"/>
  <c r="N271" i="7"/>
  <c r="O271" i="7" s="1"/>
  <c r="L271" i="7"/>
  <c r="I271" i="7"/>
  <c r="H271" i="7"/>
  <c r="F271" i="7"/>
  <c r="C271" i="7"/>
  <c r="AC270" i="7"/>
  <c r="AD270" i="7" s="1"/>
  <c r="AA270" i="7"/>
  <c r="W270" i="7"/>
  <c r="X270" i="7" s="1"/>
  <c r="U270" i="7"/>
  <c r="R270" i="7"/>
  <c r="N270" i="7"/>
  <c r="O270" i="7" s="1"/>
  <c r="L270" i="7"/>
  <c r="I270" i="7"/>
  <c r="H270" i="7"/>
  <c r="F270" i="7"/>
  <c r="C270" i="7"/>
  <c r="AC269" i="7"/>
  <c r="AD269" i="7" s="1"/>
  <c r="AA269" i="7"/>
  <c r="W269" i="7"/>
  <c r="X269" i="7" s="1"/>
  <c r="U269" i="7"/>
  <c r="R269" i="7"/>
  <c r="O269" i="7"/>
  <c r="N269" i="7"/>
  <c r="L269" i="7"/>
  <c r="H269" i="7"/>
  <c r="I269" i="7" s="1"/>
  <c r="F269" i="7"/>
  <c r="C269" i="7"/>
  <c r="AD267" i="7"/>
  <c r="AC267" i="7"/>
  <c r="Z267" i="7"/>
  <c r="AA267" i="7" s="1"/>
  <c r="U267" i="7"/>
  <c r="T267" i="7"/>
  <c r="Q267" i="7"/>
  <c r="K267" i="7"/>
  <c r="F267" i="7"/>
  <c r="E267" i="7"/>
  <c r="C267" i="7"/>
  <c r="B267" i="7"/>
  <c r="AC266" i="7"/>
  <c r="AD266" i="7" s="1"/>
  <c r="AA266" i="7"/>
  <c r="W266" i="7"/>
  <c r="X266" i="7" s="1"/>
  <c r="U266" i="7"/>
  <c r="R266" i="7"/>
  <c r="O266" i="7"/>
  <c r="N266" i="7"/>
  <c r="L266" i="7"/>
  <c r="I266" i="7"/>
  <c r="H266" i="7"/>
  <c r="F266" i="7"/>
  <c r="C266" i="7"/>
  <c r="AD265" i="7"/>
  <c r="AC265" i="7"/>
  <c r="AA265" i="7"/>
  <c r="W265" i="7"/>
  <c r="X265" i="7" s="1"/>
  <c r="U265" i="7"/>
  <c r="R265" i="7"/>
  <c r="N265" i="7"/>
  <c r="O265" i="7" s="1"/>
  <c r="L265" i="7"/>
  <c r="H265" i="7"/>
  <c r="I265" i="7" s="1"/>
  <c r="F265" i="7"/>
  <c r="C265" i="7"/>
  <c r="Z263" i="7"/>
  <c r="AC263" i="7" s="1"/>
  <c r="AD263" i="7" s="1"/>
  <c r="U263" i="7"/>
  <c r="T263" i="7"/>
  <c r="R263" i="7"/>
  <c r="Q263" i="7"/>
  <c r="W263" i="7" s="1"/>
  <c r="X263" i="7" s="1"/>
  <c r="N263" i="7"/>
  <c r="O263" i="7" s="1"/>
  <c r="K263" i="7"/>
  <c r="L263" i="7" s="1"/>
  <c r="E263" i="7"/>
  <c r="F263" i="7" s="1"/>
  <c r="B263" i="7"/>
  <c r="AA262" i="7"/>
  <c r="Z262" i="7"/>
  <c r="W262" i="7"/>
  <c r="X262" i="7" s="1"/>
  <c r="U262" i="7"/>
  <c r="T262" i="7"/>
  <c r="R262" i="7"/>
  <c r="Q262" i="7"/>
  <c r="AC262" i="7" s="1"/>
  <c r="AD262" i="7" s="1"/>
  <c r="K262" i="7"/>
  <c r="L262" i="7" s="1"/>
  <c r="I262" i="7"/>
  <c r="H262" i="7"/>
  <c r="F262" i="7"/>
  <c r="E262" i="7"/>
  <c r="C262" i="7"/>
  <c r="B262" i="7"/>
  <c r="AC261" i="7"/>
  <c r="AD261" i="7" s="1"/>
  <c r="AA261" i="7"/>
  <c r="X261" i="7"/>
  <c r="W261" i="7"/>
  <c r="U261" i="7"/>
  <c r="R261" i="7"/>
  <c r="N261" i="7"/>
  <c r="O261" i="7" s="1"/>
  <c r="L261" i="7"/>
  <c r="H261" i="7"/>
  <c r="I261" i="7" s="1"/>
  <c r="F261" i="7"/>
  <c r="C261" i="7"/>
  <c r="AD260" i="7"/>
  <c r="AC260" i="7"/>
  <c r="AA260" i="7"/>
  <c r="W260" i="7"/>
  <c r="X260" i="7" s="1"/>
  <c r="U260" i="7"/>
  <c r="R260" i="7"/>
  <c r="O260" i="7"/>
  <c r="N260" i="7"/>
  <c r="L260" i="7"/>
  <c r="I260" i="7"/>
  <c r="H260" i="7"/>
  <c r="F260" i="7"/>
  <c r="C260" i="7"/>
  <c r="AC259" i="7"/>
  <c r="AD259" i="7" s="1"/>
  <c r="AA259" i="7"/>
  <c r="W259" i="7"/>
  <c r="X259" i="7" s="1"/>
  <c r="U259" i="7"/>
  <c r="R259" i="7"/>
  <c r="O259" i="7"/>
  <c r="N259" i="7"/>
  <c r="L259" i="7"/>
  <c r="I259" i="7"/>
  <c r="H259" i="7"/>
  <c r="F259" i="7"/>
  <c r="C259" i="7"/>
  <c r="AC258" i="7"/>
  <c r="AD258" i="7" s="1"/>
  <c r="AA258" i="7"/>
  <c r="W258" i="7"/>
  <c r="X258" i="7" s="1"/>
  <c r="U258" i="7"/>
  <c r="R258" i="7"/>
  <c r="O258" i="7"/>
  <c r="N258" i="7"/>
  <c r="L258" i="7"/>
  <c r="I258" i="7"/>
  <c r="H258" i="7"/>
  <c r="F258" i="7"/>
  <c r="C258" i="7"/>
  <c r="AC257" i="7"/>
  <c r="AD257" i="7" s="1"/>
  <c r="AA257" i="7"/>
  <c r="X257" i="7"/>
  <c r="W257" i="7"/>
  <c r="U257" i="7"/>
  <c r="R257" i="7"/>
  <c r="N257" i="7"/>
  <c r="O257" i="7" s="1"/>
  <c r="L257" i="7"/>
  <c r="I257" i="7"/>
  <c r="H257" i="7"/>
  <c r="F257" i="7"/>
  <c r="C257" i="7"/>
  <c r="AD256" i="7"/>
  <c r="AC256" i="7"/>
  <c r="AA256" i="7"/>
  <c r="W256" i="7"/>
  <c r="X256" i="7" s="1"/>
  <c r="U256" i="7"/>
  <c r="R256" i="7"/>
  <c r="O256" i="7"/>
  <c r="N256" i="7"/>
  <c r="L256" i="7"/>
  <c r="I256" i="7"/>
  <c r="H256" i="7"/>
  <c r="F256" i="7"/>
  <c r="C256" i="7"/>
  <c r="AD255" i="7"/>
  <c r="AC255" i="7"/>
  <c r="AA255" i="7"/>
  <c r="W255" i="7"/>
  <c r="X255" i="7" s="1"/>
  <c r="U255" i="7"/>
  <c r="R255" i="7"/>
  <c r="O255" i="7"/>
  <c r="N255" i="7"/>
  <c r="L255" i="7"/>
  <c r="I255" i="7"/>
  <c r="H255" i="7"/>
  <c r="F255" i="7"/>
  <c r="C255" i="7"/>
  <c r="AC254" i="7"/>
  <c r="AD254" i="7" s="1"/>
  <c r="AA254" i="7"/>
  <c r="W254" i="7"/>
  <c r="X254" i="7" s="1"/>
  <c r="U254" i="7"/>
  <c r="R254" i="7"/>
  <c r="O254" i="7"/>
  <c r="N254" i="7"/>
  <c r="L254" i="7"/>
  <c r="H254" i="7"/>
  <c r="I254" i="7" s="1"/>
  <c r="F254" i="7"/>
  <c r="C254" i="7"/>
  <c r="AD253" i="7"/>
  <c r="AC253" i="7"/>
  <c r="AA253" i="7"/>
  <c r="X253" i="7"/>
  <c r="W253" i="7"/>
  <c r="U253" i="7"/>
  <c r="R253" i="7"/>
  <c r="N253" i="7"/>
  <c r="O253" i="7" s="1"/>
  <c r="L253" i="7"/>
  <c r="I253" i="7"/>
  <c r="H253" i="7"/>
  <c r="F253" i="7"/>
  <c r="C253" i="7"/>
  <c r="AD252" i="7"/>
  <c r="AC252" i="7"/>
  <c r="AA252" i="7"/>
  <c r="X252" i="7"/>
  <c r="W252" i="7"/>
  <c r="U252" i="7"/>
  <c r="R252" i="7"/>
  <c r="N252" i="7"/>
  <c r="O252" i="7" s="1"/>
  <c r="L252" i="7"/>
  <c r="H252" i="7"/>
  <c r="I252" i="7" s="1"/>
  <c r="F252" i="7"/>
  <c r="C252" i="7"/>
  <c r="AD251" i="7"/>
  <c r="AC251" i="7"/>
  <c r="AA251" i="7"/>
  <c r="W251" i="7"/>
  <c r="X251" i="7" s="1"/>
  <c r="U251" i="7"/>
  <c r="R251" i="7"/>
  <c r="O251" i="7"/>
  <c r="N251" i="7"/>
  <c r="L251" i="7"/>
  <c r="I251" i="7"/>
  <c r="H251" i="7"/>
  <c r="F251" i="7"/>
  <c r="C251" i="7"/>
  <c r="AD250" i="7"/>
  <c r="AC250" i="7"/>
  <c r="AA250" i="7"/>
  <c r="X250" i="7"/>
  <c r="W250" i="7"/>
  <c r="U250" i="7"/>
  <c r="R250" i="7"/>
  <c r="N250" i="7"/>
  <c r="O250" i="7" s="1"/>
  <c r="L250" i="7"/>
  <c r="H250" i="7"/>
  <c r="I250" i="7" s="1"/>
  <c r="F250" i="7"/>
  <c r="C250" i="7"/>
  <c r="AC249" i="7"/>
  <c r="AD249" i="7" s="1"/>
  <c r="AA249" i="7"/>
  <c r="X249" i="7"/>
  <c r="W249" i="7"/>
  <c r="U249" i="7"/>
  <c r="R249" i="7"/>
  <c r="N249" i="7"/>
  <c r="O249" i="7" s="1"/>
  <c r="L249" i="7"/>
  <c r="H249" i="7"/>
  <c r="I249" i="7" s="1"/>
  <c r="F249" i="7"/>
  <c r="C249" i="7"/>
  <c r="AD248" i="7"/>
  <c r="AC248" i="7"/>
  <c r="AA248" i="7"/>
  <c r="W248" i="7"/>
  <c r="X248" i="7" s="1"/>
  <c r="U248" i="7"/>
  <c r="R248" i="7"/>
  <c r="N248" i="7"/>
  <c r="O248" i="7" s="1"/>
  <c r="L248" i="7"/>
  <c r="I248" i="7"/>
  <c r="H248" i="7"/>
  <c r="F248" i="7"/>
  <c r="C248" i="7"/>
  <c r="AD247" i="7"/>
  <c r="AC247" i="7"/>
  <c r="AA247" i="7"/>
  <c r="W247" i="7"/>
  <c r="X247" i="7" s="1"/>
  <c r="U247" i="7"/>
  <c r="R247" i="7"/>
  <c r="N247" i="7"/>
  <c r="O247" i="7" s="1"/>
  <c r="L247" i="7"/>
  <c r="I247" i="7"/>
  <c r="H247" i="7"/>
  <c r="F247" i="7"/>
  <c r="C247" i="7"/>
  <c r="AC246" i="7"/>
  <c r="AD246" i="7" s="1"/>
  <c r="AA246" i="7"/>
  <c r="X246" i="7"/>
  <c r="W246" i="7"/>
  <c r="U246" i="7"/>
  <c r="R246" i="7"/>
  <c r="O246" i="7"/>
  <c r="N246" i="7"/>
  <c r="L246" i="7"/>
  <c r="H246" i="7"/>
  <c r="I246" i="7" s="1"/>
  <c r="F246" i="7"/>
  <c r="C246" i="7"/>
  <c r="AC245" i="7"/>
  <c r="AD245" i="7" s="1"/>
  <c r="AA245" i="7"/>
  <c r="W245" i="7"/>
  <c r="X245" i="7" s="1"/>
  <c r="U245" i="7"/>
  <c r="R245" i="7"/>
  <c r="N245" i="7"/>
  <c r="O245" i="7" s="1"/>
  <c r="L245" i="7"/>
  <c r="I245" i="7"/>
  <c r="H245" i="7"/>
  <c r="F245" i="7"/>
  <c r="C245" i="7"/>
  <c r="AD244" i="7"/>
  <c r="AC244" i="7"/>
  <c r="AA244" i="7"/>
  <c r="W244" i="7"/>
  <c r="X244" i="7" s="1"/>
  <c r="U244" i="7"/>
  <c r="R244" i="7"/>
  <c r="N244" i="7"/>
  <c r="O244" i="7" s="1"/>
  <c r="L244" i="7"/>
  <c r="I244" i="7"/>
  <c r="H244" i="7"/>
  <c r="F244" i="7"/>
  <c r="C244" i="7"/>
  <c r="AC243" i="7"/>
  <c r="AD243" i="7" s="1"/>
  <c r="AA243" i="7"/>
  <c r="W243" i="7"/>
  <c r="X243" i="7" s="1"/>
  <c r="U243" i="7"/>
  <c r="R243" i="7"/>
  <c r="O243" i="7"/>
  <c r="N243" i="7"/>
  <c r="L243" i="7"/>
  <c r="I243" i="7"/>
  <c r="H243" i="7"/>
  <c r="F243" i="7"/>
  <c r="C243" i="7"/>
  <c r="AC242" i="7"/>
  <c r="AD242" i="7" s="1"/>
  <c r="AA242" i="7"/>
  <c r="W242" i="7"/>
  <c r="X242" i="7" s="1"/>
  <c r="U242" i="7"/>
  <c r="R242" i="7"/>
  <c r="O242" i="7"/>
  <c r="N242" i="7"/>
  <c r="L242" i="7"/>
  <c r="H242" i="7"/>
  <c r="I242" i="7" s="1"/>
  <c r="F242" i="7"/>
  <c r="C242" i="7"/>
  <c r="AC241" i="7"/>
  <c r="AD241" i="7" s="1"/>
  <c r="AA241" i="7"/>
  <c r="W241" i="7"/>
  <c r="X241" i="7" s="1"/>
  <c r="U241" i="7"/>
  <c r="R241" i="7"/>
  <c r="N241" i="7"/>
  <c r="O241" i="7" s="1"/>
  <c r="L241" i="7"/>
  <c r="I241" i="7"/>
  <c r="H241" i="7"/>
  <c r="F241" i="7"/>
  <c r="C241" i="7"/>
  <c r="AD240" i="7"/>
  <c r="AC240" i="7"/>
  <c r="AA240" i="7"/>
  <c r="W240" i="7"/>
  <c r="X240" i="7" s="1"/>
  <c r="U240" i="7"/>
  <c r="R240" i="7"/>
  <c r="N240" i="7"/>
  <c r="O240" i="7" s="1"/>
  <c r="L240" i="7"/>
  <c r="I240" i="7"/>
  <c r="H240" i="7"/>
  <c r="F240" i="7"/>
  <c r="C240" i="7"/>
  <c r="AD238" i="7"/>
  <c r="AC238" i="7"/>
  <c r="AA238" i="7"/>
  <c r="W238" i="7"/>
  <c r="X238" i="7" s="1"/>
  <c r="U238" i="7"/>
  <c r="R238" i="7"/>
  <c r="N238" i="7"/>
  <c r="O238" i="7" s="1"/>
  <c r="L238" i="7"/>
  <c r="I238" i="7"/>
  <c r="H238" i="7"/>
  <c r="F238" i="7"/>
  <c r="C238" i="7"/>
  <c r="Z236" i="7"/>
  <c r="T236" i="7"/>
  <c r="U236" i="7" s="1"/>
  <c r="R236" i="7"/>
  <c r="Q236" i="7"/>
  <c r="O236" i="7"/>
  <c r="N236" i="7"/>
  <c r="L236" i="7"/>
  <c r="K236" i="7"/>
  <c r="F236" i="7"/>
  <c r="E236" i="7"/>
  <c r="B236" i="7"/>
  <c r="H236" i="7" s="1"/>
  <c r="I236" i="7" s="1"/>
  <c r="AD235" i="7"/>
  <c r="AC235" i="7"/>
  <c r="AA235" i="7"/>
  <c r="X235" i="7"/>
  <c r="W235" i="7"/>
  <c r="U235" i="7"/>
  <c r="R235" i="7"/>
  <c r="N235" i="7"/>
  <c r="O235" i="7" s="1"/>
  <c r="L235" i="7"/>
  <c r="H235" i="7"/>
  <c r="I235" i="7" s="1"/>
  <c r="F235" i="7"/>
  <c r="C235" i="7"/>
  <c r="AC234" i="7"/>
  <c r="AD234" i="7" s="1"/>
  <c r="AA234" i="7"/>
  <c r="W234" i="7"/>
  <c r="X234" i="7" s="1"/>
  <c r="U234" i="7"/>
  <c r="R234" i="7"/>
  <c r="O234" i="7"/>
  <c r="N234" i="7"/>
  <c r="L234" i="7"/>
  <c r="H234" i="7"/>
  <c r="I234" i="7" s="1"/>
  <c r="F234" i="7"/>
  <c r="C234" i="7"/>
  <c r="AD233" i="7"/>
  <c r="AC233" i="7"/>
  <c r="AA233" i="7"/>
  <c r="W233" i="7"/>
  <c r="X233" i="7" s="1"/>
  <c r="U233" i="7"/>
  <c r="R233" i="7"/>
  <c r="N233" i="7"/>
  <c r="O233" i="7" s="1"/>
  <c r="L233" i="7"/>
  <c r="H233" i="7"/>
  <c r="I233" i="7" s="1"/>
  <c r="F233" i="7"/>
  <c r="C233" i="7"/>
  <c r="AC232" i="7"/>
  <c r="AD232" i="7" s="1"/>
  <c r="AA232" i="7"/>
  <c r="X232" i="7"/>
  <c r="W232" i="7"/>
  <c r="U232" i="7"/>
  <c r="R232" i="7"/>
  <c r="N232" i="7"/>
  <c r="O232" i="7" s="1"/>
  <c r="L232" i="7"/>
  <c r="H232" i="7"/>
  <c r="I232" i="7" s="1"/>
  <c r="F232" i="7"/>
  <c r="C232" i="7"/>
  <c r="AD231" i="7"/>
  <c r="AC231" i="7"/>
  <c r="AA231" i="7"/>
  <c r="X231" i="7"/>
  <c r="W231" i="7"/>
  <c r="U231" i="7"/>
  <c r="R231" i="7"/>
  <c r="N231" i="7"/>
  <c r="O231" i="7" s="1"/>
  <c r="L231" i="7"/>
  <c r="I231" i="7"/>
  <c r="H231" i="7"/>
  <c r="F231" i="7"/>
  <c r="C231" i="7"/>
  <c r="AC230" i="7"/>
  <c r="AD230" i="7" s="1"/>
  <c r="AA230" i="7"/>
  <c r="W230" i="7"/>
  <c r="X230" i="7" s="1"/>
  <c r="U230" i="7"/>
  <c r="R230" i="7"/>
  <c r="O230" i="7"/>
  <c r="N230" i="7"/>
  <c r="L230" i="7"/>
  <c r="H230" i="7"/>
  <c r="I230" i="7" s="1"/>
  <c r="F230" i="7"/>
  <c r="C230" i="7"/>
  <c r="AD229" i="7"/>
  <c r="AC229" i="7"/>
  <c r="AA229" i="7"/>
  <c r="W229" i="7"/>
  <c r="X229" i="7" s="1"/>
  <c r="U229" i="7"/>
  <c r="R229" i="7"/>
  <c r="N229" i="7"/>
  <c r="O229" i="7" s="1"/>
  <c r="L229" i="7"/>
  <c r="H229" i="7"/>
  <c r="I229" i="7" s="1"/>
  <c r="F229" i="7"/>
  <c r="C229" i="7"/>
  <c r="Z227" i="7"/>
  <c r="U227" i="7"/>
  <c r="T227" i="7"/>
  <c r="Q227" i="7"/>
  <c r="N227" i="7"/>
  <c r="O227" i="7" s="1"/>
  <c r="K227" i="7"/>
  <c r="L227" i="7" s="1"/>
  <c r="E227" i="7"/>
  <c r="F227" i="7" s="1"/>
  <c r="C227" i="7"/>
  <c r="B227" i="7"/>
  <c r="H227" i="7" s="1"/>
  <c r="I227" i="7" s="1"/>
  <c r="AC226" i="7"/>
  <c r="AD226" i="7" s="1"/>
  <c r="AA226" i="7"/>
  <c r="W226" i="7"/>
  <c r="X226" i="7" s="1"/>
  <c r="U226" i="7"/>
  <c r="R226" i="7"/>
  <c r="O226" i="7"/>
  <c r="N226" i="7"/>
  <c r="L226" i="7"/>
  <c r="I226" i="7"/>
  <c r="H226" i="7"/>
  <c r="F226" i="7"/>
  <c r="C226" i="7"/>
  <c r="AC225" i="7"/>
  <c r="AD225" i="7" s="1"/>
  <c r="AA225" i="7"/>
  <c r="X225" i="7"/>
  <c r="W225" i="7"/>
  <c r="U225" i="7"/>
  <c r="R225" i="7"/>
  <c r="N225" i="7"/>
  <c r="O225" i="7" s="1"/>
  <c r="L225" i="7"/>
  <c r="H225" i="7"/>
  <c r="I225" i="7" s="1"/>
  <c r="F225" i="7"/>
  <c r="C225" i="7"/>
  <c r="AC224" i="7"/>
  <c r="AD224" i="7" s="1"/>
  <c r="AA224" i="7"/>
  <c r="X224" i="7"/>
  <c r="W224" i="7"/>
  <c r="U224" i="7"/>
  <c r="R224" i="7"/>
  <c r="O224" i="7"/>
  <c r="N224" i="7"/>
  <c r="L224" i="7"/>
  <c r="H224" i="7"/>
  <c r="I224" i="7" s="1"/>
  <c r="F224" i="7"/>
  <c r="C224" i="7"/>
  <c r="AC223" i="7"/>
  <c r="AD223" i="7" s="1"/>
  <c r="AA223" i="7"/>
  <c r="X223" i="7"/>
  <c r="W223" i="7"/>
  <c r="U223" i="7"/>
  <c r="R223" i="7"/>
  <c r="N223" i="7"/>
  <c r="O223" i="7" s="1"/>
  <c r="L223" i="7"/>
  <c r="H223" i="7"/>
  <c r="I223" i="7" s="1"/>
  <c r="F223" i="7"/>
  <c r="C223" i="7"/>
  <c r="AC222" i="7"/>
  <c r="AD222" i="7" s="1"/>
  <c r="AA222" i="7"/>
  <c r="W222" i="7"/>
  <c r="X222" i="7" s="1"/>
  <c r="U222" i="7"/>
  <c r="R222" i="7"/>
  <c r="O222" i="7"/>
  <c r="N222" i="7"/>
  <c r="L222" i="7"/>
  <c r="H222" i="7"/>
  <c r="I222" i="7" s="1"/>
  <c r="F222" i="7"/>
  <c r="C222" i="7"/>
  <c r="AD221" i="7"/>
  <c r="AC221" i="7"/>
  <c r="AA221" i="7"/>
  <c r="W221" i="7"/>
  <c r="X221" i="7" s="1"/>
  <c r="U221" i="7"/>
  <c r="R221" i="7"/>
  <c r="N221" i="7"/>
  <c r="O221" i="7" s="1"/>
  <c r="L221" i="7"/>
  <c r="H221" i="7"/>
  <c r="I221" i="7" s="1"/>
  <c r="F221" i="7"/>
  <c r="C221" i="7"/>
  <c r="AC220" i="7"/>
  <c r="AD220" i="7" s="1"/>
  <c r="AA220" i="7"/>
  <c r="X220" i="7"/>
  <c r="W220" i="7"/>
  <c r="U220" i="7"/>
  <c r="R220" i="7"/>
  <c r="N220" i="7"/>
  <c r="O220" i="7" s="1"/>
  <c r="L220" i="7"/>
  <c r="H220" i="7"/>
  <c r="I220" i="7" s="1"/>
  <c r="F220" i="7"/>
  <c r="C220" i="7"/>
  <c r="AD219" i="7"/>
  <c r="AC219" i="7"/>
  <c r="AA219" i="7"/>
  <c r="X219" i="7"/>
  <c r="W219" i="7"/>
  <c r="U219" i="7"/>
  <c r="R219" i="7"/>
  <c r="N219" i="7"/>
  <c r="O219" i="7" s="1"/>
  <c r="L219" i="7"/>
  <c r="I219" i="7"/>
  <c r="H219" i="7"/>
  <c r="F219" i="7"/>
  <c r="C219" i="7"/>
  <c r="Z218" i="7"/>
  <c r="AA218" i="7" s="1"/>
  <c r="X218" i="7"/>
  <c r="W218" i="7"/>
  <c r="U218" i="7"/>
  <c r="T218" i="7"/>
  <c r="Q218" i="7"/>
  <c r="R218" i="7" s="1"/>
  <c r="K218" i="7"/>
  <c r="N218" i="7" s="1"/>
  <c r="O218" i="7" s="1"/>
  <c r="I218" i="7"/>
  <c r="H218" i="7"/>
  <c r="E218" i="7"/>
  <c r="F218" i="7" s="1"/>
  <c r="C218" i="7"/>
  <c r="B218" i="7"/>
  <c r="AC217" i="7"/>
  <c r="AD217" i="7" s="1"/>
  <c r="AA217" i="7"/>
  <c r="X217" i="7"/>
  <c r="W217" i="7"/>
  <c r="U217" i="7"/>
  <c r="R217" i="7"/>
  <c r="N217" i="7"/>
  <c r="O217" i="7" s="1"/>
  <c r="L217" i="7"/>
  <c r="H217" i="7"/>
  <c r="I217" i="7" s="1"/>
  <c r="F217" i="7"/>
  <c r="C217" i="7"/>
  <c r="AD216" i="7"/>
  <c r="AC216" i="7"/>
  <c r="AA216" i="7"/>
  <c r="X216" i="7"/>
  <c r="W216" i="7"/>
  <c r="U216" i="7"/>
  <c r="R216" i="7"/>
  <c r="N216" i="7"/>
  <c r="O216" i="7" s="1"/>
  <c r="L216" i="7"/>
  <c r="H216" i="7"/>
  <c r="I216" i="7" s="1"/>
  <c r="F216" i="7"/>
  <c r="C216" i="7"/>
  <c r="AC215" i="7"/>
  <c r="AD215" i="7" s="1"/>
  <c r="AA215" i="7"/>
  <c r="X215" i="7"/>
  <c r="W215" i="7"/>
  <c r="U215" i="7"/>
  <c r="R215" i="7"/>
  <c r="O215" i="7"/>
  <c r="N215" i="7"/>
  <c r="L215" i="7"/>
  <c r="H215" i="7"/>
  <c r="I215" i="7" s="1"/>
  <c r="F215" i="7"/>
  <c r="C215" i="7"/>
  <c r="AD214" i="7"/>
  <c r="AC214" i="7"/>
  <c r="AA214" i="7"/>
  <c r="X214" i="7"/>
  <c r="W214" i="7"/>
  <c r="U214" i="7"/>
  <c r="R214" i="7"/>
  <c r="N214" i="7"/>
  <c r="O214" i="7" s="1"/>
  <c r="L214" i="7"/>
  <c r="H214" i="7"/>
  <c r="I214" i="7" s="1"/>
  <c r="F214" i="7"/>
  <c r="C214" i="7"/>
  <c r="AD213" i="7"/>
  <c r="AC213" i="7"/>
  <c r="AA213" i="7"/>
  <c r="X213" i="7"/>
  <c r="W213" i="7"/>
  <c r="U213" i="7"/>
  <c r="R213" i="7"/>
  <c r="N213" i="7"/>
  <c r="O213" i="7" s="1"/>
  <c r="L213" i="7"/>
  <c r="H213" i="7"/>
  <c r="I213" i="7" s="1"/>
  <c r="F213" i="7"/>
  <c r="C213" i="7"/>
  <c r="AD211" i="7"/>
  <c r="AC211" i="7"/>
  <c r="AA211" i="7"/>
  <c r="W211" i="7"/>
  <c r="X211" i="7" s="1"/>
  <c r="U211" i="7"/>
  <c r="R211" i="7"/>
  <c r="N211" i="7"/>
  <c r="O211" i="7" s="1"/>
  <c r="L211" i="7"/>
  <c r="I211" i="7"/>
  <c r="H211" i="7"/>
  <c r="F211" i="7"/>
  <c r="C211" i="7"/>
  <c r="Z209" i="7"/>
  <c r="AA209" i="7" s="1"/>
  <c r="T209" i="7"/>
  <c r="U209" i="7" s="1"/>
  <c r="Q209" i="7"/>
  <c r="L209" i="7"/>
  <c r="K209" i="7"/>
  <c r="E209" i="7"/>
  <c r="F209" i="7" s="1"/>
  <c r="C209" i="7"/>
  <c r="B209" i="7"/>
  <c r="H209" i="7" s="1"/>
  <c r="I209" i="7" s="1"/>
  <c r="AC208" i="7"/>
  <c r="AD208" i="7" s="1"/>
  <c r="AA208" i="7"/>
  <c r="X208" i="7"/>
  <c r="W208" i="7"/>
  <c r="U208" i="7"/>
  <c r="R208" i="7"/>
  <c r="O208" i="7"/>
  <c r="N208" i="7"/>
  <c r="L208" i="7"/>
  <c r="H208" i="7"/>
  <c r="I208" i="7" s="1"/>
  <c r="F208" i="7"/>
  <c r="C208" i="7"/>
  <c r="AC207" i="7"/>
  <c r="AD207" i="7" s="1"/>
  <c r="AA207" i="7"/>
  <c r="X207" i="7"/>
  <c r="W207" i="7"/>
  <c r="U207" i="7"/>
  <c r="R207" i="7"/>
  <c r="N207" i="7"/>
  <c r="O207" i="7" s="1"/>
  <c r="L207" i="7"/>
  <c r="I207" i="7"/>
  <c r="H207" i="7"/>
  <c r="F207" i="7"/>
  <c r="C207" i="7"/>
  <c r="AC206" i="7"/>
  <c r="AD206" i="7" s="1"/>
  <c r="AA206" i="7"/>
  <c r="W206" i="7"/>
  <c r="X206" i="7" s="1"/>
  <c r="U206" i="7"/>
  <c r="R206" i="7"/>
  <c r="O206" i="7"/>
  <c r="N206" i="7"/>
  <c r="L206" i="7"/>
  <c r="H206" i="7"/>
  <c r="I206" i="7" s="1"/>
  <c r="F206" i="7"/>
  <c r="C206" i="7"/>
  <c r="AD205" i="7"/>
  <c r="AC205" i="7"/>
  <c r="AA205" i="7"/>
  <c r="W205" i="7"/>
  <c r="X205" i="7" s="1"/>
  <c r="U205" i="7"/>
  <c r="R205" i="7"/>
  <c r="N205" i="7"/>
  <c r="O205" i="7" s="1"/>
  <c r="L205" i="7"/>
  <c r="H205" i="7"/>
  <c r="I205" i="7" s="1"/>
  <c r="F205" i="7"/>
  <c r="C205" i="7"/>
  <c r="AD204" i="7"/>
  <c r="AC204" i="7"/>
  <c r="AA204" i="7"/>
  <c r="X204" i="7"/>
  <c r="W204" i="7"/>
  <c r="U204" i="7"/>
  <c r="R204" i="7"/>
  <c r="N204" i="7"/>
  <c r="O204" i="7" s="1"/>
  <c r="L204" i="7"/>
  <c r="H204" i="7"/>
  <c r="I204" i="7" s="1"/>
  <c r="F204" i="7"/>
  <c r="C204" i="7"/>
  <c r="AC203" i="7"/>
  <c r="AD203" i="7" s="1"/>
  <c r="AA203" i="7"/>
  <c r="X203" i="7"/>
  <c r="W203" i="7"/>
  <c r="U203" i="7"/>
  <c r="R203" i="7"/>
  <c r="O203" i="7"/>
  <c r="N203" i="7"/>
  <c r="L203" i="7"/>
  <c r="H203" i="7"/>
  <c r="I203" i="7" s="1"/>
  <c r="F203" i="7"/>
  <c r="C203" i="7"/>
  <c r="AC202" i="7"/>
  <c r="AD202" i="7" s="1"/>
  <c r="AA202" i="7"/>
  <c r="W202" i="7"/>
  <c r="X202" i="7" s="1"/>
  <c r="U202" i="7"/>
  <c r="R202" i="7"/>
  <c r="O202" i="7"/>
  <c r="N202" i="7"/>
  <c r="L202" i="7"/>
  <c r="I202" i="7"/>
  <c r="H202" i="7"/>
  <c r="F202" i="7"/>
  <c r="C202" i="7"/>
  <c r="AC201" i="7"/>
  <c r="AD201" i="7" s="1"/>
  <c r="AA201" i="7"/>
  <c r="W201" i="7"/>
  <c r="X201" i="7" s="1"/>
  <c r="U201" i="7"/>
  <c r="R201" i="7"/>
  <c r="O201" i="7"/>
  <c r="N201" i="7"/>
  <c r="L201" i="7"/>
  <c r="H201" i="7"/>
  <c r="I201" i="7" s="1"/>
  <c r="F201" i="7"/>
  <c r="C201" i="7"/>
  <c r="Z197" i="7"/>
  <c r="AC197" i="7" s="1"/>
  <c r="AD197" i="7" s="1"/>
  <c r="U197" i="7"/>
  <c r="T197" i="7"/>
  <c r="Q197" i="7"/>
  <c r="R197" i="7" s="1"/>
  <c r="K197" i="7"/>
  <c r="L197" i="7" s="1"/>
  <c r="E197" i="7"/>
  <c r="F197" i="7" s="1"/>
  <c r="B197" i="7"/>
  <c r="AA196" i="7"/>
  <c r="Z196" i="7"/>
  <c r="T196" i="7"/>
  <c r="U196" i="7" s="1"/>
  <c r="R196" i="7"/>
  <c r="Q196" i="7"/>
  <c r="W196" i="7" s="1"/>
  <c r="X196" i="7" s="1"/>
  <c r="N196" i="7"/>
  <c r="O196" i="7" s="1"/>
  <c r="K196" i="7"/>
  <c r="L196" i="7" s="1"/>
  <c r="E196" i="7"/>
  <c r="F196" i="7" s="1"/>
  <c r="B196" i="7"/>
  <c r="H196" i="7" s="1"/>
  <c r="I196" i="7" s="1"/>
  <c r="AC195" i="7"/>
  <c r="AD195" i="7" s="1"/>
  <c r="AA195" i="7"/>
  <c r="X195" i="7"/>
  <c r="W195" i="7"/>
  <c r="U195" i="7"/>
  <c r="R195" i="7"/>
  <c r="O195" i="7"/>
  <c r="N195" i="7"/>
  <c r="L195" i="7"/>
  <c r="H195" i="7"/>
  <c r="I195" i="7" s="1"/>
  <c r="F195" i="7"/>
  <c r="C195" i="7"/>
  <c r="AD194" i="7"/>
  <c r="AC194" i="7"/>
  <c r="AA194" i="7"/>
  <c r="X194" i="7"/>
  <c r="W194" i="7"/>
  <c r="U194" i="7"/>
  <c r="R194" i="7"/>
  <c r="N194" i="7"/>
  <c r="O194" i="7" s="1"/>
  <c r="L194" i="7"/>
  <c r="H194" i="7"/>
  <c r="I194" i="7" s="1"/>
  <c r="F194" i="7"/>
  <c r="C194" i="7"/>
  <c r="Z193" i="7"/>
  <c r="AA193" i="7" s="1"/>
  <c r="T193" i="7"/>
  <c r="Q193" i="7"/>
  <c r="R193" i="7" s="1"/>
  <c r="K193" i="7"/>
  <c r="H193" i="7"/>
  <c r="I193" i="7" s="1"/>
  <c r="F193" i="7"/>
  <c r="E193" i="7"/>
  <c r="C193" i="7"/>
  <c r="B193" i="7"/>
  <c r="AC192" i="7"/>
  <c r="AD192" i="7" s="1"/>
  <c r="AA192" i="7"/>
  <c r="W192" i="7"/>
  <c r="X192" i="7" s="1"/>
  <c r="U192" i="7"/>
  <c r="R192" i="7"/>
  <c r="O192" i="7"/>
  <c r="N192" i="7"/>
  <c r="L192" i="7"/>
  <c r="I192" i="7"/>
  <c r="H192" i="7"/>
  <c r="F192" i="7"/>
  <c r="C192" i="7"/>
  <c r="AC191" i="7"/>
  <c r="AD191" i="7" s="1"/>
  <c r="AA191" i="7"/>
  <c r="W191" i="7"/>
  <c r="X191" i="7" s="1"/>
  <c r="U191" i="7"/>
  <c r="R191" i="7"/>
  <c r="O191" i="7"/>
  <c r="N191" i="7"/>
  <c r="L191" i="7"/>
  <c r="H191" i="7"/>
  <c r="I191" i="7" s="1"/>
  <c r="F191" i="7"/>
  <c r="C191" i="7"/>
  <c r="AC190" i="7"/>
  <c r="AD190" i="7" s="1"/>
  <c r="AA190" i="7"/>
  <c r="X190" i="7"/>
  <c r="W190" i="7"/>
  <c r="U190" i="7"/>
  <c r="R190" i="7"/>
  <c r="O190" i="7"/>
  <c r="N190" i="7"/>
  <c r="L190" i="7"/>
  <c r="I190" i="7"/>
  <c r="H190" i="7"/>
  <c r="F190" i="7"/>
  <c r="C190" i="7"/>
  <c r="AC189" i="7"/>
  <c r="AD189" i="7" s="1"/>
  <c r="AA189" i="7"/>
  <c r="W189" i="7"/>
  <c r="X189" i="7" s="1"/>
  <c r="U189" i="7"/>
  <c r="R189" i="7"/>
  <c r="N189" i="7"/>
  <c r="O189" i="7" s="1"/>
  <c r="L189" i="7"/>
  <c r="H189" i="7"/>
  <c r="I189" i="7" s="1"/>
  <c r="F189" i="7"/>
  <c r="C189" i="7"/>
  <c r="AC188" i="7"/>
  <c r="AD188" i="7" s="1"/>
  <c r="AA188" i="7"/>
  <c r="W188" i="7"/>
  <c r="X188" i="7" s="1"/>
  <c r="U188" i="7"/>
  <c r="R188" i="7"/>
  <c r="O188" i="7"/>
  <c r="N188" i="7"/>
  <c r="L188" i="7"/>
  <c r="H188" i="7"/>
  <c r="I188" i="7" s="1"/>
  <c r="F188" i="7"/>
  <c r="C188" i="7"/>
  <c r="AD187" i="7"/>
  <c r="AC187" i="7"/>
  <c r="AA187" i="7"/>
  <c r="X187" i="7"/>
  <c r="W187" i="7"/>
  <c r="U187" i="7"/>
  <c r="R187" i="7"/>
  <c r="O187" i="7"/>
  <c r="N187" i="7"/>
  <c r="L187" i="7"/>
  <c r="H187" i="7"/>
  <c r="I187" i="7" s="1"/>
  <c r="F187" i="7"/>
  <c r="C187" i="7"/>
  <c r="AC186" i="7"/>
  <c r="AD186" i="7" s="1"/>
  <c r="AA186" i="7"/>
  <c r="X186" i="7"/>
  <c r="W186" i="7"/>
  <c r="U186" i="7"/>
  <c r="R186" i="7"/>
  <c r="N186" i="7"/>
  <c r="O186" i="7" s="1"/>
  <c r="L186" i="7"/>
  <c r="H186" i="7"/>
  <c r="I186" i="7" s="1"/>
  <c r="F186" i="7"/>
  <c r="C186" i="7"/>
  <c r="AC184" i="7"/>
  <c r="AD184" i="7" s="1"/>
  <c r="AA184" i="7"/>
  <c r="W184" i="7"/>
  <c r="X184" i="7" s="1"/>
  <c r="U184" i="7"/>
  <c r="R184" i="7"/>
  <c r="O184" i="7"/>
  <c r="N184" i="7"/>
  <c r="L184" i="7"/>
  <c r="H184" i="7"/>
  <c r="I184" i="7" s="1"/>
  <c r="F184" i="7"/>
  <c r="C184" i="7"/>
  <c r="AC183" i="7"/>
  <c r="AD183" i="7" s="1"/>
  <c r="AA183" i="7"/>
  <c r="W183" i="7"/>
  <c r="X183" i="7" s="1"/>
  <c r="U183" i="7"/>
  <c r="R183" i="7"/>
  <c r="O183" i="7"/>
  <c r="N183" i="7"/>
  <c r="L183" i="7"/>
  <c r="H183" i="7"/>
  <c r="I183" i="7" s="1"/>
  <c r="F183" i="7"/>
  <c r="C183" i="7"/>
  <c r="Z182" i="7"/>
  <c r="AA182" i="7" s="1"/>
  <c r="T182" i="7"/>
  <c r="U182" i="7" s="1"/>
  <c r="R182" i="7"/>
  <c r="Q182" i="7"/>
  <c r="W182" i="7" s="1"/>
  <c r="X182" i="7" s="1"/>
  <c r="K182" i="7"/>
  <c r="L182" i="7" s="1"/>
  <c r="E182" i="7"/>
  <c r="H182" i="7" s="1"/>
  <c r="I182" i="7" s="1"/>
  <c r="B182" i="7"/>
  <c r="C182" i="7" s="1"/>
  <c r="AC181" i="7"/>
  <c r="AD181" i="7" s="1"/>
  <c r="AA181" i="7"/>
  <c r="W181" i="7"/>
  <c r="X181" i="7" s="1"/>
  <c r="U181" i="7"/>
  <c r="R181" i="7"/>
  <c r="O181" i="7"/>
  <c r="N181" i="7"/>
  <c r="L181" i="7"/>
  <c r="I181" i="7"/>
  <c r="H181" i="7"/>
  <c r="F181" i="7"/>
  <c r="C181" i="7"/>
  <c r="AC180" i="7"/>
  <c r="AD180" i="7" s="1"/>
  <c r="AA180" i="7"/>
  <c r="W180" i="7"/>
  <c r="X180" i="7" s="1"/>
  <c r="U180" i="7"/>
  <c r="R180" i="7"/>
  <c r="O180" i="7"/>
  <c r="N180" i="7"/>
  <c r="L180" i="7"/>
  <c r="H180" i="7"/>
  <c r="I180" i="7" s="1"/>
  <c r="F180" i="7"/>
  <c r="C180" i="7"/>
  <c r="AD179" i="7"/>
  <c r="AC179" i="7"/>
  <c r="AA179" i="7"/>
  <c r="X179" i="7"/>
  <c r="W179" i="7"/>
  <c r="U179" i="7"/>
  <c r="R179" i="7"/>
  <c r="N179" i="7"/>
  <c r="O179" i="7" s="1"/>
  <c r="L179" i="7"/>
  <c r="H179" i="7"/>
  <c r="I179" i="7" s="1"/>
  <c r="F179" i="7"/>
  <c r="C179" i="7"/>
  <c r="AC178" i="7"/>
  <c r="AD178" i="7" s="1"/>
  <c r="AA178" i="7"/>
  <c r="X178" i="7"/>
  <c r="W178" i="7"/>
  <c r="U178" i="7"/>
  <c r="R178" i="7"/>
  <c r="N178" i="7"/>
  <c r="O178" i="7" s="1"/>
  <c r="L178" i="7"/>
  <c r="H178" i="7"/>
  <c r="I178" i="7" s="1"/>
  <c r="F178" i="7"/>
  <c r="C178" i="7"/>
  <c r="AC177" i="7"/>
  <c r="AD177" i="7" s="1"/>
  <c r="AA177" i="7"/>
  <c r="W177" i="7"/>
  <c r="X177" i="7" s="1"/>
  <c r="U177" i="7"/>
  <c r="R177" i="7"/>
  <c r="O177" i="7"/>
  <c r="N177" i="7"/>
  <c r="L177" i="7"/>
  <c r="I177" i="7"/>
  <c r="H177" i="7"/>
  <c r="F177" i="7"/>
  <c r="C177" i="7"/>
  <c r="AC175" i="7"/>
  <c r="AD175" i="7" s="1"/>
  <c r="AA175" i="7"/>
  <c r="W175" i="7"/>
  <c r="X175" i="7" s="1"/>
  <c r="U175" i="7"/>
  <c r="R175" i="7"/>
  <c r="O175" i="7"/>
  <c r="N175" i="7"/>
  <c r="L175" i="7"/>
  <c r="H175" i="7"/>
  <c r="I175" i="7" s="1"/>
  <c r="F175" i="7"/>
  <c r="C175" i="7"/>
  <c r="E172" i="7"/>
  <c r="Z171" i="7"/>
  <c r="AA171" i="7" s="1"/>
  <c r="W171" i="7"/>
  <c r="X171" i="7" s="1"/>
  <c r="T171" i="7"/>
  <c r="U171" i="7" s="1"/>
  <c r="Q171" i="7"/>
  <c r="R171" i="7" s="1"/>
  <c r="N171" i="7"/>
  <c r="O171" i="7" s="1"/>
  <c r="K171" i="7"/>
  <c r="L171" i="7" s="1"/>
  <c r="E171" i="7"/>
  <c r="F171" i="7" s="1"/>
  <c r="B171" i="7"/>
  <c r="H171" i="7" s="1"/>
  <c r="I171" i="7" s="1"/>
  <c r="Z170" i="7"/>
  <c r="AA170" i="7" s="1"/>
  <c r="T170" i="7"/>
  <c r="U170" i="7" s="1"/>
  <c r="Q170" i="7"/>
  <c r="W170" i="7" s="1"/>
  <c r="X170" i="7" s="1"/>
  <c r="K170" i="7"/>
  <c r="L170" i="7" s="1"/>
  <c r="I170" i="7"/>
  <c r="H170" i="7"/>
  <c r="F170" i="7"/>
  <c r="E170" i="7"/>
  <c r="B170" i="7"/>
  <c r="C170" i="7" s="1"/>
  <c r="AC169" i="7"/>
  <c r="AD169" i="7" s="1"/>
  <c r="AA169" i="7"/>
  <c r="X169" i="7"/>
  <c r="W169" i="7"/>
  <c r="U169" i="7"/>
  <c r="R169" i="7"/>
  <c r="O169" i="7"/>
  <c r="N169" i="7"/>
  <c r="L169" i="7"/>
  <c r="H169" i="7"/>
  <c r="I169" i="7" s="1"/>
  <c r="F169" i="7"/>
  <c r="C169" i="7"/>
  <c r="AC168" i="7"/>
  <c r="AD168" i="7" s="1"/>
  <c r="AA168" i="7"/>
  <c r="W168" i="7"/>
  <c r="X168" i="7" s="1"/>
  <c r="U168" i="7"/>
  <c r="R168" i="7"/>
  <c r="O168" i="7"/>
  <c r="N168" i="7"/>
  <c r="L168" i="7"/>
  <c r="H168" i="7"/>
  <c r="I168" i="7" s="1"/>
  <c r="F168" i="7"/>
  <c r="C168" i="7"/>
  <c r="AC167" i="7"/>
  <c r="AD167" i="7" s="1"/>
  <c r="AA167" i="7"/>
  <c r="X167" i="7"/>
  <c r="W167" i="7"/>
  <c r="U167" i="7"/>
  <c r="R167" i="7"/>
  <c r="O167" i="7"/>
  <c r="N167" i="7"/>
  <c r="L167" i="7"/>
  <c r="H167" i="7"/>
  <c r="I167" i="7" s="1"/>
  <c r="F167" i="7"/>
  <c r="C167" i="7"/>
  <c r="AA166" i="7"/>
  <c r="Z166" i="7"/>
  <c r="T166" i="7"/>
  <c r="U166" i="7" s="1"/>
  <c r="R166" i="7"/>
  <c r="Q166" i="7"/>
  <c r="W166" i="7" s="1"/>
  <c r="X166" i="7" s="1"/>
  <c r="N166" i="7"/>
  <c r="O166" i="7" s="1"/>
  <c r="K166" i="7"/>
  <c r="L166" i="7" s="1"/>
  <c r="F166" i="7"/>
  <c r="E166" i="7"/>
  <c r="B166" i="7"/>
  <c r="H166" i="7" s="1"/>
  <c r="I166" i="7" s="1"/>
  <c r="AC165" i="7"/>
  <c r="AD165" i="7" s="1"/>
  <c r="AA165" i="7"/>
  <c r="W165" i="7"/>
  <c r="X165" i="7" s="1"/>
  <c r="U165" i="7"/>
  <c r="R165" i="7"/>
  <c r="O165" i="7"/>
  <c r="N165" i="7"/>
  <c r="L165" i="7"/>
  <c r="H165" i="7"/>
  <c r="I165" i="7" s="1"/>
  <c r="F165" i="7"/>
  <c r="C165" i="7"/>
  <c r="AC164" i="7"/>
  <c r="AD164" i="7" s="1"/>
  <c r="AA164" i="7"/>
  <c r="X164" i="7"/>
  <c r="W164" i="7"/>
  <c r="U164" i="7"/>
  <c r="R164" i="7"/>
  <c r="O164" i="7"/>
  <c r="N164" i="7"/>
  <c r="L164" i="7"/>
  <c r="H164" i="7"/>
  <c r="I164" i="7" s="1"/>
  <c r="F164" i="7"/>
  <c r="C164" i="7"/>
  <c r="AD163" i="7"/>
  <c r="AC163" i="7"/>
  <c r="AA163" i="7"/>
  <c r="X163" i="7"/>
  <c r="W163" i="7"/>
  <c r="U163" i="7"/>
  <c r="R163" i="7"/>
  <c r="N163" i="7"/>
  <c r="O163" i="7" s="1"/>
  <c r="L163" i="7"/>
  <c r="H163" i="7"/>
  <c r="I163" i="7" s="1"/>
  <c r="F163" i="7"/>
  <c r="C163" i="7"/>
  <c r="AC162" i="7"/>
  <c r="AD162" i="7" s="1"/>
  <c r="AA162" i="7"/>
  <c r="X162" i="7"/>
  <c r="W162" i="7"/>
  <c r="U162" i="7"/>
  <c r="R162" i="7"/>
  <c r="O162" i="7"/>
  <c r="N162" i="7"/>
  <c r="L162" i="7"/>
  <c r="H162" i="7"/>
  <c r="I162" i="7" s="1"/>
  <c r="F162" i="7"/>
  <c r="C162" i="7"/>
  <c r="AC161" i="7"/>
  <c r="AD161" i="7" s="1"/>
  <c r="AA161" i="7"/>
  <c r="W161" i="7"/>
  <c r="X161" i="7" s="1"/>
  <c r="U161" i="7"/>
  <c r="R161" i="7"/>
  <c r="O161" i="7"/>
  <c r="N161" i="7"/>
  <c r="L161" i="7"/>
  <c r="H161" i="7"/>
  <c r="I161" i="7" s="1"/>
  <c r="F161" i="7"/>
  <c r="C161" i="7"/>
  <c r="AC160" i="7"/>
  <c r="AD160" i="7" s="1"/>
  <c r="AA160" i="7"/>
  <c r="X160" i="7"/>
  <c r="W160" i="7"/>
  <c r="U160" i="7"/>
  <c r="R160" i="7"/>
  <c r="O160" i="7"/>
  <c r="N160" i="7"/>
  <c r="L160" i="7"/>
  <c r="H160" i="7"/>
  <c r="I160" i="7" s="1"/>
  <c r="F160" i="7"/>
  <c r="C160" i="7"/>
  <c r="AA158" i="7"/>
  <c r="Z158" i="7"/>
  <c r="T158" i="7"/>
  <c r="U158" i="7" s="1"/>
  <c r="R158" i="7"/>
  <c r="Q158" i="7"/>
  <c r="AC158" i="7" s="1"/>
  <c r="AD158" i="7" s="1"/>
  <c r="K158" i="7"/>
  <c r="L158" i="7" s="1"/>
  <c r="E158" i="7"/>
  <c r="F158" i="7" s="1"/>
  <c r="C158" i="7"/>
  <c r="B158" i="7"/>
  <c r="N158" i="7" s="1"/>
  <c r="O158" i="7" s="1"/>
  <c r="AC157" i="7"/>
  <c r="AD157" i="7" s="1"/>
  <c r="AA157" i="7"/>
  <c r="X157" i="7"/>
  <c r="W157" i="7"/>
  <c r="U157" i="7"/>
  <c r="R157" i="7"/>
  <c r="O157" i="7"/>
  <c r="N157" i="7"/>
  <c r="L157" i="7"/>
  <c r="H157" i="7"/>
  <c r="I157" i="7" s="1"/>
  <c r="F157" i="7"/>
  <c r="C157" i="7"/>
  <c r="AC156" i="7"/>
  <c r="AD156" i="7" s="1"/>
  <c r="AA156" i="7"/>
  <c r="X156" i="7"/>
  <c r="W156" i="7"/>
  <c r="U156" i="7"/>
  <c r="R156" i="7"/>
  <c r="N156" i="7"/>
  <c r="O156" i="7" s="1"/>
  <c r="L156" i="7"/>
  <c r="H156" i="7"/>
  <c r="I156" i="7" s="1"/>
  <c r="F156" i="7"/>
  <c r="C156" i="7"/>
  <c r="AC155" i="7"/>
  <c r="AD155" i="7" s="1"/>
  <c r="AA155" i="7"/>
  <c r="X155" i="7"/>
  <c r="W155" i="7"/>
  <c r="U155" i="7"/>
  <c r="R155" i="7"/>
  <c r="O155" i="7"/>
  <c r="N155" i="7"/>
  <c r="L155" i="7"/>
  <c r="H155" i="7"/>
  <c r="I155" i="7" s="1"/>
  <c r="F155" i="7"/>
  <c r="C155" i="7"/>
  <c r="AC154" i="7"/>
  <c r="AD154" i="7" s="1"/>
  <c r="AA154" i="7"/>
  <c r="W154" i="7"/>
  <c r="X154" i="7" s="1"/>
  <c r="U154" i="7"/>
  <c r="R154" i="7"/>
  <c r="O154" i="7"/>
  <c r="N154" i="7"/>
  <c r="L154" i="7"/>
  <c r="I154" i="7"/>
  <c r="H154" i="7"/>
  <c r="F154" i="7"/>
  <c r="C154" i="7"/>
  <c r="AC153" i="7"/>
  <c r="AD153" i="7" s="1"/>
  <c r="AA153" i="7"/>
  <c r="X153" i="7"/>
  <c r="W153" i="7"/>
  <c r="U153" i="7"/>
  <c r="R153" i="7"/>
  <c r="O153" i="7"/>
  <c r="N153" i="7"/>
  <c r="L153" i="7"/>
  <c r="H153" i="7"/>
  <c r="I153" i="7" s="1"/>
  <c r="F153" i="7"/>
  <c r="C153" i="7"/>
  <c r="AD151" i="7"/>
  <c r="AC151" i="7"/>
  <c r="AA151" i="7"/>
  <c r="X151" i="7"/>
  <c r="W151" i="7"/>
  <c r="U151" i="7"/>
  <c r="R151" i="7"/>
  <c r="N151" i="7"/>
  <c r="O151" i="7" s="1"/>
  <c r="L151" i="7"/>
  <c r="H151" i="7"/>
  <c r="I151" i="7" s="1"/>
  <c r="F151" i="7"/>
  <c r="C151" i="7"/>
  <c r="Z149" i="7"/>
  <c r="AA149" i="7" s="1"/>
  <c r="T149" i="7"/>
  <c r="U149" i="7" s="1"/>
  <c r="Q149" i="7"/>
  <c r="W149" i="7" s="1"/>
  <c r="X149" i="7" s="1"/>
  <c r="K149" i="7"/>
  <c r="L149" i="7" s="1"/>
  <c r="H149" i="7"/>
  <c r="I149" i="7" s="1"/>
  <c r="E149" i="7"/>
  <c r="F149" i="7" s="1"/>
  <c r="B149" i="7"/>
  <c r="C149" i="7" s="1"/>
  <c r="AC148" i="7"/>
  <c r="AD148" i="7" s="1"/>
  <c r="Z148" i="7"/>
  <c r="AA148" i="7" s="1"/>
  <c r="W148" i="7"/>
  <c r="X148" i="7" s="1"/>
  <c r="T148" i="7"/>
  <c r="U148" i="7" s="1"/>
  <c r="Q148" i="7"/>
  <c r="R148" i="7" s="1"/>
  <c r="N148" i="7"/>
  <c r="O148" i="7" s="1"/>
  <c r="L148" i="7"/>
  <c r="K148" i="7"/>
  <c r="H148" i="7"/>
  <c r="I148" i="7" s="1"/>
  <c r="E148" i="7"/>
  <c r="F148" i="7" s="1"/>
  <c r="B148" i="7"/>
  <c r="C148" i="7" s="1"/>
  <c r="AC147" i="7"/>
  <c r="AD147" i="7" s="1"/>
  <c r="AA147" i="7"/>
  <c r="X147" i="7"/>
  <c r="W147" i="7"/>
  <c r="U147" i="7"/>
  <c r="R147" i="7"/>
  <c r="O147" i="7"/>
  <c r="N147" i="7"/>
  <c r="L147" i="7"/>
  <c r="I147" i="7"/>
  <c r="H147" i="7"/>
  <c r="F147" i="7"/>
  <c r="C147" i="7"/>
  <c r="AC146" i="7"/>
  <c r="AD146" i="7" s="1"/>
  <c r="AA146" i="7"/>
  <c r="W146" i="7"/>
  <c r="X146" i="7" s="1"/>
  <c r="U146" i="7"/>
  <c r="R146" i="7"/>
  <c r="O146" i="7"/>
  <c r="N146" i="7"/>
  <c r="L146" i="7"/>
  <c r="I146" i="7"/>
  <c r="H146" i="7"/>
  <c r="F146" i="7"/>
  <c r="C146" i="7"/>
  <c r="AC145" i="7"/>
  <c r="AD145" i="7" s="1"/>
  <c r="AA145" i="7"/>
  <c r="X145" i="7"/>
  <c r="W145" i="7"/>
  <c r="U145" i="7"/>
  <c r="R145" i="7"/>
  <c r="O145" i="7"/>
  <c r="N145" i="7"/>
  <c r="L145" i="7"/>
  <c r="H145" i="7"/>
  <c r="I145" i="7" s="1"/>
  <c r="F145" i="7"/>
  <c r="C145" i="7"/>
  <c r="AD144" i="7"/>
  <c r="AC144" i="7"/>
  <c r="AA144" i="7"/>
  <c r="X144" i="7"/>
  <c r="W144" i="7"/>
  <c r="U144" i="7"/>
  <c r="R144" i="7"/>
  <c r="N144" i="7"/>
  <c r="O144" i="7" s="1"/>
  <c r="L144" i="7"/>
  <c r="H144" i="7"/>
  <c r="I144" i="7" s="1"/>
  <c r="F144" i="7"/>
  <c r="C144" i="7"/>
  <c r="AC143" i="7"/>
  <c r="AD143" i="7" s="1"/>
  <c r="AA143" i="7"/>
  <c r="X143" i="7"/>
  <c r="W143" i="7"/>
  <c r="U143" i="7"/>
  <c r="R143" i="7"/>
  <c r="O143" i="7"/>
  <c r="N143" i="7"/>
  <c r="L143" i="7"/>
  <c r="H143" i="7"/>
  <c r="I143" i="7" s="1"/>
  <c r="F143" i="7"/>
  <c r="C143" i="7"/>
  <c r="AC141" i="7"/>
  <c r="AD141" i="7" s="1"/>
  <c r="Z141" i="7"/>
  <c r="AA141" i="7" s="1"/>
  <c r="T141" i="7"/>
  <c r="U141" i="7" s="1"/>
  <c r="Q141" i="7"/>
  <c r="R141" i="7" s="1"/>
  <c r="N141" i="7"/>
  <c r="O141" i="7" s="1"/>
  <c r="K141" i="7"/>
  <c r="L141" i="7" s="1"/>
  <c r="H141" i="7"/>
  <c r="I141" i="7" s="1"/>
  <c r="E141" i="7"/>
  <c r="F141" i="7" s="1"/>
  <c r="C141" i="7"/>
  <c r="B141" i="7"/>
  <c r="AC140" i="7"/>
  <c r="AD140" i="7" s="1"/>
  <c r="AA140" i="7"/>
  <c r="X140" i="7"/>
  <c r="W140" i="7"/>
  <c r="U140" i="7"/>
  <c r="R140" i="7"/>
  <c r="N140" i="7"/>
  <c r="O140" i="7" s="1"/>
  <c r="L140" i="7"/>
  <c r="H140" i="7"/>
  <c r="I140" i="7" s="1"/>
  <c r="F140" i="7"/>
  <c r="C140" i="7"/>
  <c r="AC139" i="7"/>
  <c r="AD139" i="7" s="1"/>
  <c r="AA139" i="7"/>
  <c r="X139" i="7"/>
  <c r="W139" i="7"/>
  <c r="U139" i="7"/>
  <c r="R139" i="7"/>
  <c r="O139" i="7"/>
  <c r="N139" i="7"/>
  <c r="L139" i="7"/>
  <c r="H139" i="7"/>
  <c r="I139" i="7" s="1"/>
  <c r="F139" i="7"/>
  <c r="C139" i="7"/>
  <c r="AC138" i="7"/>
  <c r="AD138" i="7" s="1"/>
  <c r="AA138" i="7"/>
  <c r="W138" i="7"/>
  <c r="X138" i="7" s="1"/>
  <c r="U138" i="7"/>
  <c r="R138" i="7"/>
  <c r="O138" i="7"/>
  <c r="N138" i="7"/>
  <c r="L138" i="7"/>
  <c r="I138" i="7"/>
  <c r="H138" i="7"/>
  <c r="F138" i="7"/>
  <c r="C138" i="7"/>
  <c r="AC137" i="7"/>
  <c r="AD137" i="7" s="1"/>
  <c r="AA137" i="7"/>
  <c r="W137" i="7"/>
  <c r="X137" i="7" s="1"/>
  <c r="U137" i="7"/>
  <c r="R137" i="7"/>
  <c r="O137" i="7"/>
  <c r="N137" i="7"/>
  <c r="L137" i="7"/>
  <c r="H137" i="7"/>
  <c r="I137" i="7" s="1"/>
  <c r="F137" i="7"/>
  <c r="C137" i="7"/>
  <c r="AD136" i="7"/>
  <c r="AC136" i="7"/>
  <c r="AA136" i="7"/>
  <c r="X136" i="7"/>
  <c r="W136" i="7"/>
  <c r="U136" i="7"/>
  <c r="R136" i="7"/>
  <c r="N136" i="7"/>
  <c r="O136" i="7" s="1"/>
  <c r="L136" i="7"/>
  <c r="H136" i="7"/>
  <c r="I136" i="7" s="1"/>
  <c r="F136" i="7"/>
  <c r="C136" i="7"/>
  <c r="AD135" i="7"/>
  <c r="AC135" i="7"/>
  <c r="AA135" i="7"/>
  <c r="X135" i="7"/>
  <c r="W135" i="7"/>
  <c r="U135" i="7"/>
  <c r="R135" i="7"/>
  <c r="N135" i="7"/>
  <c r="O135" i="7" s="1"/>
  <c r="L135" i="7"/>
  <c r="H135" i="7"/>
  <c r="I135" i="7" s="1"/>
  <c r="F135" i="7"/>
  <c r="C135" i="7"/>
  <c r="AC134" i="7"/>
  <c r="AD134" i="7" s="1"/>
  <c r="AA134" i="7"/>
  <c r="X134" i="7"/>
  <c r="W134" i="7"/>
  <c r="U134" i="7"/>
  <c r="R134" i="7"/>
  <c r="O134" i="7"/>
  <c r="N134" i="7"/>
  <c r="L134" i="7"/>
  <c r="H134" i="7"/>
  <c r="I134" i="7" s="1"/>
  <c r="F134" i="7"/>
  <c r="C134" i="7"/>
  <c r="AC133" i="7"/>
  <c r="AD133" i="7" s="1"/>
  <c r="AA133" i="7"/>
  <c r="X133" i="7"/>
  <c r="W133" i="7"/>
  <c r="U133" i="7"/>
  <c r="R133" i="7"/>
  <c r="O133" i="7"/>
  <c r="N133" i="7"/>
  <c r="L133" i="7"/>
  <c r="H133" i="7"/>
  <c r="I133" i="7" s="1"/>
  <c r="F133" i="7"/>
  <c r="C133" i="7"/>
  <c r="AC132" i="7"/>
  <c r="AD132" i="7" s="1"/>
  <c r="AA132" i="7"/>
  <c r="X132" i="7"/>
  <c r="W132" i="7"/>
  <c r="U132" i="7"/>
  <c r="R132" i="7"/>
  <c r="N132" i="7"/>
  <c r="O132" i="7" s="1"/>
  <c r="L132" i="7"/>
  <c r="H132" i="7"/>
  <c r="I132" i="7" s="1"/>
  <c r="F132" i="7"/>
  <c r="C132" i="7"/>
  <c r="AC131" i="7"/>
  <c r="AD131" i="7" s="1"/>
  <c r="AA131" i="7"/>
  <c r="X131" i="7"/>
  <c r="W131" i="7"/>
  <c r="U131" i="7"/>
  <c r="R131" i="7"/>
  <c r="O131" i="7"/>
  <c r="N131" i="7"/>
  <c r="L131" i="7"/>
  <c r="H131" i="7"/>
  <c r="I131" i="7" s="1"/>
  <c r="F131" i="7"/>
  <c r="C131" i="7"/>
  <c r="AC130" i="7"/>
  <c r="AD130" i="7" s="1"/>
  <c r="AA130" i="7"/>
  <c r="W130" i="7"/>
  <c r="X130" i="7" s="1"/>
  <c r="U130" i="7"/>
  <c r="R130" i="7"/>
  <c r="O130" i="7"/>
  <c r="N130" i="7"/>
  <c r="L130" i="7"/>
  <c r="I130" i="7"/>
  <c r="H130" i="7"/>
  <c r="F130" i="7"/>
  <c r="C130" i="7"/>
  <c r="AC129" i="7"/>
  <c r="AD129" i="7" s="1"/>
  <c r="AA129" i="7"/>
  <c r="X129" i="7"/>
  <c r="W129" i="7"/>
  <c r="U129" i="7"/>
  <c r="R129" i="7"/>
  <c r="O129" i="7"/>
  <c r="N129" i="7"/>
  <c r="L129" i="7"/>
  <c r="H129" i="7"/>
  <c r="I129" i="7" s="1"/>
  <c r="F129" i="7"/>
  <c r="C129" i="7"/>
  <c r="AD127" i="7"/>
  <c r="AC127" i="7"/>
  <c r="AA127" i="7"/>
  <c r="X127" i="7"/>
  <c r="W127" i="7"/>
  <c r="U127" i="7"/>
  <c r="R127" i="7"/>
  <c r="N127" i="7"/>
  <c r="O127" i="7" s="1"/>
  <c r="L127" i="7"/>
  <c r="H127" i="7"/>
  <c r="I127" i="7" s="1"/>
  <c r="F127" i="7"/>
  <c r="C127" i="7"/>
  <c r="Z124" i="7"/>
  <c r="T124" i="7"/>
  <c r="U124" i="7" s="1"/>
  <c r="Q124" i="7"/>
  <c r="W124" i="7" s="1"/>
  <c r="X124" i="7" s="1"/>
  <c r="K124" i="7"/>
  <c r="H124" i="7"/>
  <c r="I124" i="7" s="1"/>
  <c r="E124" i="7"/>
  <c r="F124" i="7" s="1"/>
  <c r="B124" i="7"/>
  <c r="B172" i="7" s="1"/>
  <c r="H172" i="7" s="1"/>
  <c r="I172" i="7" s="1"/>
  <c r="AC123" i="7"/>
  <c r="AD123" i="7" s="1"/>
  <c r="AA123" i="7"/>
  <c r="W123" i="7"/>
  <c r="X123" i="7" s="1"/>
  <c r="U123" i="7"/>
  <c r="R123" i="7"/>
  <c r="O123" i="7"/>
  <c r="N123" i="7"/>
  <c r="L123" i="7"/>
  <c r="H123" i="7"/>
  <c r="I123" i="7" s="1"/>
  <c r="F123" i="7"/>
  <c r="C123" i="7"/>
  <c r="Z122" i="7"/>
  <c r="AA122" i="7" s="1"/>
  <c r="U122" i="7"/>
  <c r="T122" i="7"/>
  <c r="Q122" i="7"/>
  <c r="K122" i="7"/>
  <c r="L122" i="7" s="1"/>
  <c r="H122" i="7"/>
  <c r="I122" i="7" s="1"/>
  <c r="E122" i="7"/>
  <c r="F122" i="7" s="1"/>
  <c r="B122" i="7"/>
  <c r="C122" i="7" s="1"/>
  <c r="AC121" i="7"/>
  <c r="AD121" i="7" s="1"/>
  <c r="AA121" i="7"/>
  <c r="X121" i="7"/>
  <c r="W121" i="7"/>
  <c r="U121" i="7"/>
  <c r="R121" i="7"/>
  <c r="O121" i="7"/>
  <c r="N121" i="7"/>
  <c r="L121" i="7"/>
  <c r="H121" i="7"/>
  <c r="I121" i="7" s="1"/>
  <c r="F121" i="7"/>
  <c r="C121" i="7"/>
  <c r="AC120" i="7"/>
  <c r="AD120" i="7" s="1"/>
  <c r="AA120" i="7"/>
  <c r="W120" i="7"/>
  <c r="X120" i="7" s="1"/>
  <c r="U120" i="7"/>
  <c r="R120" i="7"/>
  <c r="O120" i="7"/>
  <c r="N120" i="7"/>
  <c r="L120" i="7"/>
  <c r="H120" i="7"/>
  <c r="I120" i="7" s="1"/>
  <c r="F120" i="7"/>
  <c r="C120" i="7"/>
  <c r="AC119" i="7"/>
  <c r="AD119" i="7" s="1"/>
  <c r="AA119" i="7"/>
  <c r="X119" i="7"/>
  <c r="W119" i="7"/>
  <c r="U119" i="7"/>
  <c r="R119" i="7"/>
  <c r="O119" i="7"/>
  <c r="N119" i="7"/>
  <c r="L119" i="7"/>
  <c r="H119" i="7"/>
  <c r="I119" i="7" s="1"/>
  <c r="F119" i="7"/>
  <c r="C119" i="7"/>
  <c r="AA118" i="7"/>
  <c r="Z118" i="7"/>
  <c r="T118" i="7"/>
  <c r="U118" i="7" s="1"/>
  <c r="Q118" i="7"/>
  <c r="W118" i="7" s="1"/>
  <c r="X118" i="7" s="1"/>
  <c r="N118" i="7"/>
  <c r="O118" i="7" s="1"/>
  <c r="K118" i="7"/>
  <c r="L118" i="7" s="1"/>
  <c r="F118" i="7"/>
  <c r="E118" i="7"/>
  <c r="B118" i="7"/>
  <c r="H118" i="7" s="1"/>
  <c r="I118" i="7" s="1"/>
  <c r="AC117" i="7"/>
  <c r="AD117" i="7" s="1"/>
  <c r="AA117" i="7"/>
  <c r="X117" i="7"/>
  <c r="W117" i="7"/>
  <c r="U117" i="7"/>
  <c r="R117" i="7"/>
  <c r="O117" i="7"/>
  <c r="N117" i="7"/>
  <c r="L117" i="7"/>
  <c r="H117" i="7"/>
  <c r="I117" i="7" s="1"/>
  <c r="F117" i="7"/>
  <c r="C117" i="7"/>
  <c r="AC116" i="7"/>
  <c r="AD116" i="7" s="1"/>
  <c r="AA116" i="7"/>
  <c r="X116" i="7"/>
  <c r="W116" i="7"/>
  <c r="U116" i="7"/>
  <c r="R116" i="7"/>
  <c r="O116" i="7"/>
  <c r="N116" i="7"/>
  <c r="L116" i="7"/>
  <c r="H116" i="7"/>
  <c r="I116" i="7" s="1"/>
  <c r="F116" i="7"/>
  <c r="C116" i="7"/>
  <c r="AD115" i="7"/>
  <c r="AC115" i="7"/>
  <c r="AA115" i="7"/>
  <c r="X115" i="7"/>
  <c r="W115" i="7"/>
  <c r="U115" i="7"/>
  <c r="R115" i="7"/>
  <c r="N115" i="7"/>
  <c r="O115" i="7" s="1"/>
  <c r="L115" i="7"/>
  <c r="I115" i="7"/>
  <c r="H115" i="7"/>
  <c r="F115" i="7"/>
  <c r="C115" i="7"/>
  <c r="AD114" i="7"/>
  <c r="AC114" i="7"/>
  <c r="AA114" i="7"/>
  <c r="W114" i="7"/>
  <c r="X114" i="7" s="1"/>
  <c r="U114" i="7"/>
  <c r="R114" i="7"/>
  <c r="N114" i="7"/>
  <c r="O114" i="7" s="1"/>
  <c r="L114" i="7"/>
  <c r="I114" i="7"/>
  <c r="H114" i="7"/>
  <c r="F114" i="7"/>
  <c r="C114" i="7"/>
  <c r="AC113" i="7"/>
  <c r="AD113" i="7" s="1"/>
  <c r="AA113" i="7"/>
  <c r="X113" i="7"/>
  <c r="W113" i="7"/>
  <c r="U113" i="7"/>
  <c r="R113" i="7"/>
  <c r="O113" i="7"/>
  <c r="N113" i="7"/>
  <c r="L113" i="7"/>
  <c r="H113" i="7"/>
  <c r="I113" i="7" s="1"/>
  <c r="F113" i="7"/>
  <c r="C113" i="7"/>
  <c r="AC112" i="7"/>
  <c r="AD112" i="7" s="1"/>
  <c r="AA112" i="7"/>
  <c r="W112" i="7"/>
  <c r="X112" i="7" s="1"/>
  <c r="U112" i="7"/>
  <c r="R112" i="7"/>
  <c r="O112" i="7"/>
  <c r="N112" i="7"/>
  <c r="L112" i="7"/>
  <c r="H112" i="7"/>
  <c r="I112" i="7" s="1"/>
  <c r="F112" i="7"/>
  <c r="C112" i="7"/>
  <c r="AD111" i="7"/>
  <c r="AC111" i="7"/>
  <c r="AA111" i="7"/>
  <c r="X111" i="7"/>
  <c r="W111" i="7"/>
  <c r="U111" i="7"/>
  <c r="R111" i="7"/>
  <c r="N111" i="7"/>
  <c r="O111" i="7" s="1"/>
  <c r="L111" i="7"/>
  <c r="I111" i="7"/>
  <c r="H111" i="7"/>
  <c r="F111" i="7"/>
  <c r="C111" i="7"/>
  <c r="AC110" i="7"/>
  <c r="AD110" i="7" s="1"/>
  <c r="AA110" i="7"/>
  <c r="W110" i="7"/>
  <c r="X110" i="7" s="1"/>
  <c r="U110" i="7"/>
  <c r="R110" i="7"/>
  <c r="O110" i="7"/>
  <c r="N110" i="7"/>
  <c r="L110" i="7"/>
  <c r="I110" i="7"/>
  <c r="H110" i="7"/>
  <c r="F110" i="7"/>
  <c r="C110" i="7"/>
  <c r="AC109" i="7"/>
  <c r="AD109" i="7" s="1"/>
  <c r="AA109" i="7"/>
  <c r="W109" i="7"/>
  <c r="X109" i="7" s="1"/>
  <c r="U109" i="7"/>
  <c r="R109" i="7"/>
  <c r="O109" i="7"/>
  <c r="N109" i="7"/>
  <c r="L109" i="7"/>
  <c r="I109" i="7"/>
  <c r="H109" i="7"/>
  <c r="F109" i="7"/>
  <c r="C109" i="7"/>
  <c r="AC108" i="7"/>
  <c r="AD108" i="7" s="1"/>
  <c r="AA108" i="7"/>
  <c r="W108" i="7"/>
  <c r="X108" i="7" s="1"/>
  <c r="U108" i="7"/>
  <c r="R108" i="7"/>
  <c r="O108" i="7"/>
  <c r="N108" i="7"/>
  <c r="L108" i="7"/>
  <c r="H108" i="7"/>
  <c r="I108" i="7" s="1"/>
  <c r="F108" i="7"/>
  <c r="C108" i="7"/>
  <c r="AC107" i="7"/>
  <c r="AD107" i="7" s="1"/>
  <c r="AA107" i="7"/>
  <c r="X107" i="7"/>
  <c r="W107" i="7"/>
  <c r="U107" i="7"/>
  <c r="R107" i="7"/>
  <c r="O107" i="7"/>
  <c r="N107" i="7"/>
  <c r="L107" i="7"/>
  <c r="I107" i="7"/>
  <c r="H107" i="7"/>
  <c r="F107" i="7"/>
  <c r="C107" i="7"/>
  <c r="AC106" i="7"/>
  <c r="AD106" i="7" s="1"/>
  <c r="AA106" i="7"/>
  <c r="W106" i="7"/>
  <c r="X106" i="7" s="1"/>
  <c r="U106" i="7"/>
  <c r="R106" i="7"/>
  <c r="N106" i="7"/>
  <c r="O106" i="7" s="1"/>
  <c r="L106" i="7"/>
  <c r="H106" i="7"/>
  <c r="I106" i="7" s="1"/>
  <c r="F106" i="7"/>
  <c r="C106" i="7"/>
  <c r="AC105" i="7"/>
  <c r="AD105" i="7" s="1"/>
  <c r="AA105" i="7"/>
  <c r="W105" i="7"/>
  <c r="X105" i="7" s="1"/>
  <c r="U105" i="7"/>
  <c r="R105" i="7"/>
  <c r="O105" i="7"/>
  <c r="N105" i="7"/>
  <c r="L105" i="7"/>
  <c r="H105" i="7"/>
  <c r="I105" i="7" s="1"/>
  <c r="F105" i="7"/>
  <c r="C105" i="7"/>
  <c r="AC104" i="7"/>
  <c r="AD104" i="7" s="1"/>
  <c r="AA104" i="7"/>
  <c r="X104" i="7"/>
  <c r="W104" i="7"/>
  <c r="U104" i="7"/>
  <c r="R104" i="7"/>
  <c r="N104" i="7"/>
  <c r="O104" i="7" s="1"/>
  <c r="L104" i="7"/>
  <c r="H104" i="7"/>
  <c r="I104" i="7" s="1"/>
  <c r="F104" i="7"/>
  <c r="C104" i="7"/>
  <c r="AC103" i="7"/>
  <c r="AD103" i="7" s="1"/>
  <c r="AA103" i="7"/>
  <c r="X103" i="7"/>
  <c r="W103" i="7"/>
  <c r="U103" i="7"/>
  <c r="R103" i="7"/>
  <c r="N103" i="7"/>
  <c r="O103" i="7" s="1"/>
  <c r="L103" i="7"/>
  <c r="H103" i="7"/>
  <c r="I103" i="7" s="1"/>
  <c r="F103" i="7"/>
  <c r="C103" i="7"/>
  <c r="AD102" i="7"/>
  <c r="AC102" i="7"/>
  <c r="AA102" i="7"/>
  <c r="X102" i="7"/>
  <c r="W102" i="7"/>
  <c r="U102" i="7"/>
  <c r="R102" i="7"/>
  <c r="N102" i="7"/>
  <c r="O102" i="7" s="1"/>
  <c r="L102" i="7"/>
  <c r="H102" i="7"/>
  <c r="I102" i="7" s="1"/>
  <c r="F102" i="7"/>
  <c r="C102" i="7"/>
  <c r="AC101" i="7"/>
  <c r="AD101" i="7" s="1"/>
  <c r="AA101" i="7"/>
  <c r="X101" i="7"/>
  <c r="W101" i="7"/>
  <c r="U101" i="7"/>
  <c r="R101" i="7"/>
  <c r="O101" i="7"/>
  <c r="N101" i="7"/>
  <c r="L101" i="7"/>
  <c r="H101" i="7"/>
  <c r="I101" i="7" s="1"/>
  <c r="F101" i="7"/>
  <c r="C101" i="7"/>
  <c r="AD100" i="7"/>
  <c r="AC100" i="7"/>
  <c r="AA100" i="7"/>
  <c r="X100" i="7"/>
  <c r="W100" i="7"/>
  <c r="U100" i="7"/>
  <c r="R100" i="7"/>
  <c r="N100" i="7"/>
  <c r="O100" i="7" s="1"/>
  <c r="L100" i="7"/>
  <c r="H100" i="7"/>
  <c r="I100" i="7" s="1"/>
  <c r="F100" i="7"/>
  <c r="C100" i="7"/>
  <c r="AD99" i="7"/>
  <c r="AC99" i="7"/>
  <c r="AA99" i="7"/>
  <c r="X99" i="7"/>
  <c r="W99" i="7"/>
  <c r="U99" i="7"/>
  <c r="R99" i="7"/>
  <c r="N99" i="7"/>
  <c r="O99" i="7" s="1"/>
  <c r="L99" i="7"/>
  <c r="H99" i="7"/>
  <c r="I99" i="7" s="1"/>
  <c r="F99" i="7"/>
  <c r="C99" i="7"/>
  <c r="AD98" i="7"/>
  <c r="AC98" i="7"/>
  <c r="AA98" i="7"/>
  <c r="W98" i="7"/>
  <c r="X98" i="7" s="1"/>
  <c r="U98" i="7"/>
  <c r="R98" i="7"/>
  <c r="N98" i="7"/>
  <c r="O98" i="7" s="1"/>
  <c r="L98" i="7"/>
  <c r="I98" i="7"/>
  <c r="H98" i="7"/>
  <c r="F98" i="7"/>
  <c r="C98" i="7"/>
  <c r="AC97" i="7"/>
  <c r="AD97" i="7" s="1"/>
  <c r="AA97" i="7"/>
  <c r="X97" i="7"/>
  <c r="W97" i="7"/>
  <c r="U97" i="7"/>
  <c r="R97" i="7"/>
  <c r="O97" i="7"/>
  <c r="N97" i="7"/>
  <c r="L97" i="7"/>
  <c r="H97" i="7"/>
  <c r="I97" i="7" s="1"/>
  <c r="F97" i="7"/>
  <c r="C97" i="7"/>
  <c r="AC96" i="7"/>
  <c r="AD96" i="7" s="1"/>
  <c r="AA96" i="7"/>
  <c r="W96" i="7"/>
  <c r="X96" i="7" s="1"/>
  <c r="U96" i="7"/>
  <c r="R96" i="7"/>
  <c r="O96" i="7"/>
  <c r="N96" i="7"/>
  <c r="L96" i="7"/>
  <c r="H96" i="7"/>
  <c r="I96" i="7" s="1"/>
  <c r="F96" i="7"/>
  <c r="C96" i="7"/>
  <c r="AD95" i="7"/>
  <c r="AC95" i="7"/>
  <c r="AA95" i="7"/>
  <c r="X95" i="7"/>
  <c r="W95" i="7"/>
  <c r="U95" i="7"/>
  <c r="R95" i="7"/>
  <c r="N95" i="7"/>
  <c r="O95" i="7" s="1"/>
  <c r="L95" i="7"/>
  <c r="I95" i="7"/>
  <c r="H95" i="7"/>
  <c r="F95" i="7"/>
  <c r="C95" i="7"/>
  <c r="AC94" i="7"/>
  <c r="AD94" i="7" s="1"/>
  <c r="AA94" i="7"/>
  <c r="W94" i="7"/>
  <c r="X94" i="7" s="1"/>
  <c r="U94" i="7"/>
  <c r="R94" i="7"/>
  <c r="O94" i="7"/>
  <c r="N94" i="7"/>
  <c r="L94" i="7"/>
  <c r="I94" i="7"/>
  <c r="H94" i="7"/>
  <c r="F94" i="7"/>
  <c r="C94" i="7"/>
  <c r="AC92" i="7"/>
  <c r="AD92" i="7" s="1"/>
  <c r="AA92" i="7"/>
  <c r="W92" i="7"/>
  <c r="X92" i="7" s="1"/>
  <c r="U92" i="7"/>
  <c r="R92" i="7"/>
  <c r="O92" i="7"/>
  <c r="N92" i="7"/>
  <c r="L92" i="7"/>
  <c r="I92" i="7"/>
  <c r="H92" i="7"/>
  <c r="F92" i="7"/>
  <c r="C92" i="7"/>
  <c r="AC91" i="7"/>
  <c r="AD91" i="7" s="1"/>
  <c r="AA91" i="7"/>
  <c r="W91" i="7"/>
  <c r="X91" i="7" s="1"/>
  <c r="U91" i="7"/>
  <c r="R91" i="7"/>
  <c r="O91" i="7"/>
  <c r="N91" i="7"/>
  <c r="L91" i="7"/>
  <c r="H91" i="7"/>
  <c r="I91" i="7" s="1"/>
  <c r="F91" i="7"/>
  <c r="C91" i="7"/>
  <c r="AC90" i="7"/>
  <c r="AD90" i="7" s="1"/>
  <c r="AA90" i="7"/>
  <c r="X90" i="7"/>
  <c r="W90" i="7"/>
  <c r="U90" i="7"/>
  <c r="R90" i="7"/>
  <c r="O90" i="7"/>
  <c r="N90" i="7"/>
  <c r="L90" i="7"/>
  <c r="I90" i="7"/>
  <c r="H90" i="7"/>
  <c r="F90" i="7"/>
  <c r="C90" i="7"/>
  <c r="AC89" i="7"/>
  <c r="AD89" i="7" s="1"/>
  <c r="AA89" i="7"/>
  <c r="W89" i="7"/>
  <c r="X89" i="7" s="1"/>
  <c r="U89" i="7"/>
  <c r="R89" i="7"/>
  <c r="N89" i="7"/>
  <c r="O89" i="7" s="1"/>
  <c r="L89" i="7"/>
  <c r="H89" i="7"/>
  <c r="I89" i="7" s="1"/>
  <c r="F89" i="7"/>
  <c r="C89" i="7"/>
  <c r="Z88" i="7"/>
  <c r="AC88" i="7" s="1"/>
  <c r="AD88" i="7" s="1"/>
  <c r="T88" i="7"/>
  <c r="Q88" i="7"/>
  <c r="R88" i="7" s="1"/>
  <c r="K88" i="7"/>
  <c r="L88" i="7" s="1"/>
  <c r="E88" i="7"/>
  <c r="B88" i="7"/>
  <c r="C88" i="7" s="1"/>
  <c r="AC87" i="7"/>
  <c r="AD87" i="7" s="1"/>
  <c r="AA87" i="7"/>
  <c r="X87" i="7"/>
  <c r="W87" i="7"/>
  <c r="U87" i="7"/>
  <c r="R87" i="7"/>
  <c r="O87" i="7"/>
  <c r="N87" i="7"/>
  <c r="L87" i="7"/>
  <c r="I87" i="7"/>
  <c r="H87" i="7"/>
  <c r="F87" i="7"/>
  <c r="C87" i="7"/>
  <c r="AC86" i="7"/>
  <c r="AD86" i="7" s="1"/>
  <c r="AA86" i="7"/>
  <c r="W86" i="7"/>
  <c r="X86" i="7" s="1"/>
  <c r="U86" i="7"/>
  <c r="R86" i="7"/>
  <c r="O86" i="7"/>
  <c r="N86" i="7"/>
  <c r="L86" i="7"/>
  <c r="H86" i="7"/>
  <c r="I86" i="7" s="1"/>
  <c r="F86" i="7"/>
  <c r="C86" i="7"/>
  <c r="AC85" i="7"/>
  <c r="AD85" i="7" s="1"/>
  <c r="AA85" i="7"/>
  <c r="W85" i="7"/>
  <c r="X85" i="7" s="1"/>
  <c r="U85" i="7"/>
  <c r="R85" i="7"/>
  <c r="O85" i="7"/>
  <c r="N85" i="7"/>
  <c r="L85" i="7"/>
  <c r="I85" i="7"/>
  <c r="H85" i="7"/>
  <c r="F85" i="7"/>
  <c r="C85" i="7"/>
  <c r="AC84" i="7"/>
  <c r="AD84" i="7" s="1"/>
  <c r="AA84" i="7"/>
  <c r="W84" i="7"/>
  <c r="X84" i="7" s="1"/>
  <c r="U84" i="7"/>
  <c r="R84" i="7"/>
  <c r="N84" i="7"/>
  <c r="O84" i="7" s="1"/>
  <c r="L84" i="7"/>
  <c r="H84" i="7"/>
  <c r="I84" i="7" s="1"/>
  <c r="F84" i="7"/>
  <c r="C84" i="7"/>
  <c r="AC83" i="7"/>
  <c r="AD83" i="7" s="1"/>
  <c r="AA83" i="7"/>
  <c r="X83" i="7"/>
  <c r="W83" i="7"/>
  <c r="U83" i="7"/>
  <c r="R83" i="7"/>
  <c r="O83" i="7"/>
  <c r="N83" i="7"/>
  <c r="L83" i="7"/>
  <c r="H83" i="7"/>
  <c r="I83" i="7" s="1"/>
  <c r="F83" i="7"/>
  <c r="C83" i="7"/>
  <c r="AC82" i="7"/>
  <c r="AD82" i="7" s="1"/>
  <c r="AA82" i="7"/>
  <c r="X82" i="7"/>
  <c r="W82" i="7"/>
  <c r="U82" i="7"/>
  <c r="R82" i="7"/>
  <c r="N82" i="7"/>
  <c r="O82" i="7" s="1"/>
  <c r="L82" i="7"/>
  <c r="H82" i="7"/>
  <c r="I82" i="7" s="1"/>
  <c r="F82" i="7"/>
  <c r="C82" i="7"/>
  <c r="AC81" i="7"/>
  <c r="AD81" i="7" s="1"/>
  <c r="AA81" i="7"/>
  <c r="W81" i="7"/>
  <c r="X81" i="7" s="1"/>
  <c r="U81" i="7"/>
  <c r="R81" i="7"/>
  <c r="O81" i="7"/>
  <c r="N81" i="7"/>
  <c r="L81" i="7"/>
  <c r="H81" i="7"/>
  <c r="I81" i="7" s="1"/>
  <c r="F81" i="7"/>
  <c r="C81" i="7"/>
  <c r="AD80" i="7"/>
  <c r="AC80" i="7"/>
  <c r="AA80" i="7"/>
  <c r="W80" i="7"/>
  <c r="X80" i="7" s="1"/>
  <c r="U80" i="7"/>
  <c r="R80" i="7"/>
  <c r="N80" i="7"/>
  <c r="O80" i="7" s="1"/>
  <c r="L80" i="7"/>
  <c r="H80" i="7"/>
  <c r="I80" i="7" s="1"/>
  <c r="F80" i="7"/>
  <c r="C80" i="7"/>
  <c r="AC79" i="7"/>
  <c r="AD79" i="7" s="1"/>
  <c r="AA79" i="7"/>
  <c r="X79" i="7"/>
  <c r="W79" i="7"/>
  <c r="U79" i="7"/>
  <c r="R79" i="7"/>
  <c r="N79" i="7"/>
  <c r="O79" i="7" s="1"/>
  <c r="L79" i="7"/>
  <c r="H79" i="7"/>
  <c r="I79" i="7" s="1"/>
  <c r="F79" i="7"/>
  <c r="C79" i="7"/>
  <c r="AD78" i="7"/>
  <c r="AC78" i="7"/>
  <c r="AA78" i="7"/>
  <c r="X78" i="7"/>
  <c r="W78" i="7"/>
  <c r="U78" i="7"/>
  <c r="R78" i="7"/>
  <c r="N78" i="7"/>
  <c r="O78" i="7" s="1"/>
  <c r="L78" i="7"/>
  <c r="H78" i="7"/>
  <c r="I78" i="7" s="1"/>
  <c r="F78" i="7"/>
  <c r="C78" i="7"/>
  <c r="AC77" i="7"/>
  <c r="AD77" i="7" s="1"/>
  <c r="AA77" i="7"/>
  <c r="X77" i="7"/>
  <c r="W77" i="7"/>
  <c r="U77" i="7"/>
  <c r="R77" i="7"/>
  <c r="O77" i="7"/>
  <c r="N77" i="7"/>
  <c r="L77" i="7"/>
  <c r="H77" i="7"/>
  <c r="I77" i="7" s="1"/>
  <c r="F77" i="7"/>
  <c r="C77" i="7"/>
  <c r="AD76" i="7"/>
  <c r="AC76" i="7"/>
  <c r="AA76" i="7"/>
  <c r="W76" i="7"/>
  <c r="X76" i="7" s="1"/>
  <c r="U76" i="7"/>
  <c r="R76" i="7"/>
  <c r="N76" i="7"/>
  <c r="O76" i="7" s="1"/>
  <c r="L76" i="7"/>
  <c r="H76" i="7"/>
  <c r="I76" i="7" s="1"/>
  <c r="F76" i="7"/>
  <c r="C76" i="7"/>
  <c r="AC75" i="7"/>
  <c r="AD75" i="7" s="1"/>
  <c r="AA75" i="7"/>
  <c r="X75" i="7"/>
  <c r="W75" i="7"/>
  <c r="U75" i="7"/>
  <c r="R75" i="7"/>
  <c r="N75" i="7"/>
  <c r="O75" i="7" s="1"/>
  <c r="L75" i="7"/>
  <c r="H75" i="7"/>
  <c r="I75" i="7" s="1"/>
  <c r="F75" i="7"/>
  <c r="C75" i="7"/>
  <c r="Z73" i="7"/>
  <c r="AC73" i="7" s="1"/>
  <c r="AD73" i="7" s="1"/>
  <c r="W73" i="7"/>
  <c r="X73" i="7" s="1"/>
  <c r="T73" i="7"/>
  <c r="U73" i="7" s="1"/>
  <c r="R73" i="7"/>
  <c r="Q73" i="7"/>
  <c r="N73" i="7"/>
  <c r="O73" i="7" s="1"/>
  <c r="L73" i="7"/>
  <c r="K73" i="7"/>
  <c r="H73" i="7"/>
  <c r="I73" i="7" s="1"/>
  <c r="E73" i="7"/>
  <c r="F73" i="7" s="1"/>
  <c r="B73" i="7"/>
  <c r="C73" i="7" s="1"/>
  <c r="AC72" i="7"/>
  <c r="AD72" i="7" s="1"/>
  <c r="AA72" i="7"/>
  <c r="X72" i="7"/>
  <c r="W72" i="7"/>
  <c r="U72" i="7"/>
  <c r="R72" i="7"/>
  <c r="N72" i="7"/>
  <c r="O72" i="7" s="1"/>
  <c r="L72" i="7"/>
  <c r="H72" i="7"/>
  <c r="I72" i="7" s="1"/>
  <c r="F72" i="7"/>
  <c r="C72" i="7"/>
  <c r="AD71" i="7"/>
  <c r="AC71" i="7"/>
  <c r="AA71" i="7"/>
  <c r="X71" i="7"/>
  <c r="W71" i="7"/>
  <c r="U71" i="7"/>
  <c r="R71" i="7"/>
  <c r="N71" i="7"/>
  <c r="O71" i="7" s="1"/>
  <c r="L71" i="7"/>
  <c r="H71" i="7"/>
  <c r="I71" i="7" s="1"/>
  <c r="F71" i="7"/>
  <c r="C71" i="7"/>
  <c r="AD70" i="7"/>
  <c r="AC70" i="7"/>
  <c r="AA70" i="7"/>
  <c r="W70" i="7"/>
  <c r="X70" i="7" s="1"/>
  <c r="U70" i="7"/>
  <c r="R70" i="7"/>
  <c r="N70" i="7"/>
  <c r="O70" i="7" s="1"/>
  <c r="L70" i="7"/>
  <c r="I70" i="7"/>
  <c r="H70" i="7"/>
  <c r="F70" i="7"/>
  <c r="C70" i="7"/>
  <c r="AC69" i="7"/>
  <c r="AD69" i="7" s="1"/>
  <c r="AA69" i="7"/>
  <c r="X69" i="7"/>
  <c r="W69" i="7"/>
  <c r="U69" i="7"/>
  <c r="R69" i="7"/>
  <c r="O69" i="7"/>
  <c r="N69" i="7"/>
  <c r="L69" i="7"/>
  <c r="H69" i="7"/>
  <c r="I69" i="7" s="1"/>
  <c r="F69" i="7"/>
  <c r="C69" i="7"/>
  <c r="AC68" i="7"/>
  <c r="AD68" i="7" s="1"/>
  <c r="AA68" i="7"/>
  <c r="X68" i="7"/>
  <c r="W68" i="7"/>
  <c r="U68" i="7"/>
  <c r="R68" i="7"/>
  <c r="O68" i="7"/>
  <c r="N68" i="7"/>
  <c r="L68" i="7"/>
  <c r="H68" i="7"/>
  <c r="I68" i="7" s="1"/>
  <c r="F68" i="7"/>
  <c r="C68" i="7"/>
  <c r="AD67" i="7"/>
  <c r="AC67" i="7"/>
  <c r="AA67" i="7"/>
  <c r="X67" i="7"/>
  <c r="W67" i="7"/>
  <c r="U67" i="7"/>
  <c r="R67" i="7"/>
  <c r="N67" i="7"/>
  <c r="O67" i="7" s="1"/>
  <c r="L67" i="7"/>
  <c r="I67" i="7"/>
  <c r="H67" i="7"/>
  <c r="F67" i="7"/>
  <c r="C67" i="7"/>
  <c r="AD66" i="7"/>
  <c r="AC66" i="7"/>
  <c r="AA66" i="7"/>
  <c r="W66" i="7"/>
  <c r="X66" i="7" s="1"/>
  <c r="U66" i="7"/>
  <c r="R66" i="7"/>
  <c r="O66" i="7"/>
  <c r="N66" i="7"/>
  <c r="L66" i="7"/>
  <c r="I66" i="7"/>
  <c r="H66" i="7"/>
  <c r="F66" i="7"/>
  <c r="C66" i="7"/>
  <c r="AC65" i="7"/>
  <c r="AD65" i="7" s="1"/>
  <c r="AA65" i="7"/>
  <c r="X65" i="7"/>
  <c r="W65" i="7"/>
  <c r="U65" i="7"/>
  <c r="R65" i="7"/>
  <c r="O65" i="7"/>
  <c r="N65" i="7"/>
  <c r="L65" i="7"/>
  <c r="I65" i="7"/>
  <c r="H65" i="7"/>
  <c r="F65" i="7"/>
  <c r="C65" i="7"/>
  <c r="AC64" i="7"/>
  <c r="AD64" i="7" s="1"/>
  <c r="AA64" i="7"/>
  <c r="W64" i="7"/>
  <c r="X64" i="7" s="1"/>
  <c r="U64" i="7"/>
  <c r="R64" i="7"/>
  <c r="O64" i="7"/>
  <c r="N64" i="7"/>
  <c r="L64" i="7"/>
  <c r="H64" i="7"/>
  <c r="I64" i="7" s="1"/>
  <c r="F64" i="7"/>
  <c r="C64" i="7"/>
  <c r="AA62" i="7"/>
  <c r="Z62" i="7"/>
  <c r="T62" i="7"/>
  <c r="U62" i="7" s="1"/>
  <c r="R62" i="7"/>
  <c r="Q62" i="7"/>
  <c r="W62" i="7" s="1"/>
  <c r="X62" i="7" s="1"/>
  <c r="N62" i="7"/>
  <c r="O62" i="7" s="1"/>
  <c r="K62" i="7"/>
  <c r="L62" i="7" s="1"/>
  <c r="E62" i="7"/>
  <c r="F62" i="7" s="1"/>
  <c r="C62" i="7"/>
  <c r="B62" i="7"/>
  <c r="AC61" i="7"/>
  <c r="AD61" i="7" s="1"/>
  <c r="Z61" i="7"/>
  <c r="AA61" i="7" s="1"/>
  <c r="U61" i="7"/>
  <c r="T61" i="7"/>
  <c r="Q61" i="7"/>
  <c r="R61" i="7" s="1"/>
  <c r="L61" i="7"/>
  <c r="K61" i="7"/>
  <c r="E61" i="7"/>
  <c r="F61" i="7" s="1"/>
  <c r="B61" i="7"/>
  <c r="AC60" i="7"/>
  <c r="AD60" i="7" s="1"/>
  <c r="AA60" i="7"/>
  <c r="X60" i="7"/>
  <c r="W60" i="7"/>
  <c r="U60" i="7"/>
  <c r="R60" i="7"/>
  <c r="O60" i="7"/>
  <c r="N60" i="7"/>
  <c r="L60" i="7"/>
  <c r="H60" i="7"/>
  <c r="I60" i="7" s="1"/>
  <c r="F60" i="7"/>
  <c r="C60" i="7"/>
  <c r="AC59" i="7"/>
  <c r="AD59" i="7" s="1"/>
  <c r="AA59" i="7"/>
  <c r="X59" i="7"/>
  <c r="W59" i="7"/>
  <c r="U59" i="7"/>
  <c r="R59" i="7"/>
  <c r="O59" i="7"/>
  <c r="N59" i="7"/>
  <c r="L59" i="7"/>
  <c r="H59" i="7"/>
  <c r="I59" i="7" s="1"/>
  <c r="F59" i="7"/>
  <c r="C59" i="7"/>
  <c r="AC58" i="7"/>
  <c r="AD58" i="7" s="1"/>
  <c r="AA58" i="7"/>
  <c r="W58" i="7"/>
  <c r="X58" i="7" s="1"/>
  <c r="U58" i="7"/>
  <c r="R58" i="7"/>
  <c r="O58" i="7"/>
  <c r="N58" i="7"/>
  <c r="L58" i="7"/>
  <c r="I58" i="7"/>
  <c r="H58" i="7"/>
  <c r="F58" i="7"/>
  <c r="C58" i="7"/>
  <c r="AD57" i="7"/>
  <c r="AC57" i="7"/>
  <c r="AA57" i="7"/>
  <c r="W57" i="7"/>
  <c r="X57" i="7" s="1"/>
  <c r="U57" i="7"/>
  <c r="R57" i="7"/>
  <c r="N57" i="7"/>
  <c r="O57" i="7" s="1"/>
  <c r="L57" i="7"/>
  <c r="H57" i="7"/>
  <c r="I57" i="7" s="1"/>
  <c r="F57" i="7"/>
  <c r="C57" i="7"/>
  <c r="AD56" i="7"/>
  <c r="AC56" i="7"/>
  <c r="AA56" i="7"/>
  <c r="X56" i="7"/>
  <c r="W56" i="7"/>
  <c r="U56" i="7"/>
  <c r="R56" i="7"/>
  <c r="N56" i="7"/>
  <c r="O56" i="7" s="1"/>
  <c r="L56" i="7"/>
  <c r="H56" i="7"/>
  <c r="I56" i="7" s="1"/>
  <c r="F56" i="7"/>
  <c r="C56" i="7"/>
  <c r="AC55" i="7"/>
  <c r="AD55" i="7" s="1"/>
  <c r="AA55" i="7"/>
  <c r="X55" i="7"/>
  <c r="W55" i="7"/>
  <c r="U55" i="7"/>
  <c r="R55" i="7"/>
  <c r="N55" i="7"/>
  <c r="O55" i="7" s="1"/>
  <c r="L55" i="7"/>
  <c r="I55" i="7"/>
  <c r="H55" i="7"/>
  <c r="F55" i="7"/>
  <c r="C55" i="7"/>
  <c r="AC54" i="7"/>
  <c r="AD54" i="7" s="1"/>
  <c r="AA54" i="7"/>
  <c r="W54" i="7"/>
  <c r="X54" i="7" s="1"/>
  <c r="U54" i="7"/>
  <c r="R54" i="7"/>
  <c r="O54" i="7"/>
  <c r="N54" i="7"/>
  <c r="L54" i="7"/>
  <c r="H54" i="7"/>
  <c r="I54" i="7" s="1"/>
  <c r="F54" i="7"/>
  <c r="C54" i="7"/>
  <c r="AD53" i="7"/>
  <c r="AC53" i="7"/>
  <c r="AA53" i="7"/>
  <c r="W53" i="7"/>
  <c r="X53" i="7" s="1"/>
  <c r="U53" i="7"/>
  <c r="R53" i="7"/>
  <c r="N53" i="7"/>
  <c r="O53" i="7" s="1"/>
  <c r="L53" i="7"/>
  <c r="H53" i="7"/>
  <c r="I53" i="7" s="1"/>
  <c r="F53" i="7"/>
  <c r="C53" i="7"/>
  <c r="AC52" i="7"/>
  <c r="AD52" i="7" s="1"/>
  <c r="AA52" i="7"/>
  <c r="X52" i="7"/>
  <c r="W52" i="7"/>
  <c r="U52" i="7"/>
  <c r="R52" i="7"/>
  <c r="N52" i="7"/>
  <c r="O52" i="7" s="1"/>
  <c r="L52" i="7"/>
  <c r="H52" i="7"/>
  <c r="I52" i="7" s="1"/>
  <c r="F52" i="7"/>
  <c r="C52" i="7"/>
  <c r="AC51" i="7"/>
  <c r="AD51" i="7" s="1"/>
  <c r="AA51" i="7"/>
  <c r="W51" i="7"/>
  <c r="X51" i="7" s="1"/>
  <c r="U51" i="7"/>
  <c r="R51" i="7"/>
  <c r="O51" i="7"/>
  <c r="N51" i="7"/>
  <c r="L51" i="7"/>
  <c r="H51" i="7"/>
  <c r="I51" i="7" s="1"/>
  <c r="F51" i="7"/>
  <c r="C51" i="7"/>
  <c r="AC50" i="7"/>
  <c r="AD50" i="7" s="1"/>
  <c r="AA50" i="7"/>
  <c r="W50" i="7"/>
  <c r="X50" i="7" s="1"/>
  <c r="U50" i="7"/>
  <c r="R50" i="7"/>
  <c r="O50" i="7"/>
  <c r="N50" i="7"/>
  <c r="L50" i="7"/>
  <c r="I50" i="7"/>
  <c r="H50" i="7"/>
  <c r="F50" i="7"/>
  <c r="C50" i="7"/>
  <c r="AC49" i="7"/>
  <c r="AD49" i="7" s="1"/>
  <c r="AA49" i="7"/>
  <c r="W49" i="7"/>
  <c r="X49" i="7" s="1"/>
  <c r="U49" i="7"/>
  <c r="R49" i="7"/>
  <c r="N49" i="7"/>
  <c r="O49" i="7" s="1"/>
  <c r="L49" i="7"/>
  <c r="H49" i="7"/>
  <c r="I49" i="7" s="1"/>
  <c r="F49" i="7"/>
  <c r="C49" i="7"/>
  <c r="AC48" i="7"/>
  <c r="AD48" i="7" s="1"/>
  <c r="AA48" i="7"/>
  <c r="X48" i="7"/>
  <c r="W48" i="7"/>
  <c r="U48" i="7"/>
  <c r="R48" i="7"/>
  <c r="O48" i="7"/>
  <c r="N48" i="7"/>
  <c r="L48" i="7"/>
  <c r="H48" i="7"/>
  <c r="I48" i="7" s="1"/>
  <c r="F48" i="7"/>
  <c r="C48" i="7"/>
  <c r="AC47" i="7"/>
  <c r="AD47" i="7" s="1"/>
  <c r="AA47" i="7"/>
  <c r="W47" i="7"/>
  <c r="X47" i="7" s="1"/>
  <c r="U47" i="7"/>
  <c r="R47" i="7"/>
  <c r="O47" i="7"/>
  <c r="N47" i="7"/>
  <c r="L47" i="7"/>
  <c r="H47" i="7"/>
  <c r="I47" i="7" s="1"/>
  <c r="F47" i="7"/>
  <c r="C47" i="7"/>
  <c r="AC46" i="7"/>
  <c r="AD46" i="7" s="1"/>
  <c r="AA46" i="7"/>
  <c r="W46" i="7"/>
  <c r="X46" i="7" s="1"/>
  <c r="U46" i="7"/>
  <c r="R46" i="7"/>
  <c r="O46" i="7"/>
  <c r="N46" i="7"/>
  <c r="L46" i="7"/>
  <c r="I46" i="7"/>
  <c r="H46" i="7"/>
  <c r="F46" i="7"/>
  <c r="C46" i="7"/>
  <c r="AC44" i="7"/>
  <c r="AD44" i="7" s="1"/>
  <c r="AA44" i="7"/>
  <c r="W44" i="7"/>
  <c r="X44" i="7" s="1"/>
  <c r="U44" i="7"/>
  <c r="R44" i="7"/>
  <c r="N44" i="7"/>
  <c r="O44" i="7" s="1"/>
  <c r="L44" i="7"/>
  <c r="H44" i="7"/>
  <c r="I44" i="7" s="1"/>
  <c r="F44" i="7"/>
  <c r="C44" i="7"/>
  <c r="AC43" i="7"/>
  <c r="AD43" i="7" s="1"/>
  <c r="AA43" i="7"/>
  <c r="X43" i="7"/>
  <c r="W43" i="7"/>
  <c r="U43" i="7"/>
  <c r="R43" i="7"/>
  <c r="O43" i="7"/>
  <c r="N43" i="7"/>
  <c r="L43" i="7"/>
  <c r="H43" i="7"/>
  <c r="I43" i="7" s="1"/>
  <c r="F43" i="7"/>
  <c r="C43" i="7"/>
  <c r="AC42" i="7"/>
  <c r="AD42" i="7" s="1"/>
  <c r="AA42" i="7"/>
  <c r="X42" i="7"/>
  <c r="W42" i="7"/>
  <c r="U42" i="7"/>
  <c r="R42" i="7"/>
  <c r="N42" i="7"/>
  <c r="O42" i="7" s="1"/>
  <c r="L42" i="7"/>
  <c r="H42" i="7"/>
  <c r="I42" i="7" s="1"/>
  <c r="F42" i="7"/>
  <c r="C42" i="7"/>
  <c r="AC40" i="7"/>
  <c r="AD40" i="7" s="1"/>
  <c r="AA40" i="7"/>
  <c r="Z40" i="7"/>
  <c r="U40" i="7"/>
  <c r="T40" i="7"/>
  <c r="Q40" i="7"/>
  <c r="N40" i="7"/>
  <c r="O40" i="7" s="1"/>
  <c r="L40" i="7"/>
  <c r="K40" i="7"/>
  <c r="E40" i="7"/>
  <c r="F40" i="7" s="1"/>
  <c r="C40" i="7"/>
  <c r="B40" i="7"/>
  <c r="H40" i="7" s="1"/>
  <c r="I40" i="7" s="1"/>
  <c r="AC39" i="7"/>
  <c r="AD39" i="7" s="1"/>
  <c r="AA39" i="7"/>
  <c r="X39" i="7"/>
  <c r="W39" i="7"/>
  <c r="U39" i="7"/>
  <c r="R39" i="7"/>
  <c r="N39" i="7"/>
  <c r="O39" i="7" s="1"/>
  <c r="L39" i="7"/>
  <c r="I39" i="7"/>
  <c r="H39" i="7"/>
  <c r="F39" i="7"/>
  <c r="C39" i="7"/>
  <c r="AD38" i="7"/>
  <c r="AC38" i="7"/>
  <c r="AA38" i="7"/>
  <c r="W38" i="7"/>
  <c r="X38" i="7" s="1"/>
  <c r="U38" i="7"/>
  <c r="R38" i="7"/>
  <c r="N38" i="7"/>
  <c r="O38" i="7" s="1"/>
  <c r="L38" i="7"/>
  <c r="H38" i="7"/>
  <c r="I38" i="7" s="1"/>
  <c r="F38" i="7"/>
  <c r="C38" i="7"/>
  <c r="AC37" i="7"/>
  <c r="AD37" i="7" s="1"/>
  <c r="AA37" i="7"/>
  <c r="W37" i="7"/>
  <c r="X37" i="7" s="1"/>
  <c r="U37" i="7"/>
  <c r="R37" i="7"/>
  <c r="O37" i="7"/>
  <c r="N37" i="7"/>
  <c r="L37" i="7"/>
  <c r="H37" i="7"/>
  <c r="I37" i="7" s="1"/>
  <c r="F37" i="7"/>
  <c r="C37" i="7"/>
  <c r="AC36" i="7"/>
  <c r="AD36" i="7" s="1"/>
  <c r="AA36" i="7"/>
  <c r="X36" i="7"/>
  <c r="W36" i="7"/>
  <c r="U36" i="7"/>
  <c r="R36" i="7"/>
  <c r="O36" i="7"/>
  <c r="N36" i="7"/>
  <c r="L36" i="7"/>
  <c r="H36" i="7"/>
  <c r="I36" i="7" s="1"/>
  <c r="F36" i="7"/>
  <c r="C36" i="7"/>
  <c r="AC35" i="7"/>
  <c r="AD35" i="7" s="1"/>
  <c r="AA35" i="7"/>
  <c r="X35" i="7"/>
  <c r="W35" i="7"/>
  <c r="U35" i="7"/>
  <c r="R35" i="7"/>
  <c r="N35" i="7"/>
  <c r="O35" i="7" s="1"/>
  <c r="L35" i="7"/>
  <c r="H35" i="7"/>
  <c r="I35" i="7" s="1"/>
  <c r="F35" i="7"/>
  <c r="C35" i="7"/>
  <c r="AD34" i="7"/>
  <c r="AC34" i="7"/>
  <c r="AA34" i="7"/>
  <c r="W34" i="7"/>
  <c r="X34" i="7" s="1"/>
  <c r="U34" i="7"/>
  <c r="R34" i="7"/>
  <c r="N34" i="7"/>
  <c r="O34" i="7" s="1"/>
  <c r="L34" i="7"/>
  <c r="H34" i="7"/>
  <c r="I34" i="7" s="1"/>
  <c r="F34" i="7"/>
  <c r="C34" i="7"/>
  <c r="AC33" i="7"/>
  <c r="AD33" i="7" s="1"/>
  <c r="AA33" i="7"/>
  <c r="X33" i="7"/>
  <c r="W33" i="7"/>
  <c r="U33" i="7"/>
  <c r="R33" i="7"/>
  <c r="O33" i="7"/>
  <c r="N33" i="7"/>
  <c r="L33" i="7"/>
  <c r="H33" i="7"/>
  <c r="I33" i="7" s="1"/>
  <c r="F33" i="7"/>
  <c r="C33" i="7"/>
  <c r="AC32" i="7"/>
  <c r="AD32" i="7" s="1"/>
  <c r="AA32" i="7"/>
  <c r="X32" i="7"/>
  <c r="W32" i="7"/>
  <c r="U32" i="7"/>
  <c r="R32" i="7"/>
  <c r="N32" i="7"/>
  <c r="O32" i="7" s="1"/>
  <c r="L32" i="7"/>
  <c r="H32" i="7"/>
  <c r="I32" i="7" s="1"/>
  <c r="F32" i="7"/>
  <c r="C32" i="7"/>
  <c r="AD31" i="7"/>
  <c r="AC31" i="7"/>
  <c r="AA31" i="7"/>
  <c r="X31" i="7"/>
  <c r="W31" i="7"/>
  <c r="U31" i="7"/>
  <c r="R31" i="7"/>
  <c r="N31" i="7"/>
  <c r="O31" i="7" s="1"/>
  <c r="L31" i="7"/>
  <c r="H31" i="7"/>
  <c r="I31" i="7" s="1"/>
  <c r="F31" i="7"/>
  <c r="C31" i="7"/>
  <c r="AA29" i="7"/>
  <c r="Z29" i="7"/>
  <c r="T29" i="7"/>
  <c r="U29" i="7" s="1"/>
  <c r="Q29" i="7"/>
  <c r="AC29" i="7" s="1"/>
  <c r="AD29" i="7" s="1"/>
  <c r="K29" i="7"/>
  <c r="H29" i="7"/>
  <c r="I29" i="7" s="1"/>
  <c r="F29" i="7"/>
  <c r="E29" i="7"/>
  <c r="C29" i="7"/>
  <c r="B29" i="7"/>
  <c r="AD28" i="7"/>
  <c r="AC28" i="7"/>
  <c r="AA28" i="7"/>
  <c r="W28" i="7"/>
  <c r="X28" i="7" s="1"/>
  <c r="U28" i="7"/>
  <c r="R28" i="7"/>
  <c r="N28" i="7"/>
  <c r="O28" i="7" s="1"/>
  <c r="L28" i="7"/>
  <c r="H28" i="7"/>
  <c r="I28" i="7" s="1"/>
  <c r="F28" i="7"/>
  <c r="C28" i="7"/>
  <c r="AD27" i="7"/>
  <c r="AC27" i="7"/>
  <c r="AA27" i="7"/>
  <c r="X27" i="7"/>
  <c r="W27" i="7"/>
  <c r="U27" i="7"/>
  <c r="R27" i="7"/>
  <c r="N27" i="7"/>
  <c r="O27" i="7" s="1"/>
  <c r="L27" i="7"/>
  <c r="H27" i="7"/>
  <c r="I27" i="7" s="1"/>
  <c r="F27" i="7"/>
  <c r="C27" i="7"/>
  <c r="AD26" i="7"/>
  <c r="AC26" i="7"/>
  <c r="AA26" i="7"/>
  <c r="X26" i="7"/>
  <c r="W26" i="7"/>
  <c r="U26" i="7"/>
  <c r="R26" i="7"/>
  <c r="N26" i="7"/>
  <c r="O26" i="7" s="1"/>
  <c r="L26" i="7"/>
  <c r="H26" i="7"/>
  <c r="I26" i="7" s="1"/>
  <c r="F26" i="7"/>
  <c r="C26" i="7"/>
  <c r="AC25" i="7"/>
  <c r="AD25" i="7" s="1"/>
  <c r="AA25" i="7"/>
  <c r="X25" i="7"/>
  <c r="W25" i="7"/>
  <c r="U25" i="7"/>
  <c r="R25" i="7"/>
  <c r="O25" i="7"/>
  <c r="N25" i="7"/>
  <c r="L25" i="7"/>
  <c r="H25" i="7"/>
  <c r="I25" i="7" s="1"/>
  <c r="F25" i="7"/>
  <c r="C25" i="7"/>
  <c r="AD24" i="7"/>
  <c r="AC24" i="7"/>
  <c r="AA24" i="7"/>
  <c r="W24" i="7"/>
  <c r="X24" i="7" s="1"/>
  <c r="U24" i="7"/>
  <c r="R24" i="7"/>
  <c r="N24" i="7"/>
  <c r="O24" i="7" s="1"/>
  <c r="L24" i="7"/>
  <c r="H24" i="7"/>
  <c r="I24" i="7" s="1"/>
  <c r="F24" i="7"/>
  <c r="C24" i="7"/>
  <c r="AC23" i="7"/>
  <c r="AD23" i="7" s="1"/>
  <c r="AA23" i="7"/>
  <c r="X23" i="7"/>
  <c r="W23" i="7"/>
  <c r="U23" i="7"/>
  <c r="R23" i="7"/>
  <c r="O23" i="7"/>
  <c r="N23" i="7"/>
  <c r="L23" i="7"/>
  <c r="H23" i="7"/>
  <c r="I23" i="7" s="1"/>
  <c r="F23" i="7"/>
  <c r="C23" i="7"/>
  <c r="AC22" i="7"/>
  <c r="AD22" i="7" s="1"/>
  <c r="AA22" i="7"/>
  <c r="W22" i="7"/>
  <c r="X22" i="7" s="1"/>
  <c r="U22" i="7"/>
  <c r="R22" i="7"/>
  <c r="O22" i="7"/>
  <c r="N22" i="7"/>
  <c r="L22" i="7"/>
  <c r="I22" i="7"/>
  <c r="H22" i="7"/>
  <c r="F22" i="7"/>
  <c r="C22" i="7"/>
  <c r="AC21" i="7"/>
  <c r="AD21" i="7" s="1"/>
  <c r="AA21" i="7"/>
  <c r="W21" i="7"/>
  <c r="X21" i="7" s="1"/>
  <c r="U21" i="7"/>
  <c r="R21" i="7"/>
  <c r="O21" i="7"/>
  <c r="N21" i="7"/>
  <c r="L21" i="7"/>
  <c r="I21" i="7"/>
  <c r="H21" i="7"/>
  <c r="F21" i="7"/>
  <c r="C21" i="7"/>
  <c r="AD19" i="7"/>
  <c r="AC19" i="7"/>
  <c r="AA19" i="7"/>
  <c r="W19" i="7"/>
  <c r="X19" i="7" s="1"/>
  <c r="U19" i="7"/>
  <c r="R19" i="7"/>
  <c r="N19" i="7"/>
  <c r="O19" i="7" s="1"/>
  <c r="L19" i="7"/>
  <c r="H19" i="7"/>
  <c r="I19" i="7" s="1"/>
  <c r="F19" i="7"/>
  <c r="C19" i="7"/>
  <c r="AC18" i="7"/>
  <c r="AD18" i="7" s="1"/>
  <c r="AA18" i="7"/>
  <c r="Z18" i="7"/>
  <c r="W18" i="7"/>
  <c r="X18" i="7" s="1"/>
  <c r="U18" i="7"/>
  <c r="T18" i="7"/>
  <c r="R18" i="7"/>
  <c r="Q18" i="7"/>
  <c r="N18" i="7"/>
  <c r="O18" i="7" s="1"/>
  <c r="K18" i="7"/>
  <c r="L18" i="7" s="1"/>
  <c r="E18" i="7"/>
  <c r="F18" i="7" s="1"/>
  <c r="B18" i="7"/>
  <c r="C18" i="7" s="1"/>
  <c r="AC17" i="7"/>
  <c r="AD17" i="7" s="1"/>
  <c r="AA17" i="7"/>
  <c r="X17" i="7"/>
  <c r="W17" i="7"/>
  <c r="U17" i="7"/>
  <c r="R17" i="7"/>
  <c r="O17" i="7"/>
  <c r="N17" i="7"/>
  <c r="L17" i="7"/>
  <c r="H17" i="7"/>
  <c r="I17" i="7" s="1"/>
  <c r="F17" i="7"/>
  <c r="C17" i="7"/>
  <c r="AD16" i="7"/>
  <c r="AC16" i="7"/>
  <c r="AA16" i="7"/>
  <c r="W16" i="7"/>
  <c r="X16" i="7" s="1"/>
  <c r="U16" i="7"/>
  <c r="R16" i="7"/>
  <c r="N16" i="7"/>
  <c r="O16" i="7" s="1"/>
  <c r="L16" i="7"/>
  <c r="H16" i="7"/>
  <c r="I16" i="7" s="1"/>
  <c r="F16" i="7"/>
  <c r="C16" i="7"/>
  <c r="AC15" i="7"/>
  <c r="AD15" i="7" s="1"/>
  <c r="AA15" i="7"/>
  <c r="X15" i="7"/>
  <c r="W15" i="7"/>
  <c r="U15" i="7"/>
  <c r="R15" i="7"/>
  <c r="N15" i="7"/>
  <c r="O15" i="7" s="1"/>
  <c r="L15" i="7"/>
  <c r="H15" i="7"/>
  <c r="I15" i="7" s="1"/>
  <c r="F15" i="7"/>
  <c r="C15" i="7"/>
  <c r="AC14" i="7"/>
  <c r="AD14" i="7" s="1"/>
  <c r="AA14" i="7"/>
  <c r="X14" i="7"/>
  <c r="W14" i="7"/>
  <c r="U14" i="7"/>
  <c r="R14" i="7"/>
  <c r="N14" i="7"/>
  <c r="O14" i="7" s="1"/>
  <c r="L14" i="7"/>
  <c r="H14" i="7"/>
  <c r="I14" i="7" s="1"/>
  <c r="F14" i="7"/>
  <c r="C14" i="7"/>
  <c r="AC13" i="7"/>
  <c r="AD13" i="7" s="1"/>
  <c r="AA13" i="7"/>
  <c r="W13" i="7"/>
  <c r="X13" i="7" s="1"/>
  <c r="U13" i="7"/>
  <c r="R13" i="7"/>
  <c r="O13" i="7"/>
  <c r="N13" i="7"/>
  <c r="L13" i="7"/>
  <c r="H13" i="7"/>
  <c r="I13" i="7" s="1"/>
  <c r="F13" i="7"/>
  <c r="C13" i="7"/>
  <c r="AD12" i="7"/>
  <c r="AC12" i="7"/>
  <c r="AA12" i="7"/>
  <c r="W12" i="7"/>
  <c r="X12" i="7" s="1"/>
  <c r="U12" i="7"/>
  <c r="R12" i="7"/>
  <c r="O12" i="7"/>
  <c r="N12" i="7"/>
  <c r="L12" i="7"/>
  <c r="H12" i="7"/>
  <c r="I12" i="7" s="1"/>
  <c r="F12" i="7"/>
  <c r="C12" i="7"/>
  <c r="AC11" i="7"/>
  <c r="AD11" i="7" s="1"/>
  <c r="AA11" i="7"/>
  <c r="X11" i="7"/>
  <c r="W11" i="7"/>
  <c r="U11" i="7"/>
  <c r="R11" i="7"/>
  <c r="N11" i="7"/>
  <c r="O11" i="7" s="1"/>
  <c r="L11" i="7"/>
  <c r="I11" i="7"/>
  <c r="H11" i="7"/>
  <c r="F11" i="7"/>
  <c r="C11" i="7"/>
  <c r="AC10" i="7"/>
  <c r="AD10" i="7" s="1"/>
  <c r="AA10" i="7"/>
  <c r="W10" i="7"/>
  <c r="X10" i="7" s="1"/>
  <c r="U10" i="7"/>
  <c r="R10" i="7"/>
  <c r="O10" i="7"/>
  <c r="N10" i="7"/>
  <c r="L10" i="7"/>
  <c r="H10" i="7"/>
  <c r="I10" i="7" s="1"/>
  <c r="F10" i="7"/>
  <c r="C10" i="7"/>
  <c r="AC8" i="7"/>
  <c r="AD8" i="7" s="1"/>
  <c r="AA8" i="7"/>
  <c r="X8" i="7"/>
  <c r="W8" i="7"/>
  <c r="U8" i="7"/>
  <c r="R8" i="7"/>
  <c r="O8" i="7"/>
  <c r="N8" i="7"/>
  <c r="L8" i="7"/>
  <c r="H8" i="7"/>
  <c r="I8" i="7" s="1"/>
  <c r="F8" i="7"/>
  <c r="C8" i="7"/>
  <c r="AC444" i="6"/>
  <c r="W444" i="6"/>
  <c r="X439" i="6" s="1"/>
  <c r="N444" i="6"/>
  <c r="H444" i="6"/>
  <c r="AC442" i="6"/>
  <c r="AD442" i="6" s="1"/>
  <c r="Z442" i="6"/>
  <c r="AA442" i="6" s="1"/>
  <c r="T442" i="6"/>
  <c r="U442" i="6" s="1"/>
  <c r="Q442" i="6"/>
  <c r="R442" i="6" s="1"/>
  <c r="K442" i="6"/>
  <c r="L442" i="6" s="1"/>
  <c r="H442" i="6"/>
  <c r="I442" i="6" s="1"/>
  <c r="E442" i="6"/>
  <c r="F442" i="6" s="1"/>
  <c r="B442" i="6"/>
  <c r="C442" i="6" s="1"/>
  <c r="Z441" i="6"/>
  <c r="AA441" i="6" s="1"/>
  <c r="W441" i="6"/>
  <c r="X441" i="6" s="1"/>
  <c r="T441" i="6"/>
  <c r="U441" i="6" s="1"/>
  <c r="Q441" i="6"/>
  <c r="R441" i="6" s="1"/>
  <c r="K441" i="6"/>
  <c r="L441" i="6" s="1"/>
  <c r="E441" i="6"/>
  <c r="F441" i="6" s="1"/>
  <c r="C441" i="6"/>
  <c r="B441" i="6"/>
  <c r="AC440" i="6"/>
  <c r="AD440" i="6" s="1"/>
  <c r="AA440" i="6"/>
  <c r="W440" i="6"/>
  <c r="U440" i="6"/>
  <c r="R440" i="6"/>
  <c r="O440" i="6"/>
  <c r="N440" i="6"/>
  <c r="L440" i="6"/>
  <c r="H440" i="6"/>
  <c r="I440" i="6" s="1"/>
  <c r="F440" i="6"/>
  <c r="C440" i="6"/>
  <c r="AC439" i="6"/>
  <c r="AD439" i="6" s="1"/>
  <c r="AA439" i="6"/>
  <c r="W439" i="6"/>
  <c r="U439" i="6"/>
  <c r="R439" i="6"/>
  <c r="N439" i="6"/>
  <c r="O439" i="6" s="1"/>
  <c r="L439" i="6"/>
  <c r="I439" i="6"/>
  <c r="H439" i="6"/>
  <c r="F439" i="6"/>
  <c r="C439" i="6"/>
  <c r="AC438" i="6"/>
  <c r="AA438" i="6"/>
  <c r="W438" i="6"/>
  <c r="X438" i="6" s="1"/>
  <c r="U438" i="6"/>
  <c r="R438" i="6"/>
  <c r="O438" i="6"/>
  <c r="N438" i="6"/>
  <c r="L438" i="6"/>
  <c r="H438" i="6"/>
  <c r="I438" i="6" s="1"/>
  <c r="F438" i="6"/>
  <c r="C438" i="6"/>
  <c r="AC437" i="6"/>
  <c r="AD437" i="6" s="1"/>
  <c r="AA437" i="6"/>
  <c r="X437" i="6"/>
  <c r="W437" i="6"/>
  <c r="U437" i="6"/>
  <c r="R437" i="6"/>
  <c r="O437" i="6"/>
  <c r="N437" i="6"/>
  <c r="L437" i="6"/>
  <c r="H437" i="6"/>
  <c r="I437" i="6" s="1"/>
  <c r="F437" i="6"/>
  <c r="C437" i="6"/>
  <c r="AC436" i="6"/>
  <c r="AD436" i="6" s="1"/>
  <c r="AA436" i="6"/>
  <c r="W436" i="6"/>
  <c r="U436" i="6"/>
  <c r="R436" i="6"/>
  <c r="O436" i="6"/>
  <c r="N436" i="6"/>
  <c r="L436" i="6"/>
  <c r="H436" i="6"/>
  <c r="I436" i="6" s="1"/>
  <c r="F436" i="6"/>
  <c r="C436" i="6"/>
  <c r="AC435" i="6"/>
  <c r="AD435" i="6" s="1"/>
  <c r="AA435" i="6"/>
  <c r="W435" i="6"/>
  <c r="U435" i="6"/>
  <c r="R435" i="6"/>
  <c r="O435" i="6"/>
  <c r="N435" i="6"/>
  <c r="L435" i="6"/>
  <c r="I435" i="6"/>
  <c r="H435" i="6"/>
  <c r="F435" i="6"/>
  <c r="C435" i="6"/>
  <c r="AC434" i="6"/>
  <c r="AD434" i="6" s="1"/>
  <c r="AA434" i="6"/>
  <c r="W434" i="6"/>
  <c r="X434" i="6" s="1"/>
  <c r="U434" i="6"/>
  <c r="R434" i="6"/>
  <c r="O434" i="6"/>
  <c r="N434" i="6"/>
  <c r="L434" i="6"/>
  <c r="I434" i="6"/>
  <c r="H434" i="6"/>
  <c r="F434" i="6"/>
  <c r="C434" i="6"/>
  <c r="AC433" i="6"/>
  <c r="AD433" i="6" s="1"/>
  <c r="AA433" i="6"/>
  <c r="W433" i="6"/>
  <c r="X433" i="6" s="1"/>
  <c r="U433" i="6"/>
  <c r="R433" i="6"/>
  <c r="O433" i="6"/>
  <c r="N433" i="6"/>
  <c r="L433" i="6"/>
  <c r="H433" i="6"/>
  <c r="I433" i="6" s="1"/>
  <c r="F433" i="6"/>
  <c r="C433" i="6"/>
  <c r="AD432" i="6"/>
  <c r="AC432" i="6"/>
  <c r="AA432" i="6"/>
  <c r="W432" i="6"/>
  <c r="U432" i="6"/>
  <c r="R432" i="6"/>
  <c r="N432" i="6"/>
  <c r="O432" i="6" s="1"/>
  <c r="L432" i="6"/>
  <c r="H432" i="6"/>
  <c r="I432" i="6" s="1"/>
  <c r="F432" i="6"/>
  <c r="C432" i="6"/>
  <c r="Z429" i="6"/>
  <c r="AA429" i="6" s="1"/>
  <c r="T429" i="6"/>
  <c r="U429" i="6" s="1"/>
  <c r="Q429" i="6"/>
  <c r="O429" i="6"/>
  <c r="K429" i="6"/>
  <c r="L429" i="6" s="1"/>
  <c r="E429" i="6"/>
  <c r="F429" i="6" s="1"/>
  <c r="B429" i="6"/>
  <c r="N429" i="6" s="1"/>
  <c r="Z428" i="6"/>
  <c r="AA428" i="6" s="1"/>
  <c r="T428" i="6"/>
  <c r="W428" i="6" s="1"/>
  <c r="X428" i="6" s="1"/>
  <c r="Q428" i="6"/>
  <c r="R428" i="6" s="1"/>
  <c r="K428" i="6"/>
  <c r="L428" i="6" s="1"/>
  <c r="E428" i="6"/>
  <c r="F428" i="6" s="1"/>
  <c r="B428" i="6"/>
  <c r="C428" i="6" s="1"/>
  <c r="AD427" i="6"/>
  <c r="AC427" i="6"/>
  <c r="AA427" i="6"/>
  <c r="X427" i="6"/>
  <c r="W427" i="6"/>
  <c r="U427" i="6"/>
  <c r="R427" i="6"/>
  <c r="N427" i="6"/>
  <c r="O427" i="6" s="1"/>
  <c r="L427" i="6"/>
  <c r="H427" i="6"/>
  <c r="I427" i="6" s="1"/>
  <c r="F427" i="6"/>
  <c r="C427" i="6"/>
  <c r="AC426" i="6"/>
  <c r="AD426" i="6" s="1"/>
  <c r="AA426" i="6"/>
  <c r="X426" i="6"/>
  <c r="W426" i="6"/>
  <c r="U426" i="6"/>
  <c r="R426" i="6"/>
  <c r="O426" i="6"/>
  <c r="N426" i="6"/>
  <c r="L426" i="6"/>
  <c r="H426" i="6"/>
  <c r="I426" i="6" s="1"/>
  <c r="F426" i="6"/>
  <c r="C426" i="6"/>
  <c r="AC425" i="6"/>
  <c r="AD425" i="6" s="1"/>
  <c r="AA425" i="6"/>
  <c r="W425" i="6"/>
  <c r="X425" i="6" s="1"/>
  <c r="U425" i="6"/>
  <c r="R425" i="6"/>
  <c r="O425" i="6"/>
  <c r="N425" i="6"/>
  <c r="L425" i="6"/>
  <c r="H425" i="6"/>
  <c r="I425" i="6" s="1"/>
  <c r="F425" i="6"/>
  <c r="C425" i="6"/>
  <c r="AC424" i="6"/>
  <c r="AD424" i="6" s="1"/>
  <c r="AA424" i="6"/>
  <c r="W424" i="6"/>
  <c r="U424" i="6"/>
  <c r="R424" i="6"/>
  <c r="N424" i="6"/>
  <c r="O424" i="6" s="1"/>
  <c r="L424" i="6"/>
  <c r="H424" i="6"/>
  <c r="I424" i="6" s="1"/>
  <c r="F424" i="6"/>
  <c r="C424" i="6"/>
  <c r="AD423" i="6"/>
  <c r="AC423" i="6"/>
  <c r="AA423" i="6"/>
  <c r="X423" i="6"/>
  <c r="W423" i="6"/>
  <c r="U423" i="6"/>
  <c r="R423" i="6"/>
  <c r="N423" i="6"/>
  <c r="O423" i="6" s="1"/>
  <c r="L423" i="6"/>
  <c r="H423" i="6"/>
  <c r="I423" i="6" s="1"/>
  <c r="F423" i="6"/>
  <c r="C423" i="6"/>
  <c r="AC422" i="6"/>
  <c r="AD422" i="6" s="1"/>
  <c r="AA422" i="6"/>
  <c r="X422" i="6"/>
  <c r="W422" i="6"/>
  <c r="U422" i="6"/>
  <c r="R422" i="6"/>
  <c r="O422" i="6"/>
  <c r="N422" i="6"/>
  <c r="L422" i="6"/>
  <c r="H422" i="6"/>
  <c r="I422" i="6" s="1"/>
  <c r="F422" i="6"/>
  <c r="C422" i="6"/>
  <c r="AC421" i="6"/>
  <c r="AD421" i="6" s="1"/>
  <c r="AA421" i="6"/>
  <c r="X421" i="6"/>
  <c r="W421" i="6"/>
  <c r="U421" i="6"/>
  <c r="R421" i="6"/>
  <c r="O421" i="6"/>
  <c r="N421" i="6"/>
  <c r="L421" i="6"/>
  <c r="H421" i="6"/>
  <c r="I421" i="6" s="1"/>
  <c r="F421" i="6"/>
  <c r="C421" i="6"/>
  <c r="AC420" i="6"/>
  <c r="AD420" i="6" s="1"/>
  <c r="AA420" i="6"/>
  <c r="W420" i="6"/>
  <c r="U420" i="6"/>
  <c r="R420" i="6"/>
  <c r="O420" i="6"/>
  <c r="N420" i="6"/>
  <c r="L420" i="6"/>
  <c r="H420" i="6"/>
  <c r="I420" i="6" s="1"/>
  <c r="F420" i="6"/>
  <c r="C420" i="6"/>
  <c r="AC419" i="6"/>
  <c r="AD419" i="6" s="1"/>
  <c r="AA419" i="6"/>
  <c r="W419" i="6"/>
  <c r="U419" i="6"/>
  <c r="R419" i="6"/>
  <c r="N419" i="6"/>
  <c r="O419" i="6" s="1"/>
  <c r="L419" i="6"/>
  <c r="I419" i="6"/>
  <c r="H419" i="6"/>
  <c r="F419" i="6"/>
  <c r="C419" i="6"/>
  <c r="AC418" i="6"/>
  <c r="AD418" i="6" s="1"/>
  <c r="AA418" i="6"/>
  <c r="W418" i="6"/>
  <c r="X418" i="6" s="1"/>
  <c r="U418" i="6"/>
  <c r="R418" i="6"/>
  <c r="O418" i="6"/>
  <c r="N418" i="6"/>
  <c r="L418" i="6"/>
  <c r="H418" i="6"/>
  <c r="I418" i="6" s="1"/>
  <c r="F418" i="6"/>
  <c r="C418" i="6"/>
  <c r="AC417" i="6"/>
  <c r="AD417" i="6" s="1"/>
  <c r="AA417" i="6"/>
  <c r="X417" i="6"/>
  <c r="W417" i="6"/>
  <c r="U417" i="6"/>
  <c r="R417" i="6"/>
  <c r="O417" i="6"/>
  <c r="N417" i="6"/>
  <c r="L417" i="6"/>
  <c r="H417" i="6"/>
  <c r="I417" i="6" s="1"/>
  <c r="F417" i="6"/>
  <c r="C417" i="6"/>
  <c r="AC416" i="6"/>
  <c r="AD416" i="6" s="1"/>
  <c r="AA416" i="6"/>
  <c r="W416" i="6"/>
  <c r="U416" i="6"/>
  <c r="R416" i="6"/>
  <c r="O416" i="6"/>
  <c r="N416" i="6"/>
  <c r="L416" i="6"/>
  <c r="H416" i="6"/>
  <c r="I416" i="6" s="1"/>
  <c r="F416" i="6"/>
  <c r="C416" i="6"/>
  <c r="AC415" i="6"/>
  <c r="AD415" i="6" s="1"/>
  <c r="AA415" i="6"/>
  <c r="W415" i="6"/>
  <c r="U415" i="6"/>
  <c r="R415" i="6"/>
  <c r="O415" i="6"/>
  <c r="N415" i="6"/>
  <c r="L415" i="6"/>
  <c r="I415" i="6"/>
  <c r="H415" i="6"/>
  <c r="F415" i="6"/>
  <c r="C415" i="6"/>
  <c r="AC414" i="6"/>
  <c r="AD414" i="6" s="1"/>
  <c r="AA414" i="6"/>
  <c r="W414" i="6"/>
  <c r="X414" i="6" s="1"/>
  <c r="U414" i="6"/>
  <c r="R414" i="6"/>
  <c r="O414" i="6"/>
  <c r="N414" i="6"/>
  <c r="L414" i="6"/>
  <c r="I414" i="6"/>
  <c r="H414" i="6"/>
  <c r="F414" i="6"/>
  <c r="C414" i="6"/>
  <c r="AC413" i="6"/>
  <c r="AD413" i="6" s="1"/>
  <c r="AA413" i="6"/>
  <c r="W413" i="6"/>
  <c r="X413" i="6" s="1"/>
  <c r="U413" i="6"/>
  <c r="R413" i="6"/>
  <c r="O413" i="6"/>
  <c r="N413" i="6"/>
  <c r="L413" i="6"/>
  <c r="H413" i="6"/>
  <c r="I413" i="6" s="1"/>
  <c r="F413" i="6"/>
  <c r="C413" i="6"/>
  <c r="AD412" i="6"/>
  <c r="AC412" i="6"/>
  <c r="AA412" i="6"/>
  <c r="W412" i="6"/>
  <c r="U412" i="6"/>
  <c r="R412" i="6"/>
  <c r="N412" i="6"/>
  <c r="O412" i="6" s="1"/>
  <c r="L412" i="6"/>
  <c r="H412" i="6"/>
  <c r="I412" i="6" s="1"/>
  <c r="F412" i="6"/>
  <c r="C412" i="6"/>
  <c r="AC411" i="6"/>
  <c r="AD411" i="6" s="1"/>
  <c r="AA411" i="6"/>
  <c r="X411" i="6"/>
  <c r="W411" i="6"/>
  <c r="U411" i="6"/>
  <c r="R411" i="6"/>
  <c r="O411" i="6"/>
  <c r="N411" i="6"/>
  <c r="L411" i="6"/>
  <c r="H411" i="6"/>
  <c r="I411" i="6" s="1"/>
  <c r="F411" i="6"/>
  <c r="C411" i="6"/>
  <c r="AC410" i="6"/>
  <c r="AD410" i="6" s="1"/>
  <c r="AA410" i="6"/>
  <c r="W410" i="6"/>
  <c r="X410" i="6" s="1"/>
  <c r="U410" i="6"/>
  <c r="R410" i="6"/>
  <c r="O410" i="6"/>
  <c r="N410" i="6"/>
  <c r="L410" i="6"/>
  <c r="I410" i="6"/>
  <c r="H410" i="6"/>
  <c r="F410" i="6"/>
  <c r="C410" i="6"/>
  <c r="AC409" i="6"/>
  <c r="AD409" i="6" s="1"/>
  <c r="AA409" i="6"/>
  <c r="W409" i="6"/>
  <c r="X409" i="6" s="1"/>
  <c r="U409" i="6"/>
  <c r="R409" i="6"/>
  <c r="O409" i="6"/>
  <c r="N409" i="6"/>
  <c r="L409" i="6"/>
  <c r="H409" i="6"/>
  <c r="I409" i="6" s="1"/>
  <c r="F409" i="6"/>
  <c r="C409" i="6"/>
  <c r="AD408" i="6"/>
  <c r="AC408" i="6"/>
  <c r="AA408" i="6"/>
  <c r="W408" i="6"/>
  <c r="U408" i="6"/>
  <c r="R408" i="6"/>
  <c r="N408" i="6"/>
  <c r="O408" i="6" s="1"/>
  <c r="L408" i="6"/>
  <c r="H408" i="6"/>
  <c r="I408" i="6" s="1"/>
  <c r="F408" i="6"/>
  <c r="C408" i="6"/>
  <c r="AD407" i="6"/>
  <c r="AC407" i="6"/>
  <c r="AA407" i="6"/>
  <c r="X407" i="6"/>
  <c r="W407" i="6"/>
  <c r="U407" i="6"/>
  <c r="R407" i="6"/>
  <c r="N407" i="6"/>
  <c r="O407" i="6" s="1"/>
  <c r="L407" i="6"/>
  <c r="H407" i="6"/>
  <c r="I407" i="6" s="1"/>
  <c r="F407" i="6"/>
  <c r="C407" i="6"/>
  <c r="AC403" i="6"/>
  <c r="AD403" i="6" s="1"/>
  <c r="Z403" i="6"/>
  <c r="AA403" i="6" s="1"/>
  <c r="U403" i="6"/>
  <c r="T403" i="6"/>
  <c r="R403" i="6"/>
  <c r="Q403" i="6"/>
  <c r="K403" i="6"/>
  <c r="L403" i="6" s="1"/>
  <c r="E403" i="6"/>
  <c r="B403" i="6"/>
  <c r="C403" i="6" s="1"/>
  <c r="AC402" i="6"/>
  <c r="AD402" i="6" s="1"/>
  <c r="AA402" i="6"/>
  <c r="X402" i="6"/>
  <c r="W402" i="6"/>
  <c r="U402" i="6"/>
  <c r="R402" i="6"/>
  <c r="O402" i="6"/>
  <c r="N402" i="6"/>
  <c r="L402" i="6"/>
  <c r="H402" i="6"/>
  <c r="I402" i="6" s="1"/>
  <c r="F402" i="6"/>
  <c r="C402" i="6"/>
  <c r="AC401" i="6"/>
  <c r="AD401" i="6" s="1"/>
  <c r="AA401" i="6"/>
  <c r="X401" i="6"/>
  <c r="W401" i="6"/>
  <c r="U401" i="6"/>
  <c r="R401" i="6"/>
  <c r="O401" i="6"/>
  <c r="N401" i="6"/>
  <c r="L401" i="6"/>
  <c r="H401" i="6"/>
  <c r="I401" i="6" s="1"/>
  <c r="F401" i="6"/>
  <c r="C401" i="6"/>
  <c r="AC400" i="6"/>
  <c r="AD400" i="6" s="1"/>
  <c r="AA400" i="6"/>
  <c r="W400" i="6"/>
  <c r="U400" i="6"/>
  <c r="R400" i="6"/>
  <c r="N400" i="6"/>
  <c r="O400" i="6" s="1"/>
  <c r="L400" i="6"/>
  <c r="H400" i="6"/>
  <c r="I400" i="6" s="1"/>
  <c r="F400" i="6"/>
  <c r="C400" i="6"/>
  <c r="AC399" i="6"/>
  <c r="AD399" i="6" s="1"/>
  <c r="AA399" i="6"/>
  <c r="X399" i="6"/>
  <c r="W399" i="6"/>
  <c r="U399" i="6"/>
  <c r="R399" i="6"/>
  <c r="N399" i="6"/>
  <c r="O399" i="6" s="1"/>
  <c r="L399" i="6"/>
  <c r="H399" i="6"/>
  <c r="I399" i="6" s="1"/>
  <c r="F399" i="6"/>
  <c r="C399" i="6"/>
  <c r="AC398" i="6"/>
  <c r="AD398" i="6" s="1"/>
  <c r="AA398" i="6"/>
  <c r="W398" i="6"/>
  <c r="X398" i="6" s="1"/>
  <c r="U398" i="6"/>
  <c r="R398" i="6"/>
  <c r="O398" i="6"/>
  <c r="N398" i="6"/>
  <c r="L398" i="6"/>
  <c r="H398" i="6"/>
  <c r="I398" i="6" s="1"/>
  <c r="F398" i="6"/>
  <c r="C398" i="6"/>
  <c r="AC397" i="6"/>
  <c r="AD397" i="6" s="1"/>
  <c r="AA397" i="6"/>
  <c r="W397" i="6"/>
  <c r="X397" i="6" s="1"/>
  <c r="U397" i="6"/>
  <c r="R397" i="6"/>
  <c r="O397" i="6"/>
  <c r="N397" i="6"/>
  <c r="L397" i="6"/>
  <c r="H397" i="6"/>
  <c r="I397" i="6" s="1"/>
  <c r="F397" i="6"/>
  <c r="C397" i="6"/>
  <c r="Z396" i="6"/>
  <c r="AA396" i="6" s="1"/>
  <c r="W396" i="6"/>
  <c r="X396" i="6" s="1"/>
  <c r="U396" i="6"/>
  <c r="T396" i="6"/>
  <c r="R396" i="6"/>
  <c r="Q396" i="6"/>
  <c r="AC396" i="6" s="1"/>
  <c r="AD396" i="6" s="1"/>
  <c r="K396" i="6"/>
  <c r="L396" i="6" s="1"/>
  <c r="F396" i="6"/>
  <c r="E396" i="6"/>
  <c r="H396" i="6" s="1"/>
  <c r="I396" i="6" s="1"/>
  <c r="B396" i="6"/>
  <c r="C396" i="6" s="1"/>
  <c r="AC395" i="6"/>
  <c r="AD395" i="6" s="1"/>
  <c r="AA395" i="6"/>
  <c r="W395" i="6"/>
  <c r="X395" i="6" s="1"/>
  <c r="U395" i="6"/>
  <c r="R395" i="6"/>
  <c r="O395" i="6"/>
  <c r="N395" i="6"/>
  <c r="L395" i="6"/>
  <c r="I395" i="6"/>
  <c r="H395" i="6"/>
  <c r="F395" i="6"/>
  <c r="C395" i="6"/>
  <c r="AC394" i="6"/>
  <c r="AD394" i="6" s="1"/>
  <c r="AA394" i="6"/>
  <c r="W394" i="6"/>
  <c r="X394" i="6" s="1"/>
  <c r="U394" i="6"/>
  <c r="R394" i="6"/>
  <c r="O394" i="6"/>
  <c r="N394" i="6"/>
  <c r="L394" i="6"/>
  <c r="H394" i="6"/>
  <c r="I394" i="6" s="1"/>
  <c r="F394" i="6"/>
  <c r="C394" i="6"/>
  <c r="Z393" i="6"/>
  <c r="AA393" i="6" s="1"/>
  <c r="W393" i="6"/>
  <c r="X393" i="6" s="1"/>
  <c r="T393" i="6"/>
  <c r="U393" i="6" s="1"/>
  <c r="Q393" i="6"/>
  <c r="K393" i="6"/>
  <c r="L393" i="6" s="1"/>
  <c r="E393" i="6"/>
  <c r="H393" i="6" s="1"/>
  <c r="I393" i="6" s="1"/>
  <c r="B393" i="6"/>
  <c r="C393" i="6" s="1"/>
  <c r="AC392" i="6"/>
  <c r="AD392" i="6" s="1"/>
  <c r="AA392" i="6"/>
  <c r="X392" i="6"/>
  <c r="W392" i="6"/>
  <c r="U392" i="6"/>
  <c r="R392" i="6"/>
  <c r="O392" i="6"/>
  <c r="N392" i="6"/>
  <c r="L392" i="6"/>
  <c r="H392" i="6"/>
  <c r="I392" i="6" s="1"/>
  <c r="F392" i="6"/>
  <c r="C392" i="6"/>
  <c r="AC391" i="6"/>
  <c r="AD391" i="6" s="1"/>
  <c r="AA391" i="6"/>
  <c r="X391" i="6"/>
  <c r="W391" i="6"/>
  <c r="U391" i="6"/>
  <c r="R391" i="6"/>
  <c r="O391" i="6"/>
  <c r="N391" i="6"/>
  <c r="L391" i="6"/>
  <c r="H391" i="6"/>
  <c r="I391" i="6" s="1"/>
  <c r="F391" i="6"/>
  <c r="C391" i="6"/>
  <c r="AC390" i="6"/>
  <c r="AD390" i="6" s="1"/>
  <c r="AA390" i="6"/>
  <c r="W390" i="6"/>
  <c r="U390" i="6"/>
  <c r="R390" i="6"/>
  <c r="O390" i="6"/>
  <c r="N390" i="6"/>
  <c r="L390" i="6"/>
  <c r="H390" i="6"/>
  <c r="I390" i="6" s="1"/>
  <c r="F390" i="6"/>
  <c r="C390" i="6"/>
  <c r="AC389" i="6"/>
  <c r="AD389" i="6" s="1"/>
  <c r="AA389" i="6"/>
  <c r="W389" i="6"/>
  <c r="U389" i="6"/>
  <c r="R389" i="6"/>
  <c r="N389" i="6"/>
  <c r="O389" i="6" s="1"/>
  <c r="L389" i="6"/>
  <c r="I389" i="6"/>
  <c r="H389" i="6"/>
  <c r="F389" i="6"/>
  <c r="C389" i="6"/>
  <c r="AC388" i="6"/>
  <c r="AD388" i="6" s="1"/>
  <c r="AA388" i="6"/>
  <c r="W388" i="6"/>
  <c r="X388" i="6" s="1"/>
  <c r="U388" i="6"/>
  <c r="R388" i="6"/>
  <c r="O388" i="6"/>
  <c r="N388" i="6"/>
  <c r="L388" i="6"/>
  <c r="H388" i="6"/>
  <c r="I388" i="6" s="1"/>
  <c r="F388" i="6"/>
  <c r="C388" i="6"/>
  <c r="AC386" i="6"/>
  <c r="AD386" i="6" s="1"/>
  <c r="AA386" i="6"/>
  <c r="X386" i="6"/>
  <c r="W386" i="6"/>
  <c r="U386" i="6"/>
  <c r="R386" i="6"/>
  <c r="O386" i="6"/>
  <c r="N386" i="6"/>
  <c r="L386" i="6"/>
  <c r="H386" i="6"/>
  <c r="I386" i="6" s="1"/>
  <c r="F386" i="6"/>
  <c r="C386" i="6"/>
  <c r="AC385" i="6"/>
  <c r="AD385" i="6" s="1"/>
  <c r="AA385" i="6"/>
  <c r="W385" i="6"/>
  <c r="U385" i="6"/>
  <c r="R385" i="6"/>
  <c r="O385" i="6"/>
  <c r="N385" i="6"/>
  <c r="L385" i="6"/>
  <c r="H385" i="6"/>
  <c r="I385" i="6" s="1"/>
  <c r="F385" i="6"/>
  <c r="C385" i="6"/>
  <c r="AC383" i="6"/>
  <c r="AD383" i="6" s="1"/>
  <c r="AA383" i="6"/>
  <c r="W383" i="6"/>
  <c r="U383" i="6"/>
  <c r="R383" i="6"/>
  <c r="O383" i="6"/>
  <c r="N383" i="6"/>
  <c r="L383" i="6"/>
  <c r="I383" i="6"/>
  <c r="H383" i="6"/>
  <c r="F383" i="6"/>
  <c r="C383" i="6"/>
  <c r="AC382" i="6"/>
  <c r="AD382" i="6" s="1"/>
  <c r="AA382" i="6"/>
  <c r="W382" i="6"/>
  <c r="X382" i="6" s="1"/>
  <c r="U382" i="6"/>
  <c r="R382" i="6"/>
  <c r="O382" i="6"/>
  <c r="N382" i="6"/>
  <c r="L382" i="6"/>
  <c r="I382" i="6"/>
  <c r="H382" i="6"/>
  <c r="F382" i="6"/>
  <c r="C382" i="6"/>
  <c r="AC381" i="6"/>
  <c r="AD381" i="6" s="1"/>
  <c r="AA381" i="6"/>
  <c r="X381" i="6"/>
  <c r="W381" i="6"/>
  <c r="U381" i="6"/>
  <c r="R381" i="6"/>
  <c r="O381" i="6"/>
  <c r="N381" i="6"/>
  <c r="L381" i="6"/>
  <c r="H381" i="6"/>
  <c r="I381" i="6" s="1"/>
  <c r="F381" i="6"/>
  <c r="C381" i="6"/>
  <c r="AD380" i="6"/>
  <c r="AC380" i="6"/>
  <c r="AA380" i="6"/>
  <c r="W380" i="6"/>
  <c r="U380" i="6"/>
  <c r="R380" i="6"/>
  <c r="O380" i="6"/>
  <c r="N380" i="6"/>
  <c r="L380" i="6"/>
  <c r="H380" i="6"/>
  <c r="I380" i="6" s="1"/>
  <c r="F380" i="6"/>
  <c r="C380" i="6"/>
  <c r="AC379" i="6"/>
  <c r="AD379" i="6" s="1"/>
  <c r="AA379" i="6"/>
  <c r="X379" i="6"/>
  <c r="W379" i="6"/>
  <c r="U379" i="6"/>
  <c r="R379" i="6"/>
  <c r="O379" i="6"/>
  <c r="N379" i="6"/>
  <c r="L379" i="6"/>
  <c r="H379" i="6"/>
  <c r="I379" i="6" s="1"/>
  <c r="F379" i="6"/>
  <c r="C379" i="6"/>
  <c r="AC378" i="6"/>
  <c r="AD378" i="6" s="1"/>
  <c r="AA378" i="6"/>
  <c r="W378" i="6"/>
  <c r="X378" i="6" s="1"/>
  <c r="U378" i="6"/>
  <c r="R378" i="6"/>
  <c r="O378" i="6"/>
  <c r="N378" i="6"/>
  <c r="L378" i="6"/>
  <c r="I378" i="6"/>
  <c r="H378" i="6"/>
  <c r="F378" i="6"/>
  <c r="C378" i="6"/>
  <c r="AC377" i="6"/>
  <c r="AD377" i="6" s="1"/>
  <c r="AA377" i="6"/>
  <c r="W377" i="6"/>
  <c r="X377" i="6" s="1"/>
  <c r="U377" i="6"/>
  <c r="R377" i="6"/>
  <c r="O377" i="6"/>
  <c r="N377" i="6"/>
  <c r="L377" i="6"/>
  <c r="H377" i="6"/>
  <c r="I377" i="6" s="1"/>
  <c r="F377" i="6"/>
  <c r="C377" i="6"/>
  <c r="AD376" i="6"/>
  <c r="AC376" i="6"/>
  <c r="AA376" i="6"/>
  <c r="W376" i="6"/>
  <c r="U376" i="6"/>
  <c r="R376" i="6"/>
  <c r="N376" i="6"/>
  <c r="O376" i="6" s="1"/>
  <c r="L376" i="6"/>
  <c r="H376" i="6"/>
  <c r="I376" i="6" s="1"/>
  <c r="F376" i="6"/>
  <c r="C376" i="6"/>
  <c r="AC375" i="6"/>
  <c r="AD375" i="6" s="1"/>
  <c r="AA375" i="6"/>
  <c r="X375" i="6"/>
  <c r="W375" i="6"/>
  <c r="U375" i="6"/>
  <c r="R375" i="6"/>
  <c r="N375" i="6"/>
  <c r="O375" i="6" s="1"/>
  <c r="L375" i="6"/>
  <c r="H375" i="6"/>
  <c r="I375" i="6" s="1"/>
  <c r="F375" i="6"/>
  <c r="C375" i="6"/>
  <c r="AC374" i="6"/>
  <c r="AD374" i="6" s="1"/>
  <c r="AA374" i="6"/>
  <c r="W374" i="6"/>
  <c r="X374" i="6" s="1"/>
  <c r="U374" i="6"/>
  <c r="R374" i="6"/>
  <c r="O374" i="6"/>
  <c r="N374" i="6"/>
  <c r="L374" i="6"/>
  <c r="H374" i="6"/>
  <c r="I374" i="6" s="1"/>
  <c r="F374" i="6"/>
  <c r="C374" i="6"/>
  <c r="AC373" i="6"/>
  <c r="AD373" i="6" s="1"/>
  <c r="AA373" i="6"/>
  <c r="W373" i="6"/>
  <c r="X373" i="6" s="1"/>
  <c r="U373" i="6"/>
  <c r="R373" i="6"/>
  <c r="O373" i="6"/>
  <c r="N373" i="6"/>
  <c r="L373" i="6"/>
  <c r="H373" i="6"/>
  <c r="I373" i="6" s="1"/>
  <c r="F373" i="6"/>
  <c r="C373" i="6"/>
  <c r="AD372" i="6"/>
  <c r="AC372" i="6"/>
  <c r="AA372" i="6"/>
  <c r="W372" i="6"/>
  <c r="U372" i="6"/>
  <c r="R372" i="6"/>
  <c r="N372" i="6"/>
  <c r="O372" i="6" s="1"/>
  <c r="L372" i="6"/>
  <c r="H372" i="6"/>
  <c r="I372" i="6" s="1"/>
  <c r="F372" i="6"/>
  <c r="C372" i="6"/>
  <c r="AC371" i="6"/>
  <c r="AD371" i="6" s="1"/>
  <c r="AA371" i="6"/>
  <c r="W371" i="6"/>
  <c r="U371" i="6"/>
  <c r="R371" i="6"/>
  <c r="N371" i="6"/>
  <c r="O371" i="6" s="1"/>
  <c r="L371" i="6"/>
  <c r="I371" i="6"/>
  <c r="H371" i="6"/>
  <c r="F371" i="6"/>
  <c r="C371" i="6"/>
  <c r="AC370" i="6"/>
  <c r="AD370" i="6" s="1"/>
  <c r="AA370" i="6"/>
  <c r="W370" i="6"/>
  <c r="X370" i="6" s="1"/>
  <c r="U370" i="6"/>
  <c r="R370" i="6"/>
  <c r="O370" i="6"/>
  <c r="N370" i="6"/>
  <c r="L370" i="6"/>
  <c r="H370" i="6"/>
  <c r="I370" i="6" s="1"/>
  <c r="F370" i="6"/>
  <c r="C370" i="6"/>
  <c r="AC369" i="6"/>
  <c r="AD369" i="6" s="1"/>
  <c r="AA369" i="6"/>
  <c r="W369" i="6"/>
  <c r="X369" i="6" s="1"/>
  <c r="U369" i="6"/>
  <c r="R369" i="6"/>
  <c r="O369" i="6"/>
  <c r="N369" i="6"/>
  <c r="L369" i="6"/>
  <c r="H369" i="6"/>
  <c r="I369" i="6" s="1"/>
  <c r="F369" i="6"/>
  <c r="C369" i="6"/>
  <c r="Z368" i="6"/>
  <c r="AA368" i="6" s="1"/>
  <c r="T368" i="6"/>
  <c r="U368" i="6" s="1"/>
  <c r="Q368" i="6"/>
  <c r="W368" i="6" s="1"/>
  <c r="X368" i="6" s="1"/>
  <c r="K368" i="6"/>
  <c r="L368" i="6" s="1"/>
  <c r="H368" i="6"/>
  <c r="I368" i="6" s="1"/>
  <c r="F368" i="6"/>
  <c r="E368" i="6"/>
  <c r="B368" i="6"/>
  <c r="C368" i="6" s="1"/>
  <c r="AC367" i="6"/>
  <c r="AD367" i="6" s="1"/>
  <c r="AA367" i="6"/>
  <c r="W367" i="6"/>
  <c r="X367" i="6" s="1"/>
  <c r="U367" i="6"/>
  <c r="R367" i="6"/>
  <c r="O367" i="6"/>
  <c r="N367" i="6"/>
  <c r="L367" i="6"/>
  <c r="I367" i="6"/>
  <c r="H367" i="6"/>
  <c r="F367" i="6"/>
  <c r="C367" i="6"/>
  <c r="AC366" i="6"/>
  <c r="AD366" i="6" s="1"/>
  <c r="AA366" i="6"/>
  <c r="X366" i="6"/>
  <c r="W366" i="6"/>
  <c r="U366" i="6"/>
  <c r="R366" i="6"/>
  <c r="O366" i="6"/>
  <c r="N366" i="6"/>
  <c r="L366" i="6"/>
  <c r="H366" i="6"/>
  <c r="I366" i="6" s="1"/>
  <c r="F366" i="6"/>
  <c r="C366" i="6"/>
  <c r="AD365" i="6"/>
  <c r="AC365" i="6"/>
  <c r="AA365" i="6"/>
  <c r="W365" i="6"/>
  <c r="U365" i="6"/>
  <c r="R365" i="6"/>
  <c r="O365" i="6"/>
  <c r="N365" i="6"/>
  <c r="L365" i="6"/>
  <c r="H365" i="6"/>
  <c r="I365" i="6" s="1"/>
  <c r="F365" i="6"/>
  <c r="C365" i="6"/>
  <c r="AD364" i="6"/>
  <c r="AC364" i="6"/>
  <c r="AA364" i="6"/>
  <c r="X364" i="6"/>
  <c r="W364" i="6"/>
  <c r="U364" i="6"/>
  <c r="R364" i="6"/>
  <c r="O364" i="6"/>
  <c r="N364" i="6"/>
  <c r="L364" i="6"/>
  <c r="I364" i="6"/>
  <c r="H364" i="6"/>
  <c r="F364" i="6"/>
  <c r="C364" i="6"/>
  <c r="AC363" i="6"/>
  <c r="AD363" i="6" s="1"/>
  <c r="AA363" i="6"/>
  <c r="W363" i="6"/>
  <c r="U363" i="6"/>
  <c r="R363" i="6"/>
  <c r="O363" i="6"/>
  <c r="N363" i="6"/>
  <c r="L363" i="6"/>
  <c r="I363" i="6"/>
  <c r="H363" i="6"/>
  <c r="F363" i="6"/>
  <c r="C363" i="6"/>
  <c r="AC362" i="6"/>
  <c r="AD362" i="6" s="1"/>
  <c r="AA362" i="6"/>
  <c r="W362" i="6"/>
  <c r="X362" i="6" s="1"/>
  <c r="U362" i="6"/>
  <c r="R362" i="6"/>
  <c r="O362" i="6"/>
  <c r="N362" i="6"/>
  <c r="L362" i="6"/>
  <c r="H362" i="6"/>
  <c r="I362" i="6" s="1"/>
  <c r="F362" i="6"/>
  <c r="C362" i="6"/>
  <c r="AD361" i="6"/>
  <c r="AC361" i="6"/>
  <c r="AA361" i="6"/>
  <c r="W361" i="6"/>
  <c r="U361" i="6"/>
  <c r="R361" i="6"/>
  <c r="N361" i="6"/>
  <c r="O361" i="6" s="1"/>
  <c r="L361" i="6"/>
  <c r="H361" i="6"/>
  <c r="I361" i="6" s="1"/>
  <c r="F361" i="6"/>
  <c r="C361" i="6"/>
  <c r="AD360" i="6"/>
  <c r="AC360" i="6"/>
  <c r="AA360" i="6"/>
  <c r="X360" i="6"/>
  <c r="W360" i="6"/>
  <c r="U360" i="6"/>
  <c r="R360" i="6"/>
  <c r="O360" i="6"/>
  <c r="N360" i="6"/>
  <c r="L360" i="6"/>
  <c r="H360" i="6"/>
  <c r="I360" i="6" s="1"/>
  <c r="F360" i="6"/>
  <c r="C360" i="6"/>
  <c r="Z358" i="6"/>
  <c r="AA358" i="6" s="1"/>
  <c r="T358" i="6"/>
  <c r="U358" i="6" s="1"/>
  <c r="Q358" i="6"/>
  <c r="L358" i="6"/>
  <c r="K358" i="6"/>
  <c r="E358" i="6"/>
  <c r="F358" i="6" s="1"/>
  <c r="B358" i="6"/>
  <c r="N358" i="6" s="1"/>
  <c r="O358" i="6" s="1"/>
  <c r="AD357" i="6"/>
  <c r="AC357" i="6"/>
  <c r="AA357" i="6"/>
  <c r="X357" i="6"/>
  <c r="W357" i="6"/>
  <c r="U357" i="6"/>
  <c r="R357" i="6"/>
  <c r="O357" i="6"/>
  <c r="N357" i="6"/>
  <c r="L357" i="6"/>
  <c r="H357" i="6"/>
  <c r="I357" i="6" s="1"/>
  <c r="F357" i="6"/>
  <c r="C357" i="6"/>
  <c r="AC356" i="6"/>
  <c r="AD356" i="6" s="1"/>
  <c r="AA356" i="6"/>
  <c r="W356" i="6"/>
  <c r="U356" i="6"/>
  <c r="R356" i="6"/>
  <c r="O356" i="6"/>
  <c r="N356" i="6"/>
  <c r="L356" i="6"/>
  <c r="I356" i="6"/>
  <c r="H356" i="6"/>
  <c r="F356" i="6"/>
  <c r="C356" i="6"/>
  <c r="AC355" i="6"/>
  <c r="AD355" i="6" s="1"/>
  <c r="AA355" i="6"/>
  <c r="W355" i="6"/>
  <c r="X355" i="6" s="1"/>
  <c r="U355" i="6"/>
  <c r="R355" i="6"/>
  <c r="O355" i="6"/>
  <c r="N355" i="6"/>
  <c r="L355" i="6"/>
  <c r="I355" i="6"/>
  <c r="H355" i="6"/>
  <c r="F355" i="6"/>
  <c r="C355" i="6"/>
  <c r="AC354" i="6"/>
  <c r="AD354" i="6" s="1"/>
  <c r="AA354" i="6"/>
  <c r="X354" i="6"/>
  <c r="W354" i="6"/>
  <c r="U354" i="6"/>
  <c r="R354" i="6"/>
  <c r="O354" i="6"/>
  <c r="N354" i="6"/>
  <c r="L354" i="6"/>
  <c r="H354" i="6"/>
  <c r="I354" i="6" s="1"/>
  <c r="F354" i="6"/>
  <c r="C354" i="6"/>
  <c r="AD353" i="6"/>
  <c r="AC353" i="6"/>
  <c r="AA353" i="6"/>
  <c r="X353" i="6"/>
  <c r="W353" i="6"/>
  <c r="U353" i="6"/>
  <c r="R353" i="6"/>
  <c r="O353" i="6"/>
  <c r="N353" i="6"/>
  <c r="L353" i="6"/>
  <c r="H353" i="6"/>
  <c r="I353" i="6" s="1"/>
  <c r="F353" i="6"/>
  <c r="C353" i="6"/>
  <c r="AC352" i="6"/>
  <c r="AD352" i="6" s="1"/>
  <c r="AA352" i="6"/>
  <c r="X352" i="6"/>
  <c r="W352" i="6"/>
  <c r="U352" i="6"/>
  <c r="R352" i="6"/>
  <c r="O352" i="6"/>
  <c r="N352" i="6"/>
  <c r="L352" i="6"/>
  <c r="I352" i="6"/>
  <c r="H352" i="6"/>
  <c r="F352" i="6"/>
  <c r="C352" i="6"/>
  <c r="AC351" i="6"/>
  <c r="AD351" i="6" s="1"/>
  <c r="AA351" i="6"/>
  <c r="W351" i="6"/>
  <c r="X351" i="6" s="1"/>
  <c r="U351" i="6"/>
  <c r="R351" i="6"/>
  <c r="O351" i="6"/>
  <c r="N351" i="6"/>
  <c r="L351" i="6"/>
  <c r="I351" i="6"/>
  <c r="H351" i="6"/>
  <c r="F351" i="6"/>
  <c r="C351" i="6"/>
  <c r="AC350" i="6"/>
  <c r="AD350" i="6" s="1"/>
  <c r="AA350" i="6"/>
  <c r="W350" i="6"/>
  <c r="X350" i="6" s="1"/>
  <c r="U350" i="6"/>
  <c r="R350" i="6"/>
  <c r="O350" i="6"/>
  <c r="N350" i="6"/>
  <c r="L350" i="6"/>
  <c r="H350" i="6"/>
  <c r="I350" i="6" s="1"/>
  <c r="F350" i="6"/>
  <c r="C350" i="6"/>
  <c r="AD349" i="6"/>
  <c r="AC349" i="6"/>
  <c r="AA349" i="6"/>
  <c r="X349" i="6"/>
  <c r="W349" i="6"/>
  <c r="U349" i="6"/>
  <c r="R349" i="6"/>
  <c r="O349" i="6"/>
  <c r="N349" i="6"/>
  <c r="L349" i="6"/>
  <c r="H349" i="6"/>
  <c r="I349" i="6" s="1"/>
  <c r="F349" i="6"/>
  <c r="C349" i="6"/>
  <c r="AC347" i="6"/>
  <c r="AD347" i="6" s="1"/>
  <c r="AA347" i="6"/>
  <c r="W347" i="6"/>
  <c r="U347" i="6"/>
  <c r="R347" i="6"/>
  <c r="O347" i="6"/>
  <c r="N347" i="6"/>
  <c r="L347" i="6"/>
  <c r="I347" i="6"/>
  <c r="H347" i="6"/>
  <c r="F347" i="6"/>
  <c r="C347" i="6"/>
  <c r="Z344" i="6"/>
  <c r="AA344" i="6" s="1"/>
  <c r="U344" i="6"/>
  <c r="T344" i="6"/>
  <c r="W344" i="6" s="1"/>
  <c r="X344" i="6" s="1"/>
  <c r="R344" i="6"/>
  <c r="Q344" i="6"/>
  <c r="K344" i="6"/>
  <c r="L344" i="6" s="1"/>
  <c r="F344" i="6"/>
  <c r="E344" i="6"/>
  <c r="B344" i="6"/>
  <c r="C344" i="6" s="1"/>
  <c r="AA343" i="6"/>
  <c r="Z343" i="6"/>
  <c r="T343" i="6"/>
  <c r="U343" i="6" s="1"/>
  <c r="Q343" i="6"/>
  <c r="L343" i="6"/>
  <c r="K343" i="6"/>
  <c r="H343" i="6"/>
  <c r="I343" i="6" s="1"/>
  <c r="E343" i="6"/>
  <c r="F343" i="6" s="1"/>
  <c r="B343" i="6"/>
  <c r="Z342" i="6"/>
  <c r="AA342" i="6" s="1"/>
  <c r="U342" i="6"/>
  <c r="T342" i="6"/>
  <c r="Q342" i="6"/>
  <c r="K342" i="6"/>
  <c r="L342" i="6" s="1"/>
  <c r="H342" i="6"/>
  <c r="I342" i="6" s="1"/>
  <c r="F342" i="6"/>
  <c r="E342" i="6"/>
  <c r="B342" i="6"/>
  <c r="AC341" i="6"/>
  <c r="AD341" i="6" s="1"/>
  <c r="AA341" i="6"/>
  <c r="W341" i="6"/>
  <c r="X341" i="6" s="1"/>
  <c r="U341" i="6"/>
  <c r="R341" i="6"/>
  <c r="O341" i="6"/>
  <c r="N341" i="6"/>
  <c r="L341" i="6"/>
  <c r="I341" i="6"/>
  <c r="H341" i="6"/>
  <c r="F341" i="6"/>
  <c r="C341" i="6"/>
  <c r="AC340" i="6"/>
  <c r="AD340" i="6" s="1"/>
  <c r="AA340" i="6"/>
  <c r="X340" i="6"/>
  <c r="W340" i="6"/>
  <c r="U340" i="6"/>
  <c r="R340" i="6"/>
  <c r="O340" i="6"/>
  <c r="N340" i="6"/>
  <c r="L340" i="6"/>
  <c r="H340" i="6"/>
  <c r="I340" i="6" s="1"/>
  <c r="F340" i="6"/>
  <c r="C340" i="6"/>
  <c r="AD339" i="6"/>
  <c r="AC339" i="6"/>
  <c r="AA339" i="6"/>
  <c r="X339" i="6"/>
  <c r="W339" i="6"/>
  <c r="U339" i="6"/>
  <c r="R339" i="6"/>
  <c r="O339" i="6"/>
  <c r="N339" i="6"/>
  <c r="L339" i="6"/>
  <c r="H339" i="6"/>
  <c r="I339" i="6" s="1"/>
  <c r="F339" i="6"/>
  <c r="C339" i="6"/>
  <c r="AC338" i="6"/>
  <c r="AD338" i="6" s="1"/>
  <c r="AA338" i="6"/>
  <c r="W338" i="6"/>
  <c r="U338" i="6"/>
  <c r="R338" i="6"/>
  <c r="O338" i="6"/>
  <c r="N338" i="6"/>
  <c r="L338" i="6"/>
  <c r="I338" i="6"/>
  <c r="H338" i="6"/>
  <c r="F338" i="6"/>
  <c r="C338" i="6"/>
  <c r="AC337" i="6"/>
  <c r="AD337" i="6" s="1"/>
  <c r="AA337" i="6"/>
  <c r="W337" i="6"/>
  <c r="X337" i="6" s="1"/>
  <c r="U337" i="6"/>
  <c r="R337" i="6"/>
  <c r="O337" i="6"/>
  <c r="N337" i="6"/>
  <c r="L337" i="6"/>
  <c r="I337" i="6"/>
  <c r="H337" i="6"/>
  <c r="F337" i="6"/>
  <c r="C337" i="6"/>
  <c r="AC335" i="6"/>
  <c r="AD335" i="6" s="1"/>
  <c r="AA335" i="6"/>
  <c r="X335" i="6"/>
  <c r="W335" i="6"/>
  <c r="U335" i="6"/>
  <c r="R335" i="6"/>
  <c r="N335" i="6"/>
  <c r="O335" i="6" s="1"/>
  <c r="L335" i="6"/>
  <c r="H335" i="6"/>
  <c r="I335" i="6" s="1"/>
  <c r="F335" i="6"/>
  <c r="C335" i="6"/>
  <c r="AD334" i="6"/>
  <c r="AC334" i="6"/>
  <c r="AA334" i="6"/>
  <c r="X334" i="6"/>
  <c r="W334" i="6"/>
  <c r="U334" i="6"/>
  <c r="R334" i="6"/>
  <c r="N334" i="6"/>
  <c r="O334" i="6" s="1"/>
  <c r="L334" i="6"/>
  <c r="H334" i="6"/>
  <c r="I334" i="6" s="1"/>
  <c r="F334" i="6"/>
  <c r="C334" i="6"/>
  <c r="AD333" i="6"/>
  <c r="AC333" i="6"/>
  <c r="AA333" i="6"/>
  <c r="W333" i="6"/>
  <c r="X333" i="6" s="1"/>
  <c r="U333" i="6"/>
  <c r="R333" i="6"/>
  <c r="N333" i="6"/>
  <c r="O333" i="6" s="1"/>
  <c r="L333" i="6"/>
  <c r="I333" i="6"/>
  <c r="H333" i="6"/>
  <c r="F333" i="6"/>
  <c r="C333" i="6"/>
  <c r="AC332" i="6"/>
  <c r="AD332" i="6" s="1"/>
  <c r="AA332" i="6"/>
  <c r="W332" i="6"/>
  <c r="X332" i="6" s="1"/>
  <c r="U332" i="6"/>
  <c r="R332" i="6"/>
  <c r="O332" i="6"/>
  <c r="N332" i="6"/>
  <c r="L332" i="6"/>
  <c r="H332" i="6"/>
  <c r="I332" i="6" s="1"/>
  <c r="F332" i="6"/>
  <c r="C332" i="6"/>
  <c r="AC331" i="6"/>
  <c r="AD331" i="6" s="1"/>
  <c r="AA331" i="6"/>
  <c r="W331" i="6"/>
  <c r="U331" i="6"/>
  <c r="R331" i="6"/>
  <c r="O331" i="6"/>
  <c r="N331" i="6"/>
  <c r="L331" i="6"/>
  <c r="H331" i="6"/>
  <c r="I331" i="6" s="1"/>
  <c r="F331" i="6"/>
  <c r="C331" i="6"/>
  <c r="AC330" i="6"/>
  <c r="AD330" i="6" s="1"/>
  <c r="AA330" i="6"/>
  <c r="W330" i="6"/>
  <c r="X330" i="6" s="1"/>
  <c r="U330" i="6"/>
  <c r="R330" i="6"/>
  <c r="N330" i="6"/>
  <c r="O330" i="6" s="1"/>
  <c r="L330" i="6"/>
  <c r="I330" i="6"/>
  <c r="H330" i="6"/>
  <c r="F330" i="6"/>
  <c r="C330" i="6"/>
  <c r="AD329" i="6"/>
  <c r="AC329" i="6"/>
  <c r="AA329" i="6"/>
  <c r="X329" i="6"/>
  <c r="W329" i="6"/>
  <c r="U329" i="6"/>
  <c r="R329" i="6"/>
  <c r="O329" i="6"/>
  <c r="N329" i="6"/>
  <c r="L329" i="6"/>
  <c r="H329" i="6"/>
  <c r="I329" i="6" s="1"/>
  <c r="F329" i="6"/>
  <c r="C329" i="6"/>
  <c r="AD328" i="6"/>
  <c r="AC328" i="6"/>
  <c r="AA328" i="6"/>
  <c r="W328" i="6"/>
  <c r="X328" i="6" s="1"/>
  <c r="U328" i="6"/>
  <c r="R328" i="6"/>
  <c r="N328" i="6"/>
  <c r="O328" i="6" s="1"/>
  <c r="L328" i="6"/>
  <c r="I328" i="6"/>
  <c r="H328" i="6"/>
  <c r="F328" i="6"/>
  <c r="C328" i="6"/>
  <c r="AA325" i="6"/>
  <c r="Z325" i="6"/>
  <c r="T325" i="6"/>
  <c r="U325" i="6" s="1"/>
  <c r="R325" i="6"/>
  <c r="Q325" i="6"/>
  <c r="K325" i="6"/>
  <c r="L325" i="6" s="1"/>
  <c r="F325" i="6"/>
  <c r="E325" i="6"/>
  <c r="B325" i="6"/>
  <c r="H325" i="6" s="1"/>
  <c r="I325" i="6" s="1"/>
  <c r="Z324" i="6"/>
  <c r="AA324" i="6" s="1"/>
  <c r="T324" i="6"/>
  <c r="W324" i="6" s="1"/>
  <c r="X324" i="6" s="1"/>
  <c r="Q324" i="6"/>
  <c r="R324" i="6" s="1"/>
  <c r="N324" i="6"/>
  <c r="O324" i="6" s="1"/>
  <c r="L324" i="6"/>
  <c r="K324" i="6"/>
  <c r="E324" i="6"/>
  <c r="F324" i="6" s="1"/>
  <c r="B324" i="6"/>
  <c r="H324" i="6" s="1"/>
  <c r="I324" i="6" s="1"/>
  <c r="AD323" i="6"/>
  <c r="AC323" i="6"/>
  <c r="AA323" i="6"/>
  <c r="X323" i="6"/>
  <c r="W323" i="6"/>
  <c r="U323" i="6"/>
  <c r="R323" i="6"/>
  <c r="N323" i="6"/>
  <c r="O323" i="6" s="1"/>
  <c r="L323" i="6"/>
  <c r="I323" i="6"/>
  <c r="H323" i="6"/>
  <c r="F323" i="6"/>
  <c r="C323" i="6"/>
  <c r="AC322" i="6"/>
  <c r="AD322" i="6" s="1"/>
  <c r="AA322" i="6"/>
  <c r="W322" i="6"/>
  <c r="X322" i="6" s="1"/>
  <c r="U322" i="6"/>
  <c r="R322" i="6"/>
  <c r="N322" i="6"/>
  <c r="O322" i="6" s="1"/>
  <c r="L322" i="6"/>
  <c r="I322" i="6"/>
  <c r="H322" i="6"/>
  <c r="F322" i="6"/>
  <c r="C322" i="6"/>
  <c r="AC321" i="6"/>
  <c r="AD321" i="6" s="1"/>
  <c r="AA321" i="6"/>
  <c r="W321" i="6"/>
  <c r="X321" i="6" s="1"/>
  <c r="U321" i="6"/>
  <c r="R321" i="6"/>
  <c r="O321" i="6"/>
  <c r="N321" i="6"/>
  <c r="L321" i="6"/>
  <c r="H321" i="6"/>
  <c r="I321" i="6" s="1"/>
  <c r="F321" i="6"/>
  <c r="C321" i="6"/>
  <c r="AC320" i="6"/>
  <c r="AD320" i="6" s="1"/>
  <c r="AA320" i="6"/>
  <c r="W320" i="6"/>
  <c r="X320" i="6" s="1"/>
  <c r="U320" i="6"/>
  <c r="R320" i="6"/>
  <c r="N320" i="6"/>
  <c r="O320" i="6" s="1"/>
  <c r="L320" i="6"/>
  <c r="H320" i="6"/>
  <c r="I320" i="6" s="1"/>
  <c r="F320" i="6"/>
  <c r="C320" i="6"/>
  <c r="AD319" i="6"/>
  <c r="AC319" i="6"/>
  <c r="AA319" i="6"/>
  <c r="X319" i="6"/>
  <c r="W319" i="6"/>
  <c r="U319" i="6"/>
  <c r="R319" i="6"/>
  <c r="N319" i="6"/>
  <c r="O319" i="6" s="1"/>
  <c r="L319" i="6"/>
  <c r="H319" i="6"/>
  <c r="I319" i="6" s="1"/>
  <c r="F319" i="6"/>
  <c r="C319" i="6"/>
  <c r="AD318" i="6"/>
  <c r="AC318" i="6"/>
  <c r="AA318" i="6"/>
  <c r="W318" i="6"/>
  <c r="X318" i="6" s="1"/>
  <c r="U318" i="6"/>
  <c r="R318" i="6"/>
  <c r="N318" i="6"/>
  <c r="O318" i="6" s="1"/>
  <c r="L318" i="6"/>
  <c r="I318" i="6"/>
  <c r="H318" i="6"/>
  <c r="F318" i="6"/>
  <c r="C318" i="6"/>
  <c r="AC317" i="6"/>
  <c r="AD317" i="6" s="1"/>
  <c r="AA317" i="6"/>
  <c r="W317" i="6"/>
  <c r="X317" i="6" s="1"/>
  <c r="U317" i="6"/>
  <c r="R317" i="6"/>
  <c r="O317" i="6"/>
  <c r="N317" i="6"/>
  <c r="L317" i="6"/>
  <c r="I317" i="6"/>
  <c r="H317" i="6"/>
  <c r="F317" i="6"/>
  <c r="C317" i="6"/>
  <c r="AC316" i="6"/>
  <c r="AD316" i="6" s="1"/>
  <c r="AA316" i="6"/>
  <c r="W316" i="6"/>
  <c r="X316" i="6" s="1"/>
  <c r="U316" i="6"/>
  <c r="R316" i="6"/>
  <c r="N316" i="6"/>
  <c r="O316" i="6" s="1"/>
  <c r="L316" i="6"/>
  <c r="H316" i="6"/>
  <c r="I316" i="6" s="1"/>
  <c r="F316" i="6"/>
  <c r="C316" i="6"/>
  <c r="AD315" i="6"/>
  <c r="AC315" i="6"/>
  <c r="AA315" i="6"/>
  <c r="X315" i="6"/>
  <c r="W315" i="6"/>
  <c r="U315" i="6"/>
  <c r="R315" i="6"/>
  <c r="N315" i="6"/>
  <c r="O315" i="6" s="1"/>
  <c r="L315" i="6"/>
  <c r="H315" i="6"/>
  <c r="I315" i="6" s="1"/>
  <c r="F315" i="6"/>
  <c r="C315" i="6"/>
  <c r="AD314" i="6"/>
  <c r="AC314" i="6"/>
  <c r="AA314" i="6"/>
  <c r="W314" i="6"/>
  <c r="X314" i="6" s="1"/>
  <c r="U314" i="6"/>
  <c r="R314" i="6"/>
  <c r="N314" i="6"/>
  <c r="O314" i="6" s="1"/>
  <c r="L314" i="6"/>
  <c r="I314" i="6"/>
  <c r="H314" i="6"/>
  <c r="F314" i="6"/>
  <c r="C314" i="6"/>
  <c r="AC313" i="6"/>
  <c r="AD313" i="6" s="1"/>
  <c r="AA313" i="6"/>
  <c r="X313" i="6"/>
  <c r="W313" i="6"/>
  <c r="U313" i="6"/>
  <c r="R313" i="6"/>
  <c r="O313" i="6"/>
  <c r="N313" i="6"/>
  <c r="L313" i="6"/>
  <c r="H313" i="6"/>
  <c r="I313" i="6" s="1"/>
  <c r="F313" i="6"/>
  <c r="C313" i="6"/>
  <c r="AC312" i="6"/>
  <c r="AD312" i="6" s="1"/>
  <c r="AA312" i="6"/>
  <c r="W312" i="6"/>
  <c r="X312" i="6" s="1"/>
  <c r="U312" i="6"/>
  <c r="R312" i="6"/>
  <c r="N312" i="6"/>
  <c r="O312" i="6" s="1"/>
  <c r="L312" i="6"/>
  <c r="H312" i="6"/>
  <c r="I312" i="6" s="1"/>
  <c r="F312" i="6"/>
  <c r="C312" i="6"/>
  <c r="AC311" i="6"/>
  <c r="AD311" i="6" s="1"/>
  <c r="AA311" i="6"/>
  <c r="X311" i="6"/>
  <c r="W311" i="6"/>
  <c r="U311" i="6"/>
  <c r="R311" i="6"/>
  <c r="N311" i="6"/>
  <c r="O311" i="6" s="1"/>
  <c r="L311" i="6"/>
  <c r="H311" i="6"/>
  <c r="I311" i="6" s="1"/>
  <c r="F311" i="6"/>
  <c r="C311" i="6"/>
  <c r="AD310" i="6"/>
  <c r="AC310" i="6"/>
  <c r="AA310" i="6"/>
  <c r="X310" i="6"/>
  <c r="W310" i="6"/>
  <c r="U310" i="6"/>
  <c r="R310" i="6"/>
  <c r="N310" i="6"/>
  <c r="O310" i="6" s="1"/>
  <c r="L310" i="6"/>
  <c r="H310" i="6"/>
  <c r="I310" i="6" s="1"/>
  <c r="F310" i="6"/>
  <c r="C310" i="6"/>
  <c r="AC309" i="6"/>
  <c r="AD309" i="6" s="1"/>
  <c r="AA309" i="6"/>
  <c r="W309" i="6"/>
  <c r="X309" i="6" s="1"/>
  <c r="U309" i="6"/>
  <c r="R309" i="6"/>
  <c r="O309" i="6"/>
  <c r="N309" i="6"/>
  <c r="L309" i="6"/>
  <c r="H309" i="6"/>
  <c r="I309" i="6" s="1"/>
  <c r="F309" i="6"/>
  <c r="C309" i="6"/>
  <c r="AC308" i="6"/>
  <c r="AD308" i="6" s="1"/>
  <c r="AA308" i="6"/>
  <c r="W308" i="6"/>
  <c r="X308" i="6" s="1"/>
  <c r="U308" i="6"/>
  <c r="R308" i="6"/>
  <c r="O308" i="6"/>
  <c r="N308" i="6"/>
  <c r="L308" i="6"/>
  <c r="H308" i="6"/>
  <c r="I308" i="6" s="1"/>
  <c r="F308" i="6"/>
  <c r="C308" i="6"/>
  <c r="AC307" i="6"/>
  <c r="AD307" i="6" s="1"/>
  <c r="AA307" i="6"/>
  <c r="X307" i="6"/>
  <c r="W307" i="6"/>
  <c r="U307" i="6"/>
  <c r="R307" i="6"/>
  <c r="O307" i="6"/>
  <c r="N307" i="6"/>
  <c r="L307" i="6"/>
  <c r="I307" i="6"/>
  <c r="H307" i="6"/>
  <c r="F307" i="6"/>
  <c r="C307" i="6"/>
  <c r="AC306" i="6"/>
  <c r="AD306" i="6" s="1"/>
  <c r="AA306" i="6"/>
  <c r="W306" i="6"/>
  <c r="X306" i="6" s="1"/>
  <c r="U306" i="6"/>
  <c r="R306" i="6"/>
  <c r="N306" i="6"/>
  <c r="O306" i="6" s="1"/>
  <c r="L306" i="6"/>
  <c r="I306" i="6"/>
  <c r="H306" i="6"/>
  <c r="F306" i="6"/>
  <c r="C306" i="6"/>
  <c r="AC305" i="6"/>
  <c r="AD305" i="6" s="1"/>
  <c r="AA305" i="6"/>
  <c r="X305" i="6"/>
  <c r="W305" i="6"/>
  <c r="U305" i="6"/>
  <c r="R305" i="6"/>
  <c r="O305" i="6"/>
  <c r="N305" i="6"/>
  <c r="L305" i="6"/>
  <c r="H305" i="6"/>
  <c r="I305" i="6" s="1"/>
  <c r="F305" i="6"/>
  <c r="C305" i="6"/>
  <c r="AC304" i="6"/>
  <c r="AD304" i="6" s="1"/>
  <c r="AA304" i="6"/>
  <c r="W304" i="6"/>
  <c r="X304" i="6" s="1"/>
  <c r="U304" i="6"/>
  <c r="R304" i="6"/>
  <c r="N304" i="6"/>
  <c r="O304" i="6" s="1"/>
  <c r="L304" i="6"/>
  <c r="H304" i="6"/>
  <c r="I304" i="6" s="1"/>
  <c r="F304" i="6"/>
  <c r="C304" i="6"/>
  <c r="AC303" i="6"/>
  <c r="AD303" i="6" s="1"/>
  <c r="AA303" i="6"/>
  <c r="X303" i="6"/>
  <c r="W303" i="6"/>
  <c r="U303" i="6"/>
  <c r="R303" i="6"/>
  <c r="N303" i="6"/>
  <c r="O303" i="6" s="1"/>
  <c r="L303" i="6"/>
  <c r="H303" i="6"/>
  <c r="I303" i="6" s="1"/>
  <c r="F303" i="6"/>
  <c r="C303" i="6"/>
  <c r="AD302" i="6"/>
  <c r="AC302" i="6"/>
  <c r="AA302" i="6"/>
  <c r="X302" i="6"/>
  <c r="W302" i="6"/>
  <c r="U302" i="6"/>
  <c r="R302" i="6"/>
  <c r="N302" i="6"/>
  <c r="O302" i="6" s="1"/>
  <c r="L302" i="6"/>
  <c r="H302" i="6"/>
  <c r="I302" i="6" s="1"/>
  <c r="F302" i="6"/>
  <c r="C302" i="6"/>
  <c r="AC301" i="6"/>
  <c r="AD301" i="6" s="1"/>
  <c r="AA301" i="6"/>
  <c r="W301" i="6"/>
  <c r="X301" i="6" s="1"/>
  <c r="U301" i="6"/>
  <c r="R301" i="6"/>
  <c r="O301" i="6"/>
  <c r="N301" i="6"/>
  <c r="L301" i="6"/>
  <c r="H301" i="6"/>
  <c r="I301" i="6" s="1"/>
  <c r="F301" i="6"/>
  <c r="C301" i="6"/>
  <c r="AC300" i="6"/>
  <c r="AD300" i="6" s="1"/>
  <c r="AA300" i="6"/>
  <c r="W300" i="6"/>
  <c r="X300" i="6" s="1"/>
  <c r="U300" i="6"/>
  <c r="R300" i="6"/>
  <c r="O300" i="6"/>
  <c r="N300" i="6"/>
  <c r="L300" i="6"/>
  <c r="H300" i="6"/>
  <c r="I300" i="6" s="1"/>
  <c r="F300" i="6"/>
  <c r="C300" i="6"/>
  <c r="AC299" i="6"/>
  <c r="AD299" i="6" s="1"/>
  <c r="AA299" i="6"/>
  <c r="X299" i="6"/>
  <c r="W299" i="6"/>
  <c r="U299" i="6"/>
  <c r="R299" i="6"/>
  <c r="O299" i="6"/>
  <c r="N299" i="6"/>
  <c r="L299" i="6"/>
  <c r="I299" i="6"/>
  <c r="H299" i="6"/>
  <c r="F299" i="6"/>
  <c r="C299" i="6"/>
  <c r="AC298" i="6"/>
  <c r="AD298" i="6" s="1"/>
  <c r="AA298" i="6"/>
  <c r="W298" i="6"/>
  <c r="X298" i="6" s="1"/>
  <c r="U298" i="6"/>
  <c r="R298" i="6"/>
  <c r="N298" i="6"/>
  <c r="O298" i="6" s="1"/>
  <c r="L298" i="6"/>
  <c r="I298" i="6"/>
  <c r="H298" i="6"/>
  <c r="F298" i="6"/>
  <c r="C298" i="6"/>
  <c r="AC297" i="6"/>
  <c r="AD297" i="6" s="1"/>
  <c r="AA297" i="6"/>
  <c r="X297" i="6"/>
  <c r="W297" i="6"/>
  <c r="U297" i="6"/>
  <c r="R297" i="6"/>
  <c r="O297" i="6"/>
  <c r="N297" i="6"/>
  <c r="L297" i="6"/>
  <c r="H297" i="6"/>
  <c r="I297" i="6" s="1"/>
  <c r="F297" i="6"/>
  <c r="C297" i="6"/>
  <c r="AC295" i="6"/>
  <c r="AD295" i="6" s="1"/>
  <c r="Z295" i="6"/>
  <c r="AA295" i="6" s="1"/>
  <c r="W295" i="6"/>
  <c r="X295" i="6" s="1"/>
  <c r="U295" i="6"/>
  <c r="T295" i="6"/>
  <c r="R295" i="6"/>
  <c r="Q295" i="6"/>
  <c r="K295" i="6"/>
  <c r="L295" i="6" s="1"/>
  <c r="H295" i="6"/>
  <c r="I295" i="6" s="1"/>
  <c r="F295" i="6"/>
  <c r="E295" i="6"/>
  <c r="B295" i="6"/>
  <c r="C295" i="6" s="1"/>
  <c r="AC294" i="6"/>
  <c r="AD294" i="6" s="1"/>
  <c r="AA294" i="6"/>
  <c r="W294" i="6"/>
  <c r="X294" i="6" s="1"/>
  <c r="U294" i="6"/>
  <c r="R294" i="6"/>
  <c r="N294" i="6"/>
  <c r="O294" i="6" s="1"/>
  <c r="L294" i="6"/>
  <c r="H294" i="6"/>
  <c r="I294" i="6" s="1"/>
  <c r="F294" i="6"/>
  <c r="C294" i="6"/>
  <c r="AC293" i="6"/>
  <c r="AD293" i="6" s="1"/>
  <c r="AA293" i="6"/>
  <c r="X293" i="6"/>
  <c r="W293" i="6"/>
  <c r="U293" i="6"/>
  <c r="R293" i="6"/>
  <c r="O293" i="6"/>
  <c r="N293" i="6"/>
  <c r="L293" i="6"/>
  <c r="H293" i="6"/>
  <c r="I293" i="6" s="1"/>
  <c r="F293" i="6"/>
  <c r="C293" i="6"/>
  <c r="AD292" i="6"/>
  <c r="AC292" i="6"/>
  <c r="AA292" i="6"/>
  <c r="W292" i="6"/>
  <c r="X292" i="6" s="1"/>
  <c r="U292" i="6"/>
  <c r="R292" i="6"/>
  <c r="N292" i="6"/>
  <c r="O292" i="6" s="1"/>
  <c r="L292" i="6"/>
  <c r="I292" i="6"/>
  <c r="H292" i="6"/>
  <c r="F292" i="6"/>
  <c r="C292" i="6"/>
  <c r="AD291" i="6"/>
  <c r="AC291" i="6"/>
  <c r="AA291" i="6"/>
  <c r="X291" i="6"/>
  <c r="W291" i="6"/>
  <c r="U291" i="6"/>
  <c r="R291" i="6"/>
  <c r="N291" i="6"/>
  <c r="O291" i="6" s="1"/>
  <c r="L291" i="6"/>
  <c r="H291" i="6"/>
  <c r="I291" i="6" s="1"/>
  <c r="F291" i="6"/>
  <c r="C291" i="6"/>
  <c r="AD290" i="6"/>
  <c r="AC290" i="6"/>
  <c r="AA290" i="6"/>
  <c r="W290" i="6"/>
  <c r="X290" i="6" s="1"/>
  <c r="U290" i="6"/>
  <c r="R290" i="6"/>
  <c r="N290" i="6"/>
  <c r="O290" i="6" s="1"/>
  <c r="L290" i="6"/>
  <c r="H290" i="6"/>
  <c r="I290" i="6" s="1"/>
  <c r="F290" i="6"/>
  <c r="C290" i="6"/>
  <c r="AC289" i="6"/>
  <c r="AD289" i="6" s="1"/>
  <c r="AA289" i="6"/>
  <c r="W289" i="6"/>
  <c r="X289" i="6" s="1"/>
  <c r="U289" i="6"/>
  <c r="R289" i="6"/>
  <c r="O289" i="6"/>
  <c r="N289" i="6"/>
  <c r="L289" i="6"/>
  <c r="H289" i="6"/>
  <c r="I289" i="6" s="1"/>
  <c r="F289" i="6"/>
  <c r="C289" i="6"/>
  <c r="AD288" i="6"/>
  <c r="AC288" i="6"/>
  <c r="AA288" i="6"/>
  <c r="W288" i="6"/>
  <c r="X288" i="6" s="1"/>
  <c r="U288" i="6"/>
  <c r="R288" i="6"/>
  <c r="O288" i="6"/>
  <c r="N288" i="6"/>
  <c r="L288" i="6"/>
  <c r="H288" i="6"/>
  <c r="I288" i="6" s="1"/>
  <c r="F288" i="6"/>
  <c r="C288" i="6"/>
  <c r="AC287" i="6"/>
  <c r="AD287" i="6" s="1"/>
  <c r="AA287" i="6"/>
  <c r="X287" i="6"/>
  <c r="W287" i="6"/>
  <c r="U287" i="6"/>
  <c r="R287" i="6"/>
  <c r="O287" i="6"/>
  <c r="N287" i="6"/>
  <c r="L287" i="6"/>
  <c r="I287" i="6"/>
  <c r="H287" i="6"/>
  <c r="F287" i="6"/>
  <c r="C287" i="6"/>
  <c r="AC286" i="6"/>
  <c r="AD286" i="6" s="1"/>
  <c r="AA286" i="6"/>
  <c r="W286" i="6"/>
  <c r="X286" i="6" s="1"/>
  <c r="U286" i="6"/>
  <c r="R286" i="6"/>
  <c r="N286" i="6"/>
  <c r="O286" i="6" s="1"/>
  <c r="L286" i="6"/>
  <c r="I286" i="6"/>
  <c r="H286" i="6"/>
  <c r="F286" i="6"/>
  <c r="C286" i="6"/>
  <c r="Z284" i="6"/>
  <c r="AA284" i="6" s="1"/>
  <c r="U284" i="6"/>
  <c r="T284" i="6"/>
  <c r="W284" i="6" s="1"/>
  <c r="X284" i="6" s="1"/>
  <c r="R284" i="6"/>
  <c r="Q284" i="6"/>
  <c r="N284" i="6"/>
  <c r="O284" i="6" s="1"/>
  <c r="K284" i="6"/>
  <c r="L284" i="6" s="1"/>
  <c r="F284" i="6"/>
  <c r="E284" i="6"/>
  <c r="B284" i="6"/>
  <c r="AC283" i="6"/>
  <c r="AD283" i="6" s="1"/>
  <c r="AA283" i="6"/>
  <c r="X283" i="6"/>
  <c r="W283" i="6"/>
  <c r="U283" i="6"/>
  <c r="R283" i="6"/>
  <c r="O283" i="6"/>
  <c r="N283" i="6"/>
  <c r="L283" i="6"/>
  <c r="I283" i="6"/>
  <c r="H283" i="6"/>
  <c r="F283" i="6"/>
  <c r="C283" i="6"/>
  <c r="AC282" i="6"/>
  <c r="AD282" i="6" s="1"/>
  <c r="AA282" i="6"/>
  <c r="W282" i="6"/>
  <c r="X282" i="6" s="1"/>
  <c r="U282" i="6"/>
  <c r="R282" i="6"/>
  <c r="N282" i="6"/>
  <c r="O282" i="6" s="1"/>
  <c r="L282" i="6"/>
  <c r="I282" i="6"/>
  <c r="H282" i="6"/>
  <c r="F282" i="6"/>
  <c r="C282" i="6"/>
  <c r="AD281" i="6"/>
  <c r="AC281" i="6"/>
  <c r="AA281" i="6"/>
  <c r="W281" i="6"/>
  <c r="X281" i="6" s="1"/>
  <c r="U281" i="6"/>
  <c r="R281" i="6"/>
  <c r="O281" i="6"/>
  <c r="N281" i="6"/>
  <c r="L281" i="6"/>
  <c r="I281" i="6"/>
  <c r="H281" i="6"/>
  <c r="F281" i="6"/>
  <c r="C281" i="6"/>
  <c r="AC280" i="6"/>
  <c r="AD280" i="6" s="1"/>
  <c r="AA280" i="6"/>
  <c r="W280" i="6"/>
  <c r="X280" i="6" s="1"/>
  <c r="U280" i="6"/>
  <c r="R280" i="6"/>
  <c r="O280" i="6"/>
  <c r="N280" i="6"/>
  <c r="L280" i="6"/>
  <c r="H280" i="6"/>
  <c r="I280" i="6" s="1"/>
  <c r="F280" i="6"/>
  <c r="C280" i="6"/>
  <c r="AD279" i="6"/>
  <c r="AC279" i="6"/>
  <c r="AA279" i="6"/>
  <c r="X279" i="6"/>
  <c r="W279" i="6"/>
  <c r="U279" i="6"/>
  <c r="R279" i="6"/>
  <c r="N279" i="6"/>
  <c r="O279" i="6" s="1"/>
  <c r="L279" i="6"/>
  <c r="I279" i="6"/>
  <c r="H279" i="6"/>
  <c r="F279" i="6"/>
  <c r="C279" i="6"/>
  <c r="AD278" i="6"/>
  <c r="AC278" i="6"/>
  <c r="AA278" i="6"/>
  <c r="W278" i="6"/>
  <c r="X278" i="6" s="1"/>
  <c r="U278" i="6"/>
  <c r="R278" i="6"/>
  <c r="N278" i="6"/>
  <c r="O278" i="6" s="1"/>
  <c r="L278" i="6"/>
  <c r="H278" i="6"/>
  <c r="I278" i="6" s="1"/>
  <c r="F278" i="6"/>
  <c r="C278" i="6"/>
  <c r="AC277" i="6"/>
  <c r="AD277" i="6" s="1"/>
  <c r="AA277" i="6"/>
  <c r="X277" i="6"/>
  <c r="W277" i="6"/>
  <c r="U277" i="6"/>
  <c r="R277" i="6"/>
  <c r="O277" i="6"/>
  <c r="N277" i="6"/>
  <c r="L277" i="6"/>
  <c r="H277" i="6"/>
  <c r="I277" i="6" s="1"/>
  <c r="F277" i="6"/>
  <c r="C277" i="6"/>
  <c r="AD276" i="6"/>
  <c r="AC276" i="6"/>
  <c r="AA276" i="6"/>
  <c r="W276" i="6"/>
  <c r="X276" i="6" s="1"/>
  <c r="U276" i="6"/>
  <c r="R276" i="6"/>
  <c r="O276" i="6"/>
  <c r="N276" i="6"/>
  <c r="L276" i="6"/>
  <c r="H276" i="6"/>
  <c r="I276" i="6" s="1"/>
  <c r="F276" i="6"/>
  <c r="C276" i="6"/>
  <c r="AC275" i="6"/>
  <c r="AD275" i="6" s="1"/>
  <c r="AA275" i="6"/>
  <c r="X275" i="6"/>
  <c r="W275" i="6"/>
  <c r="U275" i="6"/>
  <c r="R275" i="6"/>
  <c r="N275" i="6"/>
  <c r="O275" i="6" s="1"/>
  <c r="L275" i="6"/>
  <c r="I275" i="6"/>
  <c r="H275" i="6"/>
  <c r="F275" i="6"/>
  <c r="C275" i="6"/>
  <c r="Z273" i="6"/>
  <c r="AA273" i="6" s="1"/>
  <c r="T273" i="6"/>
  <c r="U273" i="6" s="1"/>
  <c r="Q273" i="6"/>
  <c r="L273" i="6"/>
  <c r="K273" i="6"/>
  <c r="E273" i="6"/>
  <c r="F273" i="6" s="1"/>
  <c r="B273" i="6"/>
  <c r="AC272" i="6"/>
  <c r="AD272" i="6" s="1"/>
  <c r="AA272" i="6"/>
  <c r="X272" i="6"/>
  <c r="W272" i="6"/>
  <c r="U272" i="6"/>
  <c r="R272" i="6"/>
  <c r="O272" i="6"/>
  <c r="N272" i="6"/>
  <c r="L272" i="6"/>
  <c r="I272" i="6"/>
  <c r="H272" i="6"/>
  <c r="F272" i="6"/>
  <c r="C272" i="6"/>
  <c r="AC271" i="6"/>
  <c r="AD271" i="6" s="1"/>
  <c r="AA271" i="6"/>
  <c r="W271" i="6"/>
  <c r="X271" i="6" s="1"/>
  <c r="U271" i="6"/>
  <c r="R271" i="6"/>
  <c r="O271" i="6"/>
  <c r="N271" i="6"/>
  <c r="L271" i="6"/>
  <c r="H271" i="6"/>
  <c r="I271" i="6" s="1"/>
  <c r="F271" i="6"/>
  <c r="C271" i="6"/>
  <c r="AC270" i="6"/>
  <c r="AD270" i="6" s="1"/>
  <c r="AA270" i="6"/>
  <c r="X270" i="6"/>
  <c r="W270" i="6"/>
  <c r="U270" i="6"/>
  <c r="R270" i="6"/>
  <c r="O270" i="6"/>
  <c r="N270" i="6"/>
  <c r="L270" i="6"/>
  <c r="H270" i="6"/>
  <c r="I270" i="6" s="1"/>
  <c r="F270" i="6"/>
  <c r="C270" i="6"/>
  <c r="AD269" i="6"/>
  <c r="AC269" i="6"/>
  <c r="AA269" i="6"/>
  <c r="X269" i="6"/>
  <c r="W269" i="6"/>
  <c r="U269" i="6"/>
  <c r="R269" i="6"/>
  <c r="N269" i="6"/>
  <c r="O269" i="6" s="1"/>
  <c r="L269" i="6"/>
  <c r="H269" i="6"/>
  <c r="I269" i="6" s="1"/>
  <c r="F269" i="6"/>
  <c r="C269" i="6"/>
  <c r="AA267" i="6"/>
  <c r="Z267" i="6"/>
  <c r="T267" i="6"/>
  <c r="Q267" i="6"/>
  <c r="R267" i="6" s="1"/>
  <c r="K267" i="6"/>
  <c r="L267" i="6" s="1"/>
  <c r="H267" i="6"/>
  <c r="I267" i="6" s="1"/>
  <c r="E267" i="6"/>
  <c r="F267" i="6" s="1"/>
  <c r="C267" i="6"/>
  <c r="B267" i="6"/>
  <c r="N267" i="6" s="1"/>
  <c r="O267" i="6" s="1"/>
  <c r="AC266" i="6"/>
  <c r="AD266" i="6" s="1"/>
  <c r="AA266" i="6"/>
  <c r="X266" i="6"/>
  <c r="W266" i="6"/>
  <c r="U266" i="6"/>
  <c r="R266" i="6"/>
  <c r="O266" i="6"/>
  <c r="N266" i="6"/>
  <c r="L266" i="6"/>
  <c r="H266" i="6"/>
  <c r="I266" i="6" s="1"/>
  <c r="F266" i="6"/>
  <c r="C266" i="6"/>
  <c r="AD265" i="6"/>
  <c r="AC265" i="6"/>
  <c r="AA265" i="6"/>
  <c r="X265" i="6"/>
  <c r="W265" i="6"/>
  <c r="U265" i="6"/>
  <c r="R265" i="6"/>
  <c r="N265" i="6"/>
  <c r="O265" i="6" s="1"/>
  <c r="L265" i="6"/>
  <c r="H265" i="6"/>
  <c r="I265" i="6" s="1"/>
  <c r="F265" i="6"/>
  <c r="C265" i="6"/>
  <c r="AA263" i="6"/>
  <c r="Z263" i="6"/>
  <c r="T263" i="6"/>
  <c r="Q263" i="6"/>
  <c r="R263" i="6" s="1"/>
  <c r="K263" i="6"/>
  <c r="L263" i="6" s="1"/>
  <c r="H263" i="6"/>
  <c r="I263" i="6" s="1"/>
  <c r="E263" i="6"/>
  <c r="F263" i="6" s="1"/>
  <c r="C263" i="6"/>
  <c r="B263" i="6"/>
  <c r="N263" i="6" s="1"/>
  <c r="O263" i="6" s="1"/>
  <c r="Z262" i="6"/>
  <c r="AA262" i="6" s="1"/>
  <c r="U262" i="6"/>
  <c r="T262" i="6"/>
  <c r="Q262" i="6"/>
  <c r="W262" i="6" s="1"/>
  <c r="X262" i="6" s="1"/>
  <c r="K262" i="6"/>
  <c r="L262" i="6" s="1"/>
  <c r="E262" i="6"/>
  <c r="F262" i="6" s="1"/>
  <c r="B262" i="6"/>
  <c r="AC261" i="6"/>
  <c r="AD261" i="6" s="1"/>
  <c r="AA261" i="6"/>
  <c r="X261" i="6"/>
  <c r="W261" i="6"/>
  <c r="U261" i="6"/>
  <c r="R261" i="6"/>
  <c r="O261" i="6"/>
  <c r="N261" i="6"/>
  <c r="L261" i="6"/>
  <c r="I261" i="6"/>
  <c r="H261" i="6"/>
  <c r="F261" i="6"/>
  <c r="C261" i="6"/>
  <c r="AC260" i="6"/>
  <c r="AD260" i="6" s="1"/>
  <c r="AA260" i="6"/>
  <c r="W260" i="6"/>
  <c r="X260" i="6" s="1"/>
  <c r="U260" i="6"/>
  <c r="R260" i="6"/>
  <c r="O260" i="6"/>
  <c r="N260" i="6"/>
  <c r="L260" i="6"/>
  <c r="H260" i="6"/>
  <c r="I260" i="6" s="1"/>
  <c r="F260" i="6"/>
  <c r="C260" i="6"/>
  <c r="AC259" i="6"/>
  <c r="AD259" i="6" s="1"/>
  <c r="AA259" i="6"/>
  <c r="X259" i="6"/>
  <c r="W259" i="6"/>
  <c r="U259" i="6"/>
  <c r="R259" i="6"/>
  <c r="O259" i="6"/>
  <c r="N259" i="6"/>
  <c r="L259" i="6"/>
  <c r="H259" i="6"/>
  <c r="I259" i="6" s="1"/>
  <c r="F259" i="6"/>
  <c r="C259" i="6"/>
  <c r="AD258" i="6"/>
  <c r="AC258" i="6"/>
  <c r="AA258" i="6"/>
  <c r="X258" i="6"/>
  <c r="W258" i="6"/>
  <c r="U258" i="6"/>
  <c r="R258" i="6"/>
  <c r="N258" i="6"/>
  <c r="O258" i="6" s="1"/>
  <c r="L258" i="6"/>
  <c r="H258" i="6"/>
  <c r="I258" i="6" s="1"/>
  <c r="F258" i="6"/>
  <c r="C258" i="6"/>
  <c r="AC257" i="6"/>
  <c r="AD257" i="6" s="1"/>
  <c r="AA257" i="6"/>
  <c r="X257" i="6"/>
  <c r="W257" i="6"/>
  <c r="U257" i="6"/>
  <c r="R257" i="6"/>
  <c r="O257" i="6"/>
  <c r="N257" i="6"/>
  <c r="L257" i="6"/>
  <c r="I257" i="6"/>
  <c r="H257" i="6"/>
  <c r="F257" i="6"/>
  <c r="C257" i="6"/>
  <c r="AC256" i="6"/>
  <c r="AD256" i="6" s="1"/>
  <c r="AA256" i="6"/>
  <c r="W256" i="6"/>
  <c r="X256" i="6" s="1"/>
  <c r="U256" i="6"/>
  <c r="R256" i="6"/>
  <c r="O256" i="6"/>
  <c r="N256" i="6"/>
  <c r="L256" i="6"/>
  <c r="H256" i="6"/>
  <c r="I256" i="6" s="1"/>
  <c r="F256" i="6"/>
  <c r="C256" i="6"/>
  <c r="AC255" i="6"/>
  <c r="AD255" i="6" s="1"/>
  <c r="AA255" i="6"/>
  <c r="X255" i="6"/>
  <c r="W255" i="6"/>
  <c r="U255" i="6"/>
  <c r="R255" i="6"/>
  <c r="O255" i="6"/>
  <c r="N255" i="6"/>
  <c r="L255" i="6"/>
  <c r="H255" i="6"/>
  <c r="I255" i="6" s="1"/>
  <c r="F255" i="6"/>
  <c r="C255" i="6"/>
  <c r="AD254" i="6"/>
  <c r="AC254" i="6"/>
  <c r="AA254" i="6"/>
  <c r="X254" i="6"/>
  <c r="W254" i="6"/>
  <c r="U254" i="6"/>
  <c r="R254" i="6"/>
  <c r="N254" i="6"/>
  <c r="O254" i="6" s="1"/>
  <c r="L254" i="6"/>
  <c r="H254" i="6"/>
  <c r="I254" i="6" s="1"/>
  <c r="F254" i="6"/>
  <c r="C254" i="6"/>
  <c r="AC253" i="6"/>
  <c r="AD253" i="6" s="1"/>
  <c r="AA253" i="6"/>
  <c r="X253" i="6"/>
  <c r="W253" i="6"/>
  <c r="U253" i="6"/>
  <c r="R253" i="6"/>
  <c r="O253" i="6"/>
  <c r="N253" i="6"/>
  <c r="L253" i="6"/>
  <c r="I253" i="6"/>
  <c r="H253" i="6"/>
  <c r="F253" i="6"/>
  <c r="C253" i="6"/>
  <c r="AC252" i="6"/>
  <c r="AD252" i="6" s="1"/>
  <c r="AA252" i="6"/>
  <c r="W252" i="6"/>
  <c r="X252" i="6" s="1"/>
  <c r="U252" i="6"/>
  <c r="R252" i="6"/>
  <c r="O252" i="6"/>
  <c r="N252" i="6"/>
  <c r="L252" i="6"/>
  <c r="H252" i="6"/>
  <c r="I252" i="6" s="1"/>
  <c r="F252" i="6"/>
  <c r="C252" i="6"/>
  <c r="AC251" i="6"/>
  <c r="AD251" i="6" s="1"/>
  <c r="AA251" i="6"/>
  <c r="X251" i="6"/>
  <c r="W251" i="6"/>
  <c r="U251" i="6"/>
  <c r="R251" i="6"/>
  <c r="O251" i="6"/>
  <c r="N251" i="6"/>
  <c r="L251" i="6"/>
  <c r="H251" i="6"/>
  <c r="I251" i="6" s="1"/>
  <c r="F251" i="6"/>
  <c r="C251" i="6"/>
  <c r="AD250" i="6"/>
  <c r="AC250" i="6"/>
  <c r="AA250" i="6"/>
  <c r="X250" i="6"/>
  <c r="W250" i="6"/>
  <c r="U250" i="6"/>
  <c r="R250" i="6"/>
  <c r="N250" i="6"/>
  <c r="O250" i="6" s="1"/>
  <c r="L250" i="6"/>
  <c r="H250" i="6"/>
  <c r="I250" i="6" s="1"/>
  <c r="F250" i="6"/>
  <c r="C250" i="6"/>
  <c r="AC249" i="6"/>
  <c r="AD249" i="6" s="1"/>
  <c r="AA249" i="6"/>
  <c r="X249" i="6"/>
  <c r="W249" i="6"/>
  <c r="U249" i="6"/>
  <c r="R249" i="6"/>
  <c r="O249" i="6"/>
  <c r="N249" i="6"/>
  <c r="L249" i="6"/>
  <c r="H249" i="6"/>
  <c r="I249" i="6" s="1"/>
  <c r="F249" i="6"/>
  <c r="C249" i="6"/>
  <c r="AC248" i="6"/>
  <c r="AD248" i="6" s="1"/>
  <c r="AA248" i="6"/>
  <c r="W248" i="6"/>
  <c r="X248" i="6" s="1"/>
  <c r="U248" i="6"/>
  <c r="R248" i="6"/>
  <c r="O248" i="6"/>
  <c r="N248" i="6"/>
  <c r="L248" i="6"/>
  <c r="H248" i="6"/>
  <c r="I248" i="6" s="1"/>
  <c r="F248" i="6"/>
  <c r="C248" i="6"/>
  <c r="AC247" i="6"/>
  <c r="AD247" i="6" s="1"/>
  <c r="AA247" i="6"/>
  <c r="X247" i="6"/>
  <c r="W247" i="6"/>
  <c r="U247" i="6"/>
  <c r="R247" i="6"/>
  <c r="O247" i="6"/>
  <c r="N247" i="6"/>
  <c r="L247" i="6"/>
  <c r="H247" i="6"/>
  <c r="I247" i="6" s="1"/>
  <c r="F247" i="6"/>
  <c r="C247" i="6"/>
  <c r="AC246" i="6"/>
  <c r="AD246" i="6" s="1"/>
  <c r="AA246" i="6"/>
  <c r="X246" i="6"/>
  <c r="W246" i="6"/>
  <c r="U246" i="6"/>
  <c r="R246" i="6"/>
  <c r="N246" i="6"/>
  <c r="O246" i="6" s="1"/>
  <c r="L246" i="6"/>
  <c r="H246" i="6"/>
  <c r="I246" i="6" s="1"/>
  <c r="F246" i="6"/>
  <c r="C246" i="6"/>
  <c r="AC245" i="6"/>
  <c r="AD245" i="6" s="1"/>
  <c r="AA245" i="6"/>
  <c r="X245" i="6"/>
  <c r="W245" i="6"/>
  <c r="U245" i="6"/>
  <c r="R245" i="6"/>
  <c r="O245" i="6"/>
  <c r="N245" i="6"/>
  <c r="L245" i="6"/>
  <c r="H245" i="6"/>
  <c r="I245" i="6" s="1"/>
  <c r="F245" i="6"/>
  <c r="C245" i="6"/>
  <c r="AC244" i="6"/>
  <c r="AD244" i="6" s="1"/>
  <c r="AA244" i="6"/>
  <c r="W244" i="6"/>
  <c r="X244" i="6" s="1"/>
  <c r="U244" i="6"/>
  <c r="R244" i="6"/>
  <c r="O244" i="6"/>
  <c r="N244" i="6"/>
  <c r="L244" i="6"/>
  <c r="H244" i="6"/>
  <c r="I244" i="6" s="1"/>
  <c r="F244" i="6"/>
  <c r="C244" i="6"/>
  <c r="AC243" i="6"/>
  <c r="AD243" i="6" s="1"/>
  <c r="AA243" i="6"/>
  <c r="X243" i="6"/>
  <c r="W243" i="6"/>
  <c r="U243" i="6"/>
  <c r="R243" i="6"/>
  <c r="N243" i="6"/>
  <c r="O243" i="6" s="1"/>
  <c r="L243" i="6"/>
  <c r="H243" i="6"/>
  <c r="I243" i="6" s="1"/>
  <c r="F243" i="6"/>
  <c r="C243" i="6"/>
  <c r="AC242" i="6"/>
  <c r="AD242" i="6" s="1"/>
  <c r="AA242" i="6"/>
  <c r="X242" i="6"/>
  <c r="W242" i="6"/>
  <c r="U242" i="6"/>
  <c r="R242" i="6"/>
  <c r="N242" i="6"/>
  <c r="O242" i="6" s="1"/>
  <c r="L242" i="6"/>
  <c r="I242" i="6"/>
  <c r="H242" i="6"/>
  <c r="F242" i="6"/>
  <c r="C242" i="6"/>
  <c r="AC241" i="6"/>
  <c r="AD241" i="6" s="1"/>
  <c r="AA241" i="6"/>
  <c r="W241" i="6"/>
  <c r="X241" i="6" s="1"/>
  <c r="U241" i="6"/>
  <c r="R241" i="6"/>
  <c r="O241" i="6"/>
  <c r="N241" i="6"/>
  <c r="L241" i="6"/>
  <c r="I241" i="6"/>
  <c r="H241" i="6"/>
  <c r="F241" i="6"/>
  <c r="C241" i="6"/>
  <c r="AC240" i="6"/>
  <c r="AD240" i="6" s="1"/>
  <c r="AA240" i="6"/>
  <c r="W240" i="6"/>
  <c r="X240" i="6" s="1"/>
  <c r="U240" i="6"/>
  <c r="R240" i="6"/>
  <c r="O240" i="6"/>
  <c r="N240" i="6"/>
  <c r="L240" i="6"/>
  <c r="H240" i="6"/>
  <c r="I240" i="6" s="1"/>
  <c r="F240" i="6"/>
  <c r="C240" i="6"/>
  <c r="AC238" i="6"/>
  <c r="AD238" i="6" s="1"/>
  <c r="AA238" i="6"/>
  <c r="X238" i="6"/>
  <c r="W238" i="6"/>
  <c r="U238" i="6"/>
  <c r="R238" i="6"/>
  <c r="O238" i="6"/>
  <c r="N238" i="6"/>
  <c r="L238" i="6"/>
  <c r="H238" i="6"/>
  <c r="I238" i="6" s="1"/>
  <c r="F238" i="6"/>
  <c r="C238" i="6"/>
  <c r="AC236" i="6"/>
  <c r="AD236" i="6" s="1"/>
  <c r="AA236" i="6"/>
  <c r="Z236" i="6"/>
  <c r="T236" i="6"/>
  <c r="U236" i="6" s="1"/>
  <c r="Q236" i="6"/>
  <c r="W236" i="6" s="1"/>
  <c r="X236" i="6" s="1"/>
  <c r="N236" i="6"/>
  <c r="O236" i="6" s="1"/>
  <c r="K236" i="6"/>
  <c r="L236" i="6" s="1"/>
  <c r="E236" i="6"/>
  <c r="F236" i="6" s="1"/>
  <c r="B236" i="6"/>
  <c r="H236" i="6" s="1"/>
  <c r="I236" i="6" s="1"/>
  <c r="AC235" i="6"/>
  <c r="AD235" i="6" s="1"/>
  <c r="AA235" i="6"/>
  <c r="W235" i="6"/>
  <c r="X235" i="6" s="1"/>
  <c r="U235" i="6"/>
  <c r="R235" i="6"/>
  <c r="O235" i="6"/>
  <c r="N235" i="6"/>
  <c r="L235" i="6"/>
  <c r="H235" i="6"/>
  <c r="I235" i="6" s="1"/>
  <c r="F235" i="6"/>
  <c r="C235" i="6"/>
  <c r="AD234" i="6"/>
  <c r="AC234" i="6"/>
  <c r="AA234" i="6"/>
  <c r="X234" i="6"/>
  <c r="W234" i="6"/>
  <c r="U234" i="6"/>
  <c r="R234" i="6"/>
  <c r="O234" i="6"/>
  <c r="N234" i="6"/>
  <c r="L234" i="6"/>
  <c r="H234" i="6"/>
  <c r="I234" i="6" s="1"/>
  <c r="F234" i="6"/>
  <c r="C234" i="6"/>
  <c r="AD233" i="6"/>
  <c r="AC233" i="6"/>
  <c r="AA233" i="6"/>
  <c r="X233" i="6"/>
  <c r="W233" i="6"/>
  <c r="U233" i="6"/>
  <c r="R233" i="6"/>
  <c r="N233" i="6"/>
  <c r="O233" i="6" s="1"/>
  <c r="L233" i="6"/>
  <c r="H233" i="6"/>
  <c r="I233" i="6" s="1"/>
  <c r="F233" i="6"/>
  <c r="C233" i="6"/>
  <c r="AC232" i="6"/>
  <c r="AD232" i="6" s="1"/>
  <c r="AA232" i="6"/>
  <c r="W232" i="6"/>
  <c r="X232" i="6" s="1"/>
  <c r="U232" i="6"/>
  <c r="R232" i="6"/>
  <c r="O232" i="6"/>
  <c r="N232" i="6"/>
  <c r="L232" i="6"/>
  <c r="H232" i="6"/>
  <c r="I232" i="6" s="1"/>
  <c r="F232" i="6"/>
  <c r="C232" i="6"/>
  <c r="AC231" i="6"/>
  <c r="AD231" i="6" s="1"/>
  <c r="AA231" i="6"/>
  <c r="W231" i="6"/>
  <c r="X231" i="6" s="1"/>
  <c r="U231" i="6"/>
  <c r="R231" i="6"/>
  <c r="O231" i="6"/>
  <c r="N231" i="6"/>
  <c r="L231" i="6"/>
  <c r="H231" i="6"/>
  <c r="I231" i="6" s="1"/>
  <c r="F231" i="6"/>
  <c r="C231" i="6"/>
  <c r="AD230" i="6"/>
  <c r="AC230" i="6"/>
  <c r="AA230" i="6"/>
  <c r="X230" i="6"/>
  <c r="W230" i="6"/>
  <c r="U230" i="6"/>
  <c r="R230" i="6"/>
  <c r="N230" i="6"/>
  <c r="O230" i="6" s="1"/>
  <c r="L230" i="6"/>
  <c r="H230" i="6"/>
  <c r="I230" i="6" s="1"/>
  <c r="F230" i="6"/>
  <c r="C230" i="6"/>
  <c r="AD229" i="6"/>
  <c r="AC229" i="6"/>
  <c r="AA229" i="6"/>
  <c r="X229" i="6"/>
  <c r="W229" i="6"/>
  <c r="U229" i="6"/>
  <c r="R229" i="6"/>
  <c r="N229" i="6"/>
  <c r="O229" i="6" s="1"/>
  <c r="L229" i="6"/>
  <c r="I229" i="6"/>
  <c r="H229" i="6"/>
  <c r="F229" i="6"/>
  <c r="C229" i="6"/>
  <c r="Z227" i="6"/>
  <c r="AA227" i="6" s="1"/>
  <c r="W227" i="6"/>
  <c r="X227" i="6" s="1"/>
  <c r="T227" i="6"/>
  <c r="U227" i="6" s="1"/>
  <c r="Q227" i="6"/>
  <c r="R227" i="6" s="1"/>
  <c r="K227" i="6"/>
  <c r="N227" i="6" s="1"/>
  <c r="O227" i="6" s="1"/>
  <c r="E227" i="6"/>
  <c r="F227" i="6" s="1"/>
  <c r="C227" i="6"/>
  <c r="B227" i="6"/>
  <c r="H227" i="6" s="1"/>
  <c r="I227" i="6" s="1"/>
  <c r="AD226" i="6"/>
  <c r="AC226" i="6"/>
  <c r="AA226" i="6"/>
  <c r="X226" i="6"/>
  <c r="W226" i="6"/>
  <c r="U226" i="6"/>
  <c r="R226" i="6"/>
  <c r="N226" i="6"/>
  <c r="O226" i="6" s="1"/>
  <c r="L226" i="6"/>
  <c r="H226" i="6"/>
  <c r="I226" i="6" s="1"/>
  <c r="F226" i="6"/>
  <c r="C226" i="6"/>
  <c r="AD225" i="6"/>
  <c r="AC225" i="6"/>
  <c r="AA225" i="6"/>
  <c r="X225" i="6"/>
  <c r="W225" i="6"/>
  <c r="U225" i="6"/>
  <c r="R225" i="6"/>
  <c r="N225" i="6"/>
  <c r="O225" i="6" s="1"/>
  <c r="L225" i="6"/>
  <c r="I225" i="6"/>
  <c r="H225" i="6"/>
  <c r="F225" i="6"/>
  <c r="C225" i="6"/>
  <c r="AC224" i="6"/>
  <c r="AD224" i="6" s="1"/>
  <c r="AA224" i="6"/>
  <c r="W224" i="6"/>
  <c r="X224" i="6" s="1"/>
  <c r="U224" i="6"/>
  <c r="R224" i="6"/>
  <c r="O224" i="6"/>
  <c r="N224" i="6"/>
  <c r="L224" i="6"/>
  <c r="I224" i="6"/>
  <c r="H224" i="6"/>
  <c r="F224" i="6"/>
  <c r="C224" i="6"/>
  <c r="AC223" i="6"/>
  <c r="AD223" i="6" s="1"/>
  <c r="AA223" i="6"/>
  <c r="W223" i="6"/>
  <c r="X223" i="6" s="1"/>
  <c r="U223" i="6"/>
  <c r="R223" i="6"/>
  <c r="O223" i="6"/>
  <c r="N223" i="6"/>
  <c r="L223" i="6"/>
  <c r="H223" i="6"/>
  <c r="I223" i="6" s="1"/>
  <c r="F223" i="6"/>
  <c r="C223" i="6"/>
  <c r="AC222" i="6"/>
  <c r="AD222" i="6" s="1"/>
  <c r="AA222" i="6"/>
  <c r="X222" i="6"/>
  <c r="W222" i="6"/>
  <c r="U222" i="6"/>
  <c r="R222" i="6"/>
  <c r="N222" i="6"/>
  <c r="O222" i="6" s="1"/>
  <c r="L222" i="6"/>
  <c r="H222" i="6"/>
  <c r="I222" i="6" s="1"/>
  <c r="F222" i="6"/>
  <c r="C222" i="6"/>
  <c r="AC221" i="6"/>
  <c r="AD221" i="6" s="1"/>
  <c r="AA221" i="6"/>
  <c r="X221" i="6"/>
  <c r="W221" i="6"/>
  <c r="U221" i="6"/>
  <c r="R221" i="6"/>
  <c r="N221" i="6"/>
  <c r="O221" i="6" s="1"/>
  <c r="L221" i="6"/>
  <c r="I221" i="6"/>
  <c r="H221" i="6"/>
  <c r="F221" i="6"/>
  <c r="C221" i="6"/>
  <c r="AC220" i="6"/>
  <c r="AD220" i="6" s="1"/>
  <c r="AA220" i="6"/>
  <c r="X220" i="6"/>
  <c r="W220" i="6"/>
  <c r="U220" i="6"/>
  <c r="R220" i="6"/>
  <c r="O220" i="6"/>
  <c r="N220" i="6"/>
  <c r="L220" i="6"/>
  <c r="I220" i="6"/>
  <c r="H220" i="6"/>
  <c r="F220" i="6"/>
  <c r="C220" i="6"/>
  <c r="AC219" i="6"/>
  <c r="AD219" i="6" s="1"/>
  <c r="AA219" i="6"/>
  <c r="W219" i="6"/>
  <c r="X219" i="6" s="1"/>
  <c r="U219" i="6"/>
  <c r="R219" i="6"/>
  <c r="O219" i="6"/>
  <c r="N219" i="6"/>
  <c r="L219" i="6"/>
  <c r="H219" i="6"/>
  <c r="I219" i="6" s="1"/>
  <c r="F219" i="6"/>
  <c r="C219" i="6"/>
  <c r="AC218" i="6"/>
  <c r="AD218" i="6" s="1"/>
  <c r="Z218" i="6"/>
  <c r="AA218" i="6" s="1"/>
  <c r="T218" i="6"/>
  <c r="U218" i="6" s="1"/>
  <c r="Q218" i="6"/>
  <c r="W218" i="6" s="1"/>
  <c r="X218" i="6" s="1"/>
  <c r="N218" i="6"/>
  <c r="O218" i="6" s="1"/>
  <c r="K218" i="6"/>
  <c r="L218" i="6" s="1"/>
  <c r="E218" i="6"/>
  <c r="F218" i="6" s="1"/>
  <c r="B218" i="6"/>
  <c r="C218" i="6" s="1"/>
  <c r="AC217" i="6"/>
  <c r="AD217" i="6" s="1"/>
  <c r="AA217" i="6"/>
  <c r="W217" i="6"/>
  <c r="X217" i="6" s="1"/>
  <c r="U217" i="6"/>
  <c r="R217" i="6"/>
  <c r="O217" i="6"/>
  <c r="N217" i="6"/>
  <c r="L217" i="6"/>
  <c r="I217" i="6"/>
  <c r="H217" i="6"/>
  <c r="F217" i="6"/>
  <c r="C217" i="6"/>
  <c r="AC216" i="6"/>
  <c r="AD216" i="6" s="1"/>
  <c r="AA216" i="6"/>
  <c r="W216" i="6"/>
  <c r="X216" i="6" s="1"/>
  <c r="U216" i="6"/>
  <c r="R216" i="6"/>
  <c r="O216" i="6"/>
  <c r="N216" i="6"/>
  <c r="L216" i="6"/>
  <c r="H216" i="6"/>
  <c r="I216" i="6" s="1"/>
  <c r="F216" i="6"/>
  <c r="C216" i="6"/>
  <c r="AC215" i="6"/>
  <c r="AD215" i="6" s="1"/>
  <c r="AA215" i="6"/>
  <c r="X215" i="6"/>
  <c r="W215" i="6"/>
  <c r="U215" i="6"/>
  <c r="R215" i="6"/>
  <c r="N215" i="6"/>
  <c r="O215" i="6" s="1"/>
  <c r="L215" i="6"/>
  <c r="H215" i="6"/>
  <c r="I215" i="6" s="1"/>
  <c r="F215" i="6"/>
  <c r="C215" i="6"/>
  <c r="AC214" i="6"/>
  <c r="AD214" i="6" s="1"/>
  <c r="AA214" i="6"/>
  <c r="X214" i="6"/>
  <c r="W214" i="6"/>
  <c r="U214" i="6"/>
  <c r="R214" i="6"/>
  <c r="N214" i="6"/>
  <c r="O214" i="6" s="1"/>
  <c r="L214" i="6"/>
  <c r="I214" i="6"/>
  <c r="H214" i="6"/>
  <c r="F214" i="6"/>
  <c r="C214" i="6"/>
  <c r="AC213" i="6"/>
  <c r="AD213" i="6" s="1"/>
  <c r="AA213" i="6"/>
  <c r="X213" i="6"/>
  <c r="W213" i="6"/>
  <c r="U213" i="6"/>
  <c r="R213" i="6"/>
  <c r="O213" i="6"/>
  <c r="N213" i="6"/>
  <c r="L213" i="6"/>
  <c r="I213" i="6"/>
  <c r="H213" i="6"/>
  <c r="F213" i="6"/>
  <c r="C213" i="6"/>
  <c r="AC211" i="6"/>
  <c r="AD211" i="6" s="1"/>
  <c r="AA211" i="6"/>
  <c r="W211" i="6"/>
  <c r="X211" i="6" s="1"/>
  <c r="U211" i="6"/>
  <c r="R211" i="6"/>
  <c r="O211" i="6"/>
  <c r="N211" i="6"/>
  <c r="L211" i="6"/>
  <c r="H211" i="6"/>
  <c r="I211" i="6" s="1"/>
  <c r="F211" i="6"/>
  <c r="C211" i="6"/>
  <c r="AC209" i="6"/>
  <c r="AD209" i="6" s="1"/>
  <c r="Z209" i="6"/>
  <c r="AA209" i="6" s="1"/>
  <c r="T209" i="6"/>
  <c r="U209" i="6" s="1"/>
  <c r="Q209" i="6"/>
  <c r="W209" i="6" s="1"/>
  <c r="X209" i="6" s="1"/>
  <c r="N209" i="6"/>
  <c r="O209" i="6" s="1"/>
  <c r="K209" i="6"/>
  <c r="L209" i="6" s="1"/>
  <c r="E209" i="6"/>
  <c r="F209" i="6" s="1"/>
  <c r="B209" i="6"/>
  <c r="C209" i="6" s="1"/>
  <c r="AC208" i="6"/>
  <c r="AD208" i="6" s="1"/>
  <c r="AA208" i="6"/>
  <c r="W208" i="6"/>
  <c r="X208" i="6" s="1"/>
  <c r="U208" i="6"/>
  <c r="R208" i="6"/>
  <c r="O208" i="6"/>
  <c r="N208" i="6"/>
  <c r="L208" i="6"/>
  <c r="I208" i="6"/>
  <c r="H208" i="6"/>
  <c r="F208" i="6"/>
  <c r="C208" i="6"/>
  <c r="AC207" i="6"/>
  <c r="AD207" i="6" s="1"/>
  <c r="AA207" i="6"/>
  <c r="W207" i="6"/>
  <c r="X207" i="6" s="1"/>
  <c r="U207" i="6"/>
  <c r="R207" i="6"/>
  <c r="O207" i="6"/>
  <c r="N207" i="6"/>
  <c r="L207" i="6"/>
  <c r="H207" i="6"/>
  <c r="I207" i="6" s="1"/>
  <c r="F207" i="6"/>
  <c r="C207" i="6"/>
  <c r="AC206" i="6"/>
  <c r="AD206" i="6" s="1"/>
  <c r="AA206" i="6"/>
  <c r="X206" i="6"/>
  <c r="W206" i="6"/>
  <c r="U206" i="6"/>
  <c r="R206" i="6"/>
  <c r="N206" i="6"/>
  <c r="O206" i="6" s="1"/>
  <c r="L206" i="6"/>
  <c r="H206" i="6"/>
  <c r="I206" i="6" s="1"/>
  <c r="F206" i="6"/>
  <c r="C206" i="6"/>
  <c r="AC205" i="6"/>
  <c r="AD205" i="6" s="1"/>
  <c r="AA205" i="6"/>
  <c r="X205" i="6"/>
  <c r="W205" i="6"/>
  <c r="U205" i="6"/>
  <c r="R205" i="6"/>
  <c r="N205" i="6"/>
  <c r="O205" i="6" s="1"/>
  <c r="L205" i="6"/>
  <c r="H205" i="6"/>
  <c r="I205" i="6" s="1"/>
  <c r="F205" i="6"/>
  <c r="C205" i="6"/>
  <c r="AC204" i="6"/>
  <c r="AD204" i="6" s="1"/>
  <c r="AA204" i="6"/>
  <c r="X204" i="6"/>
  <c r="W204" i="6"/>
  <c r="U204" i="6"/>
  <c r="R204" i="6"/>
  <c r="O204" i="6"/>
  <c r="N204" i="6"/>
  <c r="L204" i="6"/>
  <c r="I204" i="6"/>
  <c r="H204" i="6"/>
  <c r="F204" i="6"/>
  <c r="C204" i="6"/>
  <c r="AC203" i="6"/>
  <c r="AD203" i="6" s="1"/>
  <c r="AA203" i="6"/>
  <c r="W203" i="6"/>
  <c r="X203" i="6" s="1"/>
  <c r="U203" i="6"/>
  <c r="R203" i="6"/>
  <c r="O203" i="6"/>
  <c r="N203" i="6"/>
  <c r="L203" i="6"/>
  <c r="H203" i="6"/>
  <c r="I203" i="6" s="1"/>
  <c r="F203" i="6"/>
  <c r="C203" i="6"/>
  <c r="AC202" i="6"/>
  <c r="AD202" i="6" s="1"/>
  <c r="AA202" i="6"/>
  <c r="X202" i="6"/>
  <c r="W202" i="6"/>
  <c r="U202" i="6"/>
  <c r="R202" i="6"/>
  <c r="O202" i="6"/>
  <c r="N202" i="6"/>
  <c r="L202" i="6"/>
  <c r="H202" i="6"/>
  <c r="I202" i="6" s="1"/>
  <c r="F202" i="6"/>
  <c r="C202" i="6"/>
  <c r="AC201" i="6"/>
  <c r="AD201" i="6" s="1"/>
  <c r="AA201" i="6"/>
  <c r="X201" i="6"/>
  <c r="W201" i="6"/>
  <c r="U201" i="6"/>
  <c r="R201" i="6"/>
  <c r="N201" i="6"/>
  <c r="O201" i="6" s="1"/>
  <c r="L201" i="6"/>
  <c r="H201" i="6"/>
  <c r="I201" i="6" s="1"/>
  <c r="F201" i="6"/>
  <c r="C201" i="6"/>
  <c r="AC197" i="6"/>
  <c r="AD197" i="6" s="1"/>
  <c r="Z197" i="6"/>
  <c r="AA197" i="6" s="1"/>
  <c r="U197" i="6"/>
  <c r="T197" i="6"/>
  <c r="Q197" i="6"/>
  <c r="W197" i="6" s="1"/>
  <c r="X197" i="6" s="1"/>
  <c r="N197" i="6"/>
  <c r="O197" i="6" s="1"/>
  <c r="K197" i="6"/>
  <c r="L197" i="6" s="1"/>
  <c r="F197" i="6"/>
  <c r="E197" i="6"/>
  <c r="H197" i="6" s="1"/>
  <c r="I197" i="6" s="1"/>
  <c r="B197" i="6"/>
  <c r="C197" i="6" s="1"/>
  <c r="AA196" i="6"/>
  <c r="Z196" i="6"/>
  <c r="W196" i="6"/>
  <c r="X196" i="6" s="1"/>
  <c r="T196" i="6"/>
  <c r="U196" i="6" s="1"/>
  <c r="Q196" i="6"/>
  <c r="R196" i="6" s="1"/>
  <c r="K196" i="6"/>
  <c r="L196" i="6" s="1"/>
  <c r="E196" i="6"/>
  <c r="F196" i="6" s="1"/>
  <c r="B196" i="6"/>
  <c r="AD195" i="6"/>
  <c r="AC195" i="6"/>
  <c r="AA195" i="6"/>
  <c r="X195" i="6"/>
  <c r="W195" i="6"/>
  <c r="U195" i="6"/>
  <c r="R195" i="6"/>
  <c r="O195" i="6"/>
  <c r="N195" i="6"/>
  <c r="L195" i="6"/>
  <c r="H195" i="6"/>
  <c r="I195" i="6" s="1"/>
  <c r="F195" i="6"/>
  <c r="C195" i="6"/>
  <c r="AD194" i="6"/>
  <c r="AC194" i="6"/>
  <c r="AA194" i="6"/>
  <c r="X194" i="6"/>
  <c r="W194" i="6"/>
  <c r="U194" i="6"/>
  <c r="R194" i="6"/>
  <c r="N194" i="6"/>
  <c r="O194" i="6" s="1"/>
  <c r="L194" i="6"/>
  <c r="H194" i="6"/>
  <c r="I194" i="6" s="1"/>
  <c r="F194" i="6"/>
  <c r="C194" i="6"/>
  <c r="AA193" i="6"/>
  <c r="Z193" i="6"/>
  <c r="W193" i="6"/>
  <c r="X193" i="6" s="1"/>
  <c r="T193" i="6"/>
  <c r="U193" i="6" s="1"/>
  <c r="Q193" i="6"/>
  <c r="R193" i="6" s="1"/>
  <c r="K193" i="6"/>
  <c r="L193" i="6" s="1"/>
  <c r="E193" i="6"/>
  <c r="F193" i="6" s="1"/>
  <c r="B193" i="6"/>
  <c r="AD192" i="6"/>
  <c r="AC192" i="6"/>
  <c r="AA192" i="6"/>
  <c r="X192" i="6"/>
  <c r="W192" i="6"/>
  <c r="U192" i="6"/>
  <c r="R192" i="6"/>
  <c r="O192" i="6"/>
  <c r="N192" i="6"/>
  <c r="L192" i="6"/>
  <c r="H192" i="6"/>
  <c r="I192" i="6" s="1"/>
  <c r="F192" i="6"/>
  <c r="C192" i="6"/>
  <c r="AD191" i="6"/>
  <c r="AC191" i="6"/>
  <c r="AA191" i="6"/>
  <c r="X191" i="6"/>
  <c r="W191" i="6"/>
  <c r="U191" i="6"/>
  <c r="R191" i="6"/>
  <c r="N191" i="6"/>
  <c r="O191" i="6" s="1"/>
  <c r="L191" i="6"/>
  <c r="H191" i="6"/>
  <c r="I191" i="6" s="1"/>
  <c r="F191" i="6"/>
  <c r="C191" i="6"/>
  <c r="AC190" i="6"/>
  <c r="AD190" i="6" s="1"/>
  <c r="AA190" i="6"/>
  <c r="W190" i="6"/>
  <c r="X190" i="6" s="1"/>
  <c r="U190" i="6"/>
  <c r="R190" i="6"/>
  <c r="O190" i="6"/>
  <c r="N190" i="6"/>
  <c r="L190" i="6"/>
  <c r="I190" i="6"/>
  <c r="H190" i="6"/>
  <c r="F190" i="6"/>
  <c r="C190" i="6"/>
  <c r="AC189" i="6"/>
  <c r="AD189" i="6" s="1"/>
  <c r="AA189" i="6"/>
  <c r="W189" i="6"/>
  <c r="X189" i="6" s="1"/>
  <c r="U189" i="6"/>
  <c r="R189" i="6"/>
  <c r="O189" i="6"/>
  <c r="N189" i="6"/>
  <c r="L189" i="6"/>
  <c r="H189" i="6"/>
  <c r="I189" i="6" s="1"/>
  <c r="F189" i="6"/>
  <c r="C189" i="6"/>
  <c r="AD188" i="6"/>
  <c r="AC188" i="6"/>
  <c r="AA188" i="6"/>
  <c r="X188" i="6"/>
  <c r="W188" i="6"/>
  <c r="U188" i="6"/>
  <c r="R188" i="6"/>
  <c r="N188" i="6"/>
  <c r="O188" i="6" s="1"/>
  <c r="L188" i="6"/>
  <c r="H188" i="6"/>
  <c r="I188" i="6" s="1"/>
  <c r="F188" i="6"/>
  <c r="C188" i="6"/>
  <c r="AD187" i="6"/>
  <c r="AC187" i="6"/>
  <c r="AA187" i="6"/>
  <c r="X187" i="6"/>
  <c r="W187" i="6"/>
  <c r="U187" i="6"/>
  <c r="R187" i="6"/>
  <c r="N187" i="6"/>
  <c r="O187" i="6" s="1"/>
  <c r="L187" i="6"/>
  <c r="I187" i="6"/>
  <c r="H187" i="6"/>
  <c r="F187" i="6"/>
  <c r="C187" i="6"/>
  <c r="AC186" i="6"/>
  <c r="AD186" i="6" s="1"/>
  <c r="AA186" i="6"/>
  <c r="W186" i="6"/>
  <c r="X186" i="6" s="1"/>
  <c r="U186" i="6"/>
  <c r="R186" i="6"/>
  <c r="O186" i="6"/>
  <c r="N186" i="6"/>
  <c r="L186" i="6"/>
  <c r="I186" i="6"/>
  <c r="H186" i="6"/>
  <c r="F186" i="6"/>
  <c r="C186" i="6"/>
  <c r="AC184" i="6"/>
  <c r="AD184" i="6" s="1"/>
  <c r="AA184" i="6"/>
  <c r="W184" i="6"/>
  <c r="X184" i="6" s="1"/>
  <c r="U184" i="6"/>
  <c r="R184" i="6"/>
  <c r="O184" i="6"/>
  <c r="N184" i="6"/>
  <c r="L184" i="6"/>
  <c r="H184" i="6"/>
  <c r="I184" i="6" s="1"/>
  <c r="F184" i="6"/>
  <c r="C184" i="6"/>
  <c r="AC183" i="6"/>
  <c r="AD183" i="6" s="1"/>
  <c r="AA183" i="6"/>
  <c r="X183" i="6"/>
  <c r="W183" i="6"/>
  <c r="U183" i="6"/>
  <c r="R183" i="6"/>
  <c r="O183" i="6"/>
  <c r="N183" i="6"/>
  <c r="L183" i="6"/>
  <c r="H183" i="6"/>
  <c r="I183" i="6" s="1"/>
  <c r="F183" i="6"/>
  <c r="C183" i="6"/>
  <c r="AC182" i="6"/>
  <c r="AD182" i="6" s="1"/>
  <c r="AA182" i="6"/>
  <c r="Z182" i="6"/>
  <c r="W182" i="6"/>
  <c r="X182" i="6" s="1"/>
  <c r="T182" i="6"/>
  <c r="U182" i="6" s="1"/>
  <c r="R182" i="6"/>
  <c r="Q182" i="6"/>
  <c r="K182" i="6"/>
  <c r="L182" i="6" s="1"/>
  <c r="E182" i="6"/>
  <c r="F182" i="6" s="1"/>
  <c r="B182" i="6"/>
  <c r="AC181" i="6"/>
  <c r="AD181" i="6" s="1"/>
  <c r="AA181" i="6"/>
  <c r="W181" i="6"/>
  <c r="X181" i="6" s="1"/>
  <c r="U181" i="6"/>
  <c r="R181" i="6"/>
  <c r="O181" i="6"/>
  <c r="N181" i="6"/>
  <c r="L181" i="6"/>
  <c r="H181" i="6"/>
  <c r="I181" i="6" s="1"/>
  <c r="F181" i="6"/>
  <c r="C181" i="6"/>
  <c r="AD180" i="6"/>
  <c r="AC180" i="6"/>
  <c r="AA180" i="6"/>
  <c r="X180" i="6"/>
  <c r="W180" i="6"/>
  <c r="U180" i="6"/>
  <c r="R180" i="6"/>
  <c r="O180" i="6"/>
  <c r="N180" i="6"/>
  <c r="L180" i="6"/>
  <c r="H180" i="6"/>
  <c r="I180" i="6" s="1"/>
  <c r="F180" i="6"/>
  <c r="C180" i="6"/>
  <c r="AD179" i="6"/>
  <c r="AC179" i="6"/>
  <c r="AA179" i="6"/>
  <c r="X179" i="6"/>
  <c r="W179" i="6"/>
  <c r="U179" i="6"/>
  <c r="R179" i="6"/>
  <c r="N179" i="6"/>
  <c r="O179" i="6" s="1"/>
  <c r="L179" i="6"/>
  <c r="H179" i="6"/>
  <c r="I179" i="6" s="1"/>
  <c r="F179" i="6"/>
  <c r="C179" i="6"/>
  <c r="AC178" i="6"/>
  <c r="AD178" i="6" s="1"/>
  <c r="AA178" i="6"/>
  <c r="X178" i="6"/>
  <c r="W178" i="6"/>
  <c r="U178" i="6"/>
  <c r="R178" i="6"/>
  <c r="O178" i="6"/>
  <c r="N178" i="6"/>
  <c r="L178" i="6"/>
  <c r="H178" i="6"/>
  <c r="I178" i="6" s="1"/>
  <c r="F178" i="6"/>
  <c r="C178" i="6"/>
  <c r="AC177" i="6"/>
  <c r="AD177" i="6" s="1"/>
  <c r="AA177" i="6"/>
  <c r="W177" i="6"/>
  <c r="X177" i="6" s="1"/>
  <c r="U177" i="6"/>
  <c r="R177" i="6"/>
  <c r="O177" i="6"/>
  <c r="N177" i="6"/>
  <c r="L177" i="6"/>
  <c r="H177" i="6"/>
  <c r="I177" i="6" s="1"/>
  <c r="F177" i="6"/>
  <c r="C177" i="6"/>
  <c r="AD175" i="6"/>
  <c r="AC175" i="6"/>
  <c r="AA175" i="6"/>
  <c r="X175" i="6"/>
  <c r="W175" i="6"/>
  <c r="U175" i="6"/>
  <c r="R175" i="6"/>
  <c r="N175" i="6"/>
  <c r="O175" i="6" s="1"/>
  <c r="L175" i="6"/>
  <c r="H175" i="6"/>
  <c r="I175" i="6" s="1"/>
  <c r="F175" i="6"/>
  <c r="C175" i="6"/>
  <c r="Z172" i="6"/>
  <c r="Z198" i="6" s="1"/>
  <c r="R172" i="6"/>
  <c r="Q172" i="6"/>
  <c r="K172" i="6"/>
  <c r="L172" i="6" s="1"/>
  <c r="B172" i="6"/>
  <c r="AC171" i="6"/>
  <c r="AD171" i="6" s="1"/>
  <c r="Z171" i="6"/>
  <c r="AA171" i="6" s="1"/>
  <c r="T171" i="6"/>
  <c r="W171" i="6" s="1"/>
  <c r="X171" i="6" s="1"/>
  <c r="Q171" i="6"/>
  <c r="R171" i="6" s="1"/>
  <c r="L171" i="6"/>
  <c r="K171" i="6"/>
  <c r="E171" i="6"/>
  <c r="F171" i="6" s="1"/>
  <c r="B171" i="6"/>
  <c r="C171" i="6" s="1"/>
  <c r="AA170" i="6"/>
  <c r="Z170" i="6"/>
  <c r="T170" i="6"/>
  <c r="U170" i="6" s="1"/>
  <c r="R170" i="6"/>
  <c r="Q170" i="6"/>
  <c r="W170" i="6" s="1"/>
  <c r="X170" i="6" s="1"/>
  <c r="K170" i="6"/>
  <c r="L170" i="6" s="1"/>
  <c r="F170" i="6"/>
  <c r="E170" i="6"/>
  <c r="B170" i="6"/>
  <c r="H170" i="6" s="1"/>
  <c r="I170" i="6" s="1"/>
  <c r="AC169" i="6"/>
  <c r="AD169" i="6" s="1"/>
  <c r="AA169" i="6"/>
  <c r="W169" i="6"/>
  <c r="X169" i="6" s="1"/>
  <c r="U169" i="6"/>
  <c r="R169" i="6"/>
  <c r="O169" i="6"/>
  <c r="N169" i="6"/>
  <c r="L169" i="6"/>
  <c r="H169" i="6"/>
  <c r="I169" i="6" s="1"/>
  <c r="F169" i="6"/>
  <c r="C169" i="6"/>
  <c r="AD168" i="6"/>
  <c r="AC168" i="6"/>
  <c r="AA168" i="6"/>
  <c r="X168" i="6"/>
  <c r="W168" i="6"/>
  <c r="U168" i="6"/>
  <c r="R168" i="6"/>
  <c r="N168" i="6"/>
  <c r="O168" i="6" s="1"/>
  <c r="L168" i="6"/>
  <c r="H168" i="6"/>
  <c r="I168" i="6" s="1"/>
  <c r="F168" i="6"/>
  <c r="C168" i="6"/>
  <c r="AC167" i="6"/>
  <c r="AD167" i="6" s="1"/>
  <c r="AA167" i="6"/>
  <c r="X167" i="6"/>
  <c r="W167" i="6"/>
  <c r="U167" i="6"/>
  <c r="R167" i="6"/>
  <c r="N167" i="6"/>
  <c r="O167" i="6" s="1"/>
  <c r="L167" i="6"/>
  <c r="I167" i="6"/>
  <c r="H167" i="6"/>
  <c r="F167" i="6"/>
  <c r="C167" i="6"/>
  <c r="Z166" i="6"/>
  <c r="AA166" i="6" s="1"/>
  <c r="T166" i="6"/>
  <c r="U166" i="6" s="1"/>
  <c r="Q166" i="6"/>
  <c r="R166" i="6" s="1"/>
  <c r="O166" i="6"/>
  <c r="K166" i="6"/>
  <c r="N166" i="6" s="1"/>
  <c r="H166" i="6"/>
  <c r="I166" i="6" s="1"/>
  <c r="E166" i="6"/>
  <c r="F166" i="6" s="1"/>
  <c r="C166" i="6"/>
  <c r="B166" i="6"/>
  <c r="AD165" i="6"/>
  <c r="AC165" i="6"/>
  <c r="AA165" i="6"/>
  <c r="X165" i="6"/>
  <c r="W165" i="6"/>
  <c r="U165" i="6"/>
  <c r="R165" i="6"/>
  <c r="N165" i="6"/>
  <c r="O165" i="6" s="1"/>
  <c r="L165" i="6"/>
  <c r="H165" i="6"/>
  <c r="I165" i="6" s="1"/>
  <c r="F165" i="6"/>
  <c r="C165" i="6"/>
  <c r="AC164" i="6"/>
  <c r="AD164" i="6" s="1"/>
  <c r="AA164" i="6"/>
  <c r="X164" i="6"/>
  <c r="W164" i="6"/>
  <c r="U164" i="6"/>
  <c r="R164" i="6"/>
  <c r="N164" i="6"/>
  <c r="O164" i="6" s="1"/>
  <c r="L164" i="6"/>
  <c r="I164" i="6"/>
  <c r="H164" i="6"/>
  <c r="F164" i="6"/>
  <c r="C164" i="6"/>
  <c r="AC163" i="6"/>
  <c r="AD163" i="6" s="1"/>
  <c r="AA163" i="6"/>
  <c r="X163" i="6"/>
  <c r="W163" i="6"/>
  <c r="U163" i="6"/>
  <c r="R163" i="6"/>
  <c r="O163" i="6"/>
  <c r="N163" i="6"/>
  <c r="L163" i="6"/>
  <c r="H163" i="6"/>
  <c r="I163" i="6" s="1"/>
  <c r="F163" i="6"/>
  <c r="C163" i="6"/>
  <c r="AC162" i="6"/>
  <c r="AD162" i="6" s="1"/>
  <c r="AA162" i="6"/>
  <c r="W162" i="6"/>
  <c r="X162" i="6" s="1"/>
  <c r="U162" i="6"/>
  <c r="R162" i="6"/>
  <c r="O162" i="6"/>
  <c r="N162" i="6"/>
  <c r="L162" i="6"/>
  <c r="H162" i="6"/>
  <c r="I162" i="6" s="1"/>
  <c r="F162" i="6"/>
  <c r="C162" i="6"/>
  <c r="AC161" i="6"/>
  <c r="AD161" i="6" s="1"/>
  <c r="AA161" i="6"/>
  <c r="X161" i="6"/>
  <c r="W161" i="6"/>
  <c r="U161" i="6"/>
  <c r="R161" i="6"/>
  <c r="O161" i="6"/>
  <c r="N161" i="6"/>
  <c r="L161" i="6"/>
  <c r="H161" i="6"/>
  <c r="I161" i="6" s="1"/>
  <c r="F161" i="6"/>
  <c r="C161" i="6"/>
  <c r="AC160" i="6"/>
  <c r="AD160" i="6" s="1"/>
  <c r="AA160" i="6"/>
  <c r="X160" i="6"/>
  <c r="W160" i="6"/>
  <c r="U160" i="6"/>
  <c r="R160" i="6"/>
  <c r="N160" i="6"/>
  <c r="O160" i="6" s="1"/>
  <c r="L160" i="6"/>
  <c r="I160" i="6"/>
  <c r="H160" i="6"/>
  <c r="F160" i="6"/>
  <c r="C160" i="6"/>
  <c r="AA158" i="6"/>
  <c r="Z158" i="6"/>
  <c r="T158" i="6"/>
  <c r="Q158" i="6"/>
  <c r="R158" i="6" s="1"/>
  <c r="N158" i="6"/>
  <c r="O158" i="6" s="1"/>
  <c r="L158" i="6"/>
  <c r="K158" i="6"/>
  <c r="H158" i="6"/>
  <c r="I158" i="6" s="1"/>
  <c r="E158" i="6"/>
  <c r="F158" i="6" s="1"/>
  <c r="C158" i="6"/>
  <c r="B158" i="6"/>
  <c r="AC157" i="6"/>
  <c r="AD157" i="6" s="1"/>
  <c r="AA157" i="6"/>
  <c r="X157" i="6"/>
  <c r="W157" i="6"/>
  <c r="U157" i="6"/>
  <c r="R157" i="6"/>
  <c r="O157" i="6"/>
  <c r="N157" i="6"/>
  <c r="L157" i="6"/>
  <c r="H157" i="6"/>
  <c r="I157" i="6" s="1"/>
  <c r="F157" i="6"/>
  <c r="C157" i="6"/>
  <c r="AC156" i="6"/>
  <c r="AD156" i="6" s="1"/>
  <c r="AA156" i="6"/>
  <c r="X156" i="6"/>
  <c r="W156" i="6"/>
  <c r="U156" i="6"/>
  <c r="R156" i="6"/>
  <c r="N156" i="6"/>
  <c r="O156" i="6" s="1"/>
  <c r="L156" i="6"/>
  <c r="I156" i="6"/>
  <c r="H156" i="6"/>
  <c r="F156" i="6"/>
  <c r="C156" i="6"/>
  <c r="AC155" i="6"/>
  <c r="AD155" i="6" s="1"/>
  <c r="AA155" i="6"/>
  <c r="X155" i="6"/>
  <c r="W155" i="6"/>
  <c r="U155" i="6"/>
  <c r="R155" i="6"/>
  <c r="O155" i="6"/>
  <c r="N155" i="6"/>
  <c r="L155" i="6"/>
  <c r="H155" i="6"/>
  <c r="I155" i="6" s="1"/>
  <c r="F155" i="6"/>
  <c r="C155" i="6"/>
  <c r="AC154" i="6"/>
  <c r="AD154" i="6" s="1"/>
  <c r="AA154" i="6"/>
  <c r="W154" i="6"/>
  <c r="X154" i="6" s="1"/>
  <c r="U154" i="6"/>
  <c r="R154" i="6"/>
  <c r="O154" i="6"/>
  <c r="N154" i="6"/>
  <c r="L154" i="6"/>
  <c r="H154" i="6"/>
  <c r="I154" i="6" s="1"/>
  <c r="F154" i="6"/>
  <c r="C154" i="6"/>
  <c r="AD153" i="6"/>
  <c r="AC153" i="6"/>
  <c r="AA153" i="6"/>
  <c r="X153" i="6"/>
  <c r="W153" i="6"/>
  <c r="U153" i="6"/>
  <c r="R153" i="6"/>
  <c r="N153" i="6"/>
  <c r="O153" i="6" s="1"/>
  <c r="L153" i="6"/>
  <c r="H153" i="6"/>
  <c r="I153" i="6" s="1"/>
  <c r="F153" i="6"/>
  <c r="C153" i="6"/>
  <c r="AD151" i="6"/>
  <c r="AC151" i="6"/>
  <c r="AA151" i="6"/>
  <c r="X151" i="6"/>
  <c r="W151" i="6"/>
  <c r="U151" i="6"/>
  <c r="R151" i="6"/>
  <c r="N151" i="6"/>
  <c r="O151" i="6" s="1"/>
  <c r="L151" i="6"/>
  <c r="H151" i="6"/>
  <c r="I151" i="6" s="1"/>
  <c r="F151" i="6"/>
  <c r="C151" i="6"/>
  <c r="AA149" i="6"/>
  <c r="Z149" i="6"/>
  <c r="X149" i="6"/>
  <c r="W149" i="6"/>
  <c r="T149" i="6"/>
  <c r="U149" i="6" s="1"/>
  <c r="Q149" i="6"/>
  <c r="R149" i="6" s="1"/>
  <c r="L149" i="6"/>
  <c r="K149" i="6"/>
  <c r="H149" i="6"/>
  <c r="I149" i="6" s="1"/>
  <c r="E149" i="6"/>
  <c r="F149" i="6" s="1"/>
  <c r="B149" i="6"/>
  <c r="C149" i="6" s="1"/>
  <c r="Z148" i="6"/>
  <c r="AA148" i="6" s="1"/>
  <c r="T148" i="6"/>
  <c r="U148" i="6" s="1"/>
  <c r="R148" i="6"/>
  <c r="Q148" i="6"/>
  <c r="N148" i="6"/>
  <c r="O148" i="6" s="1"/>
  <c r="K148" i="6"/>
  <c r="L148" i="6" s="1"/>
  <c r="E148" i="6"/>
  <c r="B148" i="6"/>
  <c r="C148" i="6" s="1"/>
  <c r="AC147" i="6"/>
  <c r="AD147" i="6" s="1"/>
  <c r="AA147" i="6"/>
  <c r="X147" i="6"/>
  <c r="W147" i="6"/>
  <c r="U147" i="6"/>
  <c r="R147" i="6"/>
  <c r="O147" i="6"/>
  <c r="N147" i="6"/>
  <c r="L147" i="6"/>
  <c r="H147" i="6"/>
  <c r="I147" i="6" s="1"/>
  <c r="F147" i="6"/>
  <c r="C147" i="6"/>
  <c r="AC146" i="6"/>
  <c r="AD146" i="6" s="1"/>
  <c r="AA146" i="6"/>
  <c r="W146" i="6"/>
  <c r="X146" i="6" s="1"/>
  <c r="U146" i="6"/>
  <c r="R146" i="6"/>
  <c r="O146" i="6"/>
  <c r="N146" i="6"/>
  <c r="L146" i="6"/>
  <c r="H146" i="6"/>
  <c r="I146" i="6" s="1"/>
  <c r="F146" i="6"/>
  <c r="C146" i="6"/>
  <c r="AC145" i="6"/>
  <c r="AD145" i="6" s="1"/>
  <c r="AA145" i="6"/>
  <c r="X145" i="6"/>
  <c r="W145" i="6"/>
  <c r="U145" i="6"/>
  <c r="R145" i="6"/>
  <c r="O145" i="6"/>
  <c r="N145" i="6"/>
  <c r="L145" i="6"/>
  <c r="H145" i="6"/>
  <c r="I145" i="6" s="1"/>
  <c r="F145" i="6"/>
  <c r="C145" i="6"/>
  <c r="AC144" i="6"/>
  <c r="AD144" i="6" s="1"/>
  <c r="AA144" i="6"/>
  <c r="X144" i="6"/>
  <c r="W144" i="6"/>
  <c r="U144" i="6"/>
  <c r="R144" i="6"/>
  <c r="N144" i="6"/>
  <c r="O144" i="6" s="1"/>
  <c r="L144" i="6"/>
  <c r="I144" i="6"/>
  <c r="H144" i="6"/>
  <c r="F144" i="6"/>
  <c r="C144" i="6"/>
  <c r="AC143" i="6"/>
  <c r="AD143" i="6" s="1"/>
  <c r="AA143" i="6"/>
  <c r="X143" i="6"/>
  <c r="W143" i="6"/>
  <c r="U143" i="6"/>
  <c r="R143" i="6"/>
  <c r="O143" i="6"/>
  <c r="N143" i="6"/>
  <c r="L143" i="6"/>
  <c r="H143" i="6"/>
  <c r="I143" i="6" s="1"/>
  <c r="F143" i="6"/>
  <c r="C143" i="6"/>
  <c r="AC141" i="6"/>
  <c r="AD141" i="6" s="1"/>
  <c r="Z141" i="6"/>
  <c r="AA141" i="6" s="1"/>
  <c r="T141" i="6"/>
  <c r="W141" i="6" s="1"/>
  <c r="X141" i="6" s="1"/>
  <c r="Q141" i="6"/>
  <c r="R141" i="6" s="1"/>
  <c r="L141" i="6"/>
  <c r="K141" i="6"/>
  <c r="E141" i="6"/>
  <c r="F141" i="6" s="1"/>
  <c r="B141" i="6"/>
  <c r="C141" i="6" s="1"/>
  <c r="AD140" i="6"/>
  <c r="AC140" i="6"/>
  <c r="AA140" i="6"/>
  <c r="X140" i="6"/>
  <c r="W140" i="6"/>
  <c r="U140" i="6"/>
  <c r="R140" i="6"/>
  <c r="N140" i="6"/>
  <c r="O140" i="6" s="1"/>
  <c r="L140" i="6"/>
  <c r="H140" i="6"/>
  <c r="I140" i="6" s="1"/>
  <c r="F140" i="6"/>
  <c r="C140" i="6"/>
  <c r="AC139" i="6"/>
  <c r="AD139" i="6" s="1"/>
  <c r="AA139" i="6"/>
  <c r="W139" i="6"/>
  <c r="X139" i="6" s="1"/>
  <c r="U139" i="6"/>
  <c r="R139" i="6"/>
  <c r="O139" i="6"/>
  <c r="N139" i="6"/>
  <c r="L139" i="6"/>
  <c r="I139" i="6"/>
  <c r="H139" i="6"/>
  <c r="F139" i="6"/>
  <c r="C139" i="6"/>
  <c r="AC138" i="6"/>
  <c r="AD138" i="6" s="1"/>
  <c r="AA138" i="6"/>
  <c r="W138" i="6"/>
  <c r="X138" i="6" s="1"/>
  <c r="U138" i="6"/>
  <c r="R138" i="6"/>
  <c r="O138" i="6"/>
  <c r="N138" i="6"/>
  <c r="L138" i="6"/>
  <c r="H138" i="6"/>
  <c r="I138" i="6" s="1"/>
  <c r="F138" i="6"/>
  <c r="C138" i="6"/>
  <c r="AC137" i="6"/>
  <c r="AD137" i="6" s="1"/>
  <c r="AA137" i="6"/>
  <c r="X137" i="6"/>
  <c r="W137" i="6"/>
  <c r="U137" i="6"/>
  <c r="R137" i="6"/>
  <c r="N137" i="6"/>
  <c r="O137" i="6" s="1"/>
  <c r="L137" i="6"/>
  <c r="H137" i="6"/>
  <c r="I137" i="6" s="1"/>
  <c r="F137" i="6"/>
  <c r="C137" i="6"/>
  <c r="AD136" i="6"/>
  <c r="AC136" i="6"/>
  <c r="AA136" i="6"/>
  <c r="X136" i="6"/>
  <c r="W136" i="6"/>
  <c r="U136" i="6"/>
  <c r="R136" i="6"/>
  <c r="N136" i="6"/>
  <c r="O136" i="6" s="1"/>
  <c r="L136" i="6"/>
  <c r="I136" i="6"/>
  <c r="H136" i="6"/>
  <c r="F136" i="6"/>
  <c r="C136" i="6"/>
  <c r="AC135" i="6"/>
  <c r="AD135" i="6" s="1"/>
  <c r="AA135" i="6"/>
  <c r="W135" i="6"/>
  <c r="X135" i="6" s="1"/>
  <c r="U135" i="6"/>
  <c r="R135" i="6"/>
  <c r="O135" i="6"/>
  <c r="N135" i="6"/>
  <c r="L135" i="6"/>
  <c r="I135" i="6"/>
  <c r="H135" i="6"/>
  <c r="F135" i="6"/>
  <c r="C135" i="6"/>
  <c r="AC134" i="6"/>
  <c r="AD134" i="6" s="1"/>
  <c r="AA134" i="6"/>
  <c r="W134" i="6"/>
  <c r="X134" i="6" s="1"/>
  <c r="U134" i="6"/>
  <c r="R134" i="6"/>
  <c r="O134" i="6"/>
  <c r="N134" i="6"/>
  <c r="L134" i="6"/>
  <c r="H134" i="6"/>
  <c r="I134" i="6" s="1"/>
  <c r="F134" i="6"/>
  <c r="C134" i="6"/>
  <c r="AC133" i="6"/>
  <c r="AD133" i="6" s="1"/>
  <c r="AA133" i="6"/>
  <c r="X133" i="6"/>
  <c r="W133" i="6"/>
  <c r="U133" i="6"/>
  <c r="R133" i="6"/>
  <c r="O133" i="6"/>
  <c r="N133" i="6"/>
  <c r="L133" i="6"/>
  <c r="H133" i="6"/>
  <c r="I133" i="6" s="1"/>
  <c r="F133" i="6"/>
  <c r="C133" i="6"/>
  <c r="AC132" i="6"/>
  <c r="AD132" i="6" s="1"/>
  <c r="AA132" i="6"/>
  <c r="X132" i="6"/>
  <c r="W132" i="6"/>
  <c r="U132" i="6"/>
  <c r="R132" i="6"/>
  <c r="N132" i="6"/>
  <c r="O132" i="6" s="1"/>
  <c r="L132" i="6"/>
  <c r="H132" i="6"/>
  <c r="I132" i="6" s="1"/>
  <c r="F132" i="6"/>
  <c r="C132" i="6"/>
  <c r="AC131" i="6"/>
  <c r="AD131" i="6" s="1"/>
  <c r="AA131" i="6"/>
  <c r="X131" i="6"/>
  <c r="W131" i="6"/>
  <c r="U131" i="6"/>
  <c r="R131" i="6"/>
  <c r="O131" i="6"/>
  <c r="N131" i="6"/>
  <c r="L131" i="6"/>
  <c r="I131" i="6"/>
  <c r="H131" i="6"/>
  <c r="F131" i="6"/>
  <c r="C131" i="6"/>
  <c r="AC130" i="6"/>
  <c r="AD130" i="6" s="1"/>
  <c r="AA130" i="6"/>
  <c r="W130" i="6"/>
  <c r="X130" i="6" s="1"/>
  <c r="U130" i="6"/>
  <c r="R130" i="6"/>
  <c r="O130" i="6"/>
  <c r="N130" i="6"/>
  <c r="L130" i="6"/>
  <c r="H130" i="6"/>
  <c r="I130" i="6" s="1"/>
  <c r="F130" i="6"/>
  <c r="C130" i="6"/>
  <c r="AC129" i="6"/>
  <c r="AD129" i="6" s="1"/>
  <c r="AA129" i="6"/>
  <c r="X129" i="6"/>
  <c r="W129" i="6"/>
  <c r="U129" i="6"/>
  <c r="R129" i="6"/>
  <c r="O129" i="6"/>
  <c r="N129" i="6"/>
  <c r="L129" i="6"/>
  <c r="H129" i="6"/>
  <c r="I129" i="6" s="1"/>
  <c r="F129" i="6"/>
  <c r="C129" i="6"/>
  <c r="AD127" i="6"/>
  <c r="AC127" i="6"/>
  <c r="AA127" i="6"/>
  <c r="X127" i="6"/>
  <c r="W127" i="6"/>
  <c r="U127" i="6"/>
  <c r="R127" i="6"/>
  <c r="N127" i="6"/>
  <c r="O127" i="6" s="1"/>
  <c r="L127" i="6"/>
  <c r="H127" i="6"/>
  <c r="I127" i="6" s="1"/>
  <c r="F127" i="6"/>
  <c r="C127" i="6"/>
  <c r="AA124" i="6"/>
  <c r="Z124" i="6"/>
  <c r="W124" i="6"/>
  <c r="X124" i="6" s="1"/>
  <c r="T124" i="6"/>
  <c r="Q124" i="6"/>
  <c r="R124" i="6" s="1"/>
  <c r="N124" i="6"/>
  <c r="O124" i="6" s="1"/>
  <c r="L124" i="6"/>
  <c r="K124" i="6"/>
  <c r="E124" i="6"/>
  <c r="F124" i="6" s="1"/>
  <c r="B124" i="6"/>
  <c r="H124" i="6" s="1"/>
  <c r="I124" i="6" s="1"/>
  <c r="AC123" i="6"/>
  <c r="AD123" i="6" s="1"/>
  <c r="AA123" i="6"/>
  <c r="X123" i="6"/>
  <c r="W123" i="6"/>
  <c r="U123" i="6"/>
  <c r="R123" i="6"/>
  <c r="O123" i="6"/>
  <c r="N123" i="6"/>
  <c r="L123" i="6"/>
  <c r="H123" i="6"/>
  <c r="I123" i="6" s="1"/>
  <c r="F123" i="6"/>
  <c r="C123" i="6"/>
  <c r="AA122" i="6"/>
  <c r="Z122" i="6"/>
  <c r="W122" i="6"/>
  <c r="X122" i="6" s="1"/>
  <c r="T122" i="6"/>
  <c r="U122" i="6" s="1"/>
  <c r="Q122" i="6"/>
  <c r="R122" i="6" s="1"/>
  <c r="K122" i="6"/>
  <c r="E122" i="6"/>
  <c r="F122" i="6" s="1"/>
  <c r="C122" i="6"/>
  <c r="B122" i="6"/>
  <c r="AC121" i="6"/>
  <c r="AD121" i="6" s="1"/>
  <c r="AA121" i="6"/>
  <c r="W121" i="6"/>
  <c r="X121" i="6" s="1"/>
  <c r="U121" i="6"/>
  <c r="R121" i="6"/>
  <c r="O121" i="6"/>
  <c r="N121" i="6"/>
  <c r="L121" i="6"/>
  <c r="H121" i="6"/>
  <c r="I121" i="6" s="1"/>
  <c r="F121" i="6"/>
  <c r="C121" i="6"/>
  <c r="AD120" i="6"/>
  <c r="AC120" i="6"/>
  <c r="AA120" i="6"/>
  <c r="X120" i="6"/>
  <c r="W120" i="6"/>
  <c r="U120" i="6"/>
  <c r="R120" i="6"/>
  <c r="N120" i="6"/>
  <c r="O120" i="6" s="1"/>
  <c r="L120" i="6"/>
  <c r="H120" i="6"/>
  <c r="I120" i="6" s="1"/>
  <c r="F120" i="6"/>
  <c r="C120" i="6"/>
  <c r="AC119" i="6"/>
  <c r="AD119" i="6" s="1"/>
  <c r="AA119" i="6"/>
  <c r="X119" i="6"/>
  <c r="W119" i="6"/>
  <c r="U119" i="6"/>
  <c r="R119" i="6"/>
  <c r="N119" i="6"/>
  <c r="O119" i="6" s="1"/>
  <c r="L119" i="6"/>
  <c r="I119" i="6"/>
  <c r="H119" i="6"/>
  <c r="F119" i="6"/>
  <c r="C119" i="6"/>
  <c r="AA118" i="6"/>
  <c r="Z118" i="6"/>
  <c r="W118" i="6"/>
  <c r="X118" i="6" s="1"/>
  <c r="T118" i="6"/>
  <c r="U118" i="6" s="1"/>
  <c r="Q118" i="6"/>
  <c r="R118" i="6" s="1"/>
  <c r="L118" i="6"/>
  <c r="K118" i="6"/>
  <c r="E118" i="6"/>
  <c r="F118" i="6" s="1"/>
  <c r="C118" i="6"/>
  <c r="B118" i="6"/>
  <c r="AD117" i="6"/>
  <c r="AC117" i="6"/>
  <c r="AA117" i="6"/>
  <c r="X117" i="6"/>
  <c r="W117" i="6"/>
  <c r="U117" i="6"/>
  <c r="R117" i="6"/>
  <c r="O117" i="6"/>
  <c r="N117" i="6"/>
  <c r="L117" i="6"/>
  <c r="H117" i="6"/>
  <c r="I117" i="6" s="1"/>
  <c r="F117" i="6"/>
  <c r="C117" i="6"/>
  <c r="AD116" i="6"/>
  <c r="AC116" i="6"/>
  <c r="AA116" i="6"/>
  <c r="X116" i="6"/>
  <c r="W116" i="6"/>
  <c r="U116" i="6"/>
  <c r="R116" i="6"/>
  <c r="N116" i="6"/>
  <c r="O116" i="6" s="1"/>
  <c r="L116" i="6"/>
  <c r="I116" i="6"/>
  <c r="H116" i="6"/>
  <c r="F116" i="6"/>
  <c r="C116" i="6"/>
  <c r="AC115" i="6"/>
  <c r="AD115" i="6" s="1"/>
  <c r="AA115" i="6"/>
  <c r="W115" i="6"/>
  <c r="X115" i="6" s="1"/>
  <c r="U115" i="6"/>
  <c r="R115" i="6"/>
  <c r="O115" i="6"/>
  <c r="N115" i="6"/>
  <c r="L115" i="6"/>
  <c r="I115" i="6"/>
  <c r="H115" i="6"/>
  <c r="F115" i="6"/>
  <c r="C115" i="6"/>
  <c r="AC114" i="6"/>
  <c r="AD114" i="6" s="1"/>
  <c r="AA114" i="6"/>
  <c r="W114" i="6"/>
  <c r="X114" i="6" s="1"/>
  <c r="U114" i="6"/>
  <c r="R114" i="6"/>
  <c r="O114" i="6"/>
  <c r="N114" i="6"/>
  <c r="L114" i="6"/>
  <c r="H114" i="6"/>
  <c r="I114" i="6" s="1"/>
  <c r="F114" i="6"/>
  <c r="C114" i="6"/>
  <c r="AD113" i="6"/>
  <c r="AC113" i="6"/>
  <c r="AA113" i="6"/>
  <c r="X113" i="6"/>
  <c r="W113" i="6"/>
  <c r="U113" i="6"/>
  <c r="R113" i="6"/>
  <c r="N113" i="6"/>
  <c r="O113" i="6" s="1"/>
  <c r="L113" i="6"/>
  <c r="H113" i="6"/>
  <c r="I113" i="6" s="1"/>
  <c r="F113" i="6"/>
  <c r="C113" i="6"/>
  <c r="AD112" i="6"/>
  <c r="AC112" i="6"/>
  <c r="AA112" i="6"/>
  <c r="X112" i="6"/>
  <c r="W112" i="6"/>
  <c r="U112" i="6"/>
  <c r="R112" i="6"/>
  <c r="N112" i="6"/>
  <c r="O112" i="6" s="1"/>
  <c r="L112" i="6"/>
  <c r="I112" i="6"/>
  <c r="H112" i="6"/>
  <c r="F112" i="6"/>
  <c r="C112" i="6"/>
  <c r="AC111" i="6"/>
  <c r="AD111" i="6" s="1"/>
  <c r="AA111" i="6"/>
  <c r="W111" i="6"/>
  <c r="X111" i="6" s="1"/>
  <c r="U111" i="6"/>
  <c r="R111" i="6"/>
  <c r="O111" i="6"/>
  <c r="N111" i="6"/>
  <c r="L111" i="6"/>
  <c r="I111" i="6"/>
  <c r="H111" i="6"/>
  <c r="F111" i="6"/>
  <c r="C111" i="6"/>
  <c r="AC110" i="6"/>
  <c r="AD110" i="6" s="1"/>
  <c r="AA110" i="6"/>
  <c r="W110" i="6"/>
  <c r="X110" i="6" s="1"/>
  <c r="U110" i="6"/>
  <c r="R110" i="6"/>
  <c r="O110" i="6"/>
  <c r="N110" i="6"/>
  <c r="L110" i="6"/>
  <c r="H110" i="6"/>
  <c r="I110" i="6" s="1"/>
  <c r="F110" i="6"/>
  <c r="C110" i="6"/>
  <c r="AC109" i="6"/>
  <c r="AD109" i="6" s="1"/>
  <c r="AA109" i="6"/>
  <c r="X109" i="6"/>
  <c r="W109" i="6"/>
  <c r="U109" i="6"/>
  <c r="R109" i="6"/>
  <c r="O109" i="6"/>
  <c r="N109" i="6"/>
  <c r="L109" i="6"/>
  <c r="H109" i="6"/>
  <c r="I109" i="6" s="1"/>
  <c r="F109" i="6"/>
  <c r="C109" i="6"/>
  <c r="AC108" i="6"/>
  <c r="AD108" i="6" s="1"/>
  <c r="AA108" i="6"/>
  <c r="X108" i="6"/>
  <c r="W108" i="6"/>
  <c r="U108" i="6"/>
  <c r="R108" i="6"/>
  <c r="N108" i="6"/>
  <c r="O108" i="6" s="1"/>
  <c r="L108" i="6"/>
  <c r="I108" i="6"/>
  <c r="H108" i="6"/>
  <c r="F108" i="6"/>
  <c r="C108" i="6"/>
  <c r="AC107" i="6"/>
  <c r="AD107" i="6" s="1"/>
  <c r="AA107" i="6"/>
  <c r="X107" i="6"/>
  <c r="W107" i="6"/>
  <c r="U107" i="6"/>
  <c r="R107" i="6"/>
  <c r="O107" i="6"/>
  <c r="N107" i="6"/>
  <c r="L107" i="6"/>
  <c r="I107" i="6"/>
  <c r="H107" i="6"/>
  <c r="F107" i="6"/>
  <c r="C107" i="6"/>
  <c r="AC106" i="6"/>
  <c r="AD106" i="6" s="1"/>
  <c r="AA106" i="6"/>
  <c r="W106" i="6"/>
  <c r="X106" i="6" s="1"/>
  <c r="U106" i="6"/>
  <c r="R106" i="6"/>
  <c r="O106" i="6"/>
  <c r="N106" i="6"/>
  <c r="L106" i="6"/>
  <c r="H106" i="6"/>
  <c r="I106" i="6" s="1"/>
  <c r="F106" i="6"/>
  <c r="C106" i="6"/>
  <c r="AC105" i="6"/>
  <c r="AD105" i="6" s="1"/>
  <c r="AA105" i="6"/>
  <c r="X105" i="6"/>
  <c r="W105" i="6"/>
  <c r="U105" i="6"/>
  <c r="R105" i="6"/>
  <c r="O105" i="6"/>
  <c r="N105" i="6"/>
  <c r="L105" i="6"/>
  <c r="H105" i="6"/>
  <c r="I105" i="6" s="1"/>
  <c r="F105" i="6"/>
  <c r="C105" i="6"/>
  <c r="AD104" i="6"/>
  <c r="AC104" i="6"/>
  <c r="AA104" i="6"/>
  <c r="X104" i="6"/>
  <c r="W104" i="6"/>
  <c r="U104" i="6"/>
  <c r="R104" i="6"/>
  <c r="N104" i="6"/>
  <c r="O104" i="6" s="1"/>
  <c r="L104" i="6"/>
  <c r="H104" i="6"/>
  <c r="I104" i="6" s="1"/>
  <c r="F104" i="6"/>
  <c r="C104" i="6"/>
  <c r="AC103" i="6"/>
  <c r="AD103" i="6" s="1"/>
  <c r="AA103" i="6"/>
  <c r="X103" i="6"/>
  <c r="W103" i="6"/>
  <c r="U103" i="6"/>
  <c r="R103" i="6"/>
  <c r="O103" i="6"/>
  <c r="N103" i="6"/>
  <c r="L103" i="6"/>
  <c r="H103" i="6"/>
  <c r="I103" i="6" s="1"/>
  <c r="F103" i="6"/>
  <c r="C103" i="6"/>
  <c r="AC102" i="6"/>
  <c r="AD102" i="6" s="1"/>
  <c r="AA102" i="6"/>
  <c r="W102" i="6"/>
  <c r="X102" i="6" s="1"/>
  <c r="U102" i="6"/>
  <c r="R102" i="6"/>
  <c r="O102" i="6"/>
  <c r="N102" i="6"/>
  <c r="L102" i="6"/>
  <c r="H102" i="6"/>
  <c r="I102" i="6" s="1"/>
  <c r="F102" i="6"/>
  <c r="C102" i="6"/>
  <c r="AD101" i="6"/>
  <c r="AC101" i="6"/>
  <c r="AA101" i="6"/>
  <c r="X101" i="6"/>
  <c r="W101" i="6"/>
  <c r="U101" i="6"/>
  <c r="R101" i="6"/>
  <c r="O101" i="6"/>
  <c r="N101" i="6"/>
  <c r="L101" i="6"/>
  <c r="H101" i="6"/>
  <c r="I101" i="6" s="1"/>
  <c r="F101" i="6"/>
  <c r="C101" i="6"/>
  <c r="AC100" i="6"/>
  <c r="AD100" i="6" s="1"/>
  <c r="AA100" i="6"/>
  <c r="X100" i="6"/>
  <c r="W100" i="6"/>
  <c r="U100" i="6"/>
  <c r="R100" i="6"/>
  <c r="N100" i="6"/>
  <c r="O100" i="6" s="1"/>
  <c r="L100" i="6"/>
  <c r="H100" i="6"/>
  <c r="I100" i="6" s="1"/>
  <c r="F100" i="6"/>
  <c r="C100" i="6"/>
  <c r="AC99" i="6"/>
  <c r="AD99" i="6" s="1"/>
  <c r="AA99" i="6"/>
  <c r="W99" i="6"/>
  <c r="X99" i="6" s="1"/>
  <c r="U99" i="6"/>
  <c r="R99" i="6"/>
  <c r="O99" i="6"/>
  <c r="N99" i="6"/>
  <c r="L99" i="6"/>
  <c r="I99" i="6"/>
  <c r="H99" i="6"/>
  <c r="F99" i="6"/>
  <c r="C99" i="6"/>
  <c r="AC98" i="6"/>
  <c r="AD98" i="6" s="1"/>
  <c r="AA98" i="6"/>
  <c r="W98" i="6"/>
  <c r="X98" i="6" s="1"/>
  <c r="U98" i="6"/>
  <c r="R98" i="6"/>
  <c r="O98" i="6"/>
  <c r="N98" i="6"/>
  <c r="L98" i="6"/>
  <c r="H98" i="6"/>
  <c r="I98" i="6" s="1"/>
  <c r="F98" i="6"/>
  <c r="C98" i="6"/>
  <c r="AD97" i="6"/>
  <c r="AC97" i="6"/>
  <c r="AA97" i="6"/>
  <c r="X97" i="6"/>
  <c r="W97" i="6"/>
  <c r="U97" i="6"/>
  <c r="R97" i="6"/>
  <c r="N97" i="6"/>
  <c r="O97" i="6" s="1"/>
  <c r="L97" i="6"/>
  <c r="H97" i="6"/>
  <c r="I97" i="6" s="1"/>
  <c r="F97" i="6"/>
  <c r="C97" i="6"/>
  <c r="AC96" i="6"/>
  <c r="AD96" i="6" s="1"/>
  <c r="AA96" i="6"/>
  <c r="X96" i="6"/>
  <c r="W96" i="6"/>
  <c r="U96" i="6"/>
  <c r="R96" i="6"/>
  <c r="N96" i="6"/>
  <c r="O96" i="6" s="1"/>
  <c r="L96" i="6"/>
  <c r="I96" i="6"/>
  <c r="H96" i="6"/>
  <c r="F96" i="6"/>
  <c r="C96" i="6"/>
  <c r="AC95" i="6"/>
  <c r="AD95" i="6" s="1"/>
  <c r="AA95" i="6"/>
  <c r="X95" i="6"/>
  <c r="W95" i="6"/>
  <c r="U95" i="6"/>
  <c r="R95" i="6"/>
  <c r="O95" i="6"/>
  <c r="N95" i="6"/>
  <c r="L95" i="6"/>
  <c r="I95" i="6"/>
  <c r="H95" i="6"/>
  <c r="F95" i="6"/>
  <c r="C95" i="6"/>
  <c r="AC94" i="6"/>
  <c r="AD94" i="6" s="1"/>
  <c r="AA94" i="6"/>
  <c r="W94" i="6"/>
  <c r="X94" i="6" s="1"/>
  <c r="U94" i="6"/>
  <c r="R94" i="6"/>
  <c r="O94" i="6"/>
  <c r="N94" i="6"/>
  <c r="L94" i="6"/>
  <c r="H94" i="6"/>
  <c r="I94" i="6" s="1"/>
  <c r="F94" i="6"/>
  <c r="C94" i="6"/>
  <c r="AC92" i="6"/>
  <c r="AD92" i="6" s="1"/>
  <c r="AA92" i="6"/>
  <c r="X92" i="6"/>
  <c r="W92" i="6"/>
  <c r="U92" i="6"/>
  <c r="R92" i="6"/>
  <c r="O92" i="6"/>
  <c r="N92" i="6"/>
  <c r="L92" i="6"/>
  <c r="H92" i="6"/>
  <c r="I92" i="6" s="1"/>
  <c r="F92" i="6"/>
  <c r="C92" i="6"/>
  <c r="AC91" i="6"/>
  <c r="AD91" i="6" s="1"/>
  <c r="AA91" i="6"/>
  <c r="X91" i="6"/>
  <c r="W91" i="6"/>
  <c r="U91" i="6"/>
  <c r="R91" i="6"/>
  <c r="N91" i="6"/>
  <c r="O91" i="6" s="1"/>
  <c r="L91" i="6"/>
  <c r="I91" i="6"/>
  <c r="H91" i="6"/>
  <c r="F91" i="6"/>
  <c r="C91" i="6"/>
  <c r="AC90" i="6"/>
  <c r="AD90" i="6" s="1"/>
  <c r="AA90" i="6"/>
  <c r="X90" i="6"/>
  <c r="W90" i="6"/>
  <c r="U90" i="6"/>
  <c r="R90" i="6"/>
  <c r="O90" i="6"/>
  <c r="N90" i="6"/>
  <c r="L90" i="6"/>
  <c r="I90" i="6"/>
  <c r="H90" i="6"/>
  <c r="F90" i="6"/>
  <c r="C90" i="6"/>
  <c r="AC89" i="6"/>
  <c r="AD89" i="6" s="1"/>
  <c r="AA89" i="6"/>
  <c r="W89" i="6"/>
  <c r="X89" i="6" s="1"/>
  <c r="U89" i="6"/>
  <c r="R89" i="6"/>
  <c r="O89" i="6"/>
  <c r="N89" i="6"/>
  <c r="L89" i="6"/>
  <c r="H89" i="6"/>
  <c r="I89" i="6" s="1"/>
  <c r="F89" i="6"/>
  <c r="C89" i="6"/>
  <c r="AC88" i="6"/>
  <c r="AD88" i="6" s="1"/>
  <c r="Z88" i="6"/>
  <c r="AA88" i="6" s="1"/>
  <c r="T88" i="6"/>
  <c r="U88" i="6" s="1"/>
  <c r="R88" i="6"/>
  <c r="Q88" i="6"/>
  <c r="N88" i="6"/>
  <c r="O88" i="6" s="1"/>
  <c r="K88" i="6"/>
  <c r="L88" i="6" s="1"/>
  <c r="H88" i="6"/>
  <c r="I88" i="6" s="1"/>
  <c r="E88" i="6"/>
  <c r="F88" i="6" s="1"/>
  <c r="B88" i="6"/>
  <c r="C88" i="6" s="1"/>
  <c r="AC87" i="6"/>
  <c r="AD87" i="6" s="1"/>
  <c r="AA87" i="6"/>
  <c r="W87" i="6"/>
  <c r="X87" i="6" s="1"/>
  <c r="U87" i="6"/>
  <c r="R87" i="6"/>
  <c r="O87" i="6"/>
  <c r="N87" i="6"/>
  <c r="L87" i="6"/>
  <c r="I87" i="6"/>
  <c r="H87" i="6"/>
  <c r="F87" i="6"/>
  <c r="C87" i="6"/>
  <c r="AC86" i="6"/>
  <c r="AD86" i="6" s="1"/>
  <c r="AA86" i="6"/>
  <c r="W86" i="6"/>
  <c r="X86" i="6" s="1"/>
  <c r="U86" i="6"/>
  <c r="R86" i="6"/>
  <c r="O86" i="6"/>
  <c r="N86" i="6"/>
  <c r="L86" i="6"/>
  <c r="H86" i="6"/>
  <c r="I86" i="6" s="1"/>
  <c r="F86" i="6"/>
  <c r="C86" i="6"/>
  <c r="AC85" i="6"/>
  <c r="AD85" i="6" s="1"/>
  <c r="AA85" i="6"/>
  <c r="X85" i="6"/>
  <c r="W85" i="6"/>
  <c r="U85" i="6"/>
  <c r="R85" i="6"/>
  <c r="O85" i="6"/>
  <c r="N85" i="6"/>
  <c r="L85" i="6"/>
  <c r="H85" i="6"/>
  <c r="I85" i="6" s="1"/>
  <c r="F85" i="6"/>
  <c r="C85" i="6"/>
  <c r="AC84" i="6"/>
  <c r="AD84" i="6" s="1"/>
  <c r="AA84" i="6"/>
  <c r="X84" i="6"/>
  <c r="W84" i="6"/>
  <c r="U84" i="6"/>
  <c r="R84" i="6"/>
  <c r="N84" i="6"/>
  <c r="O84" i="6" s="1"/>
  <c r="L84" i="6"/>
  <c r="I84" i="6"/>
  <c r="H84" i="6"/>
  <c r="F84" i="6"/>
  <c r="C84" i="6"/>
  <c r="AC83" i="6"/>
  <c r="AD83" i="6" s="1"/>
  <c r="AA83" i="6"/>
  <c r="X83" i="6"/>
  <c r="W83" i="6"/>
  <c r="U83" i="6"/>
  <c r="R83" i="6"/>
  <c r="O83" i="6"/>
  <c r="N83" i="6"/>
  <c r="L83" i="6"/>
  <c r="I83" i="6"/>
  <c r="H83" i="6"/>
  <c r="F83" i="6"/>
  <c r="C83" i="6"/>
  <c r="AC82" i="6"/>
  <c r="AD82" i="6" s="1"/>
  <c r="AA82" i="6"/>
  <c r="W82" i="6"/>
  <c r="X82" i="6" s="1"/>
  <c r="U82" i="6"/>
  <c r="R82" i="6"/>
  <c r="O82" i="6"/>
  <c r="N82" i="6"/>
  <c r="L82" i="6"/>
  <c r="H82" i="6"/>
  <c r="I82" i="6" s="1"/>
  <c r="F82" i="6"/>
  <c r="C82" i="6"/>
  <c r="AC81" i="6"/>
  <c r="AD81" i="6" s="1"/>
  <c r="AA81" i="6"/>
  <c r="X81" i="6"/>
  <c r="W81" i="6"/>
  <c r="U81" i="6"/>
  <c r="R81" i="6"/>
  <c r="N81" i="6"/>
  <c r="O81" i="6" s="1"/>
  <c r="L81" i="6"/>
  <c r="H81" i="6"/>
  <c r="I81" i="6" s="1"/>
  <c r="F81" i="6"/>
  <c r="C81" i="6"/>
  <c r="AD80" i="6"/>
  <c r="AC80" i="6"/>
  <c r="AA80" i="6"/>
  <c r="X80" i="6"/>
  <c r="W80" i="6"/>
  <c r="U80" i="6"/>
  <c r="R80" i="6"/>
  <c r="N80" i="6"/>
  <c r="O80" i="6" s="1"/>
  <c r="L80" i="6"/>
  <c r="H80" i="6"/>
  <c r="I80" i="6" s="1"/>
  <c r="F80" i="6"/>
  <c r="C80" i="6"/>
  <c r="AC79" i="6"/>
  <c r="AD79" i="6" s="1"/>
  <c r="AA79" i="6"/>
  <c r="X79" i="6"/>
  <c r="W79" i="6"/>
  <c r="U79" i="6"/>
  <c r="R79" i="6"/>
  <c r="O79" i="6"/>
  <c r="N79" i="6"/>
  <c r="L79" i="6"/>
  <c r="H79" i="6"/>
  <c r="I79" i="6" s="1"/>
  <c r="F79" i="6"/>
  <c r="C79" i="6"/>
  <c r="AC78" i="6"/>
  <c r="AD78" i="6" s="1"/>
  <c r="AA78" i="6"/>
  <c r="W78" i="6"/>
  <c r="X78" i="6" s="1"/>
  <c r="U78" i="6"/>
  <c r="R78" i="6"/>
  <c r="O78" i="6"/>
  <c r="N78" i="6"/>
  <c r="L78" i="6"/>
  <c r="H78" i="6"/>
  <c r="I78" i="6" s="1"/>
  <c r="F78" i="6"/>
  <c r="C78" i="6"/>
  <c r="AD77" i="6"/>
  <c r="AC77" i="6"/>
  <c r="AA77" i="6"/>
  <c r="X77" i="6"/>
  <c r="W77" i="6"/>
  <c r="U77" i="6"/>
  <c r="R77" i="6"/>
  <c r="N77" i="6"/>
  <c r="O77" i="6" s="1"/>
  <c r="L77" i="6"/>
  <c r="H77" i="6"/>
  <c r="I77" i="6" s="1"/>
  <c r="F77" i="6"/>
  <c r="C77" i="6"/>
  <c r="AD76" i="6"/>
  <c r="AC76" i="6"/>
  <c r="AA76" i="6"/>
  <c r="X76" i="6"/>
  <c r="W76" i="6"/>
  <c r="U76" i="6"/>
  <c r="R76" i="6"/>
  <c r="N76" i="6"/>
  <c r="O76" i="6" s="1"/>
  <c r="L76" i="6"/>
  <c r="I76" i="6"/>
  <c r="H76" i="6"/>
  <c r="F76" i="6"/>
  <c r="C76" i="6"/>
  <c r="AC75" i="6"/>
  <c r="AD75" i="6" s="1"/>
  <c r="AA75" i="6"/>
  <c r="W75" i="6"/>
  <c r="X75" i="6" s="1"/>
  <c r="U75" i="6"/>
  <c r="R75" i="6"/>
  <c r="O75" i="6"/>
  <c r="N75" i="6"/>
  <c r="L75" i="6"/>
  <c r="I75" i="6"/>
  <c r="H75" i="6"/>
  <c r="F75" i="6"/>
  <c r="C75" i="6"/>
  <c r="Z73" i="6"/>
  <c r="AA73" i="6" s="1"/>
  <c r="U73" i="6"/>
  <c r="T73" i="6"/>
  <c r="Q73" i="6"/>
  <c r="L73" i="6"/>
  <c r="K73" i="6"/>
  <c r="N73" i="6" s="1"/>
  <c r="O73" i="6" s="1"/>
  <c r="H73" i="6"/>
  <c r="I73" i="6" s="1"/>
  <c r="E73" i="6"/>
  <c r="F73" i="6" s="1"/>
  <c r="B73" i="6"/>
  <c r="C73" i="6" s="1"/>
  <c r="AC72" i="6"/>
  <c r="AD72" i="6" s="1"/>
  <c r="AA72" i="6"/>
  <c r="X72" i="6"/>
  <c r="W72" i="6"/>
  <c r="U72" i="6"/>
  <c r="R72" i="6"/>
  <c r="N72" i="6"/>
  <c r="O72" i="6" s="1"/>
  <c r="L72" i="6"/>
  <c r="I72" i="6"/>
  <c r="H72" i="6"/>
  <c r="F72" i="6"/>
  <c r="C72" i="6"/>
  <c r="AC71" i="6"/>
  <c r="AD71" i="6" s="1"/>
  <c r="AA71" i="6"/>
  <c r="X71" i="6"/>
  <c r="W71" i="6"/>
  <c r="U71" i="6"/>
  <c r="R71" i="6"/>
  <c r="O71" i="6"/>
  <c r="N71" i="6"/>
  <c r="L71" i="6"/>
  <c r="H71" i="6"/>
  <c r="I71" i="6" s="1"/>
  <c r="F71" i="6"/>
  <c r="C71" i="6"/>
  <c r="AC70" i="6"/>
  <c r="AD70" i="6" s="1"/>
  <c r="AA70" i="6"/>
  <c r="X70" i="6"/>
  <c r="W70" i="6"/>
  <c r="U70" i="6"/>
  <c r="R70" i="6"/>
  <c r="O70" i="6"/>
  <c r="N70" i="6"/>
  <c r="L70" i="6"/>
  <c r="H70" i="6"/>
  <c r="I70" i="6" s="1"/>
  <c r="F70" i="6"/>
  <c r="C70" i="6"/>
  <c r="AC69" i="6"/>
  <c r="AD69" i="6" s="1"/>
  <c r="AA69" i="6"/>
  <c r="X69" i="6"/>
  <c r="W69" i="6"/>
  <c r="U69" i="6"/>
  <c r="R69" i="6"/>
  <c r="O69" i="6"/>
  <c r="N69" i="6"/>
  <c r="L69" i="6"/>
  <c r="H69" i="6"/>
  <c r="I69" i="6" s="1"/>
  <c r="F69" i="6"/>
  <c r="C69" i="6"/>
  <c r="AC68" i="6"/>
  <c r="AD68" i="6" s="1"/>
  <c r="AA68" i="6"/>
  <c r="X68" i="6"/>
  <c r="W68" i="6"/>
  <c r="U68" i="6"/>
  <c r="R68" i="6"/>
  <c r="O68" i="6"/>
  <c r="N68" i="6"/>
  <c r="L68" i="6"/>
  <c r="I68" i="6"/>
  <c r="H68" i="6"/>
  <c r="F68" i="6"/>
  <c r="C68" i="6"/>
  <c r="AC67" i="6"/>
  <c r="AD67" i="6" s="1"/>
  <c r="AA67" i="6"/>
  <c r="W67" i="6"/>
  <c r="X67" i="6" s="1"/>
  <c r="U67" i="6"/>
  <c r="R67" i="6"/>
  <c r="O67" i="6"/>
  <c r="N67" i="6"/>
  <c r="L67" i="6"/>
  <c r="I67" i="6"/>
  <c r="H67" i="6"/>
  <c r="F67" i="6"/>
  <c r="C67" i="6"/>
  <c r="AC66" i="6"/>
  <c r="AD66" i="6" s="1"/>
  <c r="AA66" i="6"/>
  <c r="X66" i="6"/>
  <c r="W66" i="6"/>
  <c r="U66" i="6"/>
  <c r="R66" i="6"/>
  <c r="O66" i="6"/>
  <c r="N66" i="6"/>
  <c r="L66" i="6"/>
  <c r="H66" i="6"/>
  <c r="I66" i="6" s="1"/>
  <c r="F66" i="6"/>
  <c r="C66" i="6"/>
  <c r="AD65" i="6"/>
  <c r="AC65" i="6"/>
  <c r="AA65" i="6"/>
  <c r="X65" i="6"/>
  <c r="W65" i="6"/>
  <c r="U65" i="6"/>
  <c r="R65" i="6"/>
  <c r="O65" i="6"/>
  <c r="N65" i="6"/>
  <c r="L65" i="6"/>
  <c r="I65" i="6"/>
  <c r="H65" i="6"/>
  <c r="F65" i="6"/>
  <c r="C65" i="6"/>
  <c r="AC64" i="6"/>
  <c r="AD64" i="6" s="1"/>
  <c r="AA64" i="6"/>
  <c r="W64" i="6"/>
  <c r="X64" i="6" s="1"/>
  <c r="U64" i="6"/>
  <c r="R64" i="6"/>
  <c r="N64" i="6"/>
  <c r="O64" i="6" s="1"/>
  <c r="L64" i="6"/>
  <c r="I64" i="6"/>
  <c r="H64" i="6"/>
  <c r="F64" i="6"/>
  <c r="C64" i="6"/>
  <c r="AA62" i="6"/>
  <c r="Z62" i="6"/>
  <c r="T62" i="6"/>
  <c r="U62" i="6" s="1"/>
  <c r="Q62" i="6"/>
  <c r="R62" i="6" s="1"/>
  <c r="K62" i="6"/>
  <c r="E62" i="6"/>
  <c r="C62" i="6"/>
  <c r="B62" i="6"/>
  <c r="Z61" i="6"/>
  <c r="AA61" i="6" s="1"/>
  <c r="U61" i="6"/>
  <c r="T61" i="6"/>
  <c r="Q61" i="6"/>
  <c r="AC61" i="6" s="1"/>
  <c r="AD61" i="6" s="1"/>
  <c r="K61" i="6"/>
  <c r="L61" i="6" s="1"/>
  <c r="F61" i="6"/>
  <c r="E61" i="6"/>
  <c r="C61" i="6"/>
  <c r="B61" i="6"/>
  <c r="N61" i="6" s="1"/>
  <c r="O61" i="6" s="1"/>
  <c r="AC60" i="6"/>
  <c r="AD60" i="6" s="1"/>
  <c r="AA60" i="6"/>
  <c r="W60" i="6"/>
  <c r="X60" i="6" s="1"/>
  <c r="U60" i="6"/>
  <c r="R60" i="6"/>
  <c r="O60" i="6"/>
  <c r="N60" i="6"/>
  <c r="L60" i="6"/>
  <c r="I60" i="6"/>
  <c r="H60" i="6"/>
  <c r="F60" i="6"/>
  <c r="C60" i="6"/>
  <c r="AC59" i="6"/>
  <c r="AD59" i="6" s="1"/>
  <c r="AA59" i="6"/>
  <c r="X59" i="6"/>
  <c r="W59" i="6"/>
  <c r="U59" i="6"/>
  <c r="R59" i="6"/>
  <c r="O59" i="6"/>
  <c r="N59" i="6"/>
  <c r="L59" i="6"/>
  <c r="H59" i="6"/>
  <c r="I59" i="6" s="1"/>
  <c r="F59" i="6"/>
  <c r="C59" i="6"/>
  <c r="AC58" i="6"/>
  <c r="AD58" i="6" s="1"/>
  <c r="AA58" i="6"/>
  <c r="X58" i="6"/>
  <c r="W58" i="6"/>
  <c r="U58" i="6"/>
  <c r="R58" i="6"/>
  <c r="O58" i="6"/>
  <c r="N58" i="6"/>
  <c r="L58" i="6"/>
  <c r="I58" i="6"/>
  <c r="H58" i="6"/>
  <c r="F58" i="6"/>
  <c r="C58" i="6"/>
  <c r="AC57" i="6"/>
  <c r="AD57" i="6" s="1"/>
  <c r="AA57" i="6"/>
  <c r="X57" i="6"/>
  <c r="W57" i="6"/>
  <c r="U57" i="6"/>
  <c r="R57" i="6"/>
  <c r="O57" i="6"/>
  <c r="N57" i="6"/>
  <c r="L57" i="6"/>
  <c r="H57" i="6"/>
  <c r="I57" i="6" s="1"/>
  <c r="F57" i="6"/>
  <c r="C57" i="6"/>
  <c r="AC56" i="6"/>
  <c r="AD56" i="6" s="1"/>
  <c r="AA56" i="6"/>
  <c r="X56" i="6"/>
  <c r="W56" i="6"/>
  <c r="U56" i="6"/>
  <c r="R56" i="6"/>
  <c r="O56" i="6"/>
  <c r="N56" i="6"/>
  <c r="L56" i="6"/>
  <c r="H56" i="6"/>
  <c r="I56" i="6" s="1"/>
  <c r="F56" i="6"/>
  <c r="C56" i="6"/>
  <c r="AD55" i="6"/>
  <c r="AC55" i="6"/>
  <c r="AA55" i="6"/>
  <c r="X55" i="6"/>
  <c r="W55" i="6"/>
  <c r="U55" i="6"/>
  <c r="R55" i="6"/>
  <c r="N55" i="6"/>
  <c r="O55" i="6" s="1"/>
  <c r="L55" i="6"/>
  <c r="H55" i="6"/>
  <c r="I55" i="6" s="1"/>
  <c r="F55" i="6"/>
  <c r="C55" i="6"/>
  <c r="AC54" i="6"/>
  <c r="AD54" i="6" s="1"/>
  <c r="AA54" i="6"/>
  <c r="X54" i="6"/>
  <c r="W54" i="6"/>
  <c r="U54" i="6"/>
  <c r="R54" i="6"/>
  <c r="O54" i="6"/>
  <c r="N54" i="6"/>
  <c r="L54" i="6"/>
  <c r="H54" i="6"/>
  <c r="I54" i="6" s="1"/>
  <c r="F54" i="6"/>
  <c r="C54" i="6"/>
  <c r="AD53" i="6"/>
  <c r="AC53" i="6"/>
  <c r="AA53" i="6"/>
  <c r="X53" i="6"/>
  <c r="W53" i="6"/>
  <c r="U53" i="6"/>
  <c r="R53" i="6"/>
  <c r="N53" i="6"/>
  <c r="O53" i="6" s="1"/>
  <c r="L53" i="6"/>
  <c r="H53" i="6"/>
  <c r="I53" i="6" s="1"/>
  <c r="F53" i="6"/>
  <c r="C53" i="6"/>
  <c r="AC52" i="6"/>
  <c r="AD52" i="6" s="1"/>
  <c r="AA52" i="6"/>
  <c r="W52" i="6"/>
  <c r="X52" i="6" s="1"/>
  <c r="U52" i="6"/>
  <c r="R52" i="6"/>
  <c r="O52" i="6"/>
  <c r="N52" i="6"/>
  <c r="L52" i="6"/>
  <c r="H52" i="6"/>
  <c r="I52" i="6" s="1"/>
  <c r="F52" i="6"/>
  <c r="C52" i="6"/>
  <c r="AD51" i="6"/>
  <c r="AC51" i="6"/>
  <c r="AA51" i="6"/>
  <c r="X51" i="6"/>
  <c r="W51" i="6"/>
  <c r="U51" i="6"/>
  <c r="R51" i="6"/>
  <c r="O51" i="6"/>
  <c r="N51" i="6"/>
  <c r="L51" i="6"/>
  <c r="H51" i="6"/>
  <c r="I51" i="6" s="1"/>
  <c r="F51" i="6"/>
  <c r="C51" i="6"/>
  <c r="AD50" i="6"/>
  <c r="AC50" i="6"/>
  <c r="AA50" i="6"/>
  <c r="X50" i="6"/>
  <c r="W50" i="6"/>
  <c r="U50" i="6"/>
  <c r="R50" i="6"/>
  <c r="N50" i="6"/>
  <c r="O50" i="6" s="1"/>
  <c r="L50" i="6"/>
  <c r="H50" i="6"/>
  <c r="I50" i="6" s="1"/>
  <c r="F50" i="6"/>
  <c r="C50" i="6"/>
  <c r="AD49" i="6"/>
  <c r="AC49" i="6"/>
  <c r="AA49" i="6"/>
  <c r="X49" i="6"/>
  <c r="W49" i="6"/>
  <c r="U49" i="6"/>
  <c r="R49" i="6"/>
  <c r="O49" i="6"/>
  <c r="N49" i="6"/>
  <c r="L49" i="6"/>
  <c r="H49" i="6"/>
  <c r="I49" i="6" s="1"/>
  <c r="F49" i="6"/>
  <c r="C49" i="6"/>
  <c r="AC48" i="6"/>
  <c r="AD48" i="6" s="1"/>
  <c r="AA48" i="6"/>
  <c r="X48" i="6"/>
  <c r="W48" i="6"/>
  <c r="U48" i="6"/>
  <c r="R48" i="6"/>
  <c r="O48" i="6"/>
  <c r="N48" i="6"/>
  <c r="L48" i="6"/>
  <c r="I48" i="6"/>
  <c r="H48" i="6"/>
  <c r="F48" i="6"/>
  <c r="C48" i="6"/>
  <c r="AD47" i="6"/>
  <c r="AC47" i="6"/>
  <c r="AA47" i="6"/>
  <c r="W47" i="6"/>
  <c r="X47" i="6" s="1"/>
  <c r="U47" i="6"/>
  <c r="R47" i="6"/>
  <c r="O47" i="6"/>
  <c r="N47" i="6"/>
  <c r="L47" i="6"/>
  <c r="H47" i="6"/>
  <c r="I47" i="6" s="1"/>
  <c r="F47" i="6"/>
  <c r="C47" i="6"/>
  <c r="AD46" i="6"/>
  <c r="AC46" i="6"/>
  <c r="AA46" i="6"/>
  <c r="X46" i="6"/>
  <c r="W46" i="6"/>
  <c r="U46" i="6"/>
  <c r="R46" i="6"/>
  <c r="O46" i="6"/>
  <c r="N46" i="6"/>
  <c r="L46" i="6"/>
  <c r="I46" i="6"/>
  <c r="H46" i="6"/>
  <c r="F46" i="6"/>
  <c r="C46" i="6"/>
  <c r="AC44" i="6"/>
  <c r="AD44" i="6" s="1"/>
  <c r="AA44" i="6"/>
  <c r="W44" i="6"/>
  <c r="X44" i="6" s="1"/>
  <c r="U44" i="6"/>
  <c r="R44" i="6"/>
  <c r="O44" i="6"/>
  <c r="N44" i="6"/>
  <c r="L44" i="6"/>
  <c r="I44" i="6"/>
  <c r="H44" i="6"/>
  <c r="F44" i="6"/>
  <c r="C44" i="6"/>
  <c r="AC43" i="6"/>
  <c r="AD43" i="6" s="1"/>
  <c r="AA43" i="6"/>
  <c r="W43" i="6"/>
  <c r="X43" i="6" s="1"/>
  <c r="U43" i="6"/>
  <c r="R43" i="6"/>
  <c r="O43" i="6"/>
  <c r="N43" i="6"/>
  <c r="L43" i="6"/>
  <c r="I43" i="6"/>
  <c r="H43" i="6"/>
  <c r="F43" i="6"/>
  <c r="C43" i="6"/>
  <c r="AC42" i="6"/>
  <c r="AD42" i="6" s="1"/>
  <c r="AA42" i="6"/>
  <c r="X42" i="6"/>
  <c r="W42" i="6"/>
  <c r="U42" i="6"/>
  <c r="R42" i="6"/>
  <c r="O42" i="6"/>
  <c r="N42" i="6"/>
  <c r="L42" i="6"/>
  <c r="H42" i="6"/>
  <c r="I42" i="6" s="1"/>
  <c r="F42" i="6"/>
  <c r="C42" i="6"/>
  <c r="AC40" i="6"/>
  <c r="AD40" i="6" s="1"/>
  <c r="AA40" i="6"/>
  <c r="Z40" i="6"/>
  <c r="W40" i="6"/>
  <c r="X40" i="6" s="1"/>
  <c r="U40" i="6"/>
  <c r="T40" i="6"/>
  <c r="R40" i="6"/>
  <c r="Q40" i="6"/>
  <c r="K40" i="6"/>
  <c r="L40" i="6" s="1"/>
  <c r="I40" i="6"/>
  <c r="H40" i="6"/>
  <c r="F40" i="6"/>
  <c r="E40" i="6"/>
  <c r="B40" i="6"/>
  <c r="AC39" i="6"/>
  <c r="AD39" i="6" s="1"/>
  <c r="AA39" i="6"/>
  <c r="W39" i="6"/>
  <c r="X39" i="6" s="1"/>
  <c r="U39" i="6"/>
  <c r="R39" i="6"/>
  <c r="O39" i="6"/>
  <c r="N39" i="6"/>
  <c r="L39" i="6"/>
  <c r="H39" i="6"/>
  <c r="I39" i="6" s="1"/>
  <c r="F39" i="6"/>
  <c r="C39" i="6"/>
  <c r="AD38" i="6"/>
  <c r="AC38" i="6"/>
  <c r="AA38" i="6"/>
  <c r="X38" i="6"/>
  <c r="W38" i="6"/>
  <c r="U38" i="6"/>
  <c r="R38" i="6"/>
  <c r="O38" i="6"/>
  <c r="N38" i="6"/>
  <c r="L38" i="6"/>
  <c r="H38" i="6"/>
  <c r="I38" i="6" s="1"/>
  <c r="F38" i="6"/>
  <c r="C38" i="6"/>
  <c r="AD37" i="6"/>
  <c r="AC37" i="6"/>
  <c r="AA37" i="6"/>
  <c r="X37" i="6"/>
  <c r="W37" i="6"/>
  <c r="U37" i="6"/>
  <c r="R37" i="6"/>
  <c r="N37" i="6"/>
  <c r="O37" i="6" s="1"/>
  <c r="L37" i="6"/>
  <c r="H37" i="6"/>
  <c r="I37" i="6" s="1"/>
  <c r="F37" i="6"/>
  <c r="C37" i="6"/>
  <c r="AD36" i="6"/>
  <c r="AC36" i="6"/>
  <c r="AA36" i="6"/>
  <c r="X36" i="6"/>
  <c r="W36" i="6"/>
  <c r="U36" i="6"/>
  <c r="R36" i="6"/>
  <c r="O36" i="6"/>
  <c r="N36" i="6"/>
  <c r="L36" i="6"/>
  <c r="H36" i="6"/>
  <c r="I36" i="6" s="1"/>
  <c r="F36" i="6"/>
  <c r="C36" i="6"/>
  <c r="AC35" i="6"/>
  <c r="AD35" i="6" s="1"/>
  <c r="AA35" i="6"/>
  <c r="X35" i="6"/>
  <c r="W35" i="6"/>
  <c r="U35" i="6"/>
  <c r="R35" i="6"/>
  <c r="O35" i="6"/>
  <c r="N35" i="6"/>
  <c r="L35" i="6"/>
  <c r="I35" i="6"/>
  <c r="H35" i="6"/>
  <c r="F35" i="6"/>
  <c r="C35" i="6"/>
  <c r="AD34" i="6"/>
  <c r="AC34" i="6"/>
  <c r="AA34" i="6"/>
  <c r="W34" i="6"/>
  <c r="X34" i="6" s="1"/>
  <c r="U34" i="6"/>
  <c r="R34" i="6"/>
  <c r="O34" i="6"/>
  <c r="N34" i="6"/>
  <c r="L34" i="6"/>
  <c r="H34" i="6"/>
  <c r="I34" i="6" s="1"/>
  <c r="F34" i="6"/>
  <c r="C34" i="6"/>
  <c r="AD33" i="6"/>
  <c r="AC33" i="6"/>
  <c r="AA33" i="6"/>
  <c r="X33" i="6"/>
  <c r="W33" i="6"/>
  <c r="U33" i="6"/>
  <c r="R33" i="6"/>
  <c r="O33" i="6"/>
  <c r="N33" i="6"/>
  <c r="L33" i="6"/>
  <c r="I33" i="6"/>
  <c r="H33" i="6"/>
  <c r="F33" i="6"/>
  <c r="C33" i="6"/>
  <c r="AC32" i="6"/>
  <c r="AD32" i="6" s="1"/>
  <c r="AA32" i="6"/>
  <c r="W32" i="6"/>
  <c r="X32" i="6" s="1"/>
  <c r="U32" i="6"/>
  <c r="R32" i="6"/>
  <c r="O32" i="6"/>
  <c r="N32" i="6"/>
  <c r="L32" i="6"/>
  <c r="I32" i="6"/>
  <c r="H32" i="6"/>
  <c r="F32" i="6"/>
  <c r="C32" i="6"/>
  <c r="AC31" i="6"/>
  <c r="AD31" i="6" s="1"/>
  <c r="AA31" i="6"/>
  <c r="W31" i="6"/>
  <c r="X31" i="6" s="1"/>
  <c r="U31" i="6"/>
  <c r="R31" i="6"/>
  <c r="O31" i="6"/>
  <c r="N31" i="6"/>
  <c r="L31" i="6"/>
  <c r="I31" i="6"/>
  <c r="H31" i="6"/>
  <c r="F31" i="6"/>
  <c r="C31" i="6"/>
  <c r="AC29" i="6"/>
  <c r="AD29" i="6" s="1"/>
  <c r="Z29" i="6"/>
  <c r="AA29" i="6" s="1"/>
  <c r="T29" i="6"/>
  <c r="U29" i="6" s="1"/>
  <c r="R29" i="6"/>
  <c r="Q29" i="6"/>
  <c r="L29" i="6"/>
  <c r="K29" i="6"/>
  <c r="N29" i="6" s="1"/>
  <c r="O29" i="6" s="1"/>
  <c r="F29" i="6"/>
  <c r="E29" i="6"/>
  <c r="H29" i="6" s="1"/>
  <c r="I29" i="6" s="1"/>
  <c r="B29" i="6"/>
  <c r="C29" i="6" s="1"/>
  <c r="AD28" i="6"/>
  <c r="AC28" i="6"/>
  <c r="AA28" i="6"/>
  <c r="X28" i="6"/>
  <c r="W28" i="6"/>
  <c r="U28" i="6"/>
  <c r="R28" i="6"/>
  <c r="N28" i="6"/>
  <c r="O28" i="6" s="1"/>
  <c r="L28" i="6"/>
  <c r="H28" i="6"/>
  <c r="I28" i="6" s="1"/>
  <c r="F28" i="6"/>
  <c r="C28" i="6"/>
  <c r="AC27" i="6"/>
  <c r="AD27" i="6" s="1"/>
  <c r="AA27" i="6"/>
  <c r="W27" i="6"/>
  <c r="X27" i="6" s="1"/>
  <c r="U27" i="6"/>
  <c r="R27" i="6"/>
  <c r="O27" i="6"/>
  <c r="N27" i="6"/>
  <c r="L27" i="6"/>
  <c r="H27" i="6"/>
  <c r="I27" i="6" s="1"/>
  <c r="F27" i="6"/>
  <c r="C27" i="6"/>
  <c r="AD26" i="6"/>
  <c r="AC26" i="6"/>
  <c r="AA26" i="6"/>
  <c r="X26" i="6"/>
  <c r="W26" i="6"/>
  <c r="U26" i="6"/>
  <c r="R26" i="6"/>
  <c r="O26" i="6"/>
  <c r="N26" i="6"/>
  <c r="L26" i="6"/>
  <c r="H26" i="6"/>
  <c r="I26" i="6" s="1"/>
  <c r="F26" i="6"/>
  <c r="C26" i="6"/>
  <c r="AD25" i="6"/>
  <c r="AC25" i="6"/>
  <c r="AA25" i="6"/>
  <c r="X25" i="6"/>
  <c r="W25" i="6"/>
  <c r="U25" i="6"/>
  <c r="R25" i="6"/>
  <c r="N25" i="6"/>
  <c r="O25" i="6" s="1"/>
  <c r="L25" i="6"/>
  <c r="H25" i="6"/>
  <c r="I25" i="6" s="1"/>
  <c r="F25" i="6"/>
  <c r="C25" i="6"/>
  <c r="AD24" i="6"/>
  <c r="AC24" i="6"/>
  <c r="AA24" i="6"/>
  <c r="X24" i="6"/>
  <c r="W24" i="6"/>
  <c r="U24" i="6"/>
  <c r="R24" i="6"/>
  <c r="O24" i="6"/>
  <c r="N24" i="6"/>
  <c r="L24" i="6"/>
  <c r="H24" i="6"/>
  <c r="I24" i="6" s="1"/>
  <c r="F24" i="6"/>
  <c r="C24" i="6"/>
  <c r="AC23" i="6"/>
  <c r="AD23" i="6" s="1"/>
  <c r="AA23" i="6"/>
  <c r="X23" i="6"/>
  <c r="W23" i="6"/>
  <c r="U23" i="6"/>
  <c r="R23" i="6"/>
  <c r="O23" i="6"/>
  <c r="N23" i="6"/>
  <c r="L23" i="6"/>
  <c r="I23" i="6"/>
  <c r="H23" i="6"/>
  <c r="F23" i="6"/>
  <c r="C23" i="6"/>
  <c r="AD22" i="6"/>
  <c r="AC22" i="6"/>
  <c r="AA22" i="6"/>
  <c r="W22" i="6"/>
  <c r="X22" i="6" s="1"/>
  <c r="U22" i="6"/>
  <c r="R22" i="6"/>
  <c r="O22" i="6"/>
  <c r="N22" i="6"/>
  <c r="L22" i="6"/>
  <c r="H22" i="6"/>
  <c r="I22" i="6" s="1"/>
  <c r="F22" i="6"/>
  <c r="C22" i="6"/>
  <c r="AD21" i="6"/>
  <c r="AC21" i="6"/>
  <c r="AA21" i="6"/>
  <c r="X21" i="6"/>
  <c r="W21" i="6"/>
  <c r="U21" i="6"/>
  <c r="R21" i="6"/>
  <c r="N21" i="6"/>
  <c r="O21" i="6" s="1"/>
  <c r="L21" i="6"/>
  <c r="I21" i="6"/>
  <c r="H21" i="6"/>
  <c r="F21" i="6"/>
  <c r="C21" i="6"/>
  <c r="AC19" i="6"/>
  <c r="AD19" i="6" s="1"/>
  <c r="AA19" i="6"/>
  <c r="W19" i="6"/>
  <c r="X19" i="6" s="1"/>
  <c r="U19" i="6"/>
  <c r="R19" i="6"/>
  <c r="O19" i="6"/>
  <c r="N19" i="6"/>
  <c r="L19" i="6"/>
  <c r="I19" i="6"/>
  <c r="H19" i="6"/>
  <c r="F19" i="6"/>
  <c r="C19" i="6"/>
  <c r="AA18" i="6"/>
  <c r="Z18" i="6"/>
  <c r="W18" i="6"/>
  <c r="X18" i="6" s="1"/>
  <c r="T18" i="6"/>
  <c r="U18" i="6" s="1"/>
  <c r="Q18" i="6"/>
  <c r="R18" i="6" s="1"/>
  <c r="K18" i="6"/>
  <c r="L18" i="6" s="1"/>
  <c r="I18" i="6"/>
  <c r="E18" i="6"/>
  <c r="F18" i="6" s="1"/>
  <c r="C18" i="6"/>
  <c r="B18" i="6"/>
  <c r="H18" i="6" s="1"/>
  <c r="AD17" i="6"/>
  <c r="AC17" i="6"/>
  <c r="AA17" i="6"/>
  <c r="X17" i="6"/>
  <c r="W17" i="6"/>
  <c r="U17" i="6"/>
  <c r="R17" i="6"/>
  <c r="N17" i="6"/>
  <c r="O17" i="6" s="1"/>
  <c r="L17" i="6"/>
  <c r="H17" i="6"/>
  <c r="I17" i="6" s="1"/>
  <c r="F17" i="6"/>
  <c r="C17" i="6"/>
  <c r="AD16" i="6"/>
  <c r="AC16" i="6"/>
  <c r="AA16" i="6"/>
  <c r="W16" i="6"/>
  <c r="X16" i="6" s="1"/>
  <c r="U16" i="6"/>
  <c r="R16" i="6"/>
  <c r="O16" i="6"/>
  <c r="N16" i="6"/>
  <c r="L16" i="6"/>
  <c r="I16" i="6"/>
  <c r="H16" i="6"/>
  <c r="F16" i="6"/>
  <c r="C16" i="6"/>
  <c r="AC15" i="6"/>
  <c r="AD15" i="6" s="1"/>
  <c r="AA15" i="6"/>
  <c r="W15" i="6"/>
  <c r="X15" i="6" s="1"/>
  <c r="U15" i="6"/>
  <c r="R15" i="6"/>
  <c r="O15" i="6"/>
  <c r="N15" i="6"/>
  <c r="L15" i="6"/>
  <c r="I15" i="6"/>
  <c r="H15" i="6"/>
  <c r="F15" i="6"/>
  <c r="C15" i="6"/>
  <c r="AC14" i="6"/>
  <c r="AD14" i="6" s="1"/>
  <c r="AA14" i="6"/>
  <c r="W14" i="6"/>
  <c r="X14" i="6" s="1"/>
  <c r="U14" i="6"/>
  <c r="R14" i="6"/>
  <c r="O14" i="6"/>
  <c r="N14" i="6"/>
  <c r="L14" i="6"/>
  <c r="H14" i="6"/>
  <c r="I14" i="6" s="1"/>
  <c r="F14" i="6"/>
  <c r="C14" i="6"/>
  <c r="AC13" i="6"/>
  <c r="AD13" i="6" s="1"/>
  <c r="AA13" i="6"/>
  <c r="X13" i="6"/>
  <c r="W13" i="6"/>
  <c r="U13" i="6"/>
  <c r="R13" i="6"/>
  <c r="N13" i="6"/>
  <c r="O13" i="6" s="1"/>
  <c r="L13" i="6"/>
  <c r="I13" i="6"/>
  <c r="H13" i="6"/>
  <c r="F13" i="6"/>
  <c r="C13" i="6"/>
  <c r="AC12" i="6"/>
  <c r="AD12" i="6" s="1"/>
  <c r="AA12" i="6"/>
  <c r="W12" i="6"/>
  <c r="X12" i="6" s="1"/>
  <c r="U12" i="6"/>
  <c r="R12" i="6"/>
  <c r="O12" i="6"/>
  <c r="N12" i="6"/>
  <c r="L12" i="6"/>
  <c r="H12" i="6"/>
  <c r="I12" i="6" s="1"/>
  <c r="F12" i="6"/>
  <c r="C12" i="6"/>
  <c r="AC11" i="6"/>
  <c r="AD11" i="6" s="1"/>
  <c r="AA11" i="6"/>
  <c r="W11" i="6"/>
  <c r="X11" i="6" s="1"/>
  <c r="U11" i="6"/>
  <c r="R11" i="6"/>
  <c r="O11" i="6"/>
  <c r="N11" i="6"/>
  <c r="L11" i="6"/>
  <c r="I11" i="6"/>
  <c r="H11" i="6"/>
  <c r="F11" i="6"/>
  <c r="C11" i="6"/>
  <c r="AC10" i="6"/>
  <c r="AD10" i="6" s="1"/>
  <c r="AA10" i="6"/>
  <c r="W10" i="6"/>
  <c r="X10" i="6" s="1"/>
  <c r="U10" i="6"/>
  <c r="R10" i="6"/>
  <c r="O10" i="6"/>
  <c r="N10" i="6"/>
  <c r="L10" i="6"/>
  <c r="H10" i="6"/>
  <c r="I10" i="6" s="1"/>
  <c r="F10" i="6"/>
  <c r="C10" i="6"/>
  <c r="AC8" i="6"/>
  <c r="AD8" i="6" s="1"/>
  <c r="AA8" i="6"/>
  <c r="X8" i="6"/>
  <c r="W8" i="6"/>
  <c r="U8" i="6"/>
  <c r="R8" i="6"/>
  <c r="O8" i="6"/>
  <c r="N8" i="6"/>
  <c r="L8" i="6"/>
  <c r="I8" i="6"/>
  <c r="H8" i="6"/>
  <c r="F8" i="6"/>
  <c r="C8" i="6"/>
  <c r="AC444" i="5"/>
  <c r="AD422" i="5" s="1"/>
  <c r="W444" i="5"/>
  <c r="X425" i="5" s="1"/>
  <c r="N444" i="5"/>
  <c r="H444" i="5"/>
  <c r="I421" i="5" s="1"/>
  <c r="AC442" i="5"/>
  <c r="AD442" i="5" s="1"/>
  <c r="Z442" i="5"/>
  <c r="AA442" i="5" s="1"/>
  <c r="T442" i="5"/>
  <c r="U442" i="5" s="1"/>
  <c r="Q442" i="5"/>
  <c r="K442" i="5"/>
  <c r="L442" i="5" s="1"/>
  <c r="E442" i="5"/>
  <c r="F442" i="5" s="1"/>
  <c r="C442" i="5"/>
  <c r="B442" i="5"/>
  <c r="Z441" i="5"/>
  <c r="AA441" i="5" s="1"/>
  <c r="U441" i="5"/>
  <c r="T441" i="5"/>
  <c r="W441" i="5" s="1"/>
  <c r="X441" i="5" s="1"/>
  <c r="R441" i="5"/>
  <c r="Q441" i="5"/>
  <c r="N441" i="5"/>
  <c r="O441" i="5" s="1"/>
  <c r="L441" i="5"/>
  <c r="K441" i="5"/>
  <c r="H441" i="5"/>
  <c r="I441" i="5" s="1"/>
  <c r="E441" i="5"/>
  <c r="F441" i="5" s="1"/>
  <c r="B441" i="5"/>
  <c r="C441" i="5" s="1"/>
  <c r="AC440" i="5"/>
  <c r="AD440" i="5" s="1"/>
  <c r="AA440" i="5"/>
  <c r="W440" i="5"/>
  <c r="X440" i="5" s="1"/>
  <c r="U440" i="5"/>
  <c r="R440" i="5"/>
  <c r="N440" i="5"/>
  <c r="O440" i="5" s="1"/>
  <c r="L440" i="5"/>
  <c r="H440" i="5"/>
  <c r="I440" i="5" s="1"/>
  <c r="F440" i="5"/>
  <c r="C440" i="5"/>
  <c r="AC439" i="5"/>
  <c r="AD439" i="5" s="1"/>
  <c r="AA439" i="5"/>
  <c r="X439" i="5"/>
  <c r="W439" i="5"/>
  <c r="U439" i="5"/>
  <c r="R439" i="5"/>
  <c r="O439" i="5"/>
  <c r="N439" i="5"/>
  <c r="L439" i="5"/>
  <c r="H439" i="5"/>
  <c r="I439" i="5" s="1"/>
  <c r="F439" i="5"/>
  <c r="C439" i="5"/>
  <c r="AC438" i="5"/>
  <c r="AD438" i="5" s="1"/>
  <c r="AA438" i="5"/>
  <c r="X438" i="5"/>
  <c r="W438" i="5"/>
  <c r="U438" i="5"/>
  <c r="R438" i="5"/>
  <c r="N438" i="5"/>
  <c r="O438" i="5" s="1"/>
  <c r="L438" i="5"/>
  <c r="H438" i="5"/>
  <c r="I438" i="5" s="1"/>
  <c r="F438" i="5"/>
  <c r="C438" i="5"/>
  <c r="AD437" i="5"/>
  <c r="AC437" i="5"/>
  <c r="AA437" i="5"/>
  <c r="X437" i="5"/>
  <c r="W437" i="5"/>
  <c r="U437" i="5"/>
  <c r="R437" i="5"/>
  <c r="N437" i="5"/>
  <c r="O437" i="5" s="1"/>
  <c r="L437" i="5"/>
  <c r="H437" i="5"/>
  <c r="I437" i="5" s="1"/>
  <c r="F437" i="5"/>
  <c r="C437" i="5"/>
  <c r="AD436" i="5"/>
  <c r="AC436" i="5"/>
  <c r="AA436" i="5"/>
  <c r="X436" i="5"/>
  <c r="W436" i="5"/>
  <c r="U436" i="5"/>
  <c r="R436" i="5"/>
  <c r="O436" i="5"/>
  <c r="N436" i="5"/>
  <c r="L436" i="5"/>
  <c r="I436" i="5"/>
  <c r="H436" i="5"/>
  <c r="F436" i="5"/>
  <c r="C436" i="5"/>
  <c r="AC435" i="5"/>
  <c r="AD435" i="5" s="1"/>
  <c r="AA435" i="5"/>
  <c r="X435" i="5"/>
  <c r="W435" i="5"/>
  <c r="U435" i="5"/>
  <c r="R435" i="5"/>
  <c r="O435" i="5"/>
  <c r="N435" i="5"/>
  <c r="L435" i="5"/>
  <c r="I435" i="5"/>
  <c r="H435" i="5"/>
  <c r="F435" i="5"/>
  <c r="C435" i="5"/>
  <c r="AC434" i="5"/>
  <c r="AA434" i="5"/>
  <c r="X434" i="5"/>
  <c r="W434" i="5"/>
  <c r="U434" i="5"/>
  <c r="R434" i="5"/>
  <c r="O434" i="5"/>
  <c r="N434" i="5"/>
  <c r="L434" i="5"/>
  <c r="H434" i="5"/>
  <c r="I434" i="5" s="1"/>
  <c r="F434" i="5"/>
  <c r="C434" i="5"/>
  <c r="AD433" i="5"/>
  <c r="AC433" i="5"/>
  <c r="AA433" i="5"/>
  <c r="X433" i="5"/>
  <c r="W433" i="5"/>
  <c r="U433" i="5"/>
  <c r="R433" i="5"/>
  <c r="O433" i="5"/>
  <c r="N433" i="5"/>
  <c r="L433" i="5"/>
  <c r="I433" i="5"/>
  <c r="H433" i="5"/>
  <c r="F433" i="5"/>
  <c r="C433" i="5"/>
  <c r="AD432" i="5"/>
  <c r="AC432" i="5"/>
  <c r="AA432" i="5"/>
  <c r="W432" i="5"/>
  <c r="X432" i="5" s="1"/>
  <c r="U432" i="5"/>
  <c r="R432" i="5"/>
  <c r="O432" i="5"/>
  <c r="N432" i="5"/>
  <c r="L432" i="5"/>
  <c r="I432" i="5"/>
  <c r="H432" i="5"/>
  <c r="F432" i="5"/>
  <c r="C432" i="5"/>
  <c r="Z429" i="5"/>
  <c r="AA429" i="5" s="1"/>
  <c r="W429" i="5"/>
  <c r="X429" i="5" s="1"/>
  <c r="T429" i="5"/>
  <c r="U429" i="5" s="1"/>
  <c r="Q429" i="5"/>
  <c r="N429" i="5"/>
  <c r="O429" i="5" s="1"/>
  <c r="L429" i="5"/>
  <c r="K429" i="5"/>
  <c r="E429" i="5"/>
  <c r="C429" i="5"/>
  <c r="B429" i="5"/>
  <c r="AA428" i="5"/>
  <c r="Z428" i="5"/>
  <c r="U428" i="5"/>
  <c r="T428" i="5"/>
  <c r="Q428" i="5"/>
  <c r="AC428" i="5" s="1"/>
  <c r="AD428" i="5" s="1"/>
  <c r="K428" i="5"/>
  <c r="L428" i="5" s="1"/>
  <c r="F428" i="5"/>
  <c r="E428" i="5"/>
  <c r="B428" i="5"/>
  <c r="C428" i="5" s="1"/>
  <c r="AC427" i="5"/>
  <c r="AD427" i="5" s="1"/>
  <c r="AA427" i="5"/>
  <c r="W427" i="5"/>
  <c r="X427" i="5" s="1"/>
  <c r="U427" i="5"/>
  <c r="R427" i="5"/>
  <c r="O427" i="5"/>
  <c r="N427" i="5"/>
  <c r="L427" i="5"/>
  <c r="I427" i="5"/>
  <c r="H427" i="5"/>
  <c r="F427" i="5"/>
  <c r="C427" i="5"/>
  <c r="AC426" i="5"/>
  <c r="AA426" i="5"/>
  <c r="W426" i="5"/>
  <c r="X426" i="5" s="1"/>
  <c r="U426" i="5"/>
  <c r="R426" i="5"/>
  <c r="O426" i="5"/>
  <c r="N426" i="5"/>
  <c r="L426" i="5"/>
  <c r="H426" i="5"/>
  <c r="I426" i="5" s="1"/>
  <c r="F426" i="5"/>
  <c r="C426" i="5"/>
  <c r="AC425" i="5"/>
  <c r="AD425" i="5" s="1"/>
  <c r="AA425" i="5"/>
  <c r="W425" i="5"/>
  <c r="U425" i="5"/>
  <c r="R425" i="5"/>
  <c r="O425" i="5"/>
  <c r="N425" i="5"/>
  <c r="L425" i="5"/>
  <c r="I425" i="5"/>
  <c r="H425" i="5"/>
  <c r="F425" i="5"/>
  <c r="C425" i="5"/>
  <c r="AC424" i="5"/>
  <c r="AD424" i="5" s="1"/>
  <c r="AA424" i="5"/>
  <c r="X424" i="5"/>
  <c r="W424" i="5"/>
  <c r="U424" i="5"/>
  <c r="R424" i="5"/>
  <c r="O424" i="5"/>
  <c r="N424" i="5"/>
  <c r="L424" i="5"/>
  <c r="H424" i="5"/>
  <c r="I424" i="5" s="1"/>
  <c r="F424" i="5"/>
  <c r="C424" i="5"/>
  <c r="AC423" i="5"/>
  <c r="AD423" i="5" s="1"/>
  <c r="AA423" i="5"/>
  <c r="X423" i="5"/>
  <c r="W423" i="5"/>
  <c r="U423" i="5"/>
  <c r="R423" i="5"/>
  <c r="N423" i="5"/>
  <c r="O423" i="5" s="1"/>
  <c r="L423" i="5"/>
  <c r="I423" i="5"/>
  <c r="H423" i="5"/>
  <c r="F423" i="5"/>
  <c r="C423" i="5"/>
  <c r="AC422" i="5"/>
  <c r="AA422" i="5"/>
  <c r="W422" i="5"/>
  <c r="X422" i="5" s="1"/>
  <c r="U422" i="5"/>
  <c r="R422" i="5"/>
  <c r="O422" i="5"/>
  <c r="N422" i="5"/>
  <c r="L422" i="5"/>
  <c r="I422" i="5"/>
  <c r="H422" i="5"/>
  <c r="F422" i="5"/>
  <c r="C422" i="5"/>
  <c r="AC421" i="5"/>
  <c r="AA421" i="5"/>
  <c r="W421" i="5"/>
  <c r="X421" i="5" s="1"/>
  <c r="U421" i="5"/>
  <c r="R421" i="5"/>
  <c r="O421" i="5"/>
  <c r="N421" i="5"/>
  <c r="L421" i="5"/>
  <c r="H421" i="5"/>
  <c r="F421" i="5"/>
  <c r="C421" i="5"/>
  <c r="AD420" i="5"/>
  <c r="AC420" i="5"/>
  <c r="AA420" i="5"/>
  <c r="X420" i="5"/>
  <c r="W420" i="5"/>
  <c r="U420" i="5"/>
  <c r="R420" i="5"/>
  <c r="O420" i="5"/>
  <c r="N420" i="5"/>
  <c r="L420" i="5"/>
  <c r="H420" i="5"/>
  <c r="I420" i="5" s="1"/>
  <c r="F420" i="5"/>
  <c r="C420" i="5"/>
  <c r="AD419" i="5"/>
  <c r="AC419" i="5"/>
  <c r="AA419" i="5"/>
  <c r="X419" i="5"/>
  <c r="W419" i="5"/>
  <c r="U419" i="5"/>
  <c r="R419" i="5"/>
  <c r="N419" i="5"/>
  <c r="O419" i="5" s="1"/>
  <c r="L419" i="5"/>
  <c r="H419" i="5"/>
  <c r="I419" i="5" s="1"/>
  <c r="F419" i="5"/>
  <c r="C419" i="5"/>
  <c r="AD418" i="5"/>
  <c r="AC418" i="5"/>
  <c r="AA418" i="5"/>
  <c r="X418" i="5"/>
  <c r="W418" i="5"/>
  <c r="U418" i="5"/>
  <c r="R418" i="5"/>
  <c r="N418" i="5"/>
  <c r="O418" i="5" s="1"/>
  <c r="L418" i="5"/>
  <c r="H418" i="5"/>
  <c r="I418" i="5" s="1"/>
  <c r="F418" i="5"/>
  <c r="C418" i="5"/>
  <c r="AC417" i="5"/>
  <c r="AD417" i="5" s="1"/>
  <c r="AA417" i="5"/>
  <c r="W417" i="5"/>
  <c r="X417" i="5" s="1"/>
  <c r="U417" i="5"/>
  <c r="R417" i="5"/>
  <c r="O417" i="5"/>
  <c r="N417" i="5"/>
  <c r="L417" i="5"/>
  <c r="I417" i="5"/>
  <c r="H417" i="5"/>
  <c r="F417" i="5"/>
  <c r="C417" i="5"/>
  <c r="AC416" i="5"/>
  <c r="AD416" i="5" s="1"/>
  <c r="AA416" i="5"/>
  <c r="X416" i="5"/>
  <c r="W416" i="5"/>
  <c r="U416" i="5"/>
  <c r="R416" i="5"/>
  <c r="O416" i="5"/>
  <c r="N416" i="5"/>
  <c r="L416" i="5"/>
  <c r="H416" i="5"/>
  <c r="I416" i="5" s="1"/>
  <c r="F416" i="5"/>
  <c r="C416" i="5"/>
  <c r="AC415" i="5"/>
  <c r="AD415" i="5" s="1"/>
  <c r="AA415" i="5"/>
  <c r="X415" i="5"/>
  <c r="W415" i="5"/>
  <c r="U415" i="5"/>
  <c r="R415" i="5"/>
  <c r="N415" i="5"/>
  <c r="O415" i="5" s="1"/>
  <c r="L415" i="5"/>
  <c r="I415" i="5"/>
  <c r="H415" i="5"/>
  <c r="F415" i="5"/>
  <c r="C415" i="5"/>
  <c r="AC414" i="5"/>
  <c r="AA414" i="5"/>
  <c r="W414" i="5"/>
  <c r="X414" i="5" s="1"/>
  <c r="U414" i="5"/>
  <c r="R414" i="5"/>
  <c r="O414" i="5"/>
  <c r="N414" i="5"/>
  <c r="L414" i="5"/>
  <c r="I414" i="5"/>
  <c r="H414" i="5"/>
  <c r="F414" i="5"/>
  <c r="C414" i="5"/>
  <c r="AC413" i="5"/>
  <c r="AA413" i="5"/>
  <c r="W413" i="5"/>
  <c r="X413" i="5" s="1"/>
  <c r="U413" i="5"/>
  <c r="R413" i="5"/>
  <c r="O413" i="5"/>
  <c r="N413" i="5"/>
  <c r="L413" i="5"/>
  <c r="H413" i="5"/>
  <c r="F413" i="5"/>
  <c r="C413" i="5"/>
  <c r="AD412" i="5"/>
  <c r="AC412" i="5"/>
  <c r="AA412" i="5"/>
  <c r="X412" i="5"/>
  <c r="W412" i="5"/>
  <c r="U412" i="5"/>
  <c r="R412" i="5"/>
  <c r="O412" i="5"/>
  <c r="N412" i="5"/>
  <c r="L412" i="5"/>
  <c r="H412" i="5"/>
  <c r="I412" i="5" s="1"/>
  <c r="F412" i="5"/>
  <c r="C412" i="5"/>
  <c r="AD411" i="5"/>
  <c r="AC411" i="5"/>
  <c r="AA411" i="5"/>
  <c r="X411" i="5"/>
  <c r="W411" i="5"/>
  <c r="U411" i="5"/>
  <c r="R411" i="5"/>
  <c r="N411" i="5"/>
  <c r="O411" i="5" s="1"/>
  <c r="L411" i="5"/>
  <c r="H411" i="5"/>
  <c r="I411" i="5" s="1"/>
  <c r="F411" i="5"/>
  <c r="C411" i="5"/>
  <c r="AD410" i="5"/>
  <c r="AC410" i="5"/>
  <c r="AA410" i="5"/>
  <c r="X410" i="5"/>
  <c r="W410" i="5"/>
  <c r="U410" i="5"/>
  <c r="R410" i="5"/>
  <c r="N410" i="5"/>
  <c r="O410" i="5" s="1"/>
  <c r="L410" i="5"/>
  <c r="H410" i="5"/>
  <c r="I410" i="5" s="1"/>
  <c r="F410" i="5"/>
  <c r="C410" i="5"/>
  <c r="AC409" i="5"/>
  <c r="AD409" i="5" s="1"/>
  <c r="AA409" i="5"/>
  <c r="W409" i="5"/>
  <c r="X409" i="5" s="1"/>
  <c r="U409" i="5"/>
  <c r="R409" i="5"/>
  <c r="O409" i="5"/>
  <c r="N409" i="5"/>
  <c r="L409" i="5"/>
  <c r="I409" i="5"/>
  <c r="H409" i="5"/>
  <c r="F409" i="5"/>
  <c r="C409" i="5"/>
  <c r="AC408" i="5"/>
  <c r="AD408" i="5" s="1"/>
  <c r="AA408" i="5"/>
  <c r="X408" i="5"/>
  <c r="W408" i="5"/>
  <c r="U408" i="5"/>
  <c r="R408" i="5"/>
  <c r="O408" i="5"/>
  <c r="N408" i="5"/>
  <c r="L408" i="5"/>
  <c r="H408" i="5"/>
  <c r="I408" i="5" s="1"/>
  <c r="F408" i="5"/>
  <c r="C408" i="5"/>
  <c r="AC407" i="5"/>
  <c r="AD407" i="5" s="1"/>
  <c r="AA407" i="5"/>
  <c r="X407" i="5"/>
  <c r="W407" i="5"/>
  <c r="U407" i="5"/>
  <c r="R407" i="5"/>
  <c r="N407" i="5"/>
  <c r="O407" i="5" s="1"/>
  <c r="L407" i="5"/>
  <c r="I407" i="5"/>
  <c r="H407" i="5"/>
  <c r="F407" i="5"/>
  <c r="C407" i="5"/>
  <c r="Z403" i="5"/>
  <c r="T403" i="5"/>
  <c r="U403" i="5" s="1"/>
  <c r="R403" i="5"/>
  <c r="Q403" i="5"/>
  <c r="N403" i="5"/>
  <c r="O403" i="5" s="1"/>
  <c r="L403" i="5"/>
  <c r="K403" i="5"/>
  <c r="F403" i="5"/>
  <c r="E403" i="5"/>
  <c r="H403" i="5" s="1"/>
  <c r="I403" i="5" s="1"/>
  <c r="B403" i="5"/>
  <c r="C403" i="5" s="1"/>
  <c r="AD402" i="5"/>
  <c r="AC402" i="5"/>
  <c r="AA402" i="5"/>
  <c r="X402" i="5"/>
  <c r="W402" i="5"/>
  <c r="U402" i="5"/>
  <c r="R402" i="5"/>
  <c r="N402" i="5"/>
  <c r="O402" i="5" s="1"/>
  <c r="L402" i="5"/>
  <c r="I402" i="5"/>
  <c r="H402" i="5"/>
  <c r="F402" i="5"/>
  <c r="C402" i="5"/>
  <c r="AC401" i="5"/>
  <c r="AD401" i="5" s="1"/>
  <c r="AA401" i="5"/>
  <c r="W401" i="5"/>
  <c r="X401" i="5" s="1"/>
  <c r="U401" i="5"/>
  <c r="R401" i="5"/>
  <c r="O401" i="5"/>
  <c r="N401" i="5"/>
  <c r="L401" i="5"/>
  <c r="I401" i="5"/>
  <c r="H401" i="5"/>
  <c r="F401" i="5"/>
  <c r="C401" i="5"/>
  <c r="AD400" i="5"/>
  <c r="AC400" i="5"/>
  <c r="AA400" i="5"/>
  <c r="X400" i="5"/>
  <c r="W400" i="5"/>
  <c r="U400" i="5"/>
  <c r="R400" i="5"/>
  <c r="N400" i="5"/>
  <c r="O400" i="5" s="1"/>
  <c r="L400" i="5"/>
  <c r="H400" i="5"/>
  <c r="I400" i="5" s="1"/>
  <c r="F400" i="5"/>
  <c r="C400" i="5"/>
  <c r="AC399" i="5"/>
  <c r="AD399" i="5" s="1"/>
  <c r="AA399" i="5"/>
  <c r="X399" i="5"/>
  <c r="W399" i="5"/>
  <c r="U399" i="5"/>
  <c r="R399" i="5"/>
  <c r="N399" i="5"/>
  <c r="O399" i="5" s="1"/>
  <c r="L399" i="5"/>
  <c r="I399" i="5"/>
  <c r="H399" i="5"/>
  <c r="F399" i="5"/>
  <c r="C399" i="5"/>
  <c r="AD398" i="5"/>
  <c r="AC398" i="5"/>
  <c r="AA398" i="5"/>
  <c r="W398" i="5"/>
  <c r="X398" i="5" s="1"/>
  <c r="U398" i="5"/>
  <c r="R398" i="5"/>
  <c r="O398" i="5"/>
  <c r="N398" i="5"/>
  <c r="L398" i="5"/>
  <c r="I398" i="5"/>
  <c r="H398" i="5"/>
  <c r="F398" i="5"/>
  <c r="C398" i="5"/>
  <c r="AC397" i="5"/>
  <c r="AD397" i="5" s="1"/>
  <c r="AA397" i="5"/>
  <c r="W397" i="5"/>
  <c r="X397" i="5" s="1"/>
  <c r="U397" i="5"/>
  <c r="R397" i="5"/>
  <c r="O397" i="5"/>
  <c r="N397" i="5"/>
  <c r="L397" i="5"/>
  <c r="I397" i="5"/>
  <c r="H397" i="5"/>
  <c r="F397" i="5"/>
  <c r="C397" i="5"/>
  <c r="Z396" i="5"/>
  <c r="AA396" i="5" s="1"/>
  <c r="U396" i="5"/>
  <c r="T396" i="5"/>
  <c r="Q396" i="5"/>
  <c r="W396" i="5" s="1"/>
  <c r="X396" i="5" s="1"/>
  <c r="L396" i="5"/>
  <c r="K396" i="5"/>
  <c r="H396" i="5"/>
  <c r="I396" i="5" s="1"/>
  <c r="F396" i="5"/>
  <c r="E396" i="5"/>
  <c r="B396" i="5"/>
  <c r="C396" i="5" s="1"/>
  <c r="AD395" i="5"/>
  <c r="AC395" i="5"/>
  <c r="AA395" i="5"/>
  <c r="W395" i="5"/>
  <c r="X395" i="5" s="1"/>
  <c r="U395" i="5"/>
  <c r="R395" i="5"/>
  <c r="O395" i="5"/>
  <c r="N395" i="5"/>
  <c r="L395" i="5"/>
  <c r="I395" i="5"/>
  <c r="H395" i="5"/>
  <c r="F395" i="5"/>
  <c r="C395" i="5"/>
  <c r="AC394" i="5"/>
  <c r="AD394" i="5" s="1"/>
  <c r="AA394" i="5"/>
  <c r="W394" i="5"/>
  <c r="X394" i="5" s="1"/>
  <c r="U394" i="5"/>
  <c r="R394" i="5"/>
  <c r="O394" i="5"/>
  <c r="N394" i="5"/>
  <c r="L394" i="5"/>
  <c r="I394" i="5"/>
  <c r="H394" i="5"/>
  <c r="F394" i="5"/>
  <c r="C394" i="5"/>
  <c r="Z393" i="5"/>
  <c r="T393" i="5"/>
  <c r="U393" i="5" s="1"/>
  <c r="R393" i="5"/>
  <c r="Q393" i="5"/>
  <c r="N393" i="5"/>
  <c r="O393" i="5" s="1"/>
  <c r="L393" i="5"/>
  <c r="K393" i="5"/>
  <c r="E393" i="5"/>
  <c r="H393" i="5" s="1"/>
  <c r="I393" i="5" s="1"/>
  <c r="B393" i="5"/>
  <c r="C393" i="5" s="1"/>
  <c r="AD392" i="5"/>
  <c r="AC392" i="5"/>
  <c r="AA392" i="5"/>
  <c r="X392" i="5"/>
  <c r="W392" i="5"/>
  <c r="U392" i="5"/>
  <c r="R392" i="5"/>
  <c r="N392" i="5"/>
  <c r="O392" i="5" s="1"/>
  <c r="L392" i="5"/>
  <c r="I392" i="5"/>
  <c r="H392" i="5"/>
  <c r="F392" i="5"/>
  <c r="C392" i="5"/>
  <c r="AC391" i="5"/>
  <c r="AD391" i="5" s="1"/>
  <c r="AA391" i="5"/>
  <c r="W391" i="5"/>
  <c r="X391" i="5" s="1"/>
  <c r="U391" i="5"/>
  <c r="R391" i="5"/>
  <c r="O391" i="5"/>
  <c r="N391" i="5"/>
  <c r="L391" i="5"/>
  <c r="I391" i="5"/>
  <c r="H391" i="5"/>
  <c r="F391" i="5"/>
  <c r="C391" i="5"/>
  <c r="AD390" i="5"/>
  <c r="AC390" i="5"/>
  <c r="AA390" i="5"/>
  <c r="W390" i="5"/>
  <c r="X390" i="5" s="1"/>
  <c r="U390" i="5"/>
  <c r="R390" i="5"/>
  <c r="N390" i="5"/>
  <c r="O390" i="5" s="1"/>
  <c r="L390" i="5"/>
  <c r="H390" i="5"/>
  <c r="I390" i="5" s="1"/>
  <c r="F390" i="5"/>
  <c r="C390" i="5"/>
  <c r="AC389" i="5"/>
  <c r="AD389" i="5" s="1"/>
  <c r="AA389" i="5"/>
  <c r="X389" i="5"/>
  <c r="W389" i="5"/>
  <c r="U389" i="5"/>
  <c r="R389" i="5"/>
  <c r="N389" i="5"/>
  <c r="O389" i="5" s="1"/>
  <c r="L389" i="5"/>
  <c r="I389" i="5"/>
  <c r="H389" i="5"/>
  <c r="F389" i="5"/>
  <c r="C389" i="5"/>
  <c r="AD388" i="5"/>
  <c r="AC388" i="5"/>
  <c r="AA388" i="5"/>
  <c r="W388" i="5"/>
  <c r="X388" i="5" s="1"/>
  <c r="U388" i="5"/>
  <c r="R388" i="5"/>
  <c r="O388" i="5"/>
  <c r="N388" i="5"/>
  <c r="L388" i="5"/>
  <c r="I388" i="5"/>
  <c r="H388" i="5"/>
  <c r="F388" i="5"/>
  <c r="C388" i="5"/>
  <c r="AC386" i="5"/>
  <c r="AD386" i="5" s="1"/>
  <c r="AA386" i="5"/>
  <c r="W386" i="5"/>
  <c r="X386" i="5" s="1"/>
  <c r="U386" i="5"/>
  <c r="R386" i="5"/>
  <c r="O386" i="5"/>
  <c r="N386" i="5"/>
  <c r="L386" i="5"/>
  <c r="I386" i="5"/>
  <c r="H386" i="5"/>
  <c r="F386" i="5"/>
  <c r="C386" i="5"/>
  <c r="AD385" i="5"/>
  <c r="AC385" i="5"/>
  <c r="AA385" i="5"/>
  <c r="W385" i="5"/>
  <c r="X385" i="5" s="1"/>
  <c r="U385" i="5"/>
  <c r="R385" i="5"/>
  <c r="N385" i="5"/>
  <c r="O385" i="5" s="1"/>
  <c r="L385" i="5"/>
  <c r="H385" i="5"/>
  <c r="I385" i="5" s="1"/>
  <c r="F385" i="5"/>
  <c r="C385" i="5"/>
  <c r="AD383" i="5"/>
  <c r="AC383" i="5"/>
  <c r="AA383" i="5"/>
  <c r="X383" i="5"/>
  <c r="W383" i="5"/>
  <c r="U383" i="5"/>
  <c r="R383" i="5"/>
  <c r="N383" i="5"/>
  <c r="O383" i="5" s="1"/>
  <c r="L383" i="5"/>
  <c r="H383" i="5"/>
  <c r="I383" i="5" s="1"/>
  <c r="F383" i="5"/>
  <c r="C383" i="5"/>
  <c r="AD382" i="5"/>
  <c r="AC382" i="5"/>
  <c r="AA382" i="5"/>
  <c r="X382" i="5"/>
  <c r="W382" i="5"/>
  <c r="U382" i="5"/>
  <c r="R382" i="5"/>
  <c r="N382" i="5"/>
  <c r="O382" i="5" s="1"/>
  <c r="L382" i="5"/>
  <c r="I382" i="5"/>
  <c r="H382" i="5"/>
  <c r="F382" i="5"/>
  <c r="C382" i="5"/>
  <c r="AC381" i="5"/>
  <c r="AD381" i="5" s="1"/>
  <c r="AA381" i="5"/>
  <c r="W381" i="5"/>
  <c r="X381" i="5" s="1"/>
  <c r="U381" i="5"/>
  <c r="R381" i="5"/>
  <c r="O381" i="5"/>
  <c r="N381" i="5"/>
  <c r="L381" i="5"/>
  <c r="I381" i="5"/>
  <c r="H381" i="5"/>
  <c r="F381" i="5"/>
  <c r="C381" i="5"/>
  <c r="AD380" i="5"/>
  <c r="AC380" i="5"/>
  <c r="AA380" i="5"/>
  <c r="W380" i="5"/>
  <c r="X380" i="5" s="1"/>
  <c r="U380" i="5"/>
  <c r="R380" i="5"/>
  <c r="N380" i="5"/>
  <c r="O380" i="5" s="1"/>
  <c r="L380" i="5"/>
  <c r="H380" i="5"/>
  <c r="I380" i="5" s="1"/>
  <c r="F380" i="5"/>
  <c r="C380" i="5"/>
  <c r="AC379" i="5"/>
  <c r="AD379" i="5" s="1"/>
  <c r="AA379" i="5"/>
  <c r="X379" i="5"/>
  <c r="W379" i="5"/>
  <c r="U379" i="5"/>
  <c r="R379" i="5"/>
  <c r="N379" i="5"/>
  <c r="O379" i="5" s="1"/>
  <c r="L379" i="5"/>
  <c r="I379" i="5"/>
  <c r="H379" i="5"/>
  <c r="F379" i="5"/>
  <c r="C379" i="5"/>
  <c r="AD378" i="5"/>
  <c r="AC378" i="5"/>
  <c r="AA378" i="5"/>
  <c r="W378" i="5"/>
  <c r="X378" i="5" s="1"/>
  <c r="U378" i="5"/>
  <c r="R378" i="5"/>
  <c r="N378" i="5"/>
  <c r="O378" i="5" s="1"/>
  <c r="L378" i="5"/>
  <c r="I378" i="5"/>
  <c r="H378" i="5"/>
  <c r="F378" i="5"/>
  <c r="C378" i="5"/>
  <c r="AC377" i="5"/>
  <c r="AD377" i="5" s="1"/>
  <c r="AA377" i="5"/>
  <c r="W377" i="5"/>
  <c r="X377" i="5" s="1"/>
  <c r="U377" i="5"/>
  <c r="R377" i="5"/>
  <c r="O377" i="5"/>
  <c r="N377" i="5"/>
  <c r="L377" i="5"/>
  <c r="I377" i="5"/>
  <c r="H377" i="5"/>
  <c r="F377" i="5"/>
  <c r="C377" i="5"/>
  <c r="AD376" i="5"/>
  <c r="AC376" i="5"/>
  <c r="AA376" i="5"/>
  <c r="W376" i="5"/>
  <c r="X376" i="5" s="1"/>
  <c r="U376" i="5"/>
  <c r="R376" i="5"/>
  <c r="N376" i="5"/>
  <c r="O376" i="5" s="1"/>
  <c r="L376" i="5"/>
  <c r="H376" i="5"/>
  <c r="I376" i="5" s="1"/>
  <c r="F376" i="5"/>
  <c r="C376" i="5"/>
  <c r="AC375" i="5"/>
  <c r="AD375" i="5" s="1"/>
  <c r="AA375" i="5"/>
  <c r="X375" i="5"/>
  <c r="W375" i="5"/>
  <c r="U375" i="5"/>
  <c r="R375" i="5"/>
  <c r="N375" i="5"/>
  <c r="O375" i="5" s="1"/>
  <c r="L375" i="5"/>
  <c r="H375" i="5"/>
  <c r="I375" i="5" s="1"/>
  <c r="F375" i="5"/>
  <c r="C375" i="5"/>
  <c r="AD374" i="5"/>
  <c r="AC374" i="5"/>
  <c r="AA374" i="5"/>
  <c r="W374" i="5"/>
  <c r="X374" i="5" s="1"/>
  <c r="U374" i="5"/>
  <c r="R374" i="5"/>
  <c r="N374" i="5"/>
  <c r="O374" i="5" s="1"/>
  <c r="L374" i="5"/>
  <c r="I374" i="5"/>
  <c r="H374" i="5"/>
  <c r="F374" i="5"/>
  <c r="C374" i="5"/>
  <c r="AC373" i="5"/>
  <c r="AD373" i="5" s="1"/>
  <c r="AA373" i="5"/>
  <c r="W373" i="5"/>
  <c r="X373" i="5" s="1"/>
  <c r="U373" i="5"/>
  <c r="R373" i="5"/>
  <c r="O373" i="5"/>
  <c r="N373" i="5"/>
  <c r="L373" i="5"/>
  <c r="I373" i="5"/>
  <c r="H373" i="5"/>
  <c r="F373" i="5"/>
  <c r="C373" i="5"/>
  <c r="AD372" i="5"/>
  <c r="AC372" i="5"/>
  <c r="AA372" i="5"/>
  <c r="W372" i="5"/>
  <c r="X372" i="5" s="1"/>
  <c r="U372" i="5"/>
  <c r="R372" i="5"/>
  <c r="N372" i="5"/>
  <c r="O372" i="5" s="1"/>
  <c r="L372" i="5"/>
  <c r="H372" i="5"/>
  <c r="I372" i="5" s="1"/>
  <c r="F372" i="5"/>
  <c r="C372" i="5"/>
  <c r="AC371" i="5"/>
  <c r="AD371" i="5" s="1"/>
  <c r="AA371" i="5"/>
  <c r="X371" i="5"/>
  <c r="W371" i="5"/>
  <c r="U371" i="5"/>
  <c r="R371" i="5"/>
  <c r="N371" i="5"/>
  <c r="O371" i="5" s="1"/>
  <c r="L371" i="5"/>
  <c r="I371" i="5"/>
  <c r="H371" i="5"/>
  <c r="F371" i="5"/>
  <c r="C371" i="5"/>
  <c r="AD370" i="5"/>
  <c r="AC370" i="5"/>
  <c r="AA370" i="5"/>
  <c r="W370" i="5"/>
  <c r="X370" i="5" s="1"/>
  <c r="U370" i="5"/>
  <c r="R370" i="5"/>
  <c r="N370" i="5"/>
  <c r="O370" i="5" s="1"/>
  <c r="L370" i="5"/>
  <c r="I370" i="5"/>
  <c r="H370" i="5"/>
  <c r="F370" i="5"/>
  <c r="C370" i="5"/>
  <c r="AC369" i="5"/>
  <c r="AD369" i="5" s="1"/>
  <c r="AA369" i="5"/>
  <c r="W369" i="5"/>
  <c r="X369" i="5" s="1"/>
  <c r="U369" i="5"/>
  <c r="R369" i="5"/>
  <c r="O369" i="5"/>
  <c r="N369" i="5"/>
  <c r="L369" i="5"/>
  <c r="I369" i="5"/>
  <c r="H369" i="5"/>
  <c r="F369" i="5"/>
  <c r="C369" i="5"/>
  <c r="Z368" i="5"/>
  <c r="AA368" i="5" s="1"/>
  <c r="U368" i="5"/>
  <c r="T368" i="5"/>
  <c r="R368" i="5"/>
  <c r="Q368" i="5"/>
  <c r="AC368" i="5" s="1"/>
  <c r="AD368" i="5" s="1"/>
  <c r="L368" i="5"/>
  <c r="K368" i="5"/>
  <c r="H368" i="5"/>
  <c r="I368" i="5" s="1"/>
  <c r="E368" i="5"/>
  <c r="F368" i="5" s="1"/>
  <c r="B368" i="5"/>
  <c r="C368" i="5" s="1"/>
  <c r="AD367" i="5"/>
  <c r="AC367" i="5"/>
  <c r="AA367" i="5"/>
  <c r="W367" i="5"/>
  <c r="X367" i="5" s="1"/>
  <c r="U367" i="5"/>
  <c r="R367" i="5"/>
  <c r="N367" i="5"/>
  <c r="O367" i="5" s="1"/>
  <c r="L367" i="5"/>
  <c r="I367" i="5"/>
  <c r="H367" i="5"/>
  <c r="F367" i="5"/>
  <c r="C367" i="5"/>
  <c r="AC366" i="5"/>
  <c r="AD366" i="5" s="1"/>
  <c r="AA366" i="5"/>
  <c r="W366" i="5"/>
  <c r="X366" i="5" s="1"/>
  <c r="U366" i="5"/>
  <c r="R366" i="5"/>
  <c r="O366" i="5"/>
  <c r="N366" i="5"/>
  <c r="L366" i="5"/>
  <c r="I366" i="5"/>
  <c r="H366" i="5"/>
  <c r="F366" i="5"/>
  <c r="C366" i="5"/>
  <c r="AD365" i="5"/>
  <c r="AC365" i="5"/>
  <c r="AA365" i="5"/>
  <c r="W365" i="5"/>
  <c r="X365" i="5" s="1"/>
  <c r="U365" i="5"/>
  <c r="R365" i="5"/>
  <c r="N365" i="5"/>
  <c r="O365" i="5" s="1"/>
  <c r="L365" i="5"/>
  <c r="H365" i="5"/>
  <c r="I365" i="5" s="1"/>
  <c r="F365" i="5"/>
  <c r="C365" i="5"/>
  <c r="AC364" i="5"/>
  <c r="AD364" i="5" s="1"/>
  <c r="AA364" i="5"/>
  <c r="X364" i="5"/>
  <c r="W364" i="5"/>
  <c r="U364" i="5"/>
  <c r="R364" i="5"/>
  <c r="N364" i="5"/>
  <c r="O364" i="5" s="1"/>
  <c r="L364" i="5"/>
  <c r="I364" i="5"/>
  <c r="H364" i="5"/>
  <c r="F364" i="5"/>
  <c r="C364" i="5"/>
  <c r="AD363" i="5"/>
  <c r="AC363" i="5"/>
  <c r="AA363" i="5"/>
  <c r="W363" i="5"/>
  <c r="X363" i="5" s="1"/>
  <c r="U363" i="5"/>
  <c r="R363" i="5"/>
  <c r="N363" i="5"/>
  <c r="O363" i="5" s="1"/>
  <c r="L363" i="5"/>
  <c r="I363" i="5"/>
  <c r="H363" i="5"/>
  <c r="F363" i="5"/>
  <c r="C363" i="5"/>
  <c r="AC362" i="5"/>
  <c r="AD362" i="5" s="1"/>
  <c r="AA362" i="5"/>
  <c r="W362" i="5"/>
  <c r="X362" i="5" s="1"/>
  <c r="U362" i="5"/>
  <c r="R362" i="5"/>
  <c r="O362" i="5"/>
  <c r="N362" i="5"/>
  <c r="L362" i="5"/>
  <c r="I362" i="5"/>
  <c r="H362" i="5"/>
  <c r="F362" i="5"/>
  <c r="C362" i="5"/>
  <c r="AD361" i="5"/>
  <c r="AC361" i="5"/>
  <c r="AA361" i="5"/>
  <c r="W361" i="5"/>
  <c r="X361" i="5" s="1"/>
  <c r="U361" i="5"/>
  <c r="R361" i="5"/>
  <c r="N361" i="5"/>
  <c r="O361" i="5" s="1"/>
  <c r="L361" i="5"/>
  <c r="H361" i="5"/>
  <c r="I361" i="5" s="1"/>
  <c r="F361" i="5"/>
  <c r="C361" i="5"/>
  <c r="AC360" i="5"/>
  <c r="AD360" i="5" s="1"/>
  <c r="AA360" i="5"/>
  <c r="X360" i="5"/>
  <c r="W360" i="5"/>
  <c r="U360" i="5"/>
  <c r="R360" i="5"/>
  <c r="N360" i="5"/>
  <c r="O360" i="5" s="1"/>
  <c r="L360" i="5"/>
  <c r="I360" i="5"/>
  <c r="H360" i="5"/>
  <c r="F360" i="5"/>
  <c r="C360" i="5"/>
  <c r="Z358" i="5"/>
  <c r="AA358" i="5" s="1"/>
  <c r="W358" i="5"/>
  <c r="X358" i="5" s="1"/>
  <c r="T358" i="5"/>
  <c r="U358" i="5" s="1"/>
  <c r="R358" i="5"/>
  <c r="Q358" i="5"/>
  <c r="L358" i="5"/>
  <c r="K358" i="5"/>
  <c r="H358" i="5"/>
  <c r="I358" i="5" s="1"/>
  <c r="F358" i="5"/>
  <c r="E358" i="5"/>
  <c r="B358" i="5"/>
  <c r="C358" i="5" s="1"/>
  <c r="AC357" i="5"/>
  <c r="AD357" i="5" s="1"/>
  <c r="AA357" i="5"/>
  <c r="X357" i="5"/>
  <c r="W357" i="5"/>
  <c r="U357" i="5"/>
  <c r="R357" i="5"/>
  <c r="O357" i="5"/>
  <c r="N357" i="5"/>
  <c r="L357" i="5"/>
  <c r="H357" i="5"/>
  <c r="I357" i="5" s="1"/>
  <c r="F357" i="5"/>
  <c r="C357" i="5"/>
  <c r="AD356" i="5"/>
  <c r="AC356" i="5"/>
  <c r="AA356" i="5"/>
  <c r="X356" i="5"/>
  <c r="W356" i="5"/>
  <c r="U356" i="5"/>
  <c r="R356" i="5"/>
  <c r="N356" i="5"/>
  <c r="O356" i="5" s="1"/>
  <c r="L356" i="5"/>
  <c r="H356" i="5"/>
  <c r="I356" i="5" s="1"/>
  <c r="F356" i="5"/>
  <c r="C356" i="5"/>
  <c r="AC355" i="5"/>
  <c r="AA355" i="5"/>
  <c r="W355" i="5"/>
  <c r="X355" i="5" s="1"/>
  <c r="U355" i="5"/>
  <c r="R355" i="5"/>
  <c r="O355" i="5"/>
  <c r="N355" i="5"/>
  <c r="L355" i="5"/>
  <c r="I355" i="5"/>
  <c r="H355" i="5"/>
  <c r="F355" i="5"/>
  <c r="C355" i="5"/>
  <c r="AC354" i="5"/>
  <c r="AA354" i="5"/>
  <c r="W354" i="5"/>
  <c r="X354" i="5" s="1"/>
  <c r="U354" i="5"/>
  <c r="R354" i="5"/>
  <c r="O354" i="5"/>
  <c r="N354" i="5"/>
  <c r="L354" i="5"/>
  <c r="I354" i="5"/>
  <c r="H354" i="5"/>
  <c r="F354" i="5"/>
  <c r="C354" i="5"/>
  <c r="AD353" i="5"/>
  <c r="AC353" i="5"/>
  <c r="AA353" i="5"/>
  <c r="X353" i="5"/>
  <c r="W353" i="5"/>
  <c r="U353" i="5"/>
  <c r="R353" i="5"/>
  <c r="O353" i="5"/>
  <c r="N353" i="5"/>
  <c r="L353" i="5"/>
  <c r="H353" i="5"/>
  <c r="I353" i="5" s="1"/>
  <c r="F353" i="5"/>
  <c r="C353" i="5"/>
  <c r="AD352" i="5"/>
  <c r="AC352" i="5"/>
  <c r="AA352" i="5"/>
  <c r="X352" i="5"/>
  <c r="W352" i="5"/>
  <c r="U352" i="5"/>
  <c r="R352" i="5"/>
  <c r="N352" i="5"/>
  <c r="O352" i="5" s="1"/>
  <c r="L352" i="5"/>
  <c r="H352" i="5"/>
  <c r="I352" i="5" s="1"/>
  <c r="F352" i="5"/>
  <c r="C352" i="5"/>
  <c r="AD351" i="5"/>
  <c r="AC351" i="5"/>
  <c r="AA351" i="5"/>
  <c r="X351" i="5"/>
  <c r="W351" i="5"/>
  <c r="U351" i="5"/>
  <c r="R351" i="5"/>
  <c r="N351" i="5"/>
  <c r="O351" i="5" s="1"/>
  <c r="L351" i="5"/>
  <c r="H351" i="5"/>
  <c r="I351" i="5" s="1"/>
  <c r="F351" i="5"/>
  <c r="C351" i="5"/>
  <c r="AC350" i="5"/>
  <c r="AD350" i="5" s="1"/>
  <c r="AA350" i="5"/>
  <c r="W350" i="5"/>
  <c r="X350" i="5" s="1"/>
  <c r="U350" i="5"/>
  <c r="R350" i="5"/>
  <c r="O350" i="5"/>
  <c r="N350" i="5"/>
  <c r="L350" i="5"/>
  <c r="I350" i="5"/>
  <c r="H350" i="5"/>
  <c r="F350" i="5"/>
  <c r="C350" i="5"/>
  <c r="AC349" i="5"/>
  <c r="AD349" i="5" s="1"/>
  <c r="AA349" i="5"/>
  <c r="X349" i="5"/>
  <c r="W349" i="5"/>
  <c r="U349" i="5"/>
  <c r="R349" i="5"/>
  <c r="O349" i="5"/>
  <c r="N349" i="5"/>
  <c r="L349" i="5"/>
  <c r="H349" i="5"/>
  <c r="I349" i="5" s="1"/>
  <c r="F349" i="5"/>
  <c r="C349" i="5"/>
  <c r="AC347" i="5"/>
  <c r="AD347" i="5" s="1"/>
  <c r="AA347" i="5"/>
  <c r="X347" i="5"/>
  <c r="W347" i="5"/>
  <c r="U347" i="5"/>
  <c r="R347" i="5"/>
  <c r="N347" i="5"/>
  <c r="O347" i="5" s="1"/>
  <c r="L347" i="5"/>
  <c r="H347" i="5"/>
  <c r="I347" i="5" s="1"/>
  <c r="F347" i="5"/>
  <c r="C347" i="5"/>
  <c r="Z344" i="5"/>
  <c r="T344" i="5"/>
  <c r="U344" i="5" s="1"/>
  <c r="R344" i="5"/>
  <c r="Q344" i="5"/>
  <c r="N344" i="5"/>
  <c r="O344" i="5" s="1"/>
  <c r="L344" i="5"/>
  <c r="K344" i="5"/>
  <c r="E344" i="5"/>
  <c r="H344" i="5" s="1"/>
  <c r="I344" i="5" s="1"/>
  <c r="B344" i="5"/>
  <c r="C344" i="5" s="1"/>
  <c r="Z343" i="5"/>
  <c r="AA343" i="5" s="1"/>
  <c r="T343" i="5"/>
  <c r="U343" i="5" s="1"/>
  <c r="R343" i="5"/>
  <c r="Q343" i="5"/>
  <c r="L343" i="5"/>
  <c r="K343" i="5"/>
  <c r="F343" i="5"/>
  <c r="E343" i="5"/>
  <c r="B343" i="5"/>
  <c r="AC342" i="5"/>
  <c r="AD342" i="5" s="1"/>
  <c r="Z342" i="5"/>
  <c r="AA342" i="5" s="1"/>
  <c r="T342" i="5"/>
  <c r="U342" i="5" s="1"/>
  <c r="Q342" i="5"/>
  <c r="L342" i="5"/>
  <c r="K342" i="5"/>
  <c r="F342" i="5"/>
  <c r="E342" i="5"/>
  <c r="B342" i="5"/>
  <c r="AC341" i="5"/>
  <c r="AA341" i="5"/>
  <c r="W341" i="5"/>
  <c r="X341" i="5" s="1"/>
  <c r="U341" i="5"/>
  <c r="R341" i="5"/>
  <c r="O341" i="5"/>
  <c r="N341" i="5"/>
  <c r="L341" i="5"/>
  <c r="I341" i="5"/>
  <c r="H341" i="5"/>
  <c r="F341" i="5"/>
  <c r="C341" i="5"/>
  <c r="AC340" i="5"/>
  <c r="AA340" i="5"/>
  <c r="W340" i="5"/>
  <c r="X340" i="5" s="1"/>
  <c r="U340" i="5"/>
  <c r="R340" i="5"/>
  <c r="O340" i="5"/>
  <c r="N340" i="5"/>
  <c r="L340" i="5"/>
  <c r="I340" i="5"/>
  <c r="H340" i="5"/>
  <c r="F340" i="5"/>
  <c r="C340" i="5"/>
  <c r="AD339" i="5"/>
  <c r="AC339" i="5"/>
  <c r="AA339" i="5"/>
  <c r="X339" i="5"/>
  <c r="W339" i="5"/>
  <c r="U339" i="5"/>
  <c r="R339" i="5"/>
  <c r="O339" i="5"/>
  <c r="N339" i="5"/>
  <c r="L339" i="5"/>
  <c r="H339" i="5"/>
  <c r="I339" i="5" s="1"/>
  <c r="F339" i="5"/>
  <c r="C339" i="5"/>
  <c r="AD338" i="5"/>
  <c r="AC338" i="5"/>
  <c r="AA338" i="5"/>
  <c r="X338" i="5"/>
  <c r="W338" i="5"/>
  <c r="U338" i="5"/>
  <c r="R338" i="5"/>
  <c r="N338" i="5"/>
  <c r="O338" i="5" s="1"/>
  <c r="L338" i="5"/>
  <c r="H338" i="5"/>
  <c r="I338" i="5" s="1"/>
  <c r="F338" i="5"/>
  <c r="C338" i="5"/>
  <c r="AD337" i="5"/>
  <c r="AC337" i="5"/>
  <c r="AA337" i="5"/>
  <c r="X337" i="5"/>
  <c r="W337" i="5"/>
  <c r="U337" i="5"/>
  <c r="R337" i="5"/>
  <c r="N337" i="5"/>
  <c r="O337" i="5" s="1"/>
  <c r="L337" i="5"/>
  <c r="H337" i="5"/>
  <c r="I337" i="5" s="1"/>
  <c r="F337" i="5"/>
  <c r="C337" i="5"/>
  <c r="AC335" i="5"/>
  <c r="AD335" i="5" s="1"/>
  <c r="AA335" i="5"/>
  <c r="W335" i="5"/>
  <c r="X335" i="5" s="1"/>
  <c r="U335" i="5"/>
  <c r="R335" i="5"/>
  <c r="O335" i="5"/>
  <c r="N335" i="5"/>
  <c r="L335" i="5"/>
  <c r="I335" i="5"/>
  <c r="H335" i="5"/>
  <c r="F335" i="5"/>
  <c r="C335" i="5"/>
  <c r="AC334" i="5"/>
  <c r="AD334" i="5" s="1"/>
  <c r="AA334" i="5"/>
  <c r="X334" i="5"/>
  <c r="W334" i="5"/>
  <c r="U334" i="5"/>
  <c r="R334" i="5"/>
  <c r="O334" i="5"/>
  <c r="N334" i="5"/>
  <c r="L334" i="5"/>
  <c r="H334" i="5"/>
  <c r="I334" i="5" s="1"/>
  <c r="F334" i="5"/>
  <c r="C334" i="5"/>
  <c r="AC333" i="5"/>
  <c r="AD333" i="5" s="1"/>
  <c r="AA333" i="5"/>
  <c r="X333" i="5"/>
  <c r="W333" i="5"/>
  <c r="U333" i="5"/>
  <c r="R333" i="5"/>
  <c r="N333" i="5"/>
  <c r="O333" i="5" s="1"/>
  <c r="L333" i="5"/>
  <c r="I333" i="5"/>
  <c r="H333" i="5"/>
  <c r="F333" i="5"/>
  <c r="C333" i="5"/>
  <c r="AC332" i="5"/>
  <c r="AA332" i="5"/>
  <c r="W332" i="5"/>
  <c r="X332" i="5" s="1"/>
  <c r="U332" i="5"/>
  <c r="R332" i="5"/>
  <c r="O332" i="5"/>
  <c r="N332" i="5"/>
  <c r="L332" i="5"/>
  <c r="I332" i="5"/>
  <c r="H332" i="5"/>
  <c r="F332" i="5"/>
  <c r="C332" i="5"/>
  <c r="AC331" i="5"/>
  <c r="AA331" i="5"/>
  <c r="W331" i="5"/>
  <c r="X331" i="5" s="1"/>
  <c r="U331" i="5"/>
  <c r="R331" i="5"/>
  <c r="O331" i="5"/>
  <c r="N331" i="5"/>
  <c r="L331" i="5"/>
  <c r="I331" i="5"/>
  <c r="H331" i="5"/>
  <c r="F331" i="5"/>
  <c r="C331" i="5"/>
  <c r="AD330" i="5"/>
  <c r="AC330" i="5"/>
  <c r="AA330" i="5"/>
  <c r="X330" i="5"/>
  <c r="W330" i="5"/>
  <c r="U330" i="5"/>
  <c r="R330" i="5"/>
  <c r="O330" i="5"/>
  <c r="N330" i="5"/>
  <c r="L330" i="5"/>
  <c r="H330" i="5"/>
  <c r="I330" i="5" s="1"/>
  <c r="F330" i="5"/>
  <c r="C330" i="5"/>
  <c r="AD329" i="5"/>
  <c r="AC329" i="5"/>
  <c r="AA329" i="5"/>
  <c r="X329" i="5"/>
  <c r="W329" i="5"/>
  <c r="U329" i="5"/>
  <c r="R329" i="5"/>
  <c r="N329" i="5"/>
  <c r="O329" i="5" s="1"/>
  <c r="L329" i="5"/>
  <c r="H329" i="5"/>
  <c r="I329" i="5" s="1"/>
  <c r="F329" i="5"/>
  <c r="C329" i="5"/>
  <c r="AD328" i="5"/>
  <c r="AC328" i="5"/>
  <c r="AA328" i="5"/>
  <c r="X328" i="5"/>
  <c r="W328" i="5"/>
  <c r="U328" i="5"/>
  <c r="R328" i="5"/>
  <c r="N328" i="5"/>
  <c r="O328" i="5" s="1"/>
  <c r="L328" i="5"/>
  <c r="H328" i="5"/>
  <c r="I328" i="5" s="1"/>
  <c r="F328" i="5"/>
  <c r="C328" i="5"/>
  <c r="AA325" i="5"/>
  <c r="Z325" i="5"/>
  <c r="U325" i="5"/>
  <c r="T325" i="5"/>
  <c r="Q325" i="5"/>
  <c r="K325" i="5"/>
  <c r="L325" i="5" s="1"/>
  <c r="E325" i="5"/>
  <c r="C325" i="5"/>
  <c r="B325" i="5"/>
  <c r="N325" i="5" s="1"/>
  <c r="O325" i="5" s="1"/>
  <c r="AA324" i="5"/>
  <c r="Z324" i="5"/>
  <c r="U324" i="5"/>
  <c r="T324" i="5"/>
  <c r="R324" i="5"/>
  <c r="Q324" i="5"/>
  <c r="AC324" i="5" s="1"/>
  <c r="AD324" i="5" s="1"/>
  <c r="N324" i="5"/>
  <c r="O324" i="5" s="1"/>
  <c r="K324" i="5"/>
  <c r="L324" i="5" s="1"/>
  <c r="F324" i="5"/>
  <c r="E324" i="5"/>
  <c r="C324" i="5"/>
  <c r="B324" i="5"/>
  <c r="H324" i="5" s="1"/>
  <c r="I324" i="5" s="1"/>
  <c r="AC323" i="5"/>
  <c r="AD323" i="5" s="1"/>
  <c r="AA323" i="5"/>
  <c r="W323" i="5"/>
  <c r="X323" i="5" s="1"/>
  <c r="U323" i="5"/>
  <c r="R323" i="5"/>
  <c r="O323" i="5"/>
  <c r="N323" i="5"/>
  <c r="L323" i="5"/>
  <c r="I323" i="5"/>
  <c r="H323" i="5"/>
  <c r="F323" i="5"/>
  <c r="C323" i="5"/>
  <c r="AD322" i="5"/>
  <c r="AC322" i="5"/>
  <c r="AA322" i="5"/>
  <c r="X322" i="5"/>
  <c r="W322" i="5"/>
  <c r="U322" i="5"/>
  <c r="R322" i="5"/>
  <c r="N322" i="5"/>
  <c r="O322" i="5" s="1"/>
  <c r="L322" i="5"/>
  <c r="H322" i="5"/>
  <c r="I322" i="5" s="1"/>
  <c r="F322" i="5"/>
  <c r="C322" i="5"/>
  <c r="AD321" i="5"/>
  <c r="AC321" i="5"/>
  <c r="AA321" i="5"/>
  <c r="X321" i="5"/>
  <c r="W321" i="5"/>
  <c r="U321" i="5"/>
  <c r="R321" i="5"/>
  <c r="N321" i="5"/>
  <c r="O321" i="5" s="1"/>
  <c r="L321" i="5"/>
  <c r="I321" i="5"/>
  <c r="H321" i="5"/>
  <c r="F321" i="5"/>
  <c r="C321" i="5"/>
  <c r="AD320" i="5"/>
  <c r="AC320" i="5"/>
  <c r="AA320" i="5"/>
  <c r="X320" i="5"/>
  <c r="W320" i="5"/>
  <c r="U320" i="5"/>
  <c r="R320" i="5"/>
  <c r="N320" i="5"/>
  <c r="O320" i="5" s="1"/>
  <c r="L320" i="5"/>
  <c r="H320" i="5"/>
  <c r="I320" i="5" s="1"/>
  <c r="F320" i="5"/>
  <c r="C320" i="5"/>
  <c r="AC319" i="5"/>
  <c r="AD319" i="5" s="1"/>
  <c r="AA319" i="5"/>
  <c r="W319" i="5"/>
  <c r="X319" i="5" s="1"/>
  <c r="U319" i="5"/>
  <c r="R319" i="5"/>
  <c r="O319" i="5"/>
  <c r="N319" i="5"/>
  <c r="L319" i="5"/>
  <c r="I319" i="5"/>
  <c r="H319" i="5"/>
  <c r="F319" i="5"/>
  <c r="C319" i="5"/>
  <c r="AC318" i="5"/>
  <c r="AD318" i="5" s="1"/>
  <c r="AA318" i="5"/>
  <c r="W318" i="5"/>
  <c r="X318" i="5" s="1"/>
  <c r="U318" i="5"/>
  <c r="R318" i="5"/>
  <c r="O318" i="5"/>
  <c r="N318" i="5"/>
  <c r="L318" i="5"/>
  <c r="H318" i="5"/>
  <c r="I318" i="5" s="1"/>
  <c r="F318" i="5"/>
  <c r="C318" i="5"/>
  <c r="AC317" i="5"/>
  <c r="AD317" i="5" s="1"/>
  <c r="AA317" i="5"/>
  <c r="X317" i="5"/>
  <c r="W317" i="5"/>
  <c r="U317" i="5"/>
  <c r="R317" i="5"/>
  <c r="N317" i="5"/>
  <c r="O317" i="5" s="1"/>
  <c r="L317" i="5"/>
  <c r="I317" i="5"/>
  <c r="H317" i="5"/>
  <c r="F317" i="5"/>
  <c r="C317" i="5"/>
  <c r="AD316" i="5"/>
  <c r="AC316" i="5"/>
  <c r="AA316" i="5"/>
  <c r="W316" i="5"/>
  <c r="X316" i="5" s="1"/>
  <c r="U316" i="5"/>
  <c r="R316" i="5"/>
  <c r="O316" i="5"/>
  <c r="N316" i="5"/>
  <c r="L316" i="5"/>
  <c r="I316" i="5"/>
  <c r="H316" i="5"/>
  <c r="F316" i="5"/>
  <c r="C316" i="5"/>
  <c r="AC315" i="5"/>
  <c r="AD315" i="5" s="1"/>
  <c r="AA315" i="5"/>
  <c r="W315" i="5"/>
  <c r="X315" i="5" s="1"/>
  <c r="U315" i="5"/>
  <c r="R315" i="5"/>
  <c r="O315" i="5"/>
  <c r="N315" i="5"/>
  <c r="L315" i="5"/>
  <c r="I315" i="5"/>
  <c r="H315" i="5"/>
  <c r="F315" i="5"/>
  <c r="C315" i="5"/>
  <c r="AD314" i="5"/>
  <c r="AC314" i="5"/>
  <c r="AA314" i="5"/>
  <c r="X314" i="5"/>
  <c r="W314" i="5"/>
  <c r="U314" i="5"/>
  <c r="R314" i="5"/>
  <c r="N314" i="5"/>
  <c r="O314" i="5" s="1"/>
  <c r="L314" i="5"/>
  <c r="H314" i="5"/>
  <c r="I314" i="5" s="1"/>
  <c r="F314" i="5"/>
  <c r="C314" i="5"/>
  <c r="AD313" i="5"/>
  <c r="AC313" i="5"/>
  <c r="AA313" i="5"/>
  <c r="X313" i="5"/>
  <c r="W313" i="5"/>
  <c r="U313" i="5"/>
  <c r="R313" i="5"/>
  <c r="N313" i="5"/>
  <c r="O313" i="5" s="1"/>
  <c r="L313" i="5"/>
  <c r="I313" i="5"/>
  <c r="H313" i="5"/>
  <c r="F313" i="5"/>
  <c r="C313" i="5"/>
  <c r="AD312" i="5"/>
  <c r="AC312" i="5"/>
  <c r="AA312" i="5"/>
  <c r="X312" i="5"/>
  <c r="W312" i="5"/>
  <c r="U312" i="5"/>
  <c r="R312" i="5"/>
  <c r="N312" i="5"/>
  <c r="O312" i="5" s="1"/>
  <c r="L312" i="5"/>
  <c r="H312" i="5"/>
  <c r="I312" i="5" s="1"/>
  <c r="F312" i="5"/>
  <c r="C312" i="5"/>
  <c r="AC311" i="5"/>
  <c r="AD311" i="5" s="1"/>
  <c r="AA311" i="5"/>
  <c r="W311" i="5"/>
  <c r="X311" i="5" s="1"/>
  <c r="U311" i="5"/>
  <c r="R311" i="5"/>
  <c r="O311" i="5"/>
  <c r="N311" i="5"/>
  <c r="L311" i="5"/>
  <c r="I311" i="5"/>
  <c r="H311" i="5"/>
  <c r="F311" i="5"/>
  <c r="C311" i="5"/>
  <c r="AC310" i="5"/>
  <c r="AD310" i="5" s="1"/>
  <c r="AA310" i="5"/>
  <c r="W310" i="5"/>
  <c r="X310" i="5" s="1"/>
  <c r="U310" i="5"/>
  <c r="R310" i="5"/>
  <c r="O310" i="5"/>
  <c r="N310" i="5"/>
  <c r="L310" i="5"/>
  <c r="H310" i="5"/>
  <c r="I310" i="5" s="1"/>
  <c r="F310" i="5"/>
  <c r="C310" i="5"/>
  <c r="AC309" i="5"/>
  <c r="AD309" i="5" s="1"/>
  <c r="AA309" i="5"/>
  <c r="X309" i="5"/>
  <c r="W309" i="5"/>
  <c r="U309" i="5"/>
  <c r="R309" i="5"/>
  <c r="N309" i="5"/>
  <c r="O309" i="5" s="1"/>
  <c r="L309" i="5"/>
  <c r="I309" i="5"/>
  <c r="H309" i="5"/>
  <c r="F309" i="5"/>
  <c r="C309" i="5"/>
  <c r="AD308" i="5"/>
  <c r="AC308" i="5"/>
  <c r="AA308" i="5"/>
  <c r="W308" i="5"/>
  <c r="X308" i="5" s="1"/>
  <c r="U308" i="5"/>
  <c r="R308" i="5"/>
  <c r="O308" i="5"/>
  <c r="N308" i="5"/>
  <c r="L308" i="5"/>
  <c r="I308" i="5"/>
  <c r="H308" i="5"/>
  <c r="F308" i="5"/>
  <c r="C308" i="5"/>
  <c r="AC307" i="5"/>
  <c r="AD307" i="5" s="1"/>
  <c r="AA307" i="5"/>
  <c r="W307" i="5"/>
  <c r="X307" i="5" s="1"/>
  <c r="U307" i="5"/>
  <c r="R307" i="5"/>
  <c r="O307" i="5"/>
  <c r="N307" i="5"/>
  <c r="L307" i="5"/>
  <c r="I307" i="5"/>
  <c r="H307" i="5"/>
  <c r="F307" i="5"/>
  <c r="C307" i="5"/>
  <c r="AD306" i="5"/>
  <c r="AC306" i="5"/>
  <c r="AA306" i="5"/>
  <c r="X306" i="5"/>
  <c r="W306" i="5"/>
  <c r="U306" i="5"/>
  <c r="R306" i="5"/>
  <c r="N306" i="5"/>
  <c r="O306" i="5" s="1"/>
  <c r="L306" i="5"/>
  <c r="H306" i="5"/>
  <c r="I306" i="5" s="1"/>
  <c r="F306" i="5"/>
  <c r="C306" i="5"/>
  <c r="AC305" i="5"/>
  <c r="AD305" i="5" s="1"/>
  <c r="AA305" i="5"/>
  <c r="X305" i="5"/>
  <c r="W305" i="5"/>
  <c r="U305" i="5"/>
  <c r="R305" i="5"/>
  <c r="N305" i="5"/>
  <c r="O305" i="5" s="1"/>
  <c r="L305" i="5"/>
  <c r="I305" i="5"/>
  <c r="H305" i="5"/>
  <c r="F305" i="5"/>
  <c r="C305" i="5"/>
  <c r="AD304" i="5"/>
  <c r="AC304" i="5"/>
  <c r="AA304" i="5"/>
  <c r="W304" i="5"/>
  <c r="X304" i="5" s="1"/>
  <c r="U304" i="5"/>
  <c r="R304" i="5"/>
  <c r="N304" i="5"/>
  <c r="O304" i="5" s="1"/>
  <c r="L304" i="5"/>
  <c r="H304" i="5"/>
  <c r="I304" i="5" s="1"/>
  <c r="F304" i="5"/>
  <c r="C304" i="5"/>
  <c r="AC303" i="5"/>
  <c r="AD303" i="5" s="1"/>
  <c r="AA303" i="5"/>
  <c r="W303" i="5"/>
  <c r="X303" i="5" s="1"/>
  <c r="U303" i="5"/>
  <c r="R303" i="5"/>
  <c r="O303" i="5"/>
  <c r="N303" i="5"/>
  <c r="L303" i="5"/>
  <c r="I303" i="5"/>
  <c r="H303" i="5"/>
  <c r="F303" i="5"/>
  <c r="C303" i="5"/>
  <c r="AC302" i="5"/>
  <c r="AD302" i="5" s="1"/>
  <c r="AA302" i="5"/>
  <c r="W302" i="5"/>
  <c r="X302" i="5" s="1"/>
  <c r="U302" i="5"/>
  <c r="R302" i="5"/>
  <c r="O302" i="5"/>
  <c r="N302" i="5"/>
  <c r="L302" i="5"/>
  <c r="H302" i="5"/>
  <c r="I302" i="5" s="1"/>
  <c r="F302" i="5"/>
  <c r="C302" i="5"/>
  <c r="AC301" i="5"/>
  <c r="AD301" i="5" s="1"/>
  <c r="AA301" i="5"/>
  <c r="X301" i="5"/>
  <c r="W301" i="5"/>
  <c r="U301" i="5"/>
  <c r="R301" i="5"/>
  <c r="N301" i="5"/>
  <c r="O301" i="5" s="1"/>
  <c r="L301" i="5"/>
  <c r="I301" i="5"/>
  <c r="H301" i="5"/>
  <c r="F301" i="5"/>
  <c r="C301" i="5"/>
  <c r="AD300" i="5"/>
  <c r="AC300" i="5"/>
  <c r="AA300" i="5"/>
  <c r="W300" i="5"/>
  <c r="X300" i="5" s="1"/>
  <c r="U300" i="5"/>
  <c r="R300" i="5"/>
  <c r="N300" i="5"/>
  <c r="O300" i="5" s="1"/>
  <c r="L300" i="5"/>
  <c r="I300" i="5"/>
  <c r="H300" i="5"/>
  <c r="F300" i="5"/>
  <c r="C300" i="5"/>
  <c r="AC299" i="5"/>
  <c r="AD299" i="5" s="1"/>
  <c r="AA299" i="5"/>
  <c r="W299" i="5"/>
  <c r="X299" i="5" s="1"/>
  <c r="U299" i="5"/>
  <c r="R299" i="5"/>
  <c r="O299" i="5"/>
  <c r="N299" i="5"/>
  <c r="L299" i="5"/>
  <c r="I299" i="5"/>
  <c r="H299" i="5"/>
  <c r="F299" i="5"/>
  <c r="C299" i="5"/>
  <c r="AD298" i="5"/>
  <c r="AC298" i="5"/>
  <c r="AA298" i="5"/>
  <c r="X298" i="5"/>
  <c r="W298" i="5"/>
  <c r="U298" i="5"/>
  <c r="R298" i="5"/>
  <c r="N298" i="5"/>
  <c r="O298" i="5" s="1"/>
  <c r="L298" i="5"/>
  <c r="H298" i="5"/>
  <c r="I298" i="5" s="1"/>
  <c r="F298" i="5"/>
  <c r="C298" i="5"/>
  <c r="AC297" i="5"/>
  <c r="AD297" i="5" s="1"/>
  <c r="AA297" i="5"/>
  <c r="X297" i="5"/>
  <c r="W297" i="5"/>
  <c r="U297" i="5"/>
  <c r="R297" i="5"/>
  <c r="N297" i="5"/>
  <c r="O297" i="5" s="1"/>
  <c r="L297" i="5"/>
  <c r="I297" i="5"/>
  <c r="H297" i="5"/>
  <c r="F297" i="5"/>
  <c r="C297" i="5"/>
  <c r="AA295" i="5"/>
  <c r="Z295" i="5"/>
  <c r="W295" i="5"/>
  <c r="X295" i="5" s="1"/>
  <c r="T295" i="5"/>
  <c r="U295" i="5" s="1"/>
  <c r="R295" i="5"/>
  <c r="Q295" i="5"/>
  <c r="K295" i="5"/>
  <c r="L295" i="5" s="1"/>
  <c r="F295" i="5"/>
  <c r="E295" i="5"/>
  <c r="B295" i="5"/>
  <c r="AD294" i="5"/>
  <c r="AC294" i="5"/>
  <c r="AA294" i="5"/>
  <c r="X294" i="5"/>
  <c r="W294" i="5"/>
  <c r="U294" i="5"/>
  <c r="R294" i="5"/>
  <c r="O294" i="5"/>
  <c r="N294" i="5"/>
  <c r="L294" i="5"/>
  <c r="H294" i="5"/>
  <c r="I294" i="5" s="1"/>
  <c r="F294" i="5"/>
  <c r="C294" i="5"/>
  <c r="AD293" i="5"/>
  <c r="AC293" i="5"/>
  <c r="AA293" i="5"/>
  <c r="X293" i="5"/>
  <c r="W293" i="5"/>
  <c r="U293" i="5"/>
  <c r="R293" i="5"/>
  <c r="N293" i="5"/>
  <c r="O293" i="5" s="1"/>
  <c r="L293" i="5"/>
  <c r="H293" i="5"/>
  <c r="I293" i="5" s="1"/>
  <c r="F293" i="5"/>
  <c r="C293" i="5"/>
  <c r="AD292" i="5"/>
  <c r="AC292" i="5"/>
  <c r="AA292" i="5"/>
  <c r="X292" i="5"/>
  <c r="W292" i="5"/>
  <c r="U292" i="5"/>
  <c r="R292" i="5"/>
  <c r="N292" i="5"/>
  <c r="O292" i="5" s="1"/>
  <c r="L292" i="5"/>
  <c r="H292" i="5"/>
  <c r="I292" i="5" s="1"/>
  <c r="F292" i="5"/>
  <c r="C292" i="5"/>
  <c r="AC291" i="5"/>
  <c r="AD291" i="5" s="1"/>
  <c r="AA291" i="5"/>
  <c r="W291" i="5"/>
  <c r="X291" i="5" s="1"/>
  <c r="U291" i="5"/>
  <c r="R291" i="5"/>
  <c r="O291" i="5"/>
  <c r="N291" i="5"/>
  <c r="L291" i="5"/>
  <c r="I291" i="5"/>
  <c r="H291" i="5"/>
  <c r="F291" i="5"/>
  <c r="C291" i="5"/>
  <c r="AC290" i="5"/>
  <c r="AD290" i="5" s="1"/>
  <c r="AA290" i="5"/>
  <c r="X290" i="5"/>
  <c r="W290" i="5"/>
  <c r="U290" i="5"/>
  <c r="R290" i="5"/>
  <c r="O290" i="5"/>
  <c r="N290" i="5"/>
  <c r="L290" i="5"/>
  <c r="H290" i="5"/>
  <c r="I290" i="5" s="1"/>
  <c r="F290" i="5"/>
  <c r="C290" i="5"/>
  <c r="AC289" i="5"/>
  <c r="AD289" i="5" s="1"/>
  <c r="AA289" i="5"/>
  <c r="X289" i="5"/>
  <c r="W289" i="5"/>
  <c r="U289" i="5"/>
  <c r="R289" i="5"/>
  <c r="N289" i="5"/>
  <c r="O289" i="5" s="1"/>
  <c r="L289" i="5"/>
  <c r="H289" i="5"/>
  <c r="I289" i="5" s="1"/>
  <c r="F289" i="5"/>
  <c r="C289" i="5"/>
  <c r="AC288" i="5"/>
  <c r="AA288" i="5"/>
  <c r="W288" i="5"/>
  <c r="X288" i="5" s="1"/>
  <c r="U288" i="5"/>
  <c r="R288" i="5"/>
  <c r="O288" i="5"/>
  <c r="N288" i="5"/>
  <c r="L288" i="5"/>
  <c r="I288" i="5"/>
  <c r="H288" i="5"/>
  <c r="F288" i="5"/>
  <c r="C288" i="5"/>
  <c r="AC287" i="5"/>
  <c r="AA287" i="5"/>
  <c r="W287" i="5"/>
  <c r="X287" i="5" s="1"/>
  <c r="U287" i="5"/>
  <c r="R287" i="5"/>
  <c r="O287" i="5"/>
  <c r="N287" i="5"/>
  <c r="L287" i="5"/>
  <c r="I287" i="5"/>
  <c r="H287" i="5"/>
  <c r="F287" i="5"/>
  <c r="C287" i="5"/>
  <c r="AD286" i="5"/>
  <c r="AC286" i="5"/>
  <c r="AA286" i="5"/>
  <c r="X286" i="5"/>
  <c r="W286" i="5"/>
  <c r="U286" i="5"/>
  <c r="R286" i="5"/>
  <c r="O286" i="5"/>
  <c r="N286" i="5"/>
  <c r="L286" i="5"/>
  <c r="H286" i="5"/>
  <c r="I286" i="5" s="1"/>
  <c r="F286" i="5"/>
  <c r="C286" i="5"/>
  <c r="AA284" i="5"/>
  <c r="Z284" i="5"/>
  <c r="U284" i="5"/>
  <c r="T284" i="5"/>
  <c r="Q284" i="5"/>
  <c r="N284" i="5"/>
  <c r="O284" i="5" s="1"/>
  <c r="K284" i="5"/>
  <c r="L284" i="5" s="1"/>
  <c r="E284" i="5"/>
  <c r="F284" i="5" s="1"/>
  <c r="B284" i="5"/>
  <c r="AC283" i="5"/>
  <c r="AA283" i="5"/>
  <c r="W283" i="5"/>
  <c r="X283" i="5" s="1"/>
  <c r="U283" i="5"/>
  <c r="R283" i="5"/>
  <c r="O283" i="5"/>
  <c r="N283" i="5"/>
  <c r="L283" i="5"/>
  <c r="I283" i="5"/>
  <c r="H283" i="5"/>
  <c r="F283" i="5"/>
  <c r="C283" i="5"/>
  <c r="AC282" i="5"/>
  <c r="AD282" i="5" s="1"/>
  <c r="AA282" i="5"/>
  <c r="X282" i="5"/>
  <c r="W282" i="5"/>
  <c r="U282" i="5"/>
  <c r="R282" i="5"/>
  <c r="N282" i="5"/>
  <c r="O282" i="5" s="1"/>
  <c r="L282" i="5"/>
  <c r="H282" i="5"/>
  <c r="I282" i="5" s="1"/>
  <c r="F282" i="5"/>
  <c r="C282" i="5"/>
  <c r="AD281" i="5"/>
  <c r="AC281" i="5"/>
  <c r="AA281" i="5"/>
  <c r="X281" i="5"/>
  <c r="W281" i="5"/>
  <c r="U281" i="5"/>
  <c r="R281" i="5"/>
  <c r="N281" i="5"/>
  <c r="O281" i="5" s="1"/>
  <c r="L281" i="5"/>
  <c r="I281" i="5"/>
  <c r="H281" i="5"/>
  <c r="F281" i="5"/>
  <c r="C281" i="5"/>
  <c r="AC280" i="5"/>
  <c r="AA280" i="5"/>
  <c r="X280" i="5"/>
  <c r="W280" i="5"/>
  <c r="U280" i="5"/>
  <c r="R280" i="5"/>
  <c r="O280" i="5"/>
  <c r="N280" i="5"/>
  <c r="L280" i="5"/>
  <c r="H280" i="5"/>
  <c r="I280" i="5" s="1"/>
  <c r="F280" i="5"/>
  <c r="C280" i="5"/>
  <c r="AC279" i="5"/>
  <c r="AD279" i="5" s="1"/>
  <c r="AA279" i="5"/>
  <c r="W279" i="5"/>
  <c r="X279" i="5" s="1"/>
  <c r="U279" i="5"/>
  <c r="R279" i="5"/>
  <c r="O279" i="5"/>
  <c r="N279" i="5"/>
  <c r="L279" i="5"/>
  <c r="I279" i="5"/>
  <c r="H279" i="5"/>
  <c r="F279" i="5"/>
  <c r="C279" i="5"/>
  <c r="AC278" i="5"/>
  <c r="AD278" i="5" s="1"/>
  <c r="AA278" i="5"/>
  <c r="W278" i="5"/>
  <c r="X278" i="5" s="1"/>
  <c r="U278" i="5"/>
  <c r="R278" i="5"/>
  <c r="O278" i="5"/>
  <c r="N278" i="5"/>
  <c r="L278" i="5"/>
  <c r="H278" i="5"/>
  <c r="I278" i="5" s="1"/>
  <c r="F278" i="5"/>
  <c r="C278" i="5"/>
  <c r="AD277" i="5"/>
  <c r="AC277" i="5"/>
  <c r="AA277" i="5"/>
  <c r="X277" i="5"/>
  <c r="W277" i="5"/>
  <c r="U277" i="5"/>
  <c r="R277" i="5"/>
  <c r="N277" i="5"/>
  <c r="O277" i="5" s="1"/>
  <c r="L277" i="5"/>
  <c r="H277" i="5"/>
  <c r="I277" i="5" s="1"/>
  <c r="F277" i="5"/>
  <c r="C277" i="5"/>
  <c r="AD276" i="5"/>
  <c r="AC276" i="5"/>
  <c r="AA276" i="5"/>
  <c r="X276" i="5"/>
  <c r="W276" i="5"/>
  <c r="U276" i="5"/>
  <c r="R276" i="5"/>
  <c r="O276" i="5"/>
  <c r="N276" i="5"/>
  <c r="L276" i="5"/>
  <c r="I276" i="5"/>
  <c r="H276" i="5"/>
  <c r="F276" i="5"/>
  <c r="C276" i="5"/>
  <c r="AC275" i="5"/>
  <c r="AA275" i="5"/>
  <c r="W275" i="5"/>
  <c r="X275" i="5" s="1"/>
  <c r="U275" i="5"/>
  <c r="R275" i="5"/>
  <c r="O275" i="5"/>
  <c r="N275" i="5"/>
  <c r="L275" i="5"/>
  <c r="H275" i="5"/>
  <c r="I275" i="5" s="1"/>
  <c r="F275" i="5"/>
  <c r="C275" i="5"/>
  <c r="Z273" i="5"/>
  <c r="AA273" i="5" s="1"/>
  <c r="X273" i="5"/>
  <c r="U273" i="5"/>
  <c r="T273" i="5"/>
  <c r="Q273" i="5"/>
  <c r="W273" i="5" s="1"/>
  <c r="K273" i="5"/>
  <c r="L273" i="5" s="1"/>
  <c r="H273" i="5"/>
  <c r="I273" i="5" s="1"/>
  <c r="F273" i="5"/>
  <c r="E273" i="5"/>
  <c r="B273" i="5"/>
  <c r="C273" i="5" s="1"/>
  <c r="AD272" i="5"/>
  <c r="AC272" i="5"/>
  <c r="AA272" i="5"/>
  <c r="W272" i="5"/>
  <c r="X272" i="5" s="1"/>
  <c r="U272" i="5"/>
  <c r="R272" i="5"/>
  <c r="N272" i="5"/>
  <c r="O272" i="5" s="1"/>
  <c r="L272" i="5"/>
  <c r="I272" i="5"/>
  <c r="H272" i="5"/>
  <c r="F272" i="5"/>
  <c r="C272" i="5"/>
  <c r="AC271" i="5"/>
  <c r="AD271" i="5" s="1"/>
  <c r="AA271" i="5"/>
  <c r="W271" i="5"/>
  <c r="X271" i="5" s="1"/>
  <c r="U271" i="5"/>
  <c r="R271" i="5"/>
  <c r="O271" i="5"/>
  <c r="N271" i="5"/>
  <c r="L271" i="5"/>
  <c r="I271" i="5"/>
  <c r="H271" i="5"/>
  <c r="F271" i="5"/>
  <c r="C271" i="5"/>
  <c r="AD270" i="5"/>
  <c r="AC270" i="5"/>
  <c r="AA270" i="5"/>
  <c r="W270" i="5"/>
  <c r="X270" i="5" s="1"/>
  <c r="U270" i="5"/>
  <c r="R270" i="5"/>
  <c r="N270" i="5"/>
  <c r="O270" i="5" s="1"/>
  <c r="L270" i="5"/>
  <c r="H270" i="5"/>
  <c r="I270" i="5" s="1"/>
  <c r="F270" i="5"/>
  <c r="C270" i="5"/>
  <c r="AD269" i="5"/>
  <c r="AC269" i="5"/>
  <c r="AA269" i="5"/>
  <c r="X269" i="5"/>
  <c r="W269" i="5"/>
  <c r="U269" i="5"/>
  <c r="R269" i="5"/>
  <c r="N269" i="5"/>
  <c r="O269" i="5" s="1"/>
  <c r="L269" i="5"/>
  <c r="I269" i="5"/>
  <c r="H269" i="5"/>
  <c r="F269" i="5"/>
  <c r="C269" i="5"/>
  <c r="AA267" i="5"/>
  <c r="Z267" i="5"/>
  <c r="X267" i="5"/>
  <c r="W267" i="5"/>
  <c r="T267" i="5"/>
  <c r="U267" i="5" s="1"/>
  <c r="R267" i="5"/>
  <c r="Q267" i="5"/>
  <c r="AC267" i="5" s="1"/>
  <c r="AD267" i="5" s="1"/>
  <c r="L267" i="5"/>
  <c r="K267" i="5"/>
  <c r="H267" i="5"/>
  <c r="I267" i="5" s="1"/>
  <c r="F267" i="5"/>
  <c r="E267" i="5"/>
  <c r="C267" i="5"/>
  <c r="B267" i="5"/>
  <c r="N267" i="5" s="1"/>
  <c r="O267" i="5" s="1"/>
  <c r="AC266" i="5"/>
  <c r="AD266" i="5" s="1"/>
  <c r="AA266" i="5"/>
  <c r="X266" i="5"/>
  <c r="W266" i="5"/>
  <c r="U266" i="5"/>
  <c r="R266" i="5"/>
  <c r="N266" i="5"/>
  <c r="O266" i="5" s="1"/>
  <c r="L266" i="5"/>
  <c r="H266" i="5"/>
  <c r="I266" i="5" s="1"/>
  <c r="F266" i="5"/>
  <c r="C266" i="5"/>
  <c r="AD265" i="5"/>
  <c r="AC265" i="5"/>
  <c r="AA265" i="5"/>
  <c r="X265" i="5"/>
  <c r="W265" i="5"/>
  <c r="U265" i="5"/>
  <c r="R265" i="5"/>
  <c r="N265" i="5"/>
  <c r="O265" i="5" s="1"/>
  <c r="L265" i="5"/>
  <c r="I265" i="5"/>
  <c r="H265" i="5"/>
  <c r="F265" i="5"/>
  <c r="C265" i="5"/>
  <c r="AA263" i="5"/>
  <c r="Z263" i="5"/>
  <c r="T263" i="5"/>
  <c r="U263" i="5" s="1"/>
  <c r="R263" i="5"/>
  <c r="Q263" i="5"/>
  <c r="AC263" i="5" s="1"/>
  <c r="AD263" i="5" s="1"/>
  <c r="L263" i="5"/>
  <c r="K263" i="5"/>
  <c r="H263" i="5"/>
  <c r="I263" i="5" s="1"/>
  <c r="F263" i="5"/>
  <c r="E263" i="5"/>
  <c r="C263" i="5"/>
  <c r="B263" i="5"/>
  <c r="N263" i="5" s="1"/>
  <c r="O263" i="5" s="1"/>
  <c r="AC262" i="5"/>
  <c r="AD262" i="5" s="1"/>
  <c r="Z262" i="5"/>
  <c r="AA262" i="5" s="1"/>
  <c r="U262" i="5"/>
  <c r="T262" i="5"/>
  <c r="R262" i="5"/>
  <c r="Q262" i="5"/>
  <c r="W262" i="5" s="1"/>
  <c r="X262" i="5" s="1"/>
  <c r="N262" i="5"/>
  <c r="O262" i="5" s="1"/>
  <c r="L262" i="5"/>
  <c r="K262" i="5"/>
  <c r="F262" i="5"/>
  <c r="E262" i="5"/>
  <c r="B262" i="5"/>
  <c r="AD261" i="5"/>
  <c r="AC261" i="5"/>
  <c r="AA261" i="5"/>
  <c r="W261" i="5"/>
  <c r="X261" i="5" s="1"/>
  <c r="U261" i="5"/>
  <c r="R261" i="5"/>
  <c r="N261" i="5"/>
  <c r="O261" i="5" s="1"/>
  <c r="L261" i="5"/>
  <c r="I261" i="5"/>
  <c r="H261" i="5"/>
  <c r="F261" i="5"/>
  <c r="C261" i="5"/>
  <c r="AC260" i="5"/>
  <c r="AD260" i="5" s="1"/>
  <c r="AA260" i="5"/>
  <c r="W260" i="5"/>
  <c r="X260" i="5" s="1"/>
  <c r="U260" i="5"/>
  <c r="R260" i="5"/>
  <c r="N260" i="5"/>
  <c r="O260" i="5" s="1"/>
  <c r="L260" i="5"/>
  <c r="I260" i="5"/>
  <c r="H260" i="5"/>
  <c r="F260" i="5"/>
  <c r="C260" i="5"/>
  <c r="AD259" i="5"/>
  <c r="AC259" i="5"/>
  <c r="AA259" i="5"/>
  <c r="W259" i="5"/>
  <c r="X259" i="5" s="1"/>
  <c r="U259" i="5"/>
  <c r="R259" i="5"/>
  <c r="N259" i="5"/>
  <c r="O259" i="5" s="1"/>
  <c r="L259" i="5"/>
  <c r="H259" i="5"/>
  <c r="I259" i="5" s="1"/>
  <c r="F259" i="5"/>
  <c r="C259" i="5"/>
  <c r="AD258" i="5"/>
  <c r="AC258" i="5"/>
  <c r="AA258" i="5"/>
  <c r="X258" i="5"/>
  <c r="W258" i="5"/>
  <c r="U258" i="5"/>
  <c r="R258" i="5"/>
  <c r="N258" i="5"/>
  <c r="O258" i="5" s="1"/>
  <c r="L258" i="5"/>
  <c r="I258" i="5"/>
  <c r="H258" i="5"/>
  <c r="F258" i="5"/>
  <c r="C258" i="5"/>
  <c r="AD257" i="5"/>
  <c r="AC257" i="5"/>
  <c r="AA257" i="5"/>
  <c r="W257" i="5"/>
  <c r="X257" i="5" s="1"/>
  <c r="U257" i="5"/>
  <c r="R257" i="5"/>
  <c r="O257" i="5"/>
  <c r="N257" i="5"/>
  <c r="L257" i="5"/>
  <c r="I257" i="5"/>
  <c r="H257" i="5"/>
  <c r="F257" i="5"/>
  <c r="C257" i="5"/>
  <c r="AC256" i="5"/>
  <c r="AD256" i="5" s="1"/>
  <c r="AA256" i="5"/>
  <c r="W256" i="5"/>
  <c r="X256" i="5" s="1"/>
  <c r="U256" i="5"/>
  <c r="R256" i="5"/>
  <c r="N256" i="5"/>
  <c r="O256" i="5" s="1"/>
  <c r="L256" i="5"/>
  <c r="I256" i="5"/>
  <c r="H256" i="5"/>
  <c r="F256" i="5"/>
  <c r="C256" i="5"/>
  <c r="AD255" i="5"/>
  <c r="AC255" i="5"/>
  <c r="AA255" i="5"/>
  <c r="W255" i="5"/>
  <c r="X255" i="5" s="1"/>
  <c r="U255" i="5"/>
  <c r="R255" i="5"/>
  <c r="N255" i="5"/>
  <c r="O255" i="5" s="1"/>
  <c r="L255" i="5"/>
  <c r="H255" i="5"/>
  <c r="I255" i="5" s="1"/>
  <c r="F255" i="5"/>
  <c r="C255" i="5"/>
  <c r="AD254" i="5"/>
  <c r="AC254" i="5"/>
  <c r="AA254" i="5"/>
  <c r="X254" i="5"/>
  <c r="W254" i="5"/>
  <c r="U254" i="5"/>
  <c r="R254" i="5"/>
  <c r="N254" i="5"/>
  <c r="O254" i="5" s="1"/>
  <c r="L254" i="5"/>
  <c r="I254" i="5"/>
  <c r="H254" i="5"/>
  <c r="F254" i="5"/>
  <c r="C254" i="5"/>
  <c r="AD253" i="5"/>
  <c r="AC253" i="5"/>
  <c r="AA253" i="5"/>
  <c r="W253" i="5"/>
  <c r="X253" i="5" s="1"/>
  <c r="U253" i="5"/>
  <c r="R253" i="5"/>
  <c r="O253" i="5"/>
  <c r="N253" i="5"/>
  <c r="L253" i="5"/>
  <c r="I253" i="5"/>
  <c r="H253" i="5"/>
  <c r="F253" i="5"/>
  <c r="C253" i="5"/>
  <c r="AC252" i="5"/>
  <c r="AD252" i="5" s="1"/>
  <c r="AA252" i="5"/>
  <c r="W252" i="5"/>
  <c r="X252" i="5" s="1"/>
  <c r="U252" i="5"/>
  <c r="R252" i="5"/>
  <c r="N252" i="5"/>
  <c r="O252" i="5" s="1"/>
  <c r="L252" i="5"/>
  <c r="I252" i="5"/>
  <c r="H252" i="5"/>
  <c r="F252" i="5"/>
  <c r="C252" i="5"/>
  <c r="AD251" i="5"/>
  <c r="AC251" i="5"/>
  <c r="AA251" i="5"/>
  <c r="W251" i="5"/>
  <c r="X251" i="5" s="1"/>
  <c r="U251" i="5"/>
  <c r="R251" i="5"/>
  <c r="N251" i="5"/>
  <c r="O251" i="5" s="1"/>
  <c r="L251" i="5"/>
  <c r="H251" i="5"/>
  <c r="I251" i="5" s="1"/>
  <c r="F251" i="5"/>
  <c r="C251" i="5"/>
  <c r="AD250" i="5"/>
  <c r="AC250" i="5"/>
  <c r="AA250" i="5"/>
  <c r="X250" i="5"/>
  <c r="W250" i="5"/>
  <c r="U250" i="5"/>
  <c r="R250" i="5"/>
  <c r="N250" i="5"/>
  <c r="O250" i="5" s="1"/>
  <c r="L250" i="5"/>
  <c r="I250" i="5"/>
  <c r="H250" i="5"/>
  <c r="F250" i="5"/>
  <c r="C250" i="5"/>
  <c r="AD249" i="5"/>
  <c r="AC249" i="5"/>
  <c r="AA249" i="5"/>
  <c r="W249" i="5"/>
  <c r="X249" i="5" s="1"/>
  <c r="U249" i="5"/>
  <c r="R249" i="5"/>
  <c r="O249" i="5"/>
  <c r="N249" i="5"/>
  <c r="L249" i="5"/>
  <c r="I249" i="5"/>
  <c r="H249" i="5"/>
  <c r="F249" i="5"/>
  <c r="C249" i="5"/>
  <c r="AC248" i="5"/>
  <c r="AD248" i="5" s="1"/>
  <c r="AA248" i="5"/>
  <c r="W248" i="5"/>
  <c r="X248" i="5" s="1"/>
  <c r="U248" i="5"/>
  <c r="R248" i="5"/>
  <c r="N248" i="5"/>
  <c r="O248" i="5" s="1"/>
  <c r="L248" i="5"/>
  <c r="I248" i="5"/>
  <c r="H248" i="5"/>
  <c r="F248" i="5"/>
  <c r="C248" i="5"/>
  <c r="AD247" i="5"/>
  <c r="AC247" i="5"/>
  <c r="AA247" i="5"/>
  <c r="W247" i="5"/>
  <c r="X247" i="5" s="1"/>
  <c r="U247" i="5"/>
  <c r="R247" i="5"/>
  <c r="N247" i="5"/>
  <c r="O247" i="5" s="1"/>
  <c r="L247" i="5"/>
  <c r="H247" i="5"/>
  <c r="I247" i="5" s="1"/>
  <c r="F247" i="5"/>
  <c r="C247" i="5"/>
  <c r="AD246" i="5"/>
  <c r="AC246" i="5"/>
  <c r="AA246" i="5"/>
  <c r="X246" i="5"/>
  <c r="W246" i="5"/>
  <c r="U246" i="5"/>
  <c r="R246" i="5"/>
  <c r="N246" i="5"/>
  <c r="O246" i="5" s="1"/>
  <c r="L246" i="5"/>
  <c r="I246" i="5"/>
  <c r="H246" i="5"/>
  <c r="F246" i="5"/>
  <c r="C246" i="5"/>
  <c r="AD245" i="5"/>
  <c r="AC245" i="5"/>
  <c r="AA245" i="5"/>
  <c r="W245" i="5"/>
  <c r="X245" i="5" s="1"/>
  <c r="U245" i="5"/>
  <c r="R245" i="5"/>
  <c r="O245" i="5"/>
  <c r="N245" i="5"/>
  <c r="L245" i="5"/>
  <c r="I245" i="5"/>
  <c r="H245" i="5"/>
  <c r="F245" i="5"/>
  <c r="C245" i="5"/>
  <c r="AC244" i="5"/>
  <c r="AD244" i="5" s="1"/>
  <c r="AA244" i="5"/>
  <c r="W244" i="5"/>
  <c r="X244" i="5" s="1"/>
  <c r="U244" i="5"/>
  <c r="R244" i="5"/>
  <c r="N244" i="5"/>
  <c r="O244" i="5" s="1"/>
  <c r="L244" i="5"/>
  <c r="I244" i="5"/>
  <c r="H244" i="5"/>
  <c r="F244" i="5"/>
  <c r="C244" i="5"/>
  <c r="AD243" i="5"/>
  <c r="AC243" i="5"/>
  <c r="AA243" i="5"/>
  <c r="W243" i="5"/>
  <c r="X243" i="5" s="1"/>
  <c r="U243" i="5"/>
  <c r="R243" i="5"/>
  <c r="N243" i="5"/>
  <c r="O243" i="5" s="1"/>
  <c r="L243" i="5"/>
  <c r="H243" i="5"/>
  <c r="I243" i="5" s="1"/>
  <c r="F243" i="5"/>
  <c r="C243" i="5"/>
  <c r="AD242" i="5"/>
  <c r="AC242" i="5"/>
  <c r="AA242" i="5"/>
  <c r="X242" i="5"/>
  <c r="W242" i="5"/>
  <c r="U242" i="5"/>
  <c r="R242" i="5"/>
  <c r="N242" i="5"/>
  <c r="O242" i="5" s="1"/>
  <c r="L242" i="5"/>
  <c r="I242" i="5"/>
  <c r="H242" i="5"/>
  <c r="F242" i="5"/>
  <c r="C242" i="5"/>
  <c r="AD241" i="5"/>
  <c r="AC241" i="5"/>
  <c r="AA241" i="5"/>
  <c r="W241" i="5"/>
  <c r="X241" i="5" s="1"/>
  <c r="U241" i="5"/>
  <c r="R241" i="5"/>
  <c r="O241" i="5"/>
  <c r="N241" i="5"/>
  <c r="L241" i="5"/>
  <c r="I241" i="5"/>
  <c r="H241" i="5"/>
  <c r="F241" i="5"/>
  <c r="C241" i="5"/>
  <c r="AC240" i="5"/>
  <c r="AD240" i="5" s="1"/>
  <c r="AA240" i="5"/>
  <c r="W240" i="5"/>
  <c r="X240" i="5" s="1"/>
  <c r="U240" i="5"/>
  <c r="R240" i="5"/>
  <c r="N240" i="5"/>
  <c r="O240" i="5" s="1"/>
  <c r="L240" i="5"/>
  <c r="I240" i="5"/>
  <c r="H240" i="5"/>
  <c r="F240" i="5"/>
  <c r="C240" i="5"/>
  <c r="AD238" i="5"/>
  <c r="AC238" i="5"/>
  <c r="AA238" i="5"/>
  <c r="W238" i="5"/>
  <c r="X238" i="5" s="1"/>
  <c r="U238" i="5"/>
  <c r="R238" i="5"/>
  <c r="N238" i="5"/>
  <c r="O238" i="5" s="1"/>
  <c r="L238" i="5"/>
  <c r="H238" i="5"/>
  <c r="I238" i="5" s="1"/>
  <c r="F238" i="5"/>
  <c r="C238" i="5"/>
  <c r="AA236" i="5"/>
  <c r="Z236" i="5"/>
  <c r="X236" i="5"/>
  <c r="W236" i="5"/>
  <c r="U236" i="5"/>
  <c r="T236" i="5"/>
  <c r="R236" i="5"/>
  <c r="Q236" i="5"/>
  <c r="AC236" i="5" s="1"/>
  <c r="AD236" i="5" s="1"/>
  <c r="L236" i="5"/>
  <c r="K236" i="5"/>
  <c r="F236" i="5"/>
  <c r="E236" i="5"/>
  <c r="B236" i="5"/>
  <c r="AC235" i="5"/>
  <c r="AD235" i="5" s="1"/>
  <c r="AA235" i="5"/>
  <c r="W235" i="5"/>
  <c r="X235" i="5" s="1"/>
  <c r="U235" i="5"/>
  <c r="R235" i="5"/>
  <c r="N235" i="5"/>
  <c r="O235" i="5" s="1"/>
  <c r="L235" i="5"/>
  <c r="I235" i="5"/>
  <c r="H235" i="5"/>
  <c r="F235" i="5"/>
  <c r="C235" i="5"/>
  <c r="AD234" i="5"/>
  <c r="AC234" i="5"/>
  <c r="AA234" i="5"/>
  <c r="W234" i="5"/>
  <c r="X234" i="5" s="1"/>
  <c r="U234" i="5"/>
  <c r="R234" i="5"/>
  <c r="N234" i="5"/>
  <c r="O234" i="5" s="1"/>
  <c r="L234" i="5"/>
  <c r="H234" i="5"/>
  <c r="I234" i="5" s="1"/>
  <c r="F234" i="5"/>
  <c r="C234" i="5"/>
  <c r="AD233" i="5"/>
  <c r="AC233" i="5"/>
  <c r="AA233" i="5"/>
  <c r="X233" i="5"/>
  <c r="W233" i="5"/>
  <c r="U233" i="5"/>
  <c r="R233" i="5"/>
  <c r="N233" i="5"/>
  <c r="O233" i="5" s="1"/>
  <c r="L233" i="5"/>
  <c r="I233" i="5"/>
  <c r="H233" i="5"/>
  <c r="F233" i="5"/>
  <c r="C233" i="5"/>
  <c r="AD232" i="5"/>
  <c r="AC232" i="5"/>
  <c r="AA232" i="5"/>
  <c r="W232" i="5"/>
  <c r="X232" i="5" s="1"/>
  <c r="U232" i="5"/>
  <c r="R232" i="5"/>
  <c r="O232" i="5"/>
  <c r="N232" i="5"/>
  <c r="L232" i="5"/>
  <c r="I232" i="5"/>
  <c r="H232" i="5"/>
  <c r="F232" i="5"/>
  <c r="C232" i="5"/>
  <c r="AC231" i="5"/>
  <c r="AD231" i="5" s="1"/>
  <c r="AA231" i="5"/>
  <c r="W231" i="5"/>
  <c r="X231" i="5" s="1"/>
  <c r="U231" i="5"/>
  <c r="R231" i="5"/>
  <c r="N231" i="5"/>
  <c r="O231" i="5" s="1"/>
  <c r="L231" i="5"/>
  <c r="I231" i="5"/>
  <c r="H231" i="5"/>
  <c r="F231" i="5"/>
  <c r="C231" i="5"/>
  <c r="AD230" i="5"/>
  <c r="AC230" i="5"/>
  <c r="AA230" i="5"/>
  <c r="W230" i="5"/>
  <c r="X230" i="5" s="1"/>
  <c r="U230" i="5"/>
  <c r="R230" i="5"/>
  <c r="N230" i="5"/>
  <c r="O230" i="5" s="1"/>
  <c r="L230" i="5"/>
  <c r="H230" i="5"/>
  <c r="I230" i="5" s="1"/>
  <c r="F230" i="5"/>
  <c r="C230" i="5"/>
  <c r="AD229" i="5"/>
  <c r="AC229" i="5"/>
  <c r="AA229" i="5"/>
  <c r="X229" i="5"/>
  <c r="W229" i="5"/>
  <c r="U229" i="5"/>
  <c r="R229" i="5"/>
  <c r="N229" i="5"/>
  <c r="O229" i="5" s="1"/>
  <c r="L229" i="5"/>
  <c r="I229" i="5"/>
  <c r="H229" i="5"/>
  <c r="F229" i="5"/>
  <c r="C229" i="5"/>
  <c r="AA227" i="5"/>
  <c r="Z227" i="5"/>
  <c r="W227" i="5"/>
  <c r="X227" i="5" s="1"/>
  <c r="T227" i="5"/>
  <c r="U227" i="5" s="1"/>
  <c r="R227" i="5"/>
  <c r="Q227" i="5"/>
  <c r="AC227" i="5" s="1"/>
  <c r="AD227" i="5" s="1"/>
  <c r="L227" i="5"/>
  <c r="K227" i="5"/>
  <c r="I227" i="5"/>
  <c r="H227" i="5"/>
  <c r="F227" i="5"/>
  <c r="E227" i="5"/>
  <c r="C227" i="5"/>
  <c r="B227" i="5"/>
  <c r="N227" i="5" s="1"/>
  <c r="O227" i="5" s="1"/>
  <c r="AD226" i="5"/>
  <c r="AC226" i="5"/>
  <c r="AA226" i="5"/>
  <c r="W226" i="5"/>
  <c r="X226" i="5" s="1"/>
  <c r="U226" i="5"/>
  <c r="R226" i="5"/>
  <c r="N226" i="5"/>
  <c r="O226" i="5" s="1"/>
  <c r="L226" i="5"/>
  <c r="H226" i="5"/>
  <c r="I226" i="5" s="1"/>
  <c r="F226" i="5"/>
  <c r="C226" i="5"/>
  <c r="AD225" i="5"/>
  <c r="AC225" i="5"/>
  <c r="AA225" i="5"/>
  <c r="X225" i="5"/>
  <c r="W225" i="5"/>
  <c r="U225" i="5"/>
  <c r="R225" i="5"/>
  <c r="N225" i="5"/>
  <c r="O225" i="5" s="1"/>
  <c r="L225" i="5"/>
  <c r="I225" i="5"/>
  <c r="H225" i="5"/>
  <c r="F225" i="5"/>
  <c r="C225" i="5"/>
  <c r="AD224" i="5"/>
  <c r="AC224" i="5"/>
  <c r="AA224" i="5"/>
  <c r="W224" i="5"/>
  <c r="X224" i="5" s="1"/>
  <c r="U224" i="5"/>
  <c r="R224" i="5"/>
  <c r="O224" i="5"/>
  <c r="N224" i="5"/>
  <c r="L224" i="5"/>
  <c r="I224" i="5"/>
  <c r="H224" i="5"/>
  <c r="F224" i="5"/>
  <c r="C224" i="5"/>
  <c r="AC223" i="5"/>
  <c r="AD223" i="5" s="1"/>
  <c r="AA223" i="5"/>
  <c r="W223" i="5"/>
  <c r="X223" i="5" s="1"/>
  <c r="U223" i="5"/>
  <c r="R223" i="5"/>
  <c r="N223" i="5"/>
  <c r="O223" i="5" s="1"/>
  <c r="L223" i="5"/>
  <c r="I223" i="5"/>
  <c r="H223" i="5"/>
  <c r="F223" i="5"/>
  <c r="C223" i="5"/>
  <c r="AC222" i="5"/>
  <c r="AD222" i="5" s="1"/>
  <c r="AA222" i="5"/>
  <c r="W222" i="5"/>
  <c r="X222" i="5" s="1"/>
  <c r="U222" i="5"/>
  <c r="R222" i="5"/>
  <c r="N222" i="5"/>
  <c r="O222" i="5" s="1"/>
  <c r="L222" i="5"/>
  <c r="H222" i="5"/>
  <c r="I222" i="5" s="1"/>
  <c r="F222" i="5"/>
  <c r="C222" i="5"/>
  <c r="AD221" i="5"/>
  <c r="AC221" i="5"/>
  <c r="AA221" i="5"/>
  <c r="W221" i="5"/>
  <c r="X221" i="5" s="1"/>
  <c r="U221" i="5"/>
  <c r="R221" i="5"/>
  <c r="N221" i="5"/>
  <c r="O221" i="5" s="1"/>
  <c r="L221" i="5"/>
  <c r="I221" i="5"/>
  <c r="H221" i="5"/>
  <c r="F221" i="5"/>
  <c r="C221" i="5"/>
  <c r="AD220" i="5"/>
  <c r="AC220" i="5"/>
  <c r="AA220" i="5"/>
  <c r="W220" i="5"/>
  <c r="X220" i="5" s="1"/>
  <c r="U220" i="5"/>
  <c r="R220" i="5"/>
  <c r="N220" i="5"/>
  <c r="O220" i="5" s="1"/>
  <c r="L220" i="5"/>
  <c r="I220" i="5"/>
  <c r="H220" i="5"/>
  <c r="F220" i="5"/>
  <c r="C220" i="5"/>
  <c r="AC219" i="5"/>
  <c r="AD219" i="5" s="1"/>
  <c r="AA219" i="5"/>
  <c r="W219" i="5"/>
  <c r="X219" i="5" s="1"/>
  <c r="U219" i="5"/>
  <c r="R219" i="5"/>
  <c r="N219" i="5"/>
  <c r="O219" i="5" s="1"/>
  <c r="L219" i="5"/>
  <c r="I219" i="5"/>
  <c r="H219" i="5"/>
  <c r="F219" i="5"/>
  <c r="C219" i="5"/>
  <c r="AA218" i="5"/>
  <c r="Z218" i="5"/>
  <c r="U218" i="5"/>
  <c r="T218" i="5"/>
  <c r="Q218" i="5"/>
  <c r="W218" i="5" s="1"/>
  <c r="X218" i="5" s="1"/>
  <c r="N218" i="5"/>
  <c r="O218" i="5" s="1"/>
  <c r="L218" i="5"/>
  <c r="K218" i="5"/>
  <c r="F218" i="5"/>
  <c r="E218" i="5"/>
  <c r="C218" i="5"/>
  <c r="B218" i="5"/>
  <c r="AD217" i="5"/>
  <c r="AC217" i="5"/>
  <c r="AA217" i="5"/>
  <c r="W217" i="5"/>
  <c r="X217" i="5" s="1"/>
  <c r="U217" i="5"/>
  <c r="R217" i="5"/>
  <c r="O217" i="5"/>
  <c r="N217" i="5"/>
  <c r="L217" i="5"/>
  <c r="I217" i="5"/>
  <c r="H217" i="5"/>
  <c r="F217" i="5"/>
  <c r="C217" i="5"/>
  <c r="AC216" i="5"/>
  <c r="AD216" i="5" s="1"/>
  <c r="AA216" i="5"/>
  <c r="W216" i="5"/>
  <c r="X216" i="5" s="1"/>
  <c r="U216" i="5"/>
  <c r="R216" i="5"/>
  <c r="N216" i="5"/>
  <c r="O216" i="5" s="1"/>
  <c r="L216" i="5"/>
  <c r="I216" i="5"/>
  <c r="H216" i="5"/>
  <c r="F216" i="5"/>
  <c r="C216" i="5"/>
  <c r="AC215" i="5"/>
  <c r="AD215" i="5" s="1"/>
  <c r="AA215" i="5"/>
  <c r="W215" i="5"/>
  <c r="X215" i="5" s="1"/>
  <c r="U215" i="5"/>
  <c r="R215" i="5"/>
  <c r="N215" i="5"/>
  <c r="O215" i="5" s="1"/>
  <c r="L215" i="5"/>
  <c r="H215" i="5"/>
  <c r="I215" i="5" s="1"/>
  <c r="F215" i="5"/>
  <c r="C215" i="5"/>
  <c r="AD214" i="5"/>
  <c r="AC214" i="5"/>
  <c r="AA214" i="5"/>
  <c r="W214" i="5"/>
  <c r="X214" i="5" s="1"/>
  <c r="U214" i="5"/>
  <c r="R214" i="5"/>
  <c r="N214" i="5"/>
  <c r="O214" i="5" s="1"/>
  <c r="L214" i="5"/>
  <c r="I214" i="5"/>
  <c r="H214" i="5"/>
  <c r="F214" i="5"/>
  <c r="C214" i="5"/>
  <c r="AD213" i="5"/>
  <c r="AC213" i="5"/>
  <c r="AA213" i="5"/>
  <c r="W213" i="5"/>
  <c r="X213" i="5" s="1"/>
  <c r="U213" i="5"/>
  <c r="R213" i="5"/>
  <c r="N213" i="5"/>
  <c r="O213" i="5" s="1"/>
  <c r="L213" i="5"/>
  <c r="I213" i="5"/>
  <c r="H213" i="5"/>
  <c r="F213" i="5"/>
  <c r="C213" i="5"/>
  <c r="AC211" i="5"/>
  <c r="AD211" i="5" s="1"/>
  <c r="AA211" i="5"/>
  <c r="W211" i="5"/>
  <c r="X211" i="5" s="1"/>
  <c r="U211" i="5"/>
  <c r="R211" i="5"/>
  <c r="N211" i="5"/>
  <c r="O211" i="5" s="1"/>
  <c r="L211" i="5"/>
  <c r="I211" i="5"/>
  <c r="H211" i="5"/>
  <c r="F211" i="5"/>
  <c r="C211" i="5"/>
  <c r="AA209" i="5"/>
  <c r="Z209" i="5"/>
  <c r="U209" i="5"/>
  <c r="T209" i="5"/>
  <c r="Q209" i="5"/>
  <c r="W209" i="5" s="1"/>
  <c r="X209" i="5" s="1"/>
  <c r="N209" i="5"/>
  <c r="O209" i="5" s="1"/>
  <c r="L209" i="5"/>
  <c r="K209" i="5"/>
  <c r="F209" i="5"/>
  <c r="E209" i="5"/>
  <c r="C209" i="5"/>
  <c r="B209" i="5"/>
  <c r="H209" i="5" s="1"/>
  <c r="I209" i="5" s="1"/>
  <c r="AD208" i="5"/>
  <c r="AC208" i="5"/>
  <c r="AA208" i="5"/>
  <c r="W208" i="5"/>
  <c r="X208" i="5" s="1"/>
  <c r="U208" i="5"/>
  <c r="R208" i="5"/>
  <c r="O208" i="5"/>
  <c r="N208" i="5"/>
  <c r="L208" i="5"/>
  <c r="I208" i="5"/>
  <c r="H208" i="5"/>
  <c r="F208" i="5"/>
  <c r="C208" i="5"/>
  <c r="AC207" i="5"/>
  <c r="AD207" i="5" s="1"/>
  <c r="AA207" i="5"/>
  <c r="W207" i="5"/>
  <c r="X207" i="5" s="1"/>
  <c r="U207" i="5"/>
  <c r="R207" i="5"/>
  <c r="N207" i="5"/>
  <c r="O207" i="5" s="1"/>
  <c r="L207" i="5"/>
  <c r="I207" i="5"/>
  <c r="H207" i="5"/>
  <c r="F207" i="5"/>
  <c r="C207" i="5"/>
  <c r="AC206" i="5"/>
  <c r="AD206" i="5" s="1"/>
  <c r="AA206" i="5"/>
  <c r="W206" i="5"/>
  <c r="X206" i="5" s="1"/>
  <c r="U206" i="5"/>
  <c r="R206" i="5"/>
  <c r="N206" i="5"/>
  <c r="O206" i="5" s="1"/>
  <c r="L206" i="5"/>
  <c r="H206" i="5"/>
  <c r="I206" i="5" s="1"/>
  <c r="F206" i="5"/>
  <c r="C206" i="5"/>
  <c r="AD205" i="5"/>
  <c r="AC205" i="5"/>
  <c r="AA205" i="5"/>
  <c r="W205" i="5"/>
  <c r="X205" i="5" s="1"/>
  <c r="U205" i="5"/>
  <c r="R205" i="5"/>
  <c r="N205" i="5"/>
  <c r="O205" i="5" s="1"/>
  <c r="L205" i="5"/>
  <c r="I205" i="5"/>
  <c r="H205" i="5"/>
  <c r="F205" i="5"/>
  <c r="C205" i="5"/>
  <c r="AD204" i="5"/>
  <c r="AC204" i="5"/>
  <c r="AA204" i="5"/>
  <c r="W204" i="5"/>
  <c r="X204" i="5" s="1"/>
  <c r="U204" i="5"/>
  <c r="R204" i="5"/>
  <c r="N204" i="5"/>
  <c r="O204" i="5" s="1"/>
  <c r="L204" i="5"/>
  <c r="I204" i="5"/>
  <c r="H204" i="5"/>
  <c r="F204" i="5"/>
  <c r="C204" i="5"/>
  <c r="AC203" i="5"/>
  <c r="AD203" i="5" s="1"/>
  <c r="AA203" i="5"/>
  <c r="W203" i="5"/>
  <c r="X203" i="5" s="1"/>
  <c r="U203" i="5"/>
  <c r="R203" i="5"/>
  <c r="N203" i="5"/>
  <c r="O203" i="5" s="1"/>
  <c r="L203" i="5"/>
  <c r="I203" i="5"/>
  <c r="H203" i="5"/>
  <c r="F203" i="5"/>
  <c r="C203" i="5"/>
  <c r="AD202" i="5"/>
  <c r="AC202" i="5"/>
  <c r="AA202" i="5"/>
  <c r="W202" i="5"/>
  <c r="X202" i="5" s="1"/>
  <c r="U202" i="5"/>
  <c r="R202" i="5"/>
  <c r="N202" i="5"/>
  <c r="O202" i="5" s="1"/>
  <c r="L202" i="5"/>
  <c r="H202" i="5"/>
  <c r="I202" i="5" s="1"/>
  <c r="F202" i="5"/>
  <c r="C202" i="5"/>
  <c r="AD201" i="5"/>
  <c r="AC201" i="5"/>
  <c r="AA201" i="5"/>
  <c r="X201" i="5"/>
  <c r="W201" i="5"/>
  <c r="U201" i="5"/>
  <c r="R201" i="5"/>
  <c r="N201" i="5"/>
  <c r="O201" i="5" s="1"/>
  <c r="L201" i="5"/>
  <c r="I201" i="5"/>
  <c r="H201" i="5"/>
  <c r="F201" i="5"/>
  <c r="C201" i="5"/>
  <c r="AA197" i="5"/>
  <c r="Z197" i="5"/>
  <c r="U197" i="5"/>
  <c r="T197" i="5"/>
  <c r="Q197" i="5"/>
  <c r="W197" i="5" s="1"/>
  <c r="X197" i="5" s="1"/>
  <c r="N197" i="5"/>
  <c r="O197" i="5" s="1"/>
  <c r="L197" i="5"/>
  <c r="K197" i="5"/>
  <c r="F197" i="5"/>
  <c r="E197" i="5"/>
  <c r="C197" i="5"/>
  <c r="B197" i="5"/>
  <c r="H197" i="5" s="1"/>
  <c r="I197" i="5" s="1"/>
  <c r="AA196" i="5"/>
  <c r="Z196" i="5"/>
  <c r="T196" i="5"/>
  <c r="W196" i="5" s="1"/>
  <c r="X196" i="5" s="1"/>
  <c r="R196" i="5"/>
  <c r="Q196" i="5"/>
  <c r="AC196" i="5" s="1"/>
  <c r="AD196" i="5" s="1"/>
  <c r="K196" i="5"/>
  <c r="L196" i="5" s="1"/>
  <c r="I196" i="5"/>
  <c r="H196" i="5"/>
  <c r="F196" i="5"/>
  <c r="E196" i="5"/>
  <c r="C196" i="5"/>
  <c r="B196" i="5"/>
  <c r="AC195" i="5"/>
  <c r="AD195" i="5" s="1"/>
  <c r="AA195" i="5"/>
  <c r="W195" i="5"/>
  <c r="X195" i="5" s="1"/>
  <c r="U195" i="5"/>
  <c r="R195" i="5"/>
  <c r="N195" i="5"/>
  <c r="O195" i="5" s="1"/>
  <c r="L195" i="5"/>
  <c r="H195" i="5"/>
  <c r="I195" i="5" s="1"/>
  <c r="F195" i="5"/>
  <c r="C195" i="5"/>
  <c r="AD194" i="5"/>
  <c r="AC194" i="5"/>
  <c r="AA194" i="5"/>
  <c r="W194" i="5"/>
  <c r="X194" i="5" s="1"/>
  <c r="U194" i="5"/>
  <c r="R194" i="5"/>
  <c r="N194" i="5"/>
  <c r="O194" i="5" s="1"/>
  <c r="L194" i="5"/>
  <c r="I194" i="5"/>
  <c r="H194" i="5"/>
  <c r="F194" i="5"/>
  <c r="C194" i="5"/>
  <c r="AA193" i="5"/>
  <c r="Z193" i="5"/>
  <c r="W193" i="5"/>
  <c r="X193" i="5" s="1"/>
  <c r="T193" i="5"/>
  <c r="U193" i="5" s="1"/>
  <c r="R193" i="5"/>
  <c r="Q193" i="5"/>
  <c r="AC193" i="5" s="1"/>
  <c r="AD193" i="5" s="1"/>
  <c r="L193" i="5"/>
  <c r="K193" i="5"/>
  <c r="I193" i="5"/>
  <c r="H193" i="5"/>
  <c r="F193" i="5"/>
  <c r="E193" i="5"/>
  <c r="C193" i="5"/>
  <c r="B193" i="5"/>
  <c r="N193" i="5" s="1"/>
  <c r="O193" i="5" s="1"/>
  <c r="AD192" i="5"/>
  <c r="AC192" i="5"/>
  <c r="AA192" i="5"/>
  <c r="W192" i="5"/>
  <c r="X192" i="5" s="1"/>
  <c r="U192" i="5"/>
  <c r="R192" i="5"/>
  <c r="N192" i="5"/>
  <c r="O192" i="5" s="1"/>
  <c r="L192" i="5"/>
  <c r="H192" i="5"/>
  <c r="I192" i="5" s="1"/>
  <c r="F192" i="5"/>
  <c r="C192" i="5"/>
  <c r="AD191" i="5"/>
  <c r="AC191" i="5"/>
  <c r="AA191" i="5"/>
  <c r="X191" i="5"/>
  <c r="W191" i="5"/>
  <c r="U191" i="5"/>
  <c r="R191" i="5"/>
  <c r="N191" i="5"/>
  <c r="O191" i="5" s="1"/>
  <c r="L191" i="5"/>
  <c r="I191" i="5"/>
  <c r="H191" i="5"/>
  <c r="F191" i="5"/>
  <c r="C191" i="5"/>
  <c r="AD190" i="5"/>
  <c r="AC190" i="5"/>
  <c r="AA190" i="5"/>
  <c r="W190" i="5"/>
  <c r="X190" i="5" s="1"/>
  <c r="U190" i="5"/>
  <c r="R190" i="5"/>
  <c r="O190" i="5"/>
  <c r="N190" i="5"/>
  <c r="L190" i="5"/>
  <c r="I190" i="5"/>
  <c r="H190" i="5"/>
  <c r="F190" i="5"/>
  <c r="C190" i="5"/>
  <c r="AC189" i="5"/>
  <c r="AD189" i="5" s="1"/>
  <c r="AA189" i="5"/>
  <c r="W189" i="5"/>
  <c r="X189" i="5" s="1"/>
  <c r="U189" i="5"/>
  <c r="R189" i="5"/>
  <c r="N189" i="5"/>
  <c r="O189" i="5" s="1"/>
  <c r="L189" i="5"/>
  <c r="I189" i="5"/>
  <c r="H189" i="5"/>
  <c r="F189" i="5"/>
  <c r="C189" i="5"/>
  <c r="AD188" i="5"/>
  <c r="AC188" i="5"/>
  <c r="AA188" i="5"/>
  <c r="W188" i="5"/>
  <c r="X188" i="5" s="1"/>
  <c r="U188" i="5"/>
  <c r="R188" i="5"/>
  <c r="N188" i="5"/>
  <c r="O188" i="5" s="1"/>
  <c r="L188" i="5"/>
  <c r="H188" i="5"/>
  <c r="I188" i="5" s="1"/>
  <c r="F188" i="5"/>
  <c r="C188" i="5"/>
  <c r="AD187" i="5"/>
  <c r="AC187" i="5"/>
  <c r="AA187" i="5"/>
  <c r="X187" i="5"/>
  <c r="W187" i="5"/>
  <c r="U187" i="5"/>
  <c r="R187" i="5"/>
  <c r="N187" i="5"/>
  <c r="O187" i="5" s="1"/>
  <c r="L187" i="5"/>
  <c r="I187" i="5"/>
  <c r="H187" i="5"/>
  <c r="F187" i="5"/>
  <c r="C187" i="5"/>
  <c r="AD186" i="5"/>
  <c r="AC186" i="5"/>
  <c r="AA186" i="5"/>
  <c r="W186" i="5"/>
  <c r="X186" i="5" s="1"/>
  <c r="U186" i="5"/>
  <c r="R186" i="5"/>
  <c r="O186" i="5"/>
  <c r="N186" i="5"/>
  <c r="L186" i="5"/>
  <c r="I186" i="5"/>
  <c r="H186" i="5"/>
  <c r="F186" i="5"/>
  <c r="C186" i="5"/>
  <c r="AC184" i="5"/>
  <c r="AD184" i="5" s="1"/>
  <c r="AA184" i="5"/>
  <c r="W184" i="5"/>
  <c r="X184" i="5" s="1"/>
  <c r="U184" i="5"/>
  <c r="R184" i="5"/>
  <c r="N184" i="5"/>
  <c r="O184" i="5" s="1"/>
  <c r="L184" i="5"/>
  <c r="I184" i="5"/>
  <c r="H184" i="5"/>
  <c r="F184" i="5"/>
  <c r="C184" i="5"/>
  <c r="AD183" i="5"/>
  <c r="AC183" i="5"/>
  <c r="AA183" i="5"/>
  <c r="W183" i="5"/>
  <c r="X183" i="5" s="1"/>
  <c r="U183" i="5"/>
  <c r="R183" i="5"/>
  <c r="N183" i="5"/>
  <c r="O183" i="5" s="1"/>
  <c r="L183" i="5"/>
  <c r="H183" i="5"/>
  <c r="I183" i="5" s="1"/>
  <c r="F183" i="5"/>
  <c r="C183" i="5"/>
  <c r="AA182" i="5"/>
  <c r="Z182" i="5"/>
  <c r="X182" i="5"/>
  <c r="W182" i="5"/>
  <c r="U182" i="5"/>
  <c r="T182" i="5"/>
  <c r="R182" i="5"/>
  <c r="Q182" i="5"/>
  <c r="L182" i="5"/>
  <c r="K182" i="5"/>
  <c r="I182" i="5"/>
  <c r="F182" i="5"/>
  <c r="E182" i="5"/>
  <c r="B182" i="5"/>
  <c r="H182" i="5" s="1"/>
  <c r="AC181" i="5"/>
  <c r="AD181" i="5" s="1"/>
  <c r="AA181" i="5"/>
  <c r="W181" i="5"/>
  <c r="X181" i="5" s="1"/>
  <c r="U181" i="5"/>
  <c r="R181" i="5"/>
  <c r="N181" i="5"/>
  <c r="O181" i="5" s="1"/>
  <c r="L181" i="5"/>
  <c r="I181" i="5"/>
  <c r="H181" i="5"/>
  <c r="F181" i="5"/>
  <c r="C181" i="5"/>
  <c r="AC180" i="5"/>
  <c r="AD180" i="5" s="1"/>
  <c r="AA180" i="5"/>
  <c r="W180" i="5"/>
  <c r="X180" i="5" s="1"/>
  <c r="U180" i="5"/>
  <c r="R180" i="5"/>
  <c r="N180" i="5"/>
  <c r="O180" i="5" s="1"/>
  <c r="L180" i="5"/>
  <c r="H180" i="5"/>
  <c r="I180" i="5" s="1"/>
  <c r="F180" i="5"/>
  <c r="C180" i="5"/>
  <c r="AD179" i="5"/>
  <c r="AC179" i="5"/>
  <c r="AA179" i="5"/>
  <c r="W179" i="5"/>
  <c r="X179" i="5" s="1"/>
  <c r="U179" i="5"/>
  <c r="R179" i="5"/>
  <c r="N179" i="5"/>
  <c r="O179" i="5" s="1"/>
  <c r="L179" i="5"/>
  <c r="I179" i="5"/>
  <c r="H179" i="5"/>
  <c r="F179" i="5"/>
  <c r="C179" i="5"/>
  <c r="AD178" i="5"/>
  <c r="AC178" i="5"/>
  <c r="AA178" i="5"/>
  <c r="W178" i="5"/>
  <c r="X178" i="5" s="1"/>
  <c r="U178" i="5"/>
  <c r="R178" i="5"/>
  <c r="N178" i="5"/>
  <c r="O178" i="5" s="1"/>
  <c r="L178" i="5"/>
  <c r="I178" i="5"/>
  <c r="H178" i="5"/>
  <c r="F178" i="5"/>
  <c r="C178" i="5"/>
  <c r="AC177" i="5"/>
  <c r="AD177" i="5" s="1"/>
  <c r="AA177" i="5"/>
  <c r="W177" i="5"/>
  <c r="X177" i="5" s="1"/>
  <c r="U177" i="5"/>
  <c r="R177" i="5"/>
  <c r="N177" i="5"/>
  <c r="O177" i="5" s="1"/>
  <c r="L177" i="5"/>
  <c r="I177" i="5"/>
  <c r="H177" i="5"/>
  <c r="F177" i="5"/>
  <c r="C177" i="5"/>
  <c r="AD175" i="5"/>
  <c r="AC175" i="5"/>
  <c r="AA175" i="5"/>
  <c r="W175" i="5"/>
  <c r="X175" i="5" s="1"/>
  <c r="U175" i="5"/>
  <c r="R175" i="5"/>
  <c r="N175" i="5"/>
  <c r="O175" i="5" s="1"/>
  <c r="L175" i="5"/>
  <c r="H175" i="5"/>
  <c r="I175" i="5" s="1"/>
  <c r="F175" i="5"/>
  <c r="C175" i="5"/>
  <c r="AA172" i="5"/>
  <c r="Z172" i="5"/>
  <c r="Z198" i="5" s="1"/>
  <c r="Z345" i="5" s="1"/>
  <c r="Z404" i="5" s="1"/>
  <c r="Z443" i="5" s="1"/>
  <c r="AA443" i="5" s="1"/>
  <c r="C172" i="5"/>
  <c r="B172" i="5"/>
  <c r="AA171" i="5"/>
  <c r="Z171" i="5"/>
  <c r="T171" i="5"/>
  <c r="U171" i="5" s="1"/>
  <c r="Q171" i="5"/>
  <c r="AC171" i="5" s="1"/>
  <c r="AD171" i="5" s="1"/>
  <c r="L171" i="5"/>
  <c r="K171" i="5"/>
  <c r="I171" i="5"/>
  <c r="H171" i="5"/>
  <c r="F171" i="5"/>
  <c r="E171" i="5"/>
  <c r="C171" i="5"/>
  <c r="B171" i="5"/>
  <c r="N171" i="5" s="1"/>
  <c r="O171" i="5" s="1"/>
  <c r="Z170" i="5"/>
  <c r="AA170" i="5" s="1"/>
  <c r="W170" i="5"/>
  <c r="X170" i="5" s="1"/>
  <c r="U170" i="5"/>
  <c r="T170" i="5"/>
  <c r="R170" i="5"/>
  <c r="Q170" i="5"/>
  <c r="K170" i="5"/>
  <c r="F170" i="5"/>
  <c r="E170" i="5"/>
  <c r="B170" i="5"/>
  <c r="H170" i="5" s="1"/>
  <c r="I170" i="5" s="1"/>
  <c r="AD169" i="5"/>
  <c r="AC169" i="5"/>
  <c r="AA169" i="5"/>
  <c r="W169" i="5"/>
  <c r="X169" i="5" s="1"/>
  <c r="U169" i="5"/>
  <c r="R169" i="5"/>
  <c r="N169" i="5"/>
  <c r="O169" i="5" s="1"/>
  <c r="L169" i="5"/>
  <c r="I169" i="5"/>
  <c r="H169" i="5"/>
  <c r="F169" i="5"/>
  <c r="C169" i="5"/>
  <c r="AC168" i="5"/>
  <c r="AD168" i="5" s="1"/>
  <c r="AA168" i="5"/>
  <c r="X168" i="5"/>
  <c r="W168" i="5"/>
  <c r="U168" i="5"/>
  <c r="R168" i="5"/>
  <c r="N168" i="5"/>
  <c r="O168" i="5" s="1"/>
  <c r="L168" i="5"/>
  <c r="H168" i="5"/>
  <c r="I168" i="5" s="1"/>
  <c r="F168" i="5"/>
  <c r="C168" i="5"/>
  <c r="AD167" i="5"/>
  <c r="AC167" i="5"/>
  <c r="AA167" i="5"/>
  <c r="W167" i="5"/>
  <c r="X167" i="5" s="1"/>
  <c r="U167" i="5"/>
  <c r="R167" i="5"/>
  <c r="N167" i="5"/>
  <c r="O167" i="5" s="1"/>
  <c r="L167" i="5"/>
  <c r="H167" i="5"/>
  <c r="I167" i="5" s="1"/>
  <c r="F167" i="5"/>
  <c r="C167" i="5"/>
  <c r="AA166" i="5"/>
  <c r="Z166" i="5"/>
  <c r="X166" i="5"/>
  <c r="W166" i="5"/>
  <c r="U166" i="5"/>
  <c r="T166" i="5"/>
  <c r="R166" i="5"/>
  <c r="Q166" i="5"/>
  <c r="AC166" i="5" s="1"/>
  <c r="AD166" i="5" s="1"/>
  <c r="K166" i="5"/>
  <c r="L166" i="5" s="1"/>
  <c r="H166" i="5"/>
  <c r="I166" i="5" s="1"/>
  <c r="F166" i="5"/>
  <c r="E166" i="5"/>
  <c r="C166" i="5"/>
  <c r="B166" i="5"/>
  <c r="AC165" i="5"/>
  <c r="AD165" i="5" s="1"/>
  <c r="AA165" i="5"/>
  <c r="X165" i="5"/>
  <c r="W165" i="5"/>
  <c r="U165" i="5"/>
  <c r="R165" i="5"/>
  <c r="N165" i="5"/>
  <c r="O165" i="5" s="1"/>
  <c r="L165" i="5"/>
  <c r="I165" i="5"/>
  <c r="H165" i="5"/>
  <c r="F165" i="5"/>
  <c r="C165" i="5"/>
  <c r="AD164" i="5"/>
  <c r="AC164" i="5"/>
  <c r="AA164" i="5"/>
  <c r="W164" i="5"/>
  <c r="X164" i="5" s="1"/>
  <c r="U164" i="5"/>
  <c r="R164" i="5"/>
  <c r="N164" i="5"/>
  <c r="O164" i="5" s="1"/>
  <c r="L164" i="5"/>
  <c r="H164" i="5"/>
  <c r="I164" i="5" s="1"/>
  <c r="F164" i="5"/>
  <c r="C164" i="5"/>
  <c r="AD163" i="5"/>
  <c r="AC163" i="5"/>
  <c r="AA163" i="5"/>
  <c r="W163" i="5"/>
  <c r="X163" i="5" s="1"/>
  <c r="U163" i="5"/>
  <c r="R163" i="5"/>
  <c r="N163" i="5"/>
  <c r="O163" i="5" s="1"/>
  <c r="L163" i="5"/>
  <c r="I163" i="5"/>
  <c r="H163" i="5"/>
  <c r="F163" i="5"/>
  <c r="C163" i="5"/>
  <c r="AD162" i="5"/>
  <c r="AC162" i="5"/>
  <c r="AA162" i="5"/>
  <c r="W162" i="5"/>
  <c r="X162" i="5" s="1"/>
  <c r="U162" i="5"/>
  <c r="R162" i="5"/>
  <c r="N162" i="5"/>
  <c r="O162" i="5" s="1"/>
  <c r="L162" i="5"/>
  <c r="I162" i="5"/>
  <c r="H162" i="5"/>
  <c r="F162" i="5"/>
  <c r="C162" i="5"/>
  <c r="AC161" i="5"/>
  <c r="AD161" i="5" s="1"/>
  <c r="AA161" i="5"/>
  <c r="X161" i="5"/>
  <c r="W161" i="5"/>
  <c r="U161" i="5"/>
  <c r="R161" i="5"/>
  <c r="N161" i="5"/>
  <c r="O161" i="5" s="1"/>
  <c r="L161" i="5"/>
  <c r="H161" i="5"/>
  <c r="I161" i="5" s="1"/>
  <c r="F161" i="5"/>
  <c r="C161" i="5"/>
  <c r="AD160" i="5"/>
  <c r="AC160" i="5"/>
  <c r="AA160" i="5"/>
  <c r="W160" i="5"/>
  <c r="X160" i="5" s="1"/>
  <c r="U160" i="5"/>
  <c r="R160" i="5"/>
  <c r="N160" i="5"/>
  <c r="O160" i="5" s="1"/>
  <c r="L160" i="5"/>
  <c r="H160" i="5"/>
  <c r="I160" i="5" s="1"/>
  <c r="F160" i="5"/>
  <c r="C160" i="5"/>
  <c r="AA158" i="5"/>
  <c r="Z158" i="5"/>
  <c r="X158" i="5"/>
  <c r="U158" i="5"/>
  <c r="T158" i="5"/>
  <c r="W158" i="5" s="1"/>
  <c r="R158" i="5"/>
  <c r="Q158" i="5"/>
  <c r="AC158" i="5" s="1"/>
  <c r="AD158" i="5" s="1"/>
  <c r="K158" i="5"/>
  <c r="L158" i="5" s="1"/>
  <c r="H158" i="5"/>
  <c r="I158" i="5" s="1"/>
  <c r="F158" i="5"/>
  <c r="E158" i="5"/>
  <c r="C158" i="5"/>
  <c r="B158" i="5"/>
  <c r="AC157" i="5"/>
  <c r="AD157" i="5" s="1"/>
  <c r="AA157" i="5"/>
  <c r="W157" i="5"/>
  <c r="X157" i="5" s="1"/>
  <c r="U157" i="5"/>
  <c r="R157" i="5"/>
  <c r="N157" i="5"/>
  <c r="O157" i="5" s="1"/>
  <c r="L157" i="5"/>
  <c r="I157" i="5"/>
  <c r="H157" i="5"/>
  <c r="F157" i="5"/>
  <c r="C157" i="5"/>
  <c r="AD156" i="5"/>
  <c r="AC156" i="5"/>
  <c r="AA156" i="5"/>
  <c r="W156" i="5"/>
  <c r="X156" i="5" s="1"/>
  <c r="U156" i="5"/>
  <c r="R156" i="5"/>
  <c r="N156" i="5"/>
  <c r="O156" i="5" s="1"/>
  <c r="L156" i="5"/>
  <c r="H156" i="5"/>
  <c r="I156" i="5" s="1"/>
  <c r="F156" i="5"/>
  <c r="C156" i="5"/>
  <c r="AD155" i="5"/>
  <c r="AC155" i="5"/>
  <c r="AA155" i="5"/>
  <c r="W155" i="5"/>
  <c r="X155" i="5" s="1"/>
  <c r="U155" i="5"/>
  <c r="R155" i="5"/>
  <c r="N155" i="5"/>
  <c r="O155" i="5" s="1"/>
  <c r="L155" i="5"/>
  <c r="I155" i="5"/>
  <c r="H155" i="5"/>
  <c r="F155" i="5"/>
  <c r="C155" i="5"/>
  <c r="AD154" i="5"/>
  <c r="AC154" i="5"/>
  <c r="AA154" i="5"/>
  <c r="W154" i="5"/>
  <c r="X154" i="5" s="1"/>
  <c r="U154" i="5"/>
  <c r="R154" i="5"/>
  <c r="N154" i="5"/>
  <c r="O154" i="5" s="1"/>
  <c r="L154" i="5"/>
  <c r="I154" i="5"/>
  <c r="H154" i="5"/>
  <c r="F154" i="5"/>
  <c r="C154" i="5"/>
  <c r="AC153" i="5"/>
  <c r="AD153" i="5" s="1"/>
  <c r="AA153" i="5"/>
  <c r="X153" i="5"/>
  <c r="W153" i="5"/>
  <c r="U153" i="5"/>
  <c r="R153" i="5"/>
  <c r="N153" i="5"/>
  <c r="O153" i="5" s="1"/>
  <c r="L153" i="5"/>
  <c r="H153" i="5"/>
  <c r="I153" i="5" s="1"/>
  <c r="F153" i="5"/>
  <c r="C153" i="5"/>
  <c r="AD151" i="5"/>
  <c r="AC151" i="5"/>
  <c r="AA151" i="5"/>
  <c r="W151" i="5"/>
  <c r="X151" i="5" s="1"/>
  <c r="U151" i="5"/>
  <c r="R151" i="5"/>
  <c r="N151" i="5"/>
  <c r="O151" i="5" s="1"/>
  <c r="L151" i="5"/>
  <c r="H151" i="5"/>
  <c r="I151" i="5" s="1"/>
  <c r="F151" i="5"/>
  <c r="C151" i="5"/>
  <c r="AA149" i="5"/>
  <c r="Z149" i="5"/>
  <c r="X149" i="5"/>
  <c r="T149" i="5"/>
  <c r="W149" i="5" s="1"/>
  <c r="R149" i="5"/>
  <c r="Q149" i="5"/>
  <c r="AC149" i="5" s="1"/>
  <c r="AD149" i="5" s="1"/>
  <c r="K149" i="5"/>
  <c r="L149" i="5" s="1"/>
  <c r="H149" i="5"/>
  <c r="I149" i="5" s="1"/>
  <c r="F149" i="5"/>
  <c r="E149" i="5"/>
  <c r="C149" i="5"/>
  <c r="B149" i="5"/>
  <c r="AC148" i="5"/>
  <c r="AD148" i="5" s="1"/>
  <c r="Z148" i="5"/>
  <c r="AA148" i="5" s="1"/>
  <c r="U148" i="5"/>
  <c r="T148" i="5"/>
  <c r="R148" i="5"/>
  <c r="Q148" i="5"/>
  <c r="W148" i="5" s="1"/>
  <c r="X148" i="5" s="1"/>
  <c r="L148" i="5"/>
  <c r="K148" i="5"/>
  <c r="E148" i="5"/>
  <c r="F148" i="5" s="1"/>
  <c r="B148" i="5"/>
  <c r="AD147" i="5"/>
  <c r="AC147" i="5"/>
  <c r="AA147" i="5"/>
  <c r="W147" i="5"/>
  <c r="X147" i="5" s="1"/>
  <c r="U147" i="5"/>
  <c r="R147" i="5"/>
  <c r="N147" i="5"/>
  <c r="O147" i="5" s="1"/>
  <c r="L147" i="5"/>
  <c r="I147" i="5"/>
  <c r="H147" i="5"/>
  <c r="F147" i="5"/>
  <c r="C147" i="5"/>
  <c r="AD146" i="5"/>
  <c r="AC146" i="5"/>
  <c r="AA146" i="5"/>
  <c r="W146" i="5"/>
  <c r="X146" i="5" s="1"/>
  <c r="U146" i="5"/>
  <c r="R146" i="5"/>
  <c r="O146" i="5"/>
  <c r="N146" i="5"/>
  <c r="L146" i="5"/>
  <c r="I146" i="5"/>
  <c r="H146" i="5"/>
  <c r="F146" i="5"/>
  <c r="C146" i="5"/>
  <c r="AC145" i="5"/>
  <c r="AD145" i="5" s="1"/>
  <c r="AA145" i="5"/>
  <c r="X145" i="5"/>
  <c r="W145" i="5"/>
  <c r="U145" i="5"/>
  <c r="R145" i="5"/>
  <c r="N145" i="5"/>
  <c r="O145" i="5" s="1"/>
  <c r="L145" i="5"/>
  <c r="I145" i="5"/>
  <c r="H145" i="5"/>
  <c r="F145" i="5"/>
  <c r="C145" i="5"/>
  <c r="AD144" i="5"/>
  <c r="AC144" i="5"/>
  <c r="AA144" i="5"/>
  <c r="W144" i="5"/>
  <c r="X144" i="5" s="1"/>
  <c r="U144" i="5"/>
  <c r="R144" i="5"/>
  <c r="N144" i="5"/>
  <c r="O144" i="5" s="1"/>
  <c r="L144" i="5"/>
  <c r="H144" i="5"/>
  <c r="I144" i="5" s="1"/>
  <c r="F144" i="5"/>
  <c r="C144" i="5"/>
  <c r="AD143" i="5"/>
  <c r="AC143" i="5"/>
  <c r="AA143" i="5"/>
  <c r="W143" i="5"/>
  <c r="X143" i="5" s="1"/>
  <c r="U143" i="5"/>
  <c r="R143" i="5"/>
  <c r="N143" i="5"/>
  <c r="O143" i="5" s="1"/>
  <c r="L143" i="5"/>
  <c r="I143" i="5"/>
  <c r="H143" i="5"/>
  <c r="F143" i="5"/>
  <c r="C143" i="5"/>
  <c r="AA141" i="5"/>
  <c r="Z141" i="5"/>
  <c r="T141" i="5"/>
  <c r="U141" i="5" s="1"/>
  <c r="Q141" i="5"/>
  <c r="AC141" i="5" s="1"/>
  <c r="AD141" i="5" s="1"/>
  <c r="L141" i="5"/>
  <c r="K141" i="5"/>
  <c r="I141" i="5"/>
  <c r="H141" i="5"/>
  <c r="F141" i="5"/>
  <c r="E141" i="5"/>
  <c r="C141" i="5"/>
  <c r="B141" i="5"/>
  <c r="N141" i="5" s="1"/>
  <c r="O141" i="5" s="1"/>
  <c r="AD140" i="5"/>
  <c r="AC140" i="5"/>
  <c r="AA140" i="5"/>
  <c r="W140" i="5"/>
  <c r="X140" i="5" s="1"/>
  <c r="U140" i="5"/>
  <c r="R140" i="5"/>
  <c r="N140" i="5"/>
  <c r="O140" i="5" s="1"/>
  <c r="L140" i="5"/>
  <c r="H140" i="5"/>
  <c r="I140" i="5" s="1"/>
  <c r="F140" i="5"/>
  <c r="C140" i="5"/>
  <c r="AD139" i="5"/>
  <c r="AC139" i="5"/>
  <c r="AA139" i="5"/>
  <c r="W139" i="5"/>
  <c r="X139" i="5" s="1"/>
  <c r="U139" i="5"/>
  <c r="R139" i="5"/>
  <c r="N139" i="5"/>
  <c r="O139" i="5" s="1"/>
  <c r="L139" i="5"/>
  <c r="I139" i="5"/>
  <c r="H139" i="5"/>
  <c r="F139" i="5"/>
  <c r="C139" i="5"/>
  <c r="AD138" i="5"/>
  <c r="AC138" i="5"/>
  <c r="AA138" i="5"/>
  <c r="W138" i="5"/>
  <c r="X138" i="5" s="1"/>
  <c r="U138" i="5"/>
  <c r="R138" i="5"/>
  <c r="O138" i="5"/>
  <c r="N138" i="5"/>
  <c r="L138" i="5"/>
  <c r="I138" i="5"/>
  <c r="H138" i="5"/>
  <c r="F138" i="5"/>
  <c r="C138" i="5"/>
  <c r="AC137" i="5"/>
  <c r="AD137" i="5" s="1"/>
  <c r="AA137" i="5"/>
  <c r="X137" i="5"/>
  <c r="W137" i="5"/>
  <c r="U137" i="5"/>
  <c r="R137" i="5"/>
  <c r="N137" i="5"/>
  <c r="O137" i="5" s="1"/>
  <c r="L137" i="5"/>
  <c r="I137" i="5"/>
  <c r="H137" i="5"/>
  <c r="F137" i="5"/>
  <c r="C137" i="5"/>
  <c r="AD136" i="5"/>
  <c r="AC136" i="5"/>
  <c r="AA136" i="5"/>
  <c r="W136" i="5"/>
  <c r="X136" i="5" s="1"/>
  <c r="U136" i="5"/>
  <c r="R136" i="5"/>
  <c r="N136" i="5"/>
  <c r="O136" i="5" s="1"/>
  <c r="L136" i="5"/>
  <c r="I136" i="5"/>
  <c r="H136" i="5"/>
  <c r="F136" i="5"/>
  <c r="C136" i="5"/>
  <c r="AD135" i="5"/>
  <c r="AC135" i="5"/>
  <c r="AA135" i="5"/>
  <c r="W135" i="5"/>
  <c r="X135" i="5" s="1"/>
  <c r="U135" i="5"/>
  <c r="R135" i="5"/>
  <c r="N135" i="5"/>
  <c r="O135" i="5" s="1"/>
  <c r="L135" i="5"/>
  <c r="I135" i="5"/>
  <c r="H135" i="5"/>
  <c r="F135" i="5"/>
  <c r="C135" i="5"/>
  <c r="AC134" i="5"/>
  <c r="AD134" i="5" s="1"/>
  <c r="AA134" i="5"/>
  <c r="W134" i="5"/>
  <c r="X134" i="5" s="1"/>
  <c r="U134" i="5"/>
  <c r="R134" i="5"/>
  <c r="O134" i="5"/>
  <c r="N134" i="5"/>
  <c r="L134" i="5"/>
  <c r="I134" i="5"/>
  <c r="H134" i="5"/>
  <c r="F134" i="5"/>
  <c r="C134" i="5"/>
  <c r="AC133" i="5"/>
  <c r="AD133" i="5" s="1"/>
  <c r="AA133" i="5"/>
  <c r="W133" i="5"/>
  <c r="X133" i="5" s="1"/>
  <c r="U133" i="5"/>
  <c r="R133" i="5"/>
  <c r="N133" i="5"/>
  <c r="O133" i="5" s="1"/>
  <c r="L133" i="5"/>
  <c r="I133" i="5"/>
  <c r="H133" i="5"/>
  <c r="F133" i="5"/>
  <c r="C133" i="5"/>
  <c r="AD132" i="5"/>
  <c r="AC132" i="5"/>
  <c r="AA132" i="5"/>
  <c r="W132" i="5"/>
  <c r="X132" i="5" s="1"/>
  <c r="U132" i="5"/>
  <c r="R132" i="5"/>
  <c r="N132" i="5"/>
  <c r="O132" i="5" s="1"/>
  <c r="L132" i="5"/>
  <c r="H132" i="5"/>
  <c r="I132" i="5" s="1"/>
  <c r="F132" i="5"/>
  <c r="C132" i="5"/>
  <c r="AD131" i="5"/>
  <c r="AC131" i="5"/>
  <c r="AA131" i="5"/>
  <c r="W131" i="5"/>
  <c r="X131" i="5" s="1"/>
  <c r="U131" i="5"/>
  <c r="R131" i="5"/>
  <c r="N131" i="5"/>
  <c r="O131" i="5" s="1"/>
  <c r="L131" i="5"/>
  <c r="I131" i="5"/>
  <c r="H131" i="5"/>
  <c r="F131" i="5"/>
  <c r="C131" i="5"/>
  <c r="AD130" i="5"/>
  <c r="AC130" i="5"/>
  <c r="AA130" i="5"/>
  <c r="W130" i="5"/>
  <c r="X130" i="5" s="1"/>
  <c r="U130" i="5"/>
  <c r="R130" i="5"/>
  <c r="O130" i="5"/>
  <c r="N130" i="5"/>
  <c r="L130" i="5"/>
  <c r="I130" i="5"/>
  <c r="H130" i="5"/>
  <c r="F130" i="5"/>
  <c r="C130" i="5"/>
  <c r="AC129" i="5"/>
  <c r="AD129" i="5" s="1"/>
  <c r="AA129" i="5"/>
  <c r="X129" i="5"/>
  <c r="W129" i="5"/>
  <c r="U129" i="5"/>
  <c r="R129" i="5"/>
  <c r="N129" i="5"/>
  <c r="O129" i="5" s="1"/>
  <c r="L129" i="5"/>
  <c r="I129" i="5"/>
  <c r="H129" i="5"/>
  <c r="F129" i="5"/>
  <c r="C129" i="5"/>
  <c r="AD127" i="5"/>
  <c r="AC127" i="5"/>
  <c r="AA127" i="5"/>
  <c r="W127" i="5"/>
  <c r="X127" i="5" s="1"/>
  <c r="U127" i="5"/>
  <c r="R127" i="5"/>
  <c r="N127" i="5"/>
  <c r="O127" i="5" s="1"/>
  <c r="L127" i="5"/>
  <c r="I127" i="5"/>
  <c r="H127" i="5"/>
  <c r="F127" i="5"/>
  <c r="C127" i="5"/>
  <c r="AA124" i="5"/>
  <c r="Z124" i="5"/>
  <c r="T124" i="5"/>
  <c r="R124" i="5"/>
  <c r="Q124" i="5"/>
  <c r="Q172" i="5" s="1"/>
  <c r="K124" i="5"/>
  <c r="I124" i="5"/>
  <c r="H124" i="5"/>
  <c r="F124" i="5"/>
  <c r="E124" i="5"/>
  <c r="E172" i="5" s="1"/>
  <c r="E198" i="5" s="1"/>
  <c r="E345" i="5" s="1"/>
  <c r="C124" i="5"/>
  <c r="B124" i="5"/>
  <c r="AC123" i="5"/>
  <c r="AD123" i="5" s="1"/>
  <c r="AA123" i="5"/>
  <c r="W123" i="5"/>
  <c r="X123" i="5" s="1"/>
  <c r="U123" i="5"/>
  <c r="R123" i="5"/>
  <c r="N123" i="5"/>
  <c r="O123" i="5" s="1"/>
  <c r="L123" i="5"/>
  <c r="I123" i="5"/>
  <c r="H123" i="5"/>
  <c r="F123" i="5"/>
  <c r="C123" i="5"/>
  <c r="Z122" i="5"/>
  <c r="AA122" i="5" s="1"/>
  <c r="W122" i="5"/>
  <c r="X122" i="5" s="1"/>
  <c r="U122" i="5"/>
  <c r="T122" i="5"/>
  <c r="R122" i="5"/>
  <c r="Q122" i="5"/>
  <c r="K122" i="5"/>
  <c r="F122" i="5"/>
  <c r="E122" i="5"/>
  <c r="B122" i="5"/>
  <c r="H122" i="5" s="1"/>
  <c r="I122" i="5" s="1"/>
  <c r="AD121" i="5"/>
  <c r="AC121" i="5"/>
  <c r="AA121" i="5"/>
  <c r="W121" i="5"/>
  <c r="X121" i="5" s="1"/>
  <c r="U121" i="5"/>
  <c r="R121" i="5"/>
  <c r="N121" i="5"/>
  <c r="O121" i="5" s="1"/>
  <c r="L121" i="5"/>
  <c r="I121" i="5"/>
  <c r="H121" i="5"/>
  <c r="F121" i="5"/>
  <c r="C121" i="5"/>
  <c r="AC120" i="5"/>
  <c r="AD120" i="5" s="1"/>
  <c r="AA120" i="5"/>
  <c r="X120" i="5"/>
  <c r="W120" i="5"/>
  <c r="U120" i="5"/>
  <c r="R120" i="5"/>
  <c r="N120" i="5"/>
  <c r="O120" i="5" s="1"/>
  <c r="L120" i="5"/>
  <c r="H120" i="5"/>
  <c r="I120" i="5" s="1"/>
  <c r="F120" i="5"/>
  <c r="C120" i="5"/>
  <c r="AD119" i="5"/>
  <c r="AC119" i="5"/>
  <c r="AA119" i="5"/>
  <c r="W119" i="5"/>
  <c r="X119" i="5" s="1"/>
  <c r="U119" i="5"/>
  <c r="R119" i="5"/>
  <c r="N119" i="5"/>
  <c r="O119" i="5" s="1"/>
  <c r="L119" i="5"/>
  <c r="I119" i="5"/>
  <c r="H119" i="5"/>
  <c r="F119" i="5"/>
  <c r="C119" i="5"/>
  <c r="AA118" i="5"/>
  <c r="Z118" i="5"/>
  <c r="T118" i="5"/>
  <c r="W118" i="5" s="1"/>
  <c r="X118" i="5" s="1"/>
  <c r="R118" i="5"/>
  <c r="Q118" i="5"/>
  <c r="AC118" i="5" s="1"/>
  <c r="AD118" i="5" s="1"/>
  <c r="K118" i="5"/>
  <c r="L118" i="5" s="1"/>
  <c r="I118" i="5"/>
  <c r="H118" i="5"/>
  <c r="F118" i="5"/>
  <c r="E118" i="5"/>
  <c r="C118" i="5"/>
  <c r="B118" i="5"/>
  <c r="AC117" i="5"/>
  <c r="AD117" i="5" s="1"/>
  <c r="AA117" i="5"/>
  <c r="W117" i="5"/>
  <c r="X117" i="5" s="1"/>
  <c r="U117" i="5"/>
  <c r="R117" i="5"/>
  <c r="N117" i="5"/>
  <c r="O117" i="5" s="1"/>
  <c r="L117" i="5"/>
  <c r="I117" i="5"/>
  <c r="H117" i="5"/>
  <c r="F117" i="5"/>
  <c r="C117" i="5"/>
  <c r="AD116" i="5"/>
  <c r="AC116" i="5"/>
  <c r="AA116" i="5"/>
  <c r="W116" i="5"/>
  <c r="X116" i="5" s="1"/>
  <c r="U116" i="5"/>
  <c r="R116" i="5"/>
  <c r="N116" i="5"/>
  <c r="O116" i="5" s="1"/>
  <c r="L116" i="5"/>
  <c r="H116" i="5"/>
  <c r="I116" i="5" s="1"/>
  <c r="F116" i="5"/>
  <c r="C116" i="5"/>
  <c r="AD115" i="5"/>
  <c r="AC115" i="5"/>
  <c r="AA115" i="5"/>
  <c r="W115" i="5"/>
  <c r="X115" i="5" s="1"/>
  <c r="U115" i="5"/>
  <c r="R115" i="5"/>
  <c r="N115" i="5"/>
  <c r="O115" i="5" s="1"/>
  <c r="L115" i="5"/>
  <c r="I115" i="5"/>
  <c r="H115" i="5"/>
  <c r="F115" i="5"/>
  <c r="C115" i="5"/>
  <c r="AD114" i="5"/>
  <c r="AC114" i="5"/>
  <c r="AA114" i="5"/>
  <c r="W114" i="5"/>
  <c r="X114" i="5" s="1"/>
  <c r="U114" i="5"/>
  <c r="R114" i="5"/>
  <c r="N114" i="5"/>
  <c r="O114" i="5" s="1"/>
  <c r="L114" i="5"/>
  <c r="I114" i="5"/>
  <c r="H114" i="5"/>
  <c r="F114" i="5"/>
  <c r="C114" i="5"/>
  <c r="AC113" i="5"/>
  <c r="AD113" i="5" s="1"/>
  <c r="AA113" i="5"/>
  <c r="X113" i="5"/>
  <c r="W113" i="5"/>
  <c r="U113" i="5"/>
  <c r="R113" i="5"/>
  <c r="N113" i="5"/>
  <c r="O113" i="5" s="1"/>
  <c r="L113" i="5"/>
  <c r="H113" i="5"/>
  <c r="I113" i="5" s="1"/>
  <c r="F113" i="5"/>
  <c r="C113" i="5"/>
  <c r="AD112" i="5"/>
  <c r="AC112" i="5"/>
  <c r="AA112" i="5"/>
  <c r="W112" i="5"/>
  <c r="X112" i="5" s="1"/>
  <c r="U112" i="5"/>
  <c r="R112" i="5"/>
  <c r="N112" i="5"/>
  <c r="O112" i="5" s="1"/>
  <c r="L112" i="5"/>
  <c r="I112" i="5"/>
  <c r="H112" i="5"/>
  <c r="F112" i="5"/>
  <c r="C112" i="5"/>
  <c r="AD111" i="5"/>
  <c r="AC111" i="5"/>
  <c r="AA111" i="5"/>
  <c r="W111" i="5"/>
  <c r="X111" i="5" s="1"/>
  <c r="U111" i="5"/>
  <c r="R111" i="5"/>
  <c r="N111" i="5"/>
  <c r="O111" i="5" s="1"/>
  <c r="L111" i="5"/>
  <c r="I111" i="5"/>
  <c r="H111" i="5"/>
  <c r="F111" i="5"/>
  <c r="C111" i="5"/>
  <c r="AC110" i="5"/>
  <c r="AD110" i="5" s="1"/>
  <c r="AA110" i="5"/>
  <c r="W110" i="5"/>
  <c r="X110" i="5" s="1"/>
  <c r="U110" i="5"/>
  <c r="R110" i="5"/>
  <c r="O110" i="5"/>
  <c r="N110" i="5"/>
  <c r="L110" i="5"/>
  <c r="I110" i="5"/>
  <c r="H110" i="5"/>
  <c r="F110" i="5"/>
  <c r="C110" i="5"/>
  <c r="AC109" i="5"/>
  <c r="AD109" i="5" s="1"/>
  <c r="AA109" i="5"/>
  <c r="W109" i="5"/>
  <c r="X109" i="5" s="1"/>
  <c r="U109" i="5"/>
  <c r="R109" i="5"/>
  <c r="N109" i="5"/>
  <c r="O109" i="5" s="1"/>
  <c r="L109" i="5"/>
  <c r="I109" i="5"/>
  <c r="H109" i="5"/>
  <c r="F109" i="5"/>
  <c r="C109" i="5"/>
  <c r="AD108" i="5"/>
  <c r="AC108" i="5"/>
  <c r="AA108" i="5"/>
  <c r="W108" i="5"/>
  <c r="X108" i="5" s="1"/>
  <c r="U108" i="5"/>
  <c r="R108" i="5"/>
  <c r="N108" i="5"/>
  <c r="O108" i="5" s="1"/>
  <c r="L108" i="5"/>
  <c r="H108" i="5"/>
  <c r="I108" i="5" s="1"/>
  <c r="F108" i="5"/>
  <c r="C108" i="5"/>
  <c r="AD107" i="5"/>
  <c r="AC107" i="5"/>
  <c r="AA107" i="5"/>
  <c r="W107" i="5"/>
  <c r="X107" i="5" s="1"/>
  <c r="U107" i="5"/>
  <c r="R107" i="5"/>
  <c r="N107" i="5"/>
  <c r="O107" i="5" s="1"/>
  <c r="L107" i="5"/>
  <c r="I107" i="5"/>
  <c r="H107" i="5"/>
  <c r="F107" i="5"/>
  <c r="C107" i="5"/>
  <c r="AD106" i="5"/>
  <c r="AC106" i="5"/>
  <c r="AA106" i="5"/>
  <c r="W106" i="5"/>
  <c r="X106" i="5" s="1"/>
  <c r="U106" i="5"/>
  <c r="R106" i="5"/>
  <c r="N106" i="5"/>
  <c r="O106" i="5" s="1"/>
  <c r="L106" i="5"/>
  <c r="I106" i="5"/>
  <c r="H106" i="5"/>
  <c r="F106" i="5"/>
  <c r="C106" i="5"/>
  <c r="AC105" i="5"/>
  <c r="AD105" i="5" s="1"/>
  <c r="AA105" i="5"/>
  <c r="X105" i="5"/>
  <c r="W105" i="5"/>
  <c r="U105" i="5"/>
  <c r="R105" i="5"/>
  <c r="N105" i="5"/>
  <c r="O105" i="5" s="1"/>
  <c r="L105" i="5"/>
  <c r="H105" i="5"/>
  <c r="I105" i="5" s="1"/>
  <c r="F105" i="5"/>
  <c r="C105" i="5"/>
  <c r="AD104" i="5"/>
  <c r="AC104" i="5"/>
  <c r="AA104" i="5"/>
  <c r="W104" i="5"/>
  <c r="X104" i="5" s="1"/>
  <c r="U104" i="5"/>
  <c r="R104" i="5"/>
  <c r="N104" i="5"/>
  <c r="O104" i="5" s="1"/>
  <c r="L104" i="5"/>
  <c r="I104" i="5"/>
  <c r="H104" i="5"/>
  <c r="F104" i="5"/>
  <c r="C104" i="5"/>
  <c r="AD103" i="5"/>
  <c r="AC103" i="5"/>
  <c r="AA103" i="5"/>
  <c r="W103" i="5"/>
  <c r="X103" i="5" s="1"/>
  <c r="U103" i="5"/>
  <c r="R103" i="5"/>
  <c r="N103" i="5"/>
  <c r="O103" i="5" s="1"/>
  <c r="L103" i="5"/>
  <c r="I103" i="5"/>
  <c r="H103" i="5"/>
  <c r="F103" i="5"/>
  <c r="C103" i="5"/>
  <c r="AC102" i="5"/>
  <c r="AD102" i="5" s="1"/>
  <c r="AA102" i="5"/>
  <c r="W102" i="5"/>
  <c r="X102" i="5" s="1"/>
  <c r="U102" i="5"/>
  <c r="R102" i="5"/>
  <c r="O102" i="5"/>
  <c r="N102" i="5"/>
  <c r="L102" i="5"/>
  <c r="I102" i="5"/>
  <c r="H102" i="5"/>
  <c r="F102" i="5"/>
  <c r="C102" i="5"/>
  <c r="AC101" i="5"/>
  <c r="AD101" i="5" s="1"/>
  <c r="AA101" i="5"/>
  <c r="W101" i="5"/>
  <c r="X101" i="5" s="1"/>
  <c r="U101" i="5"/>
  <c r="R101" i="5"/>
  <c r="N101" i="5"/>
  <c r="O101" i="5" s="1"/>
  <c r="L101" i="5"/>
  <c r="I101" i="5"/>
  <c r="H101" i="5"/>
  <c r="F101" i="5"/>
  <c r="C101" i="5"/>
  <c r="AD100" i="5"/>
  <c r="AC100" i="5"/>
  <c r="AA100" i="5"/>
  <c r="W100" i="5"/>
  <c r="X100" i="5" s="1"/>
  <c r="U100" i="5"/>
  <c r="R100" i="5"/>
  <c r="N100" i="5"/>
  <c r="O100" i="5" s="1"/>
  <c r="L100" i="5"/>
  <c r="H100" i="5"/>
  <c r="I100" i="5" s="1"/>
  <c r="F100" i="5"/>
  <c r="C100" i="5"/>
  <c r="AD99" i="5"/>
  <c r="AC99" i="5"/>
  <c r="AA99" i="5"/>
  <c r="W99" i="5"/>
  <c r="X99" i="5" s="1"/>
  <c r="U99" i="5"/>
  <c r="R99" i="5"/>
  <c r="N99" i="5"/>
  <c r="O99" i="5" s="1"/>
  <c r="L99" i="5"/>
  <c r="I99" i="5"/>
  <c r="H99" i="5"/>
  <c r="F99" i="5"/>
  <c r="C99" i="5"/>
  <c r="AD98" i="5"/>
  <c r="AC98" i="5"/>
  <c r="AA98" i="5"/>
  <c r="W98" i="5"/>
  <c r="X98" i="5" s="1"/>
  <c r="U98" i="5"/>
  <c r="R98" i="5"/>
  <c r="N98" i="5"/>
  <c r="O98" i="5" s="1"/>
  <c r="L98" i="5"/>
  <c r="I98" i="5"/>
  <c r="H98" i="5"/>
  <c r="F98" i="5"/>
  <c r="C98" i="5"/>
  <c r="AC97" i="5"/>
  <c r="AD97" i="5" s="1"/>
  <c r="AA97" i="5"/>
  <c r="X97" i="5"/>
  <c r="W97" i="5"/>
  <c r="U97" i="5"/>
  <c r="R97" i="5"/>
  <c r="N97" i="5"/>
  <c r="O97" i="5" s="1"/>
  <c r="L97" i="5"/>
  <c r="H97" i="5"/>
  <c r="I97" i="5" s="1"/>
  <c r="F97" i="5"/>
  <c r="C97" i="5"/>
  <c r="AD96" i="5"/>
  <c r="AC96" i="5"/>
  <c r="AA96" i="5"/>
  <c r="W96" i="5"/>
  <c r="X96" i="5" s="1"/>
  <c r="U96" i="5"/>
  <c r="R96" i="5"/>
  <c r="N96" i="5"/>
  <c r="O96" i="5" s="1"/>
  <c r="L96" i="5"/>
  <c r="I96" i="5"/>
  <c r="H96" i="5"/>
  <c r="F96" i="5"/>
  <c r="C96" i="5"/>
  <c r="AD95" i="5"/>
  <c r="AC95" i="5"/>
  <c r="AA95" i="5"/>
  <c r="W95" i="5"/>
  <c r="X95" i="5" s="1"/>
  <c r="U95" i="5"/>
  <c r="R95" i="5"/>
  <c r="N95" i="5"/>
  <c r="O95" i="5" s="1"/>
  <c r="L95" i="5"/>
  <c r="I95" i="5"/>
  <c r="H95" i="5"/>
  <c r="F95" i="5"/>
  <c r="C95" i="5"/>
  <c r="AC94" i="5"/>
  <c r="AD94" i="5" s="1"/>
  <c r="AA94" i="5"/>
  <c r="W94" i="5"/>
  <c r="X94" i="5" s="1"/>
  <c r="U94" i="5"/>
  <c r="R94" i="5"/>
  <c r="O94" i="5"/>
  <c r="N94" i="5"/>
  <c r="L94" i="5"/>
  <c r="I94" i="5"/>
  <c r="H94" i="5"/>
  <c r="F94" i="5"/>
  <c r="C94" i="5"/>
  <c r="AC92" i="5"/>
  <c r="AD92" i="5" s="1"/>
  <c r="AA92" i="5"/>
  <c r="W92" i="5"/>
  <c r="X92" i="5" s="1"/>
  <c r="U92" i="5"/>
  <c r="R92" i="5"/>
  <c r="N92" i="5"/>
  <c r="O92" i="5" s="1"/>
  <c r="L92" i="5"/>
  <c r="I92" i="5"/>
  <c r="H92" i="5"/>
  <c r="F92" i="5"/>
  <c r="C92" i="5"/>
  <c r="AD91" i="5"/>
  <c r="AC91" i="5"/>
  <c r="AA91" i="5"/>
  <c r="W91" i="5"/>
  <c r="X91" i="5" s="1"/>
  <c r="U91" i="5"/>
  <c r="R91" i="5"/>
  <c r="N91" i="5"/>
  <c r="O91" i="5" s="1"/>
  <c r="L91" i="5"/>
  <c r="H91" i="5"/>
  <c r="I91" i="5" s="1"/>
  <c r="F91" i="5"/>
  <c r="C91" i="5"/>
  <c r="AD90" i="5"/>
  <c r="AC90" i="5"/>
  <c r="AA90" i="5"/>
  <c r="W90" i="5"/>
  <c r="X90" i="5" s="1"/>
  <c r="U90" i="5"/>
  <c r="R90" i="5"/>
  <c r="N90" i="5"/>
  <c r="O90" i="5" s="1"/>
  <c r="L90" i="5"/>
  <c r="I90" i="5"/>
  <c r="H90" i="5"/>
  <c r="F90" i="5"/>
  <c r="C90" i="5"/>
  <c r="AD89" i="5"/>
  <c r="AC89" i="5"/>
  <c r="AA89" i="5"/>
  <c r="W89" i="5"/>
  <c r="X89" i="5" s="1"/>
  <c r="U89" i="5"/>
  <c r="R89" i="5"/>
  <c r="N89" i="5"/>
  <c r="O89" i="5" s="1"/>
  <c r="L89" i="5"/>
  <c r="I89" i="5"/>
  <c r="H89" i="5"/>
  <c r="F89" i="5"/>
  <c r="C89" i="5"/>
  <c r="Z88" i="5"/>
  <c r="AC88" i="5" s="1"/>
  <c r="AD88" i="5" s="1"/>
  <c r="X88" i="5"/>
  <c r="U88" i="5"/>
  <c r="T88" i="5"/>
  <c r="Q88" i="5"/>
  <c r="W88" i="5" s="1"/>
  <c r="N88" i="5"/>
  <c r="O88" i="5" s="1"/>
  <c r="L88" i="5"/>
  <c r="K88" i="5"/>
  <c r="I88" i="5"/>
  <c r="F88" i="5"/>
  <c r="E88" i="5"/>
  <c r="B88" i="5"/>
  <c r="H88" i="5" s="1"/>
  <c r="AD87" i="5"/>
  <c r="AC87" i="5"/>
  <c r="AA87" i="5"/>
  <c r="W87" i="5"/>
  <c r="X87" i="5" s="1"/>
  <c r="U87" i="5"/>
  <c r="R87" i="5"/>
  <c r="N87" i="5"/>
  <c r="O87" i="5" s="1"/>
  <c r="L87" i="5"/>
  <c r="I87" i="5"/>
  <c r="H87" i="5"/>
  <c r="F87" i="5"/>
  <c r="C87" i="5"/>
  <c r="AC86" i="5"/>
  <c r="AD86" i="5" s="1"/>
  <c r="AA86" i="5"/>
  <c r="W86" i="5"/>
  <c r="X86" i="5" s="1"/>
  <c r="U86" i="5"/>
  <c r="R86" i="5"/>
  <c r="O86" i="5"/>
  <c r="N86" i="5"/>
  <c r="L86" i="5"/>
  <c r="I86" i="5"/>
  <c r="H86" i="5"/>
  <c r="F86" i="5"/>
  <c r="C86" i="5"/>
  <c r="AC85" i="5"/>
  <c r="AD85" i="5" s="1"/>
  <c r="AA85" i="5"/>
  <c r="W85" i="5"/>
  <c r="X85" i="5" s="1"/>
  <c r="U85" i="5"/>
  <c r="R85" i="5"/>
  <c r="N85" i="5"/>
  <c r="O85" i="5" s="1"/>
  <c r="L85" i="5"/>
  <c r="I85" i="5"/>
  <c r="H85" i="5"/>
  <c r="F85" i="5"/>
  <c r="C85" i="5"/>
  <c r="AD84" i="5"/>
  <c r="AC84" i="5"/>
  <c r="AA84" i="5"/>
  <c r="W84" i="5"/>
  <c r="X84" i="5" s="1"/>
  <c r="U84" i="5"/>
  <c r="R84" i="5"/>
  <c r="N84" i="5"/>
  <c r="O84" i="5" s="1"/>
  <c r="L84" i="5"/>
  <c r="H84" i="5"/>
  <c r="I84" i="5" s="1"/>
  <c r="F84" i="5"/>
  <c r="C84" i="5"/>
  <c r="AD83" i="5"/>
  <c r="AC83" i="5"/>
  <c r="AA83" i="5"/>
  <c r="W83" i="5"/>
  <c r="X83" i="5" s="1"/>
  <c r="U83" i="5"/>
  <c r="R83" i="5"/>
  <c r="N83" i="5"/>
  <c r="O83" i="5" s="1"/>
  <c r="L83" i="5"/>
  <c r="I83" i="5"/>
  <c r="H83" i="5"/>
  <c r="F83" i="5"/>
  <c r="C83" i="5"/>
  <c r="AD82" i="5"/>
  <c r="AC82" i="5"/>
  <c r="AA82" i="5"/>
  <c r="W82" i="5"/>
  <c r="X82" i="5" s="1"/>
  <c r="U82" i="5"/>
  <c r="R82" i="5"/>
  <c r="N82" i="5"/>
  <c r="O82" i="5" s="1"/>
  <c r="L82" i="5"/>
  <c r="I82" i="5"/>
  <c r="H82" i="5"/>
  <c r="F82" i="5"/>
  <c r="C82" i="5"/>
  <c r="AC81" i="5"/>
  <c r="AD81" i="5" s="1"/>
  <c r="AA81" i="5"/>
  <c r="X81" i="5"/>
  <c r="W81" i="5"/>
  <c r="U81" i="5"/>
  <c r="R81" i="5"/>
  <c r="N81" i="5"/>
  <c r="O81" i="5" s="1"/>
  <c r="L81" i="5"/>
  <c r="H81" i="5"/>
  <c r="I81" i="5" s="1"/>
  <c r="F81" i="5"/>
  <c r="C81" i="5"/>
  <c r="AD80" i="5"/>
  <c r="AC80" i="5"/>
  <c r="AA80" i="5"/>
  <c r="W80" i="5"/>
  <c r="X80" i="5" s="1"/>
  <c r="U80" i="5"/>
  <c r="R80" i="5"/>
  <c r="N80" i="5"/>
  <c r="O80" i="5" s="1"/>
  <c r="L80" i="5"/>
  <c r="I80" i="5"/>
  <c r="H80" i="5"/>
  <c r="F80" i="5"/>
  <c r="C80" i="5"/>
  <c r="AD79" i="5"/>
  <c r="AC79" i="5"/>
  <c r="AA79" i="5"/>
  <c r="W79" i="5"/>
  <c r="X79" i="5" s="1"/>
  <c r="U79" i="5"/>
  <c r="R79" i="5"/>
  <c r="N79" i="5"/>
  <c r="O79" i="5" s="1"/>
  <c r="L79" i="5"/>
  <c r="I79" i="5"/>
  <c r="H79" i="5"/>
  <c r="F79" i="5"/>
  <c r="C79" i="5"/>
  <c r="AC78" i="5"/>
  <c r="AD78" i="5" s="1"/>
  <c r="AA78" i="5"/>
  <c r="W78" i="5"/>
  <c r="X78" i="5" s="1"/>
  <c r="U78" i="5"/>
  <c r="R78" i="5"/>
  <c r="O78" i="5"/>
  <c r="N78" i="5"/>
  <c r="L78" i="5"/>
  <c r="I78" i="5"/>
  <c r="H78" i="5"/>
  <c r="F78" i="5"/>
  <c r="C78" i="5"/>
  <c r="AC77" i="5"/>
  <c r="AD77" i="5" s="1"/>
  <c r="AA77" i="5"/>
  <c r="W77" i="5"/>
  <c r="X77" i="5" s="1"/>
  <c r="U77" i="5"/>
  <c r="R77" i="5"/>
  <c r="N77" i="5"/>
  <c r="O77" i="5" s="1"/>
  <c r="L77" i="5"/>
  <c r="I77" i="5"/>
  <c r="H77" i="5"/>
  <c r="F77" i="5"/>
  <c r="C77" i="5"/>
  <c r="AD76" i="5"/>
  <c r="AC76" i="5"/>
  <c r="AA76" i="5"/>
  <c r="W76" i="5"/>
  <c r="X76" i="5" s="1"/>
  <c r="U76" i="5"/>
  <c r="R76" i="5"/>
  <c r="N76" i="5"/>
  <c r="O76" i="5" s="1"/>
  <c r="L76" i="5"/>
  <c r="H76" i="5"/>
  <c r="I76" i="5" s="1"/>
  <c r="F76" i="5"/>
  <c r="C76" i="5"/>
  <c r="AD75" i="5"/>
  <c r="AC75" i="5"/>
  <c r="AA75" i="5"/>
  <c r="W75" i="5"/>
  <c r="X75" i="5" s="1"/>
  <c r="U75" i="5"/>
  <c r="R75" i="5"/>
  <c r="N75" i="5"/>
  <c r="O75" i="5" s="1"/>
  <c r="L75" i="5"/>
  <c r="I75" i="5"/>
  <c r="H75" i="5"/>
  <c r="F75" i="5"/>
  <c r="C75" i="5"/>
  <c r="AA73" i="5"/>
  <c r="Z73" i="5"/>
  <c r="T73" i="5"/>
  <c r="U73" i="5" s="1"/>
  <c r="Q73" i="5"/>
  <c r="W73" i="5" s="1"/>
  <c r="X73" i="5" s="1"/>
  <c r="L73" i="5"/>
  <c r="K73" i="5"/>
  <c r="E73" i="5"/>
  <c r="H73" i="5" s="1"/>
  <c r="I73" i="5" s="1"/>
  <c r="C73" i="5"/>
  <c r="B73" i="5"/>
  <c r="N73" i="5" s="1"/>
  <c r="O73" i="5" s="1"/>
  <c r="AD72" i="5"/>
  <c r="AC72" i="5"/>
  <c r="AA72" i="5"/>
  <c r="W72" i="5"/>
  <c r="X72" i="5" s="1"/>
  <c r="U72" i="5"/>
  <c r="R72" i="5"/>
  <c r="N72" i="5"/>
  <c r="O72" i="5" s="1"/>
  <c r="L72" i="5"/>
  <c r="I72" i="5"/>
  <c r="H72" i="5"/>
  <c r="F72" i="5"/>
  <c r="C72" i="5"/>
  <c r="AD71" i="5"/>
  <c r="AC71" i="5"/>
  <c r="AA71" i="5"/>
  <c r="W71" i="5"/>
  <c r="X71" i="5" s="1"/>
  <c r="U71" i="5"/>
  <c r="R71" i="5"/>
  <c r="N71" i="5"/>
  <c r="O71" i="5" s="1"/>
  <c r="L71" i="5"/>
  <c r="I71" i="5"/>
  <c r="H71" i="5"/>
  <c r="F71" i="5"/>
  <c r="C71" i="5"/>
  <c r="AC70" i="5"/>
  <c r="AD70" i="5" s="1"/>
  <c r="AA70" i="5"/>
  <c r="W70" i="5"/>
  <c r="X70" i="5" s="1"/>
  <c r="U70" i="5"/>
  <c r="R70" i="5"/>
  <c r="O70" i="5"/>
  <c r="N70" i="5"/>
  <c r="L70" i="5"/>
  <c r="I70" i="5"/>
  <c r="H70" i="5"/>
  <c r="F70" i="5"/>
  <c r="C70" i="5"/>
  <c r="AC69" i="5"/>
  <c r="AD69" i="5" s="1"/>
  <c r="AA69" i="5"/>
  <c r="W69" i="5"/>
  <c r="X69" i="5" s="1"/>
  <c r="U69" i="5"/>
  <c r="R69" i="5"/>
  <c r="N69" i="5"/>
  <c r="O69" i="5" s="1"/>
  <c r="L69" i="5"/>
  <c r="I69" i="5"/>
  <c r="H69" i="5"/>
  <c r="F69" i="5"/>
  <c r="C69" i="5"/>
  <c r="AD68" i="5"/>
  <c r="AC68" i="5"/>
  <c r="AA68" i="5"/>
  <c r="W68" i="5"/>
  <c r="X68" i="5" s="1"/>
  <c r="U68" i="5"/>
  <c r="R68" i="5"/>
  <c r="N68" i="5"/>
  <c r="O68" i="5" s="1"/>
  <c r="L68" i="5"/>
  <c r="H68" i="5"/>
  <c r="I68" i="5" s="1"/>
  <c r="F68" i="5"/>
  <c r="C68" i="5"/>
  <c r="AD67" i="5"/>
  <c r="AC67" i="5"/>
  <c r="AA67" i="5"/>
  <c r="W67" i="5"/>
  <c r="X67" i="5" s="1"/>
  <c r="U67" i="5"/>
  <c r="R67" i="5"/>
  <c r="N67" i="5"/>
  <c r="O67" i="5" s="1"/>
  <c r="L67" i="5"/>
  <c r="I67" i="5"/>
  <c r="H67" i="5"/>
  <c r="F67" i="5"/>
  <c r="C67" i="5"/>
  <c r="AD66" i="5"/>
  <c r="AC66" i="5"/>
  <c r="AA66" i="5"/>
  <c r="W66" i="5"/>
  <c r="X66" i="5" s="1"/>
  <c r="U66" i="5"/>
  <c r="R66" i="5"/>
  <c r="N66" i="5"/>
  <c r="O66" i="5" s="1"/>
  <c r="L66" i="5"/>
  <c r="I66" i="5"/>
  <c r="H66" i="5"/>
  <c r="F66" i="5"/>
  <c r="C66" i="5"/>
  <c r="AC65" i="5"/>
  <c r="AD65" i="5" s="1"/>
  <c r="AA65" i="5"/>
  <c r="X65" i="5"/>
  <c r="W65" i="5"/>
  <c r="U65" i="5"/>
  <c r="R65" i="5"/>
  <c r="N65" i="5"/>
  <c r="O65" i="5" s="1"/>
  <c r="L65" i="5"/>
  <c r="H65" i="5"/>
  <c r="I65" i="5" s="1"/>
  <c r="F65" i="5"/>
  <c r="C65" i="5"/>
  <c r="AD64" i="5"/>
  <c r="AC64" i="5"/>
  <c r="AA64" i="5"/>
  <c r="W64" i="5"/>
  <c r="X64" i="5" s="1"/>
  <c r="U64" i="5"/>
  <c r="R64" i="5"/>
  <c r="N64" i="5"/>
  <c r="O64" i="5" s="1"/>
  <c r="L64" i="5"/>
  <c r="I64" i="5"/>
  <c r="H64" i="5"/>
  <c r="F64" i="5"/>
  <c r="C64" i="5"/>
  <c r="AA62" i="5"/>
  <c r="Z62" i="5"/>
  <c r="T62" i="5"/>
  <c r="W62" i="5" s="1"/>
  <c r="X62" i="5" s="1"/>
  <c r="R62" i="5"/>
  <c r="Q62" i="5"/>
  <c r="AC62" i="5" s="1"/>
  <c r="AD62" i="5" s="1"/>
  <c r="K62" i="5"/>
  <c r="L62" i="5" s="1"/>
  <c r="I62" i="5"/>
  <c r="H62" i="5"/>
  <c r="F62" i="5"/>
  <c r="E62" i="5"/>
  <c r="C62" i="5"/>
  <c r="B62" i="5"/>
  <c r="AC61" i="5"/>
  <c r="AD61" i="5" s="1"/>
  <c r="AA61" i="5"/>
  <c r="Z61" i="5"/>
  <c r="U61" i="5"/>
  <c r="T61" i="5"/>
  <c r="R61" i="5"/>
  <c r="Q61" i="5"/>
  <c r="W61" i="5" s="1"/>
  <c r="X61" i="5" s="1"/>
  <c r="L61" i="5"/>
  <c r="K61" i="5"/>
  <c r="E61" i="5"/>
  <c r="F61" i="5" s="1"/>
  <c r="B61" i="5"/>
  <c r="AD60" i="5"/>
  <c r="AC60" i="5"/>
  <c r="AA60" i="5"/>
  <c r="W60" i="5"/>
  <c r="X60" i="5" s="1"/>
  <c r="U60" i="5"/>
  <c r="R60" i="5"/>
  <c r="N60" i="5"/>
  <c r="O60" i="5" s="1"/>
  <c r="L60" i="5"/>
  <c r="I60" i="5"/>
  <c r="H60" i="5"/>
  <c r="F60" i="5"/>
  <c r="C60" i="5"/>
  <c r="AD59" i="5"/>
  <c r="AC59" i="5"/>
  <c r="AA59" i="5"/>
  <c r="W59" i="5"/>
  <c r="X59" i="5" s="1"/>
  <c r="U59" i="5"/>
  <c r="R59" i="5"/>
  <c r="N59" i="5"/>
  <c r="O59" i="5" s="1"/>
  <c r="L59" i="5"/>
  <c r="I59" i="5"/>
  <c r="H59" i="5"/>
  <c r="F59" i="5"/>
  <c r="C59" i="5"/>
  <c r="AC58" i="5"/>
  <c r="AD58" i="5" s="1"/>
  <c r="AA58" i="5"/>
  <c r="X58" i="5"/>
  <c r="W58" i="5"/>
  <c r="U58" i="5"/>
  <c r="R58" i="5"/>
  <c r="N58" i="5"/>
  <c r="O58" i="5" s="1"/>
  <c r="L58" i="5"/>
  <c r="H58" i="5"/>
  <c r="I58" i="5" s="1"/>
  <c r="F58" i="5"/>
  <c r="C58" i="5"/>
  <c r="AD57" i="5"/>
  <c r="AC57" i="5"/>
  <c r="AA57" i="5"/>
  <c r="W57" i="5"/>
  <c r="X57" i="5" s="1"/>
  <c r="U57" i="5"/>
  <c r="R57" i="5"/>
  <c r="N57" i="5"/>
  <c r="O57" i="5" s="1"/>
  <c r="L57" i="5"/>
  <c r="I57" i="5"/>
  <c r="H57" i="5"/>
  <c r="F57" i="5"/>
  <c r="C57" i="5"/>
  <c r="AD56" i="5"/>
  <c r="AC56" i="5"/>
  <c r="AA56" i="5"/>
  <c r="W56" i="5"/>
  <c r="X56" i="5" s="1"/>
  <c r="U56" i="5"/>
  <c r="R56" i="5"/>
  <c r="N56" i="5"/>
  <c r="O56" i="5" s="1"/>
  <c r="L56" i="5"/>
  <c r="I56" i="5"/>
  <c r="H56" i="5"/>
  <c r="F56" i="5"/>
  <c r="C56" i="5"/>
  <c r="AC55" i="5"/>
  <c r="AD55" i="5" s="1"/>
  <c r="AA55" i="5"/>
  <c r="W55" i="5"/>
  <c r="X55" i="5" s="1"/>
  <c r="U55" i="5"/>
  <c r="R55" i="5"/>
  <c r="O55" i="5"/>
  <c r="N55" i="5"/>
  <c r="L55" i="5"/>
  <c r="I55" i="5"/>
  <c r="H55" i="5"/>
  <c r="F55" i="5"/>
  <c r="C55" i="5"/>
  <c r="AC54" i="5"/>
  <c r="AD54" i="5" s="1"/>
  <c r="AA54" i="5"/>
  <c r="W54" i="5"/>
  <c r="X54" i="5" s="1"/>
  <c r="U54" i="5"/>
  <c r="R54" i="5"/>
  <c r="N54" i="5"/>
  <c r="O54" i="5" s="1"/>
  <c r="L54" i="5"/>
  <c r="I54" i="5"/>
  <c r="H54" i="5"/>
  <c r="F54" i="5"/>
  <c r="C54" i="5"/>
  <c r="AD53" i="5"/>
  <c r="AC53" i="5"/>
  <c r="AA53" i="5"/>
  <c r="W53" i="5"/>
  <c r="X53" i="5" s="1"/>
  <c r="U53" i="5"/>
  <c r="R53" i="5"/>
  <c r="N53" i="5"/>
  <c r="O53" i="5" s="1"/>
  <c r="L53" i="5"/>
  <c r="H53" i="5"/>
  <c r="I53" i="5" s="1"/>
  <c r="F53" i="5"/>
  <c r="C53" i="5"/>
  <c r="AD52" i="5"/>
  <c r="AC52" i="5"/>
  <c r="AA52" i="5"/>
  <c r="W52" i="5"/>
  <c r="X52" i="5" s="1"/>
  <c r="U52" i="5"/>
  <c r="R52" i="5"/>
  <c r="N52" i="5"/>
  <c r="O52" i="5" s="1"/>
  <c r="L52" i="5"/>
  <c r="I52" i="5"/>
  <c r="H52" i="5"/>
  <c r="F52" i="5"/>
  <c r="C52" i="5"/>
  <c r="AD51" i="5"/>
  <c r="AC51" i="5"/>
  <c r="AA51" i="5"/>
  <c r="W51" i="5"/>
  <c r="X51" i="5" s="1"/>
  <c r="U51" i="5"/>
  <c r="R51" i="5"/>
  <c r="N51" i="5"/>
  <c r="O51" i="5" s="1"/>
  <c r="L51" i="5"/>
  <c r="I51" i="5"/>
  <c r="H51" i="5"/>
  <c r="F51" i="5"/>
  <c r="C51" i="5"/>
  <c r="AC50" i="5"/>
  <c r="AD50" i="5" s="1"/>
  <c r="AA50" i="5"/>
  <c r="X50" i="5"/>
  <c r="W50" i="5"/>
  <c r="U50" i="5"/>
  <c r="R50" i="5"/>
  <c r="N50" i="5"/>
  <c r="O50" i="5" s="1"/>
  <c r="L50" i="5"/>
  <c r="H50" i="5"/>
  <c r="I50" i="5" s="1"/>
  <c r="F50" i="5"/>
  <c r="C50" i="5"/>
  <c r="AD49" i="5"/>
  <c r="AC49" i="5"/>
  <c r="AA49" i="5"/>
  <c r="W49" i="5"/>
  <c r="X49" i="5" s="1"/>
  <c r="U49" i="5"/>
  <c r="R49" i="5"/>
  <c r="N49" i="5"/>
  <c r="O49" i="5" s="1"/>
  <c r="L49" i="5"/>
  <c r="I49" i="5"/>
  <c r="H49" i="5"/>
  <c r="F49" i="5"/>
  <c r="C49" i="5"/>
  <c r="AD48" i="5"/>
  <c r="AC48" i="5"/>
  <c r="AA48" i="5"/>
  <c r="W48" i="5"/>
  <c r="X48" i="5" s="1"/>
  <c r="U48" i="5"/>
  <c r="R48" i="5"/>
  <c r="N48" i="5"/>
  <c r="O48" i="5" s="1"/>
  <c r="L48" i="5"/>
  <c r="I48" i="5"/>
  <c r="H48" i="5"/>
  <c r="F48" i="5"/>
  <c r="C48" i="5"/>
  <c r="AC47" i="5"/>
  <c r="AD47" i="5" s="1"/>
  <c r="AA47" i="5"/>
  <c r="W47" i="5"/>
  <c r="X47" i="5" s="1"/>
  <c r="U47" i="5"/>
  <c r="R47" i="5"/>
  <c r="O47" i="5"/>
  <c r="N47" i="5"/>
  <c r="L47" i="5"/>
  <c r="I47" i="5"/>
  <c r="H47" i="5"/>
  <c r="F47" i="5"/>
  <c r="C47" i="5"/>
  <c r="AC46" i="5"/>
  <c r="AD46" i="5" s="1"/>
  <c r="AA46" i="5"/>
  <c r="W46" i="5"/>
  <c r="X46" i="5" s="1"/>
  <c r="U46" i="5"/>
  <c r="R46" i="5"/>
  <c r="N46" i="5"/>
  <c r="O46" i="5" s="1"/>
  <c r="L46" i="5"/>
  <c r="I46" i="5"/>
  <c r="H46" i="5"/>
  <c r="F46" i="5"/>
  <c r="C46" i="5"/>
  <c r="AD44" i="5"/>
  <c r="AC44" i="5"/>
  <c r="AA44" i="5"/>
  <c r="W44" i="5"/>
  <c r="X44" i="5" s="1"/>
  <c r="U44" i="5"/>
  <c r="R44" i="5"/>
  <c r="N44" i="5"/>
  <c r="O44" i="5" s="1"/>
  <c r="L44" i="5"/>
  <c r="H44" i="5"/>
  <c r="I44" i="5" s="1"/>
  <c r="F44" i="5"/>
  <c r="C44" i="5"/>
  <c r="AD43" i="5"/>
  <c r="AC43" i="5"/>
  <c r="AA43" i="5"/>
  <c r="W43" i="5"/>
  <c r="X43" i="5" s="1"/>
  <c r="U43" i="5"/>
  <c r="R43" i="5"/>
  <c r="N43" i="5"/>
  <c r="O43" i="5" s="1"/>
  <c r="L43" i="5"/>
  <c r="I43" i="5"/>
  <c r="H43" i="5"/>
  <c r="F43" i="5"/>
  <c r="C43" i="5"/>
  <c r="AD42" i="5"/>
  <c r="AC42" i="5"/>
  <c r="AA42" i="5"/>
  <c r="W42" i="5"/>
  <c r="X42" i="5" s="1"/>
  <c r="U42" i="5"/>
  <c r="R42" i="5"/>
  <c r="N42" i="5"/>
  <c r="O42" i="5" s="1"/>
  <c r="L42" i="5"/>
  <c r="I42" i="5"/>
  <c r="H42" i="5"/>
  <c r="F42" i="5"/>
  <c r="C42" i="5"/>
  <c r="Z40" i="5"/>
  <c r="AC40" i="5" s="1"/>
  <c r="AD40" i="5" s="1"/>
  <c r="X40" i="5"/>
  <c r="U40" i="5"/>
  <c r="T40" i="5"/>
  <c r="Q40" i="5"/>
  <c r="W40" i="5" s="1"/>
  <c r="N40" i="5"/>
  <c r="O40" i="5" s="1"/>
  <c r="L40" i="5"/>
  <c r="K40" i="5"/>
  <c r="I40" i="5"/>
  <c r="F40" i="5"/>
  <c r="E40" i="5"/>
  <c r="B40" i="5"/>
  <c r="H40" i="5" s="1"/>
  <c r="AD39" i="5"/>
  <c r="AC39" i="5"/>
  <c r="AA39" i="5"/>
  <c r="W39" i="5"/>
  <c r="X39" i="5" s="1"/>
  <c r="U39" i="5"/>
  <c r="R39" i="5"/>
  <c r="N39" i="5"/>
  <c r="O39" i="5" s="1"/>
  <c r="L39" i="5"/>
  <c r="I39" i="5"/>
  <c r="H39" i="5"/>
  <c r="F39" i="5"/>
  <c r="C39" i="5"/>
  <c r="AC38" i="5"/>
  <c r="AD38" i="5" s="1"/>
  <c r="AA38" i="5"/>
  <c r="W38" i="5"/>
  <c r="X38" i="5" s="1"/>
  <c r="U38" i="5"/>
  <c r="R38" i="5"/>
  <c r="O38" i="5"/>
  <c r="N38" i="5"/>
  <c r="L38" i="5"/>
  <c r="I38" i="5"/>
  <c r="H38" i="5"/>
  <c r="F38" i="5"/>
  <c r="C38" i="5"/>
  <c r="AC37" i="5"/>
  <c r="AD37" i="5" s="1"/>
  <c r="AA37" i="5"/>
  <c r="W37" i="5"/>
  <c r="X37" i="5" s="1"/>
  <c r="U37" i="5"/>
  <c r="R37" i="5"/>
  <c r="N37" i="5"/>
  <c r="O37" i="5" s="1"/>
  <c r="L37" i="5"/>
  <c r="I37" i="5"/>
  <c r="H37" i="5"/>
  <c r="F37" i="5"/>
  <c r="C37" i="5"/>
  <c r="AD36" i="5"/>
  <c r="AC36" i="5"/>
  <c r="AA36" i="5"/>
  <c r="W36" i="5"/>
  <c r="X36" i="5" s="1"/>
  <c r="U36" i="5"/>
  <c r="R36" i="5"/>
  <c r="N36" i="5"/>
  <c r="O36" i="5" s="1"/>
  <c r="L36" i="5"/>
  <c r="H36" i="5"/>
  <c r="I36" i="5" s="1"/>
  <c r="F36" i="5"/>
  <c r="C36" i="5"/>
  <c r="AD35" i="5"/>
  <c r="AC35" i="5"/>
  <c r="AA35" i="5"/>
  <c r="W35" i="5"/>
  <c r="X35" i="5" s="1"/>
  <c r="U35" i="5"/>
  <c r="R35" i="5"/>
  <c r="N35" i="5"/>
  <c r="O35" i="5" s="1"/>
  <c r="L35" i="5"/>
  <c r="I35" i="5"/>
  <c r="H35" i="5"/>
  <c r="F35" i="5"/>
  <c r="C35" i="5"/>
  <c r="AD34" i="5"/>
  <c r="AC34" i="5"/>
  <c r="AA34" i="5"/>
  <c r="W34" i="5"/>
  <c r="X34" i="5" s="1"/>
  <c r="U34" i="5"/>
  <c r="R34" i="5"/>
  <c r="N34" i="5"/>
  <c r="O34" i="5" s="1"/>
  <c r="L34" i="5"/>
  <c r="I34" i="5"/>
  <c r="H34" i="5"/>
  <c r="F34" i="5"/>
  <c r="C34" i="5"/>
  <c r="AC33" i="5"/>
  <c r="AD33" i="5" s="1"/>
  <c r="AA33" i="5"/>
  <c r="X33" i="5"/>
  <c r="W33" i="5"/>
  <c r="U33" i="5"/>
  <c r="R33" i="5"/>
  <c r="N33" i="5"/>
  <c r="O33" i="5" s="1"/>
  <c r="L33" i="5"/>
  <c r="H33" i="5"/>
  <c r="I33" i="5" s="1"/>
  <c r="F33" i="5"/>
  <c r="C33" i="5"/>
  <c r="AD32" i="5"/>
  <c r="AC32" i="5"/>
  <c r="AA32" i="5"/>
  <c r="W32" i="5"/>
  <c r="X32" i="5" s="1"/>
  <c r="U32" i="5"/>
  <c r="R32" i="5"/>
  <c r="N32" i="5"/>
  <c r="O32" i="5" s="1"/>
  <c r="L32" i="5"/>
  <c r="I32" i="5"/>
  <c r="H32" i="5"/>
  <c r="F32" i="5"/>
  <c r="C32" i="5"/>
  <c r="AD31" i="5"/>
  <c r="AC31" i="5"/>
  <c r="AA31" i="5"/>
  <c r="W31" i="5"/>
  <c r="X31" i="5" s="1"/>
  <c r="U31" i="5"/>
  <c r="R31" i="5"/>
  <c r="N31" i="5"/>
  <c r="O31" i="5" s="1"/>
  <c r="L31" i="5"/>
  <c r="I31" i="5"/>
  <c r="H31" i="5"/>
  <c r="F31" i="5"/>
  <c r="C31" i="5"/>
  <c r="AC29" i="5"/>
  <c r="AD29" i="5" s="1"/>
  <c r="AA29" i="5"/>
  <c r="Z29" i="5"/>
  <c r="T29" i="5"/>
  <c r="U29" i="5" s="1"/>
  <c r="R29" i="5"/>
  <c r="Q29" i="5"/>
  <c r="L29" i="5"/>
  <c r="K29" i="5"/>
  <c r="I29" i="5"/>
  <c r="H29" i="5"/>
  <c r="F29" i="5"/>
  <c r="E29" i="5"/>
  <c r="C29" i="5"/>
  <c r="B29" i="5"/>
  <c r="N29" i="5" s="1"/>
  <c r="O29" i="5" s="1"/>
  <c r="AD28" i="5"/>
  <c r="AC28" i="5"/>
  <c r="AA28" i="5"/>
  <c r="W28" i="5"/>
  <c r="X28" i="5" s="1"/>
  <c r="U28" i="5"/>
  <c r="R28" i="5"/>
  <c r="N28" i="5"/>
  <c r="O28" i="5" s="1"/>
  <c r="L28" i="5"/>
  <c r="H28" i="5"/>
  <c r="I28" i="5" s="1"/>
  <c r="F28" i="5"/>
  <c r="C28" i="5"/>
  <c r="AD27" i="5"/>
  <c r="AC27" i="5"/>
  <c r="AA27" i="5"/>
  <c r="W27" i="5"/>
  <c r="X27" i="5" s="1"/>
  <c r="U27" i="5"/>
  <c r="R27" i="5"/>
  <c r="N27" i="5"/>
  <c r="O27" i="5" s="1"/>
  <c r="L27" i="5"/>
  <c r="I27" i="5"/>
  <c r="H27" i="5"/>
  <c r="F27" i="5"/>
  <c r="C27" i="5"/>
  <c r="AD26" i="5"/>
  <c r="AC26" i="5"/>
  <c r="AA26" i="5"/>
  <c r="W26" i="5"/>
  <c r="X26" i="5" s="1"/>
  <c r="U26" i="5"/>
  <c r="R26" i="5"/>
  <c r="O26" i="5"/>
  <c r="N26" i="5"/>
  <c r="L26" i="5"/>
  <c r="I26" i="5"/>
  <c r="H26" i="5"/>
  <c r="F26" i="5"/>
  <c r="C26" i="5"/>
  <c r="AC25" i="5"/>
  <c r="AD25" i="5" s="1"/>
  <c r="AA25" i="5"/>
  <c r="X25" i="5"/>
  <c r="W25" i="5"/>
  <c r="U25" i="5"/>
  <c r="R25" i="5"/>
  <c r="N25" i="5"/>
  <c r="O25" i="5" s="1"/>
  <c r="L25" i="5"/>
  <c r="I25" i="5"/>
  <c r="H25" i="5"/>
  <c r="F25" i="5"/>
  <c r="C25" i="5"/>
  <c r="AD24" i="5"/>
  <c r="AC24" i="5"/>
  <c r="AA24" i="5"/>
  <c r="W24" i="5"/>
  <c r="X24" i="5" s="1"/>
  <c r="U24" i="5"/>
  <c r="R24" i="5"/>
  <c r="N24" i="5"/>
  <c r="O24" i="5" s="1"/>
  <c r="L24" i="5"/>
  <c r="I24" i="5"/>
  <c r="H24" i="5"/>
  <c r="F24" i="5"/>
  <c r="C24" i="5"/>
  <c r="AD23" i="5"/>
  <c r="AC23" i="5"/>
  <c r="AA23" i="5"/>
  <c r="W23" i="5"/>
  <c r="X23" i="5" s="1"/>
  <c r="U23" i="5"/>
  <c r="R23" i="5"/>
  <c r="N23" i="5"/>
  <c r="O23" i="5" s="1"/>
  <c r="L23" i="5"/>
  <c r="I23" i="5"/>
  <c r="H23" i="5"/>
  <c r="F23" i="5"/>
  <c r="C23" i="5"/>
  <c r="AC22" i="5"/>
  <c r="AD22" i="5" s="1"/>
  <c r="AA22" i="5"/>
  <c r="W22" i="5"/>
  <c r="X22" i="5" s="1"/>
  <c r="U22" i="5"/>
  <c r="R22" i="5"/>
  <c r="O22" i="5"/>
  <c r="N22" i="5"/>
  <c r="L22" i="5"/>
  <c r="I22" i="5"/>
  <c r="H22" i="5"/>
  <c r="F22" i="5"/>
  <c r="C22" i="5"/>
  <c r="AC21" i="5"/>
  <c r="AD21" i="5" s="1"/>
  <c r="AA21" i="5"/>
  <c r="W21" i="5"/>
  <c r="X21" i="5" s="1"/>
  <c r="U21" i="5"/>
  <c r="R21" i="5"/>
  <c r="N21" i="5"/>
  <c r="O21" i="5" s="1"/>
  <c r="L21" i="5"/>
  <c r="I21" i="5"/>
  <c r="H21" i="5"/>
  <c r="F21" i="5"/>
  <c r="C21" i="5"/>
  <c r="AD19" i="5"/>
  <c r="AC19" i="5"/>
  <c r="AA19" i="5"/>
  <c r="W19" i="5"/>
  <c r="X19" i="5" s="1"/>
  <c r="U19" i="5"/>
  <c r="R19" i="5"/>
  <c r="N19" i="5"/>
  <c r="O19" i="5" s="1"/>
  <c r="L19" i="5"/>
  <c r="H19" i="5"/>
  <c r="I19" i="5" s="1"/>
  <c r="F19" i="5"/>
  <c r="C19" i="5"/>
  <c r="AA18" i="5"/>
  <c r="Z18" i="5"/>
  <c r="U18" i="5"/>
  <c r="T18" i="5"/>
  <c r="W18" i="5" s="1"/>
  <c r="X18" i="5" s="1"/>
  <c r="R18" i="5"/>
  <c r="Q18" i="5"/>
  <c r="AC18" i="5" s="1"/>
  <c r="AD18" i="5" s="1"/>
  <c r="K18" i="5"/>
  <c r="L18" i="5" s="1"/>
  <c r="H18" i="5"/>
  <c r="I18" i="5" s="1"/>
  <c r="F18" i="5"/>
  <c r="E18" i="5"/>
  <c r="C18" i="5"/>
  <c r="B18" i="5"/>
  <c r="AC17" i="5"/>
  <c r="AD17" i="5" s="1"/>
  <c r="AA17" i="5"/>
  <c r="X17" i="5"/>
  <c r="W17" i="5"/>
  <c r="U17" i="5"/>
  <c r="R17" i="5"/>
  <c r="N17" i="5"/>
  <c r="O17" i="5" s="1"/>
  <c r="L17" i="5"/>
  <c r="I17" i="5"/>
  <c r="H17" i="5"/>
  <c r="F17" i="5"/>
  <c r="C17" i="5"/>
  <c r="AD16" i="5"/>
  <c r="AC16" i="5"/>
  <c r="AA16" i="5"/>
  <c r="W16" i="5"/>
  <c r="X16" i="5" s="1"/>
  <c r="U16" i="5"/>
  <c r="R16" i="5"/>
  <c r="N16" i="5"/>
  <c r="O16" i="5" s="1"/>
  <c r="L16" i="5"/>
  <c r="I16" i="5"/>
  <c r="H16" i="5"/>
  <c r="F16" i="5"/>
  <c r="C16" i="5"/>
  <c r="AD15" i="5"/>
  <c r="AC15" i="5"/>
  <c r="AA15" i="5"/>
  <c r="W15" i="5"/>
  <c r="X15" i="5" s="1"/>
  <c r="U15" i="5"/>
  <c r="R15" i="5"/>
  <c r="N15" i="5"/>
  <c r="O15" i="5" s="1"/>
  <c r="L15" i="5"/>
  <c r="I15" i="5"/>
  <c r="H15" i="5"/>
  <c r="F15" i="5"/>
  <c r="C15" i="5"/>
  <c r="AC14" i="5"/>
  <c r="AD14" i="5" s="1"/>
  <c r="AA14" i="5"/>
  <c r="W14" i="5"/>
  <c r="X14" i="5" s="1"/>
  <c r="U14" i="5"/>
  <c r="R14" i="5"/>
  <c r="O14" i="5"/>
  <c r="N14" i="5"/>
  <c r="L14" i="5"/>
  <c r="I14" i="5"/>
  <c r="H14" i="5"/>
  <c r="F14" i="5"/>
  <c r="C14" i="5"/>
  <c r="AC13" i="5"/>
  <c r="AD13" i="5" s="1"/>
  <c r="AA13" i="5"/>
  <c r="W13" i="5"/>
  <c r="X13" i="5" s="1"/>
  <c r="U13" i="5"/>
  <c r="R13" i="5"/>
  <c r="N13" i="5"/>
  <c r="O13" i="5" s="1"/>
  <c r="L13" i="5"/>
  <c r="I13" i="5"/>
  <c r="H13" i="5"/>
  <c r="F13" i="5"/>
  <c r="C13" i="5"/>
  <c r="AD12" i="5"/>
  <c r="AC12" i="5"/>
  <c r="AA12" i="5"/>
  <c r="W12" i="5"/>
  <c r="X12" i="5" s="1"/>
  <c r="U12" i="5"/>
  <c r="R12" i="5"/>
  <c r="N12" i="5"/>
  <c r="O12" i="5" s="1"/>
  <c r="L12" i="5"/>
  <c r="H12" i="5"/>
  <c r="I12" i="5" s="1"/>
  <c r="F12" i="5"/>
  <c r="C12" i="5"/>
  <c r="AD11" i="5"/>
  <c r="AC11" i="5"/>
  <c r="AA11" i="5"/>
  <c r="W11" i="5"/>
  <c r="X11" i="5" s="1"/>
  <c r="U11" i="5"/>
  <c r="R11" i="5"/>
  <c r="N11" i="5"/>
  <c r="O11" i="5" s="1"/>
  <c r="L11" i="5"/>
  <c r="I11" i="5"/>
  <c r="H11" i="5"/>
  <c r="F11" i="5"/>
  <c r="C11" i="5"/>
  <c r="AD10" i="5"/>
  <c r="AC10" i="5"/>
  <c r="AA10" i="5"/>
  <c r="W10" i="5"/>
  <c r="X10" i="5" s="1"/>
  <c r="U10" i="5"/>
  <c r="R10" i="5"/>
  <c r="O10" i="5"/>
  <c r="N10" i="5"/>
  <c r="L10" i="5"/>
  <c r="I10" i="5"/>
  <c r="H10" i="5"/>
  <c r="F10" i="5"/>
  <c r="C10" i="5"/>
  <c r="AC8" i="5"/>
  <c r="AD8" i="5" s="1"/>
  <c r="AA8" i="5"/>
  <c r="X8" i="5"/>
  <c r="W8" i="5"/>
  <c r="U8" i="5"/>
  <c r="R8" i="5"/>
  <c r="N8" i="5"/>
  <c r="O8" i="5" s="1"/>
  <c r="L8" i="5"/>
  <c r="I8" i="5"/>
  <c r="H8" i="5"/>
  <c r="F8" i="5"/>
  <c r="C8" i="5"/>
  <c r="AC444" i="4"/>
  <c r="AD427" i="4" s="1"/>
  <c r="W444" i="4"/>
  <c r="N444" i="4"/>
  <c r="H444" i="4"/>
  <c r="I438" i="4" s="1"/>
  <c r="Z442" i="4"/>
  <c r="AA442" i="4" s="1"/>
  <c r="X442" i="4"/>
  <c r="W442" i="4"/>
  <c r="U442" i="4"/>
  <c r="T442" i="4"/>
  <c r="R442" i="4"/>
  <c r="Q442" i="4"/>
  <c r="L442" i="4"/>
  <c r="K442" i="4"/>
  <c r="N442" i="4" s="1"/>
  <c r="O442" i="4" s="1"/>
  <c r="I442" i="4"/>
  <c r="F442" i="4"/>
  <c r="E442" i="4"/>
  <c r="B442" i="4"/>
  <c r="H442" i="4" s="1"/>
  <c r="AC441" i="4"/>
  <c r="AD441" i="4" s="1"/>
  <c r="AA441" i="4"/>
  <c r="Z441" i="4"/>
  <c r="T441" i="4"/>
  <c r="U441" i="4" s="1"/>
  <c r="Q441" i="4"/>
  <c r="W441" i="4" s="1"/>
  <c r="X441" i="4" s="1"/>
  <c r="L441" i="4"/>
  <c r="K441" i="4"/>
  <c r="E441" i="4"/>
  <c r="H441" i="4" s="1"/>
  <c r="I441" i="4" s="1"/>
  <c r="C441" i="4"/>
  <c r="B441" i="4"/>
  <c r="N441" i="4" s="1"/>
  <c r="O441" i="4" s="1"/>
  <c r="AC440" i="4"/>
  <c r="AA440" i="4"/>
  <c r="W440" i="4"/>
  <c r="X440" i="4" s="1"/>
  <c r="U440" i="4"/>
  <c r="R440" i="4"/>
  <c r="N440" i="4"/>
  <c r="O440" i="4" s="1"/>
  <c r="L440" i="4"/>
  <c r="I440" i="4"/>
  <c r="H440" i="4"/>
  <c r="F440" i="4"/>
  <c r="C440" i="4"/>
  <c r="AC439" i="4"/>
  <c r="AA439" i="4"/>
  <c r="W439" i="4"/>
  <c r="X439" i="4" s="1"/>
  <c r="U439" i="4"/>
  <c r="R439" i="4"/>
  <c r="N439" i="4"/>
  <c r="O439" i="4" s="1"/>
  <c r="L439" i="4"/>
  <c r="I439" i="4"/>
  <c r="H439" i="4"/>
  <c r="F439" i="4"/>
  <c r="C439" i="4"/>
  <c r="AC438" i="4"/>
  <c r="AA438" i="4"/>
  <c r="W438" i="4"/>
  <c r="X438" i="4" s="1"/>
  <c r="U438" i="4"/>
  <c r="R438" i="4"/>
  <c r="N438" i="4"/>
  <c r="O438" i="4" s="1"/>
  <c r="L438" i="4"/>
  <c r="H438" i="4"/>
  <c r="F438" i="4"/>
  <c r="C438" i="4"/>
  <c r="AC437" i="4"/>
  <c r="AA437" i="4"/>
  <c r="X437" i="4"/>
  <c r="W437" i="4"/>
  <c r="U437" i="4"/>
  <c r="R437" i="4"/>
  <c r="N437" i="4"/>
  <c r="O437" i="4" s="1"/>
  <c r="L437" i="4"/>
  <c r="H437" i="4"/>
  <c r="I437" i="4" s="1"/>
  <c r="F437" i="4"/>
  <c r="C437" i="4"/>
  <c r="AC436" i="4"/>
  <c r="AA436" i="4"/>
  <c r="W436" i="4"/>
  <c r="X436" i="4" s="1"/>
  <c r="U436" i="4"/>
  <c r="R436" i="4"/>
  <c r="N436" i="4"/>
  <c r="O436" i="4" s="1"/>
  <c r="L436" i="4"/>
  <c r="H436" i="4"/>
  <c r="I436" i="4" s="1"/>
  <c r="F436" i="4"/>
  <c r="C436" i="4"/>
  <c r="AD435" i="4"/>
  <c r="AC435" i="4"/>
  <c r="AA435" i="4"/>
  <c r="W435" i="4"/>
  <c r="X435" i="4" s="1"/>
  <c r="U435" i="4"/>
  <c r="R435" i="4"/>
  <c r="N435" i="4"/>
  <c r="O435" i="4" s="1"/>
  <c r="L435" i="4"/>
  <c r="I435" i="4"/>
  <c r="H435" i="4"/>
  <c r="F435" i="4"/>
  <c r="C435" i="4"/>
  <c r="AC434" i="4"/>
  <c r="AA434" i="4"/>
  <c r="W434" i="4"/>
  <c r="X434" i="4" s="1"/>
  <c r="U434" i="4"/>
  <c r="R434" i="4"/>
  <c r="N434" i="4"/>
  <c r="O434" i="4" s="1"/>
  <c r="L434" i="4"/>
  <c r="I434" i="4"/>
  <c r="H434" i="4"/>
  <c r="F434" i="4"/>
  <c r="C434" i="4"/>
  <c r="AC433" i="4"/>
  <c r="AD433" i="4" s="1"/>
  <c r="AA433" i="4"/>
  <c r="W433" i="4"/>
  <c r="X433" i="4" s="1"/>
  <c r="U433" i="4"/>
  <c r="R433" i="4"/>
  <c r="N433" i="4"/>
  <c r="O433" i="4" s="1"/>
  <c r="L433" i="4"/>
  <c r="H433" i="4"/>
  <c r="I433" i="4" s="1"/>
  <c r="F433" i="4"/>
  <c r="C433" i="4"/>
  <c r="AC432" i="4"/>
  <c r="AA432" i="4"/>
  <c r="W432" i="4"/>
  <c r="X432" i="4" s="1"/>
  <c r="U432" i="4"/>
  <c r="R432" i="4"/>
  <c r="N432" i="4"/>
  <c r="O432" i="4" s="1"/>
  <c r="L432" i="4"/>
  <c r="I432" i="4"/>
  <c r="H432" i="4"/>
  <c r="F432" i="4"/>
  <c r="C432" i="4"/>
  <c r="AA429" i="4"/>
  <c r="Z429" i="4"/>
  <c r="W429" i="4"/>
  <c r="X429" i="4" s="1"/>
  <c r="U429" i="4"/>
  <c r="T429" i="4"/>
  <c r="R429" i="4"/>
  <c r="Q429" i="4"/>
  <c r="AC429" i="4" s="1"/>
  <c r="AD429" i="4" s="1"/>
  <c r="K429" i="4"/>
  <c r="L429" i="4" s="1"/>
  <c r="I429" i="4"/>
  <c r="H429" i="4"/>
  <c r="F429" i="4"/>
  <c r="E429" i="4"/>
  <c r="C429" i="4"/>
  <c r="B429" i="4"/>
  <c r="AA428" i="4"/>
  <c r="Z428" i="4"/>
  <c r="U428" i="4"/>
  <c r="T428" i="4"/>
  <c r="Q428" i="4"/>
  <c r="W428" i="4" s="1"/>
  <c r="X428" i="4" s="1"/>
  <c r="N428" i="4"/>
  <c r="O428" i="4" s="1"/>
  <c r="L428" i="4"/>
  <c r="K428" i="4"/>
  <c r="E428" i="4"/>
  <c r="F428" i="4" s="1"/>
  <c r="B428" i="4"/>
  <c r="H428" i="4" s="1"/>
  <c r="I428" i="4" s="1"/>
  <c r="AC427" i="4"/>
  <c r="AA427" i="4"/>
  <c r="W427" i="4"/>
  <c r="X427" i="4" s="1"/>
  <c r="U427" i="4"/>
  <c r="R427" i="4"/>
  <c r="N427" i="4"/>
  <c r="O427" i="4" s="1"/>
  <c r="L427" i="4"/>
  <c r="I427" i="4"/>
  <c r="H427" i="4"/>
  <c r="F427" i="4"/>
  <c r="C427" i="4"/>
  <c r="AC426" i="4"/>
  <c r="AD426" i="4" s="1"/>
  <c r="AA426" i="4"/>
  <c r="W426" i="4"/>
  <c r="X426" i="4" s="1"/>
  <c r="U426" i="4"/>
  <c r="R426" i="4"/>
  <c r="N426" i="4"/>
  <c r="O426" i="4" s="1"/>
  <c r="L426" i="4"/>
  <c r="I426" i="4"/>
  <c r="H426" i="4"/>
  <c r="F426" i="4"/>
  <c r="C426" i="4"/>
  <c r="AC425" i="4"/>
  <c r="AD425" i="4" s="1"/>
  <c r="AA425" i="4"/>
  <c r="W425" i="4"/>
  <c r="X425" i="4" s="1"/>
  <c r="U425" i="4"/>
  <c r="R425" i="4"/>
  <c r="N425" i="4"/>
  <c r="O425" i="4" s="1"/>
  <c r="L425" i="4"/>
  <c r="H425" i="4"/>
  <c r="I425" i="4" s="1"/>
  <c r="F425" i="4"/>
  <c r="C425" i="4"/>
  <c r="AC424" i="4"/>
  <c r="AA424" i="4"/>
  <c r="W424" i="4"/>
  <c r="X424" i="4" s="1"/>
  <c r="U424" i="4"/>
  <c r="R424" i="4"/>
  <c r="N424" i="4"/>
  <c r="O424" i="4" s="1"/>
  <c r="L424" i="4"/>
  <c r="I424" i="4"/>
  <c r="H424" i="4"/>
  <c r="F424" i="4"/>
  <c r="C424" i="4"/>
  <c r="AC423" i="4"/>
  <c r="AA423" i="4"/>
  <c r="W423" i="4"/>
  <c r="X423" i="4" s="1"/>
  <c r="U423" i="4"/>
  <c r="R423" i="4"/>
  <c r="N423" i="4"/>
  <c r="O423" i="4" s="1"/>
  <c r="L423" i="4"/>
  <c r="I423" i="4"/>
  <c r="H423" i="4"/>
  <c r="F423" i="4"/>
  <c r="C423" i="4"/>
  <c r="AC422" i="4"/>
  <c r="AA422" i="4"/>
  <c r="W422" i="4"/>
  <c r="X422" i="4" s="1"/>
  <c r="U422" i="4"/>
  <c r="R422" i="4"/>
  <c r="N422" i="4"/>
  <c r="O422" i="4" s="1"/>
  <c r="L422" i="4"/>
  <c r="H422" i="4"/>
  <c r="F422" i="4"/>
  <c r="C422" i="4"/>
  <c r="AC421" i="4"/>
  <c r="AA421" i="4"/>
  <c r="X421" i="4"/>
  <c r="W421" i="4"/>
  <c r="U421" i="4"/>
  <c r="R421" i="4"/>
  <c r="N421" i="4"/>
  <c r="O421" i="4" s="1"/>
  <c r="L421" i="4"/>
  <c r="H421" i="4"/>
  <c r="I421" i="4" s="1"/>
  <c r="F421" i="4"/>
  <c r="C421" i="4"/>
  <c r="AC420" i="4"/>
  <c r="AA420" i="4"/>
  <c r="X420" i="4"/>
  <c r="W420" i="4"/>
  <c r="U420" i="4"/>
  <c r="R420" i="4"/>
  <c r="N420" i="4"/>
  <c r="O420" i="4" s="1"/>
  <c r="L420" i="4"/>
  <c r="H420" i="4"/>
  <c r="I420" i="4" s="1"/>
  <c r="F420" i="4"/>
  <c r="C420" i="4"/>
  <c r="AD419" i="4"/>
  <c r="AC419" i="4"/>
  <c r="AA419" i="4"/>
  <c r="W419" i="4"/>
  <c r="X419" i="4" s="1"/>
  <c r="U419" i="4"/>
  <c r="R419" i="4"/>
  <c r="O419" i="4"/>
  <c r="N419" i="4"/>
  <c r="L419" i="4"/>
  <c r="I419" i="4"/>
  <c r="H419" i="4"/>
  <c r="F419" i="4"/>
  <c r="C419" i="4"/>
  <c r="AC418" i="4"/>
  <c r="AD418" i="4" s="1"/>
  <c r="AA418" i="4"/>
  <c r="W418" i="4"/>
  <c r="X418" i="4" s="1"/>
  <c r="U418" i="4"/>
  <c r="R418" i="4"/>
  <c r="N418" i="4"/>
  <c r="O418" i="4" s="1"/>
  <c r="L418" i="4"/>
  <c r="I418" i="4"/>
  <c r="H418" i="4"/>
  <c r="F418" i="4"/>
  <c r="C418" i="4"/>
  <c r="AC417" i="4"/>
  <c r="AD417" i="4" s="1"/>
  <c r="AA417" i="4"/>
  <c r="W417" i="4"/>
  <c r="X417" i="4" s="1"/>
  <c r="U417" i="4"/>
  <c r="R417" i="4"/>
  <c r="N417" i="4"/>
  <c r="O417" i="4" s="1"/>
  <c r="L417" i="4"/>
  <c r="H417" i="4"/>
  <c r="I417" i="4" s="1"/>
  <c r="F417" i="4"/>
  <c r="C417" i="4"/>
  <c r="AC416" i="4"/>
  <c r="AA416" i="4"/>
  <c r="W416" i="4"/>
  <c r="X416" i="4" s="1"/>
  <c r="U416" i="4"/>
  <c r="R416" i="4"/>
  <c r="N416" i="4"/>
  <c r="O416" i="4" s="1"/>
  <c r="L416" i="4"/>
  <c r="I416" i="4"/>
  <c r="H416" i="4"/>
  <c r="F416" i="4"/>
  <c r="C416" i="4"/>
  <c r="AC415" i="4"/>
  <c r="AA415" i="4"/>
  <c r="W415" i="4"/>
  <c r="X415" i="4" s="1"/>
  <c r="U415" i="4"/>
  <c r="R415" i="4"/>
  <c r="N415" i="4"/>
  <c r="O415" i="4" s="1"/>
  <c r="L415" i="4"/>
  <c r="I415" i="4"/>
  <c r="H415" i="4"/>
  <c r="F415" i="4"/>
  <c r="C415" i="4"/>
  <c r="AC414" i="4"/>
  <c r="AA414" i="4"/>
  <c r="W414" i="4"/>
  <c r="X414" i="4" s="1"/>
  <c r="U414" i="4"/>
  <c r="R414" i="4"/>
  <c r="N414" i="4"/>
  <c r="O414" i="4" s="1"/>
  <c r="L414" i="4"/>
  <c r="H414" i="4"/>
  <c r="F414" i="4"/>
  <c r="C414" i="4"/>
  <c r="AC413" i="4"/>
  <c r="AA413" i="4"/>
  <c r="X413" i="4"/>
  <c r="W413" i="4"/>
  <c r="U413" i="4"/>
  <c r="R413" i="4"/>
  <c r="N413" i="4"/>
  <c r="O413" i="4" s="1"/>
  <c r="L413" i="4"/>
  <c r="H413" i="4"/>
  <c r="I413" i="4" s="1"/>
  <c r="F413" i="4"/>
  <c r="C413" i="4"/>
  <c r="AC412" i="4"/>
  <c r="AA412" i="4"/>
  <c r="X412" i="4"/>
  <c r="W412" i="4"/>
  <c r="U412" i="4"/>
  <c r="R412" i="4"/>
  <c r="N412" i="4"/>
  <c r="O412" i="4" s="1"/>
  <c r="L412" i="4"/>
  <c r="H412" i="4"/>
  <c r="I412" i="4" s="1"/>
  <c r="F412" i="4"/>
  <c r="C412" i="4"/>
  <c r="AD411" i="4"/>
  <c r="AC411" i="4"/>
  <c r="AA411" i="4"/>
  <c r="W411" i="4"/>
  <c r="X411" i="4" s="1"/>
  <c r="U411" i="4"/>
  <c r="R411" i="4"/>
  <c r="O411" i="4"/>
  <c r="N411" i="4"/>
  <c r="L411" i="4"/>
  <c r="I411" i="4"/>
  <c r="H411" i="4"/>
  <c r="F411" i="4"/>
  <c r="C411" i="4"/>
  <c r="AC410" i="4"/>
  <c r="AD410" i="4" s="1"/>
  <c r="AA410" i="4"/>
  <c r="W410" i="4"/>
  <c r="X410" i="4" s="1"/>
  <c r="U410" i="4"/>
  <c r="R410" i="4"/>
  <c r="N410" i="4"/>
  <c r="O410" i="4" s="1"/>
  <c r="L410" i="4"/>
  <c r="I410" i="4"/>
  <c r="H410" i="4"/>
  <c r="F410" i="4"/>
  <c r="C410" i="4"/>
  <c r="AC409" i="4"/>
  <c r="AD409" i="4" s="1"/>
  <c r="AA409" i="4"/>
  <c r="W409" i="4"/>
  <c r="X409" i="4" s="1"/>
  <c r="U409" i="4"/>
  <c r="R409" i="4"/>
  <c r="N409" i="4"/>
  <c r="O409" i="4" s="1"/>
  <c r="L409" i="4"/>
  <c r="H409" i="4"/>
  <c r="I409" i="4" s="1"/>
  <c r="F409" i="4"/>
  <c r="C409" i="4"/>
  <c r="AC408" i="4"/>
  <c r="AA408" i="4"/>
  <c r="W408" i="4"/>
  <c r="X408" i="4" s="1"/>
  <c r="U408" i="4"/>
  <c r="R408" i="4"/>
  <c r="N408" i="4"/>
  <c r="O408" i="4" s="1"/>
  <c r="L408" i="4"/>
  <c r="I408" i="4"/>
  <c r="H408" i="4"/>
  <c r="F408" i="4"/>
  <c r="C408" i="4"/>
  <c r="AC407" i="4"/>
  <c r="AA407" i="4"/>
  <c r="W407" i="4"/>
  <c r="X407" i="4" s="1"/>
  <c r="U407" i="4"/>
  <c r="R407" i="4"/>
  <c r="N407" i="4"/>
  <c r="O407" i="4" s="1"/>
  <c r="L407" i="4"/>
  <c r="I407" i="4"/>
  <c r="H407" i="4"/>
  <c r="F407" i="4"/>
  <c r="C407" i="4"/>
  <c r="AA403" i="4"/>
  <c r="Z403" i="4"/>
  <c r="W403" i="4"/>
  <c r="X403" i="4" s="1"/>
  <c r="U403" i="4"/>
  <c r="T403" i="4"/>
  <c r="R403" i="4"/>
  <c r="Q403" i="4"/>
  <c r="AC403" i="4" s="1"/>
  <c r="AD403" i="4" s="1"/>
  <c r="K403" i="4"/>
  <c r="L403" i="4" s="1"/>
  <c r="I403" i="4"/>
  <c r="F403" i="4"/>
  <c r="E403" i="4"/>
  <c r="C403" i="4"/>
  <c r="B403" i="4"/>
  <c r="H403" i="4" s="1"/>
  <c r="AC402" i="4"/>
  <c r="AD402" i="4" s="1"/>
  <c r="AA402" i="4"/>
  <c r="W402" i="4"/>
  <c r="X402" i="4" s="1"/>
  <c r="U402" i="4"/>
  <c r="R402" i="4"/>
  <c r="O402" i="4"/>
  <c r="N402" i="4"/>
  <c r="L402" i="4"/>
  <c r="I402" i="4"/>
  <c r="H402" i="4"/>
  <c r="F402" i="4"/>
  <c r="C402" i="4"/>
  <c r="AC401" i="4"/>
  <c r="AD401" i="4" s="1"/>
  <c r="AA401" i="4"/>
  <c r="W401" i="4"/>
  <c r="X401" i="4" s="1"/>
  <c r="U401" i="4"/>
  <c r="R401" i="4"/>
  <c r="N401" i="4"/>
  <c r="O401" i="4" s="1"/>
  <c r="L401" i="4"/>
  <c r="I401" i="4"/>
  <c r="H401" i="4"/>
  <c r="F401" i="4"/>
  <c r="C401" i="4"/>
  <c r="AD400" i="4"/>
  <c r="AC400" i="4"/>
  <c r="AA400" i="4"/>
  <c r="W400" i="4"/>
  <c r="X400" i="4" s="1"/>
  <c r="U400" i="4"/>
  <c r="R400" i="4"/>
  <c r="N400" i="4"/>
  <c r="O400" i="4" s="1"/>
  <c r="L400" i="4"/>
  <c r="H400" i="4"/>
  <c r="I400" i="4" s="1"/>
  <c r="F400" i="4"/>
  <c r="C400" i="4"/>
  <c r="AC399" i="4"/>
  <c r="AA399" i="4"/>
  <c r="W399" i="4"/>
  <c r="X399" i="4" s="1"/>
  <c r="U399" i="4"/>
  <c r="R399" i="4"/>
  <c r="N399" i="4"/>
  <c r="O399" i="4" s="1"/>
  <c r="L399" i="4"/>
  <c r="H399" i="4"/>
  <c r="F399" i="4"/>
  <c r="C399" i="4"/>
  <c r="AC398" i="4"/>
  <c r="AD398" i="4" s="1"/>
  <c r="AA398" i="4"/>
  <c r="W398" i="4"/>
  <c r="X398" i="4" s="1"/>
  <c r="U398" i="4"/>
  <c r="R398" i="4"/>
  <c r="O398" i="4"/>
  <c r="N398" i="4"/>
  <c r="L398" i="4"/>
  <c r="I398" i="4"/>
  <c r="H398" i="4"/>
  <c r="F398" i="4"/>
  <c r="C398" i="4"/>
  <c r="AC397" i="4"/>
  <c r="AA397" i="4"/>
  <c r="W397" i="4"/>
  <c r="X397" i="4" s="1"/>
  <c r="U397" i="4"/>
  <c r="R397" i="4"/>
  <c r="N397" i="4"/>
  <c r="O397" i="4" s="1"/>
  <c r="L397" i="4"/>
  <c r="H397" i="4"/>
  <c r="I397" i="4" s="1"/>
  <c r="F397" i="4"/>
  <c r="C397" i="4"/>
  <c r="AD396" i="4"/>
  <c r="AA396" i="4"/>
  <c r="Z396" i="4"/>
  <c r="W396" i="4"/>
  <c r="X396" i="4" s="1"/>
  <c r="U396" i="4"/>
  <c r="T396" i="4"/>
  <c r="R396" i="4"/>
  <c r="Q396" i="4"/>
  <c r="AC396" i="4" s="1"/>
  <c r="K396" i="4"/>
  <c r="L396" i="4" s="1"/>
  <c r="I396" i="4"/>
  <c r="F396" i="4"/>
  <c r="E396" i="4"/>
  <c r="C396" i="4"/>
  <c r="B396" i="4"/>
  <c r="H396" i="4" s="1"/>
  <c r="AC395" i="4"/>
  <c r="AD395" i="4" s="1"/>
  <c r="AA395" i="4"/>
  <c r="W395" i="4"/>
  <c r="X395" i="4" s="1"/>
  <c r="U395" i="4"/>
  <c r="R395" i="4"/>
  <c r="O395" i="4"/>
  <c r="N395" i="4"/>
  <c r="L395" i="4"/>
  <c r="I395" i="4"/>
  <c r="H395" i="4"/>
  <c r="F395" i="4"/>
  <c r="C395" i="4"/>
  <c r="AC394" i="4"/>
  <c r="AD394" i="4" s="1"/>
  <c r="AA394" i="4"/>
  <c r="W394" i="4"/>
  <c r="X394" i="4" s="1"/>
  <c r="U394" i="4"/>
  <c r="R394" i="4"/>
  <c r="N394" i="4"/>
  <c r="O394" i="4" s="1"/>
  <c r="L394" i="4"/>
  <c r="I394" i="4"/>
  <c r="H394" i="4"/>
  <c r="F394" i="4"/>
  <c r="C394" i="4"/>
  <c r="Z393" i="4"/>
  <c r="AA393" i="4" s="1"/>
  <c r="W393" i="4"/>
  <c r="X393" i="4" s="1"/>
  <c r="U393" i="4"/>
  <c r="T393" i="4"/>
  <c r="R393" i="4"/>
  <c r="Q393" i="4"/>
  <c r="K393" i="4"/>
  <c r="N393" i="4" s="1"/>
  <c r="O393" i="4" s="1"/>
  <c r="F393" i="4"/>
  <c r="E393" i="4"/>
  <c r="C393" i="4"/>
  <c r="B393" i="4"/>
  <c r="H393" i="4" s="1"/>
  <c r="I393" i="4" s="1"/>
  <c r="AC392" i="4"/>
  <c r="AD392" i="4" s="1"/>
  <c r="AA392" i="4"/>
  <c r="W392" i="4"/>
  <c r="X392" i="4" s="1"/>
  <c r="U392" i="4"/>
  <c r="R392" i="4"/>
  <c r="O392" i="4"/>
  <c r="N392" i="4"/>
  <c r="L392" i="4"/>
  <c r="I392" i="4"/>
  <c r="H392" i="4"/>
  <c r="F392" i="4"/>
  <c r="C392" i="4"/>
  <c r="AC391" i="4"/>
  <c r="AD391" i="4" s="1"/>
  <c r="AA391" i="4"/>
  <c r="W391" i="4"/>
  <c r="X391" i="4" s="1"/>
  <c r="U391" i="4"/>
  <c r="R391" i="4"/>
  <c r="N391" i="4"/>
  <c r="O391" i="4" s="1"/>
  <c r="L391" i="4"/>
  <c r="H391" i="4"/>
  <c r="I391" i="4" s="1"/>
  <c r="F391" i="4"/>
  <c r="C391" i="4"/>
  <c r="AD390" i="4"/>
  <c r="AC390" i="4"/>
  <c r="AA390" i="4"/>
  <c r="W390" i="4"/>
  <c r="X390" i="4" s="1"/>
  <c r="U390" i="4"/>
  <c r="R390" i="4"/>
  <c r="N390" i="4"/>
  <c r="O390" i="4" s="1"/>
  <c r="L390" i="4"/>
  <c r="I390" i="4"/>
  <c r="H390" i="4"/>
  <c r="F390" i="4"/>
  <c r="C390" i="4"/>
  <c r="AD389" i="4"/>
  <c r="AC389" i="4"/>
  <c r="AA389" i="4"/>
  <c r="W389" i="4"/>
  <c r="X389" i="4" s="1"/>
  <c r="U389" i="4"/>
  <c r="R389" i="4"/>
  <c r="N389" i="4"/>
  <c r="O389" i="4" s="1"/>
  <c r="L389" i="4"/>
  <c r="I389" i="4"/>
  <c r="H389" i="4"/>
  <c r="F389" i="4"/>
  <c r="C389" i="4"/>
  <c r="AC388" i="4"/>
  <c r="AD388" i="4" s="1"/>
  <c r="AA388" i="4"/>
  <c r="W388" i="4"/>
  <c r="X388" i="4" s="1"/>
  <c r="U388" i="4"/>
  <c r="R388" i="4"/>
  <c r="O388" i="4"/>
  <c r="N388" i="4"/>
  <c r="L388" i="4"/>
  <c r="I388" i="4"/>
  <c r="H388" i="4"/>
  <c r="F388" i="4"/>
  <c r="C388" i="4"/>
  <c r="AC386" i="4"/>
  <c r="AD386" i="4" s="1"/>
  <c r="AA386" i="4"/>
  <c r="W386" i="4"/>
  <c r="X386" i="4" s="1"/>
  <c r="U386" i="4"/>
  <c r="R386" i="4"/>
  <c r="N386" i="4"/>
  <c r="O386" i="4" s="1"/>
  <c r="L386" i="4"/>
  <c r="I386" i="4"/>
  <c r="H386" i="4"/>
  <c r="F386" i="4"/>
  <c r="C386" i="4"/>
  <c r="AD385" i="4"/>
  <c r="AC385" i="4"/>
  <c r="AA385" i="4"/>
  <c r="X385" i="4"/>
  <c r="W385" i="4"/>
  <c r="U385" i="4"/>
  <c r="R385" i="4"/>
  <c r="N385" i="4"/>
  <c r="O385" i="4" s="1"/>
  <c r="L385" i="4"/>
  <c r="H385" i="4"/>
  <c r="I385" i="4" s="1"/>
  <c r="F385" i="4"/>
  <c r="C385" i="4"/>
  <c r="AC383" i="4"/>
  <c r="AA383" i="4"/>
  <c r="W383" i="4"/>
  <c r="X383" i="4" s="1"/>
  <c r="U383" i="4"/>
  <c r="R383" i="4"/>
  <c r="O383" i="4"/>
  <c r="N383" i="4"/>
  <c r="L383" i="4"/>
  <c r="H383" i="4"/>
  <c r="F383" i="4"/>
  <c r="C383" i="4"/>
  <c r="AD382" i="4"/>
  <c r="AC382" i="4"/>
  <c r="AA382" i="4"/>
  <c r="W382" i="4"/>
  <c r="X382" i="4" s="1"/>
  <c r="U382" i="4"/>
  <c r="R382" i="4"/>
  <c r="N382" i="4"/>
  <c r="O382" i="4" s="1"/>
  <c r="L382" i="4"/>
  <c r="I382" i="4"/>
  <c r="H382" i="4"/>
  <c r="F382" i="4"/>
  <c r="C382" i="4"/>
  <c r="AC381" i="4"/>
  <c r="AD381" i="4" s="1"/>
  <c r="AA381" i="4"/>
  <c r="W381" i="4"/>
  <c r="X381" i="4" s="1"/>
  <c r="U381" i="4"/>
  <c r="R381" i="4"/>
  <c r="N381" i="4"/>
  <c r="O381" i="4" s="1"/>
  <c r="L381" i="4"/>
  <c r="I381" i="4"/>
  <c r="H381" i="4"/>
  <c r="F381" i="4"/>
  <c r="C381" i="4"/>
  <c r="AD380" i="4"/>
  <c r="AC380" i="4"/>
  <c r="AA380" i="4"/>
  <c r="W380" i="4"/>
  <c r="X380" i="4" s="1"/>
  <c r="U380" i="4"/>
  <c r="R380" i="4"/>
  <c r="N380" i="4"/>
  <c r="O380" i="4" s="1"/>
  <c r="L380" i="4"/>
  <c r="I380" i="4"/>
  <c r="H380" i="4"/>
  <c r="F380" i="4"/>
  <c r="C380" i="4"/>
  <c r="AD379" i="4"/>
  <c r="AC379" i="4"/>
  <c r="AA379" i="4"/>
  <c r="W379" i="4"/>
  <c r="X379" i="4" s="1"/>
  <c r="U379" i="4"/>
  <c r="R379" i="4"/>
  <c r="N379" i="4"/>
  <c r="O379" i="4" s="1"/>
  <c r="L379" i="4"/>
  <c r="I379" i="4"/>
  <c r="H379" i="4"/>
  <c r="F379" i="4"/>
  <c r="C379" i="4"/>
  <c r="AC378" i="4"/>
  <c r="AD378" i="4" s="1"/>
  <c r="AA378" i="4"/>
  <c r="W378" i="4"/>
  <c r="X378" i="4" s="1"/>
  <c r="U378" i="4"/>
  <c r="R378" i="4"/>
  <c r="O378" i="4"/>
  <c r="N378" i="4"/>
  <c r="L378" i="4"/>
  <c r="I378" i="4"/>
  <c r="H378" i="4"/>
  <c r="F378" i="4"/>
  <c r="C378" i="4"/>
  <c r="AD377" i="4"/>
  <c r="AC377" i="4"/>
  <c r="AA377" i="4"/>
  <c r="W377" i="4"/>
  <c r="X377" i="4" s="1"/>
  <c r="U377" i="4"/>
  <c r="R377" i="4"/>
  <c r="N377" i="4"/>
  <c r="O377" i="4" s="1"/>
  <c r="L377" i="4"/>
  <c r="I377" i="4"/>
  <c r="H377" i="4"/>
  <c r="F377" i="4"/>
  <c r="C377" i="4"/>
  <c r="AD376" i="4"/>
  <c r="AC376" i="4"/>
  <c r="AA376" i="4"/>
  <c r="W376" i="4"/>
  <c r="X376" i="4" s="1"/>
  <c r="U376" i="4"/>
  <c r="R376" i="4"/>
  <c r="N376" i="4"/>
  <c r="O376" i="4" s="1"/>
  <c r="L376" i="4"/>
  <c r="H376" i="4"/>
  <c r="I376" i="4" s="1"/>
  <c r="F376" i="4"/>
  <c r="C376" i="4"/>
  <c r="AC375" i="4"/>
  <c r="AA375" i="4"/>
  <c r="W375" i="4"/>
  <c r="X375" i="4" s="1"/>
  <c r="U375" i="4"/>
  <c r="R375" i="4"/>
  <c r="O375" i="4"/>
  <c r="N375" i="4"/>
  <c r="L375" i="4"/>
  <c r="H375" i="4"/>
  <c r="F375" i="4"/>
  <c r="C375" i="4"/>
  <c r="AC374" i="4"/>
  <c r="AD374" i="4" s="1"/>
  <c r="AA374" i="4"/>
  <c r="W374" i="4"/>
  <c r="X374" i="4" s="1"/>
  <c r="U374" i="4"/>
  <c r="R374" i="4"/>
  <c r="N374" i="4"/>
  <c r="O374" i="4" s="1"/>
  <c r="L374" i="4"/>
  <c r="I374" i="4"/>
  <c r="H374" i="4"/>
  <c r="F374" i="4"/>
  <c r="C374" i="4"/>
  <c r="AC373" i="4"/>
  <c r="AD373" i="4" s="1"/>
  <c r="AA373" i="4"/>
  <c r="X373" i="4"/>
  <c r="W373" i="4"/>
  <c r="U373" i="4"/>
  <c r="R373" i="4"/>
  <c r="N373" i="4"/>
  <c r="O373" i="4" s="1"/>
  <c r="L373" i="4"/>
  <c r="H373" i="4"/>
  <c r="I373" i="4" s="1"/>
  <c r="F373" i="4"/>
  <c r="C373" i="4"/>
  <c r="AD372" i="4"/>
  <c r="AC372" i="4"/>
  <c r="AA372" i="4"/>
  <c r="W372" i="4"/>
  <c r="X372" i="4" s="1"/>
  <c r="U372" i="4"/>
  <c r="R372" i="4"/>
  <c r="N372" i="4"/>
  <c r="O372" i="4" s="1"/>
  <c r="L372" i="4"/>
  <c r="I372" i="4"/>
  <c r="H372" i="4"/>
  <c r="F372" i="4"/>
  <c r="C372" i="4"/>
  <c r="AD371" i="4"/>
  <c r="AC371" i="4"/>
  <c r="AA371" i="4"/>
  <c r="W371" i="4"/>
  <c r="X371" i="4" s="1"/>
  <c r="U371" i="4"/>
  <c r="R371" i="4"/>
  <c r="N371" i="4"/>
  <c r="O371" i="4" s="1"/>
  <c r="L371" i="4"/>
  <c r="I371" i="4"/>
  <c r="H371" i="4"/>
  <c r="F371" i="4"/>
  <c r="C371" i="4"/>
  <c r="AC370" i="4"/>
  <c r="AD370" i="4" s="1"/>
  <c r="AA370" i="4"/>
  <c r="W370" i="4"/>
  <c r="X370" i="4" s="1"/>
  <c r="U370" i="4"/>
  <c r="R370" i="4"/>
  <c r="O370" i="4"/>
  <c r="N370" i="4"/>
  <c r="L370" i="4"/>
  <c r="I370" i="4"/>
  <c r="H370" i="4"/>
  <c r="F370" i="4"/>
  <c r="C370" i="4"/>
  <c r="AC369" i="4"/>
  <c r="AD369" i="4" s="1"/>
  <c r="AA369" i="4"/>
  <c r="W369" i="4"/>
  <c r="X369" i="4" s="1"/>
  <c r="U369" i="4"/>
  <c r="R369" i="4"/>
  <c r="N369" i="4"/>
  <c r="O369" i="4" s="1"/>
  <c r="L369" i="4"/>
  <c r="I369" i="4"/>
  <c r="H369" i="4"/>
  <c r="F369" i="4"/>
  <c r="C369" i="4"/>
  <c r="AA368" i="4"/>
  <c r="Z368" i="4"/>
  <c r="X368" i="4"/>
  <c r="W368" i="4"/>
  <c r="U368" i="4"/>
  <c r="T368" i="4"/>
  <c r="R368" i="4"/>
  <c r="Q368" i="4"/>
  <c r="AC368" i="4" s="1"/>
  <c r="AD368" i="4" s="1"/>
  <c r="L368" i="4"/>
  <c r="K368" i="4"/>
  <c r="F368" i="4"/>
  <c r="E368" i="4"/>
  <c r="B368" i="4"/>
  <c r="H368" i="4" s="1"/>
  <c r="I368" i="4" s="1"/>
  <c r="AD367" i="4"/>
  <c r="AC367" i="4"/>
  <c r="AA367" i="4"/>
  <c r="W367" i="4"/>
  <c r="X367" i="4" s="1"/>
  <c r="U367" i="4"/>
  <c r="R367" i="4"/>
  <c r="N367" i="4"/>
  <c r="O367" i="4" s="1"/>
  <c r="L367" i="4"/>
  <c r="I367" i="4"/>
  <c r="H367" i="4"/>
  <c r="F367" i="4"/>
  <c r="C367" i="4"/>
  <c r="AC366" i="4"/>
  <c r="AD366" i="4" s="1"/>
  <c r="AA366" i="4"/>
  <c r="X366" i="4"/>
  <c r="W366" i="4"/>
  <c r="U366" i="4"/>
  <c r="R366" i="4"/>
  <c r="N366" i="4"/>
  <c r="O366" i="4" s="1"/>
  <c r="L366" i="4"/>
  <c r="I366" i="4"/>
  <c r="H366" i="4"/>
  <c r="F366" i="4"/>
  <c r="C366" i="4"/>
  <c r="AD365" i="4"/>
  <c r="AC365" i="4"/>
  <c r="AA365" i="4"/>
  <c r="W365" i="4"/>
  <c r="X365" i="4" s="1"/>
  <c r="U365" i="4"/>
  <c r="R365" i="4"/>
  <c r="N365" i="4"/>
  <c r="O365" i="4" s="1"/>
  <c r="L365" i="4"/>
  <c r="I365" i="4"/>
  <c r="H365" i="4"/>
  <c r="F365" i="4"/>
  <c r="C365" i="4"/>
  <c r="AD364" i="4"/>
  <c r="AC364" i="4"/>
  <c r="AA364" i="4"/>
  <c r="W364" i="4"/>
  <c r="X364" i="4" s="1"/>
  <c r="U364" i="4"/>
  <c r="R364" i="4"/>
  <c r="N364" i="4"/>
  <c r="O364" i="4" s="1"/>
  <c r="L364" i="4"/>
  <c r="I364" i="4"/>
  <c r="H364" i="4"/>
  <c r="F364" i="4"/>
  <c r="C364" i="4"/>
  <c r="AC363" i="4"/>
  <c r="AD363" i="4" s="1"/>
  <c r="AA363" i="4"/>
  <c r="W363" i="4"/>
  <c r="X363" i="4" s="1"/>
  <c r="U363" i="4"/>
  <c r="R363" i="4"/>
  <c r="O363" i="4"/>
  <c r="N363" i="4"/>
  <c r="L363" i="4"/>
  <c r="I363" i="4"/>
  <c r="H363" i="4"/>
  <c r="F363" i="4"/>
  <c r="C363" i="4"/>
  <c r="AD362" i="4"/>
  <c r="AC362" i="4"/>
  <c r="AA362" i="4"/>
  <c r="W362" i="4"/>
  <c r="X362" i="4" s="1"/>
  <c r="U362" i="4"/>
  <c r="R362" i="4"/>
  <c r="N362" i="4"/>
  <c r="O362" i="4" s="1"/>
  <c r="L362" i="4"/>
  <c r="I362" i="4"/>
  <c r="H362" i="4"/>
  <c r="F362" i="4"/>
  <c r="C362" i="4"/>
  <c r="AD361" i="4"/>
  <c r="AC361" i="4"/>
  <c r="AA361" i="4"/>
  <c r="W361" i="4"/>
  <c r="X361" i="4" s="1"/>
  <c r="U361" i="4"/>
  <c r="R361" i="4"/>
  <c r="N361" i="4"/>
  <c r="O361" i="4" s="1"/>
  <c r="L361" i="4"/>
  <c r="I361" i="4"/>
  <c r="H361" i="4"/>
  <c r="F361" i="4"/>
  <c r="C361" i="4"/>
  <c r="AC360" i="4"/>
  <c r="AA360" i="4"/>
  <c r="W360" i="4"/>
  <c r="X360" i="4" s="1"/>
  <c r="U360" i="4"/>
  <c r="R360" i="4"/>
  <c r="O360" i="4"/>
  <c r="N360" i="4"/>
  <c r="L360" i="4"/>
  <c r="I360" i="4"/>
  <c r="H360" i="4"/>
  <c r="F360" i="4"/>
  <c r="C360" i="4"/>
  <c r="AA358" i="4"/>
  <c r="Z358" i="4"/>
  <c r="T358" i="4"/>
  <c r="U358" i="4" s="1"/>
  <c r="Q358" i="4"/>
  <c r="W358" i="4" s="1"/>
  <c r="X358" i="4" s="1"/>
  <c r="L358" i="4"/>
  <c r="K358" i="4"/>
  <c r="E358" i="4"/>
  <c r="H358" i="4" s="1"/>
  <c r="I358" i="4" s="1"/>
  <c r="C358" i="4"/>
  <c r="B358" i="4"/>
  <c r="N358" i="4" s="1"/>
  <c r="O358" i="4" s="1"/>
  <c r="AD357" i="4"/>
  <c r="AC357" i="4"/>
  <c r="AA357" i="4"/>
  <c r="W357" i="4"/>
  <c r="X357" i="4" s="1"/>
  <c r="U357" i="4"/>
  <c r="R357" i="4"/>
  <c r="N357" i="4"/>
  <c r="O357" i="4" s="1"/>
  <c r="L357" i="4"/>
  <c r="I357" i="4"/>
  <c r="H357" i="4"/>
  <c r="F357" i="4"/>
  <c r="C357" i="4"/>
  <c r="AD356" i="4"/>
  <c r="AC356" i="4"/>
  <c r="AA356" i="4"/>
  <c r="W356" i="4"/>
  <c r="X356" i="4" s="1"/>
  <c r="U356" i="4"/>
  <c r="R356" i="4"/>
  <c r="N356" i="4"/>
  <c r="O356" i="4" s="1"/>
  <c r="L356" i="4"/>
  <c r="I356" i="4"/>
  <c r="H356" i="4"/>
  <c r="F356" i="4"/>
  <c r="C356" i="4"/>
  <c r="AC355" i="4"/>
  <c r="AD355" i="4" s="1"/>
  <c r="AA355" i="4"/>
  <c r="W355" i="4"/>
  <c r="X355" i="4" s="1"/>
  <c r="U355" i="4"/>
  <c r="R355" i="4"/>
  <c r="O355" i="4"/>
  <c r="N355" i="4"/>
  <c r="L355" i="4"/>
  <c r="I355" i="4"/>
  <c r="H355" i="4"/>
  <c r="F355" i="4"/>
  <c r="C355" i="4"/>
  <c r="AC354" i="4"/>
  <c r="AD354" i="4" s="1"/>
  <c r="AA354" i="4"/>
  <c r="W354" i="4"/>
  <c r="X354" i="4" s="1"/>
  <c r="U354" i="4"/>
  <c r="R354" i="4"/>
  <c r="N354" i="4"/>
  <c r="O354" i="4" s="1"/>
  <c r="L354" i="4"/>
  <c r="I354" i="4"/>
  <c r="H354" i="4"/>
  <c r="F354" i="4"/>
  <c r="C354" i="4"/>
  <c r="AD353" i="4"/>
  <c r="AC353" i="4"/>
  <c r="AA353" i="4"/>
  <c r="X353" i="4"/>
  <c r="W353" i="4"/>
  <c r="U353" i="4"/>
  <c r="R353" i="4"/>
  <c r="N353" i="4"/>
  <c r="O353" i="4" s="1"/>
  <c r="L353" i="4"/>
  <c r="H353" i="4"/>
  <c r="I353" i="4" s="1"/>
  <c r="F353" i="4"/>
  <c r="C353" i="4"/>
  <c r="AC352" i="4"/>
  <c r="AD352" i="4" s="1"/>
  <c r="AA352" i="4"/>
  <c r="W352" i="4"/>
  <c r="X352" i="4" s="1"/>
  <c r="U352" i="4"/>
  <c r="R352" i="4"/>
  <c r="O352" i="4"/>
  <c r="N352" i="4"/>
  <c r="L352" i="4"/>
  <c r="H352" i="4"/>
  <c r="I352" i="4" s="1"/>
  <c r="F352" i="4"/>
  <c r="C352" i="4"/>
  <c r="AD351" i="4"/>
  <c r="AC351" i="4"/>
  <c r="AA351" i="4"/>
  <c r="W351" i="4"/>
  <c r="X351" i="4" s="1"/>
  <c r="U351" i="4"/>
  <c r="R351" i="4"/>
  <c r="O351" i="4"/>
  <c r="N351" i="4"/>
  <c r="L351" i="4"/>
  <c r="H351" i="4"/>
  <c r="I351" i="4" s="1"/>
  <c r="F351" i="4"/>
  <c r="C351" i="4"/>
  <c r="AC350" i="4"/>
  <c r="AD350" i="4" s="1"/>
  <c r="AA350" i="4"/>
  <c r="X350" i="4"/>
  <c r="W350" i="4"/>
  <c r="U350" i="4"/>
  <c r="R350" i="4"/>
  <c r="O350" i="4"/>
  <c r="N350" i="4"/>
  <c r="L350" i="4"/>
  <c r="I350" i="4"/>
  <c r="H350" i="4"/>
  <c r="F350" i="4"/>
  <c r="C350" i="4"/>
  <c r="AC349" i="4"/>
  <c r="AD349" i="4" s="1"/>
  <c r="AA349" i="4"/>
  <c r="W349" i="4"/>
  <c r="X349" i="4" s="1"/>
  <c r="U349" i="4"/>
  <c r="R349" i="4"/>
  <c r="N349" i="4"/>
  <c r="O349" i="4" s="1"/>
  <c r="L349" i="4"/>
  <c r="H349" i="4"/>
  <c r="I349" i="4" s="1"/>
  <c r="F349" i="4"/>
  <c r="C349" i="4"/>
  <c r="AC347" i="4"/>
  <c r="AD347" i="4" s="1"/>
  <c r="AA347" i="4"/>
  <c r="X347" i="4"/>
  <c r="W347" i="4"/>
  <c r="U347" i="4"/>
  <c r="R347" i="4"/>
  <c r="O347" i="4"/>
  <c r="N347" i="4"/>
  <c r="L347" i="4"/>
  <c r="I347" i="4"/>
  <c r="H347" i="4"/>
  <c r="F347" i="4"/>
  <c r="C347" i="4"/>
  <c r="AC344" i="4"/>
  <c r="AD344" i="4" s="1"/>
  <c r="Z344" i="4"/>
  <c r="AA344" i="4" s="1"/>
  <c r="T344" i="4"/>
  <c r="U344" i="4" s="1"/>
  <c r="Q344" i="4"/>
  <c r="W344" i="4" s="1"/>
  <c r="X344" i="4" s="1"/>
  <c r="N344" i="4"/>
  <c r="O344" i="4" s="1"/>
  <c r="L344" i="4"/>
  <c r="K344" i="4"/>
  <c r="E344" i="4"/>
  <c r="F344" i="4" s="1"/>
  <c r="B344" i="4"/>
  <c r="H344" i="4" s="1"/>
  <c r="I344" i="4" s="1"/>
  <c r="Z343" i="4"/>
  <c r="AA343" i="4" s="1"/>
  <c r="T343" i="4"/>
  <c r="W343" i="4" s="1"/>
  <c r="X343" i="4" s="1"/>
  <c r="R343" i="4"/>
  <c r="Q343" i="4"/>
  <c r="AC343" i="4" s="1"/>
  <c r="AD343" i="4" s="1"/>
  <c r="K343" i="4"/>
  <c r="L343" i="4" s="1"/>
  <c r="H343" i="4"/>
  <c r="I343" i="4" s="1"/>
  <c r="F343" i="4"/>
  <c r="E343" i="4"/>
  <c r="B343" i="4"/>
  <c r="C343" i="4" s="1"/>
  <c r="AA342" i="4"/>
  <c r="Z342" i="4"/>
  <c r="T342" i="4"/>
  <c r="U342" i="4" s="1"/>
  <c r="R342" i="4"/>
  <c r="Q342" i="4"/>
  <c r="W342" i="4" s="1"/>
  <c r="X342" i="4" s="1"/>
  <c r="L342" i="4"/>
  <c r="K342" i="4"/>
  <c r="E342" i="4"/>
  <c r="F342" i="4" s="1"/>
  <c r="B342" i="4"/>
  <c r="H342" i="4" s="1"/>
  <c r="I342" i="4" s="1"/>
  <c r="AD341" i="4"/>
  <c r="AC341" i="4"/>
  <c r="AA341" i="4"/>
  <c r="W341" i="4"/>
  <c r="X341" i="4" s="1"/>
  <c r="U341" i="4"/>
  <c r="R341" i="4"/>
  <c r="N341" i="4"/>
  <c r="O341" i="4" s="1"/>
  <c r="L341" i="4"/>
  <c r="H341" i="4"/>
  <c r="I341" i="4" s="1"/>
  <c r="F341" i="4"/>
  <c r="C341" i="4"/>
  <c r="AC340" i="4"/>
  <c r="AD340" i="4" s="1"/>
  <c r="AA340" i="4"/>
  <c r="X340" i="4"/>
  <c r="W340" i="4"/>
  <c r="U340" i="4"/>
  <c r="R340" i="4"/>
  <c r="O340" i="4"/>
  <c r="N340" i="4"/>
  <c r="L340" i="4"/>
  <c r="I340" i="4"/>
  <c r="H340" i="4"/>
  <c r="F340" i="4"/>
  <c r="C340" i="4"/>
  <c r="AD339" i="4"/>
  <c r="AC339" i="4"/>
  <c r="AA339" i="4"/>
  <c r="W339" i="4"/>
  <c r="X339" i="4" s="1"/>
  <c r="U339" i="4"/>
  <c r="R339" i="4"/>
  <c r="N339" i="4"/>
  <c r="O339" i="4" s="1"/>
  <c r="L339" i="4"/>
  <c r="I339" i="4"/>
  <c r="H339" i="4"/>
  <c r="F339" i="4"/>
  <c r="C339" i="4"/>
  <c r="AC338" i="4"/>
  <c r="AD338" i="4" s="1"/>
  <c r="AA338" i="4"/>
  <c r="W338" i="4"/>
  <c r="X338" i="4" s="1"/>
  <c r="U338" i="4"/>
  <c r="R338" i="4"/>
  <c r="O338" i="4"/>
  <c r="N338" i="4"/>
  <c r="L338" i="4"/>
  <c r="I338" i="4"/>
  <c r="H338" i="4"/>
  <c r="F338" i="4"/>
  <c r="C338" i="4"/>
  <c r="AD337" i="4"/>
  <c r="AC337" i="4"/>
  <c r="AA337" i="4"/>
  <c r="W337" i="4"/>
  <c r="X337" i="4" s="1"/>
  <c r="U337" i="4"/>
  <c r="R337" i="4"/>
  <c r="O337" i="4"/>
  <c r="N337" i="4"/>
  <c r="L337" i="4"/>
  <c r="H337" i="4"/>
  <c r="I337" i="4" s="1"/>
  <c r="F337" i="4"/>
  <c r="C337" i="4"/>
  <c r="AD335" i="4"/>
  <c r="AC335" i="4"/>
  <c r="AA335" i="4"/>
  <c r="X335" i="4"/>
  <c r="W335" i="4"/>
  <c r="U335" i="4"/>
  <c r="R335" i="4"/>
  <c r="N335" i="4"/>
  <c r="O335" i="4" s="1"/>
  <c r="L335" i="4"/>
  <c r="I335" i="4"/>
  <c r="H335" i="4"/>
  <c r="F335" i="4"/>
  <c r="C335" i="4"/>
  <c r="AC334" i="4"/>
  <c r="AD334" i="4" s="1"/>
  <c r="AA334" i="4"/>
  <c r="W334" i="4"/>
  <c r="X334" i="4" s="1"/>
  <c r="U334" i="4"/>
  <c r="R334" i="4"/>
  <c r="N334" i="4"/>
  <c r="O334" i="4" s="1"/>
  <c r="L334" i="4"/>
  <c r="H334" i="4"/>
  <c r="I334" i="4" s="1"/>
  <c r="F334" i="4"/>
  <c r="C334" i="4"/>
  <c r="AC333" i="4"/>
  <c r="AD333" i="4" s="1"/>
  <c r="AA333" i="4"/>
  <c r="W333" i="4"/>
  <c r="X333" i="4" s="1"/>
  <c r="U333" i="4"/>
  <c r="R333" i="4"/>
  <c r="O333" i="4"/>
  <c r="N333" i="4"/>
  <c r="L333" i="4"/>
  <c r="H333" i="4"/>
  <c r="I333" i="4" s="1"/>
  <c r="F333" i="4"/>
  <c r="C333" i="4"/>
  <c r="AD332" i="4"/>
  <c r="AC332" i="4"/>
  <c r="AA332" i="4"/>
  <c r="W332" i="4"/>
  <c r="X332" i="4" s="1"/>
  <c r="U332" i="4"/>
  <c r="R332" i="4"/>
  <c r="N332" i="4"/>
  <c r="O332" i="4" s="1"/>
  <c r="L332" i="4"/>
  <c r="H332" i="4"/>
  <c r="I332" i="4" s="1"/>
  <c r="F332" i="4"/>
  <c r="C332" i="4"/>
  <c r="AC331" i="4"/>
  <c r="AD331" i="4" s="1"/>
  <c r="AA331" i="4"/>
  <c r="X331" i="4"/>
  <c r="W331" i="4"/>
  <c r="U331" i="4"/>
  <c r="R331" i="4"/>
  <c r="O331" i="4"/>
  <c r="N331" i="4"/>
  <c r="L331" i="4"/>
  <c r="I331" i="4"/>
  <c r="H331" i="4"/>
  <c r="F331" i="4"/>
  <c r="C331" i="4"/>
  <c r="AD330" i="4"/>
  <c r="AC330" i="4"/>
  <c r="AA330" i="4"/>
  <c r="W330" i="4"/>
  <c r="X330" i="4" s="1"/>
  <c r="U330" i="4"/>
  <c r="R330" i="4"/>
  <c r="N330" i="4"/>
  <c r="O330" i="4" s="1"/>
  <c r="L330" i="4"/>
  <c r="H330" i="4"/>
  <c r="I330" i="4" s="1"/>
  <c r="F330" i="4"/>
  <c r="C330" i="4"/>
  <c r="AC329" i="4"/>
  <c r="AD329" i="4" s="1"/>
  <c r="AA329" i="4"/>
  <c r="W329" i="4"/>
  <c r="X329" i="4" s="1"/>
  <c r="U329" i="4"/>
  <c r="R329" i="4"/>
  <c r="O329" i="4"/>
  <c r="N329" i="4"/>
  <c r="L329" i="4"/>
  <c r="I329" i="4"/>
  <c r="H329" i="4"/>
  <c r="F329" i="4"/>
  <c r="C329" i="4"/>
  <c r="AD328" i="4"/>
  <c r="AC328" i="4"/>
  <c r="AA328" i="4"/>
  <c r="W328" i="4"/>
  <c r="X328" i="4" s="1"/>
  <c r="U328" i="4"/>
  <c r="R328" i="4"/>
  <c r="O328" i="4"/>
  <c r="N328" i="4"/>
  <c r="L328" i="4"/>
  <c r="H328" i="4"/>
  <c r="I328" i="4" s="1"/>
  <c r="F328" i="4"/>
  <c r="C328" i="4"/>
  <c r="AA325" i="4"/>
  <c r="Z325" i="4"/>
  <c r="T325" i="4"/>
  <c r="U325" i="4" s="1"/>
  <c r="Q325" i="4"/>
  <c r="AC325" i="4" s="1"/>
  <c r="AD325" i="4" s="1"/>
  <c r="K325" i="4"/>
  <c r="L325" i="4" s="1"/>
  <c r="I325" i="4"/>
  <c r="E325" i="4"/>
  <c r="H325" i="4" s="1"/>
  <c r="C325" i="4"/>
  <c r="B325" i="4"/>
  <c r="N325" i="4" s="1"/>
  <c r="O325" i="4" s="1"/>
  <c r="AA324" i="4"/>
  <c r="Z324" i="4"/>
  <c r="X324" i="4"/>
  <c r="W324" i="4"/>
  <c r="U324" i="4"/>
  <c r="T324" i="4"/>
  <c r="Q324" i="4"/>
  <c r="R324" i="4" s="1"/>
  <c r="K324" i="4"/>
  <c r="L324" i="4" s="1"/>
  <c r="E324" i="4"/>
  <c r="F324" i="4" s="1"/>
  <c r="C324" i="4"/>
  <c r="B324" i="4"/>
  <c r="H324" i="4" s="1"/>
  <c r="I324" i="4" s="1"/>
  <c r="AD323" i="4"/>
  <c r="AC323" i="4"/>
  <c r="AA323" i="4"/>
  <c r="X323" i="4"/>
  <c r="W323" i="4"/>
  <c r="U323" i="4"/>
  <c r="R323" i="4"/>
  <c r="N323" i="4"/>
  <c r="O323" i="4" s="1"/>
  <c r="L323" i="4"/>
  <c r="I323" i="4"/>
  <c r="H323" i="4"/>
  <c r="F323" i="4"/>
  <c r="C323" i="4"/>
  <c r="AD322" i="4"/>
  <c r="AC322" i="4"/>
  <c r="AA322" i="4"/>
  <c r="X322" i="4"/>
  <c r="W322" i="4"/>
  <c r="U322" i="4"/>
  <c r="R322" i="4"/>
  <c r="N322" i="4"/>
  <c r="O322" i="4" s="1"/>
  <c r="L322" i="4"/>
  <c r="H322" i="4"/>
  <c r="I322" i="4" s="1"/>
  <c r="F322" i="4"/>
  <c r="C322" i="4"/>
  <c r="AC321" i="4"/>
  <c r="AD321" i="4" s="1"/>
  <c r="AA321" i="4"/>
  <c r="W321" i="4"/>
  <c r="X321" i="4" s="1"/>
  <c r="U321" i="4"/>
  <c r="R321" i="4"/>
  <c r="O321" i="4"/>
  <c r="N321" i="4"/>
  <c r="L321" i="4"/>
  <c r="H321" i="4"/>
  <c r="I321" i="4" s="1"/>
  <c r="F321" i="4"/>
  <c r="C321" i="4"/>
  <c r="AD320" i="4"/>
  <c r="AC320" i="4"/>
  <c r="AA320" i="4"/>
  <c r="W320" i="4"/>
  <c r="X320" i="4" s="1"/>
  <c r="U320" i="4"/>
  <c r="R320" i="4"/>
  <c r="O320" i="4"/>
  <c r="N320" i="4"/>
  <c r="L320" i="4"/>
  <c r="H320" i="4"/>
  <c r="I320" i="4" s="1"/>
  <c r="F320" i="4"/>
  <c r="C320" i="4"/>
  <c r="AC319" i="4"/>
  <c r="AD319" i="4" s="1"/>
  <c r="AA319" i="4"/>
  <c r="X319" i="4"/>
  <c r="W319" i="4"/>
  <c r="U319" i="4"/>
  <c r="R319" i="4"/>
  <c r="O319" i="4"/>
  <c r="N319" i="4"/>
  <c r="L319" i="4"/>
  <c r="I319" i="4"/>
  <c r="H319" i="4"/>
  <c r="F319" i="4"/>
  <c r="C319" i="4"/>
  <c r="AC318" i="4"/>
  <c r="AD318" i="4" s="1"/>
  <c r="AA318" i="4"/>
  <c r="W318" i="4"/>
  <c r="X318" i="4" s="1"/>
  <c r="U318" i="4"/>
  <c r="R318" i="4"/>
  <c r="N318" i="4"/>
  <c r="O318" i="4" s="1"/>
  <c r="L318" i="4"/>
  <c r="I318" i="4"/>
  <c r="H318" i="4"/>
  <c r="F318" i="4"/>
  <c r="C318" i="4"/>
  <c r="AC317" i="4"/>
  <c r="AD317" i="4" s="1"/>
  <c r="AA317" i="4"/>
  <c r="X317" i="4"/>
  <c r="W317" i="4"/>
  <c r="U317" i="4"/>
  <c r="R317" i="4"/>
  <c r="O317" i="4"/>
  <c r="N317" i="4"/>
  <c r="L317" i="4"/>
  <c r="I317" i="4"/>
  <c r="H317" i="4"/>
  <c r="F317" i="4"/>
  <c r="C317" i="4"/>
  <c r="AD316" i="4"/>
  <c r="AC316" i="4"/>
  <c r="AA316" i="4"/>
  <c r="W316" i="4"/>
  <c r="X316" i="4" s="1"/>
  <c r="U316" i="4"/>
  <c r="R316" i="4"/>
  <c r="N316" i="4"/>
  <c r="O316" i="4" s="1"/>
  <c r="L316" i="4"/>
  <c r="H316" i="4"/>
  <c r="I316" i="4" s="1"/>
  <c r="F316" i="4"/>
  <c r="C316" i="4"/>
  <c r="AD315" i="4"/>
  <c r="AC315" i="4"/>
  <c r="AA315" i="4"/>
  <c r="X315" i="4"/>
  <c r="W315" i="4"/>
  <c r="U315" i="4"/>
  <c r="R315" i="4"/>
  <c r="N315" i="4"/>
  <c r="O315" i="4" s="1"/>
  <c r="L315" i="4"/>
  <c r="I315" i="4"/>
  <c r="H315" i="4"/>
  <c r="F315" i="4"/>
  <c r="C315" i="4"/>
  <c r="AD314" i="4"/>
  <c r="AC314" i="4"/>
  <c r="AA314" i="4"/>
  <c r="X314" i="4"/>
  <c r="W314" i="4"/>
  <c r="U314" i="4"/>
  <c r="R314" i="4"/>
  <c r="N314" i="4"/>
  <c r="O314" i="4" s="1"/>
  <c r="L314" i="4"/>
  <c r="H314" i="4"/>
  <c r="I314" i="4" s="1"/>
  <c r="F314" i="4"/>
  <c r="C314" i="4"/>
  <c r="AC313" i="4"/>
  <c r="AD313" i="4" s="1"/>
  <c r="AA313" i="4"/>
  <c r="W313" i="4"/>
  <c r="X313" i="4" s="1"/>
  <c r="U313" i="4"/>
  <c r="R313" i="4"/>
  <c r="O313" i="4"/>
  <c r="N313" i="4"/>
  <c r="L313" i="4"/>
  <c r="H313" i="4"/>
  <c r="I313" i="4" s="1"/>
  <c r="F313" i="4"/>
  <c r="C313" i="4"/>
  <c r="AD312" i="4"/>
  <c r="AC312" i="4"/>
  <c r="AA312" i="4"/>
  <c r="W312" i="4"/>
  <c r="X312" i="4" s="1"/>
  <c r="U312" i="4"/>
  <c r="R312" i="4"/>
  <c r="O312" i="4"/>
  <c r="N312" i="4"/>
  <c r="L312" i="4"/>
  <c r="H312" i="4"/>
  <c r="I312" i="4" s="1"/>
  <c r="F312" i="4"/>
  <c r="C312" i="4"/>
  <c r="AC311" i="4"/>
  <c r="AD311" i="4" s="1"/>
  <c r="AA311" i="4"/>
  <c r="X311" i="4"/>
  <c r="W311" i="4"/>
  <c r="U311" i="4"/>
  <c r="R311" i="4"/>
  <c r="O311" i="4"/>
  <c r="N311" i="4"/>
  <c r="L311" i="4"/>
  <c r="I311" i="4"/>
  <c r="H311" i="4"/>
  <c r="F311" i="4"/>
  <c r="C311" i="4"/>
  <c r="AC310" i="4"/>
  <c r="AD310" i="4" s="1"/>
  <c r="AA310" i="4"/>
  <c r="W310" i="4"/>
  <c r="X310" i="4" s="1"/>
  <c r="U310" i="4"/>
  <c r="R310" i="4"/>
  <c r="N310" i="4"/>
  <c r="O310" i="4" s="1"/>
  <c r="L310" i="4"/>
  <c r="I310" i="4"/>
  <c r="H310" i="4"/>
  <c r="F310" i="4"/>
  <c r="C310" i="4"/>
  <c r="AC309" i="4"/>
  <c r="AD309" i="4" s="1"/>
  <c r="AA309" i="4"/>
  <c r="X309" i="4"/>
  <c r="W309" i="4"/>
  <c r="U309" i="4"/>
  <c r="R309" i="4"/>
  <c r="O309" i="4"/>
  <c r="N309" i="4"/>
  <c r="L309" i="4"/>
  <c r="I309" i="4"/>
  <c r="H309" i="4"/>
  <c r="F309" i="4"/>
  <c r="C309" i="4"/>
  <c r="AD308" i="4"/>
  <c r="AC308" i="4"/>
  <c r="AA308" i="4"/>
  <c r="W308" i="4"/>
  <c r="X308" i="4" s="1"/>
  <c r="U308" i="4"/>
  <c r="R308" i="4"/>
  <c r="N308" i="4"/>
  <c r="O308" i="4" s="1"/>
  <c r="L308" i="4"/>
  <c r="H308" i="4"/>
  <c r="I308" i="4" s="1"/>
  <c r="F308" i="4"/>
  <c r="C308" i="4"/>
  <c r="AD307" i="4"/>
  <c r="AC307" i="4"/>
  <c r="AA307" i="4"/>
  <c r="X307" i="4"/>
  <c r="W307" i="4"/>
  <c r="U307" i="4"/>
  <c r="R307" i="4"/>
  <c r="N307" i="4"/>
  <c r="O307" i="4" s="1"/>
  <c r="L307" i="4"/>
  <c r="I307" i="4"/>
  <c r="H307" i="4"/>
  <c r="F307" i="4"/>
  <c r="C307" i="4"/>
  <c r="AD306" i="4"/>
  <c r="AC306" i="4"/>
  <c r="AA306" i="4"/>
  <c r="X306" i="4"/>
  <c r="W306" i="4"/>
  <c r="U306" i="4"/>
  <c r="R306" i="4"/>
  <c r="N306" i="4"/>
  <c r="O306" i="4" s="1"/>
  <c r="L306" i="4"/>
  <c r="H306" i="4"/>
  <c r="I306" i="4" s="1"/>
  <c r="F306" i="4"/>
  <c r="C306" i="4"/>
  <c r="AC305" i="4"/>
  <c r="AD305" i="4" s="1"/>
  <c r="AA305" i="4"/>
  <c r="W305" i="4"/>
  <c r="X305" i="4" s="1"/>
  <c r="U305" i="4"/>
  <c r="R305" i="4"/>
  <c r="O305" i="4"/>
  <c r="N305" i="4"/>
  <c r="L305" i="4"/>
  <c r="H305" i="4"/>
  <c r="I305" i="4" s="1"/>
  <c r="F305" i="4"/>
  <c r="C305" i="4"/>
  <c r="AD304" i="4"/>
  <c r="AC304" i="4"/>
  <c r="AA304" i="4"/>
  <c r="W304" i="4"/>
  <c r="X304" i="4" s="1"/>
  <c r="U304" i="4"/>
  <c r="R304" i="4"/>
  <c r="O304" i="4"/>
  <c r="N304" i="4"/>
  <c r="L304" i="4"/>
  <c r="H304" i="4"/>
  <c r="I304" i="4" s="1"/>
  <c r="F304" i="4"/>
  <c r="C304" i="4"/>
  <c r="AC303" i="4"/>
  <c r="AD303" i="4" s="1"/>
  <c r="AA303" i="4"/>
  <c r="X303" i="4"/>
  <c r="W303" i="4"/>
  <c r="U303" i="4"/>
  <c r="R303" i="4"/>
  <c r="O303" i="4"/>
  <c r="N303" i="4"/>
  <c r="L303" i="4"/>
  <c r="I303" i="4"/>
  <c r="H303" i="4"/>
  <c r="F303" i="4"/>
  <c r="C303" i="4"/>
  <c r="AC302" i="4"/>
  <c r="AD302" i="4" s="1"/>
  <c r="AA302" i="4"/>
  <c r="W302" i="4"/>
  <c r="X302" i="4" s="1"/>
  <c r="U302" i="4"/>
  <c r="R302" i="4"/>
  <c r="N302" i="4"/>
  <c r="O302" i="4" s="1"/>
  <c r="L302" i="4"/>
  <c r="I302" i="4"/>
  <c r="H302" i="4"/>
  <c r="F302" i="4"/>
  <c r="C302" i="4"/>
  <c r="AC301" i="4"/>
  <c r="AD301" i="4" s="1"/>
  <c r="AA301" i="4"/>
  <c r="X301" i="4"/>
  <c r="W301" i="4"/>
  <c r="U301" i="4"/>
  <c r="R301" i="4"/>
  <c r="O301" i="4"/>
  <c r="N301" i="4"/>
  <c r="L301" i="4"/>
  <c r="H301" i="4"/>
  <c r="I301" i="4" s="1"/>
  <c r="F301" i="4"/>
  <c r="C301" i="4"/>
  <c r="AD300" i="4"/>
  <c r="AC300" i="4"/>
  <c r="AA300" i="4"/>
  <c r="W300" i="4"/>
  <c r="X300" i="4" s="1"/>
  <c r="U300" i="4"/>
  <c r="R300" i="4"/>
  <c r="N300" i="4"/>
  <c r="O300" i="4" s="1"/>
  <c r="L300" i="4"/>
  <c r="H300" i="4"/>
  <c r="I300" i="4" s="1"/>
  <c r="F300" i="4"/>
  <c r="C300" i="4"/>
  <c r="AC299" i="4"/>
  <c r="AD299" i="4" s="1"/>
  <c r="AA299" i="4"/>
  <c r="X299" i="4"/>
  <c r="W299" i="4"/>
  <c r="U299" i="4"/>
  <c r="R299" i="4"/>
  <c r="N299" i="4"/>
  <c r="O299" i="4" s="1"/>
  <c r="L299" i="4"/>
  <c r="I299" i="4"/>
  <c r="H299" i="4"/>
  <c r="F299" i="4"/>
  <c r="C299" i="4"/>
  <c r="AD298" i="4"/>
  <c r="AC298" i="4"/>
  <c r="AA298" i="4"/>
  <c r="X298" i="4"/>
  <c r="W298" i="4"/>
  <c r="U298" i="4"/>
  <c r="R298" i="4"/>
  <c r="N298" i="4"/>
  <c r="O298" i="4" s="1"/>
  <c r="L298" i="4"/>
  <c r="H298" i="4"/>
  <c r="I298" i="4" s="1"/>
  <c r="F298" i="4"/>
  <c r="C298" i="4"/>
  <c r="AC297" i="4"/>
  <c r="AD297" i="4" s="1"/>
  <c r="AA297" i="4"/>
  <c r="W297" i="4"/>
  <c r="X297" i="4" s="1"/>
  <c r="U297" i="4"/>
  <c r="R297" i="4"/>
  <c r="O297" i="4"/>
  <c r="N297" i="4"/>
  <c r="L297" i="4"/>
  <c r="H297" i="4"/>
  <c r="I297" i="4" s="1"/>
  <c r="F297" i="4"/>
  <c r="C297" i="4"/>
  <c r="Z295" i="4"/>
  <c r="AA295" i="4" s="1"/>
  <c r="W295" i="4"/>
  <c r="X295" i="4" s="1"/>
  <c r="T295" i="4"/>
  <c r="U295" i="4" s="1"/>
  <c r="R295" i="4"/>
  <c r="Q295" i="4"/>
  <c r="AC295" i="4" s="1"/>
  <c r="AD295" i="4" s="1"/>
  <c r="K295" i="4"/>
  <c r="L295" i="4" s="1"/>
  <c r="H295" i="4"/>
  <c r="I295" i="4" s="1"/>
  <c r="F295" i="4"/>
  <c r="E295" i="4"/>
  <c r="B295" i="4"/>
  <c r="C295" i="4" s="1"/>
  <c r="AD294" i="4"/>
  <c r="AC294" i="4"/>
  <c r="AA294" i="4"/>
  <c r="W294" i="4"/>
  <c r="X294" i="4" s="1"/>
  <c r="U294" i="4"/>
  <c r="R294" i="4"/>
  <c r="N294" i="4"/>
  <c r="O294" i="4" s="1"/>
  <c r="L294" i="4"/>
  <c r="H294" i="4"/>
  <c r="I294" i="4" s="1"/>
  <c r="F294" i="4"/>
  <c r="C294" i="4"/>
  <c r="AC293" i="4"/>
  <c r="AD293" i="4" s="1"/>
  <c r="AA293" i="4"/>
  <c r="X293" i="4"/>
  <c r="W293" i="4"/>
  <c r="U293" i="4"/>
  <c r="R293" i="4"/>
  <c r="O293" i="4"/>
  <c r="N293" i="4"/>
  <c r="L293" i="4"/>
  <c r="H293" i="4"/>
  <c r="I293" i="4" s="1"/>
  <c r="F293" i="4"/>
  <c r="C293" i="4"/>
  <c r="AD292" i="4"/>
  <c r="AC292" i="4"/>
  <c r="AA292" i="4"/>
  <c r="W292" i="4"/>
  <c r="X292" i="4" s="1"/>
  <c r="U292" i="4"/>
  <c r="R292" i="4"/>
  <c r="O292" i="4"/>
  <c r="N292" i="4"/>
  <c r="L292" i="4"/>
  <c r="H292" i="4"/>
  <c r="I292" i="4" s="1"/>
  <c r="F292" i="4"/>
  <c r="C292" i="4"/>
  <c r="AC291" i="4"/>
  <c r="AD291" i="4" s="1"/>
  <c r="AA291" i="4"/>
  <c r="X291" i="4"/>
  <c r="W291" i="4"/>
  <c r="U291" i="4"/>
  <c r="R291" i="4"/>
  <c r="N291" i="4"/>
  <c r="O291" i="4" s="1"/>
  <c r="L291" i="4"/>
  <c r="I291" i="4"/>
  <c r="H291" i="4"/>
  <c r="F291" i="4"/>
  <c r="C291" i="4"/>
  <c r="AD290" i="4"/>
  <c r="AC290" i="4"/>
  <c r="AA290" i="4"/>
  <c r="X290" i="4"/>
  <c r="W290" i="4"/>
  <c r="U290" i="4"/>
  <c r="R290" i="4"/>
  <c r="N290" i="4"/>
  <c r="O290" i="4" s="1"/>
  <c r="L290" i="4"/>
  <c r="H290" i="4"/>
  <c r="I290" i="4" s="1"/>
  <c r="F290" i="4"/>
  <c r="C290" i="4"/>
  <c r="AC289" i="4"/>
  <c r="AD289" i="4" s="1"/>
  <c r="AA289" i="4"/>
  <c r="W289" i="4"/>
  <c r="X289" i="4" s="1"/>
  <c r="U289" i="4"/>
  <c r="R289" i="4"/>
  <c r="O289" i="4"/>
  <c r="N289" i="4"/>
  <c r="L289" i="4"/>
  <c r="I289" i="4"/>
  <c r="H289" i="4"/>
  <c r="F289" i="4"/>
  <c r="C289" i="4"/>
  <c r="AD288" i="4"/>
  <c r="AC288" i="4"/>
  <c r="AA288" i="4"/>
  <c r="W288" i="4"/>
  <c r="X288" i="4" s="1"/>
  <c r="U288" i="4"/>
  <c r="R288" i="4"/>
  <c r="O288" i="4"/>
  <c r="N288" i="4"/>
  <c r="L288" i="4"/>
  <c r="H288" i="4"/>
  <c r="I288" i="4" s="1"/>
  <c r="F288" i="4"/>
  <c r="C288" i="4"/>
  <c r="AD287" i="4"/>
  <c r="AC287" i="4"/>
  <c r="AA287" i="4"/>
  <c r="X287" i="4"/>
  <c r="W287" i="4"/>
  <c r="U287" i="4"/>
  <c r="R287" i="4"/>
  <c r="N287" i="4"/>
  <c r="O287" i="4" s="1"/>
  <c r="L287" i="4"/>
  <c r="I287" i="4"/>
  <c r="H287" i="4"/>
  <c r="F287" i="4"/>
  <c r="C287" i="4"/>
  <c r="AD286" i="4"/>
  <c r="AC286" i="4"/>
  <c r="AA286" i="4"/>
  <c r="W286" i="4"/>
  <c r="X286" i="4" s="1"/>
  <c r="U286" i="4"/>
  <c r="R286" i="4"/>
  <c r="N286" i="4"/>
  <c r="O286" i="4" s="1"/>
  <c r="L286" i="4"/>
  <c r="H286" i="4"/>
  <c r="I286" i="4" s="1"/>
  <c r="F286" i="4"/>
  <c r="C286" i="4"/>
  <c r="AA284" i="4"/>
  <c r="Z284" i="4"/>
  <c r="X284" i="4"/>
  <c r="W284" i="4"/>
  <c r="U284" i="4"/>
  <c r="T284" i="4"/>
  <c r="Q284" i="4"/>
  <c r="R284" i="4" s="1"/>
  <c r="K284" i="4"/>
  <c r="N284" i="4" s="1"/>
  <c r="O284" i="4" s="1"/>
  <c r="I284" i="4"/>
  <c r="E284" i="4"/>
  <c r="F284" i="4" s="1"/>
  <c r="C284" i="4"/>
  <c r="B284" i="4"/>
  <c r="H284" i="4" s="1"/>
  <c r="AD283" i="4"/>
  <c r="AC283" i="4"/>
  <c r="AA283" i="4"/>
  <c r="X283" i="4"/>
  <c r="W283" i="4"/>
  <c r="U283" i="4"/>
  <c r="R283" i="4"/>
  <c r="N283" i="4"/>
  <c r="O283" i="4" s="1"/>
  <c r="L283" i="4"/>
  <c r="I283" i="4"/>
  <c r="H283" i="4"/>
  <c r="F283" i="4"/>
  <c r="C283" i="4"/>
  <c r="AD282" i="4"/>
  <c r="AC282" i="4"/>
  <c r="AA282" i="4"/>
  <c r="X282" i="4"/>
  <c r="W282" i="4"/>
  <c r="U282" i="4"/>
  <c r="R282" i="4"/>
  <c r="N282" i="4"/>
  <c r="O282" i="4" s="1"/>
  <c r="L282" i="4"/>
  <c r="H282" i="4"/>
  <c r="I282" i="4" s="1"/>
  <c r="F282" i="4"/>
  <c r="C282" i="4"/>
  <c r="AC281" i="4"/>
  <c r="AD281" i="4" s="1"/>
  <c r="AA281" i="4"/>
  <c r="W281" i="4"/>
  <c r="X281" i="4" s="1"/>
  <c r="U281" i="4"/>
  <c r="R281" i="4"/>
  <c r="O281" i="4"/>
  <c r="N281" i="4"/>
  <c r="L281" i="4"/>
  <c r="H281" i="4"/>
  <c r="I281" i="4" s="1"/>
  <c r="F281" i="4"/>
  <c r="C281" i="4"/>
  <c r="AD280" i="4"/>
  <c r="AC280" i="4"/>
  <c r="AA280" i="4"/>
  <c r="W280" i="4"/>
  <c r="X280" i="4" s="1"/>
  <c r="U280" i="4"/>
  <c r="R280" i="4"/>
  <c r="O280" i="4"/>
  <c r="N280" i="4"/>
  <c r="L280" i="4"/>
  <c r="H280" i="4"/>
  <c r="I280" i="4" s="1"/>
  <c r="F280" i="4"/>
  <c r="C280" i="4"/>
  <c r="AC279" i="4"/>
  <c r="AD279" i="4" s="1"/>
  <c r="AA279" i="4"/>
  <c r="X279" i="4"/>
  <c r="W279" i="4"/>
  <c r="U279" i="4"/>
  <c r="R279" i="4"/>
  <c r="O279" i="4"/>
  <c r="N279" i="4"/>
  <c r="L279" i="4"/>
  <c r="I279" i="4"/>
  <c r="H279" i="4"/>
  <c r="F279" i="4"/>
  <c r="C279" i="4"/>
  <c r="AC278" i="4"/>
  <c r="AD278" i="4" s="1"/>
  <c r="AA278" i="4"/>
  <c r="W278" i="4"/>
  <c r="X278" i="4" s="1"/>
  <c r="U278" i="4"/>
  <c r="R278" i="4"/>
  <c r="N278" i="4"/>
  <c r="O278" i="4" s="1"/>
  <c r="L278" i="4"/>
  <c r="I278" i="4"/>
  <c r="H278" i="4"/>
  <c r="F278" i="4"/>
  <c r="C278" i="4"/>
  <c r="AC277" i="4"/>
  <c r="AD277" i="4" s="1"/>
  <c r="AA277" i="4"/>
  <c r="W277" i="4"/>
  <c r="X277" i="4" s="1"/>
  <c r="U277" i="4"/>
  <c r="R277" i="4"/>
  <c r="O277" i="4"/>
  <c r="N277" i="4"/>
  <c r="L277" i="4"/>
  <c r="I277" i="4"/>
  <c r="H277" i="4"/>
  <c r="F277" i="4"/>
  <c r="C277" i="4"/>
  <c r="AD276" i="4"/>
  <c r="AC276" i="4"/>
  <c r="AA276" i="4"/>
  <c r="W276" i="4"/>
  <c r="X276" i="4" s="1"/>
  <c r="U276" i="4"/>
  <c r="R276" i="4"/>
  <c r="N276" i="4"/>
  <c r="O276" i="4" s="1"/>
  <c r="L276" i="4"/>
  <c r="H276" i="4"/>
  <c r="I276" i="4" s="1"/>
  <c r="F276" i="4"/>
  <c r="C276" i="4"/>
  <c r="AD275" i="4"/>
  <c r="AC275" i="4"/>
  <c r="AA275" i="4"/>
  <c r="X275" i="4"/>
  <c r="W275" i="4"/>
  <c r="U275" i="4"/>
  <c r="R275" i="4"/>
  <c r="N275" i="4"/>
  <c r="O275" i="4" s="1"/>
  <c r="L275" i="4"/>
  <c r="I275" i="4"/>
  <c r="H275" i="4"/>
  <c r="F275" i="4"/>
  <c r="C275" i="4"/>
  <c r="AA273" i="4"/>
  <c r="Z273" i="4"/>
  <c r="T273" i="4"/>
  <c r="U273" i="4" s="1"/>
  <c r="Q273" i="4"/>
  <c r="W273" i="4" s="1"/>
  <c r="X273" i="4" s="1"/>
  <c r="L273" i="4"/>
  <c r="K273" i="4"/>
  <c r="E273" i="4"/>
  <c r="F273" i="4" s="1"/>
  <c r="B273" i="4"/>
  <c r="N273" i="4" s="1"/>
  <c r="O273" i="4" s="1"/>
  <c r="AD272" i="4"/>
  <c r="AC272" i="4"/>
  <c r="AA272" i="4"/>
  <c r="W272" i="4"/>
  <c r="X272" i="4" s="1"/>
  <c r="U272" i="4"/>
  <c r="R272" i="4"/>
  <c r="N272" i="4"/>
  <c r="O272" i="4" s="1"/>
  <c r="L272" i="4"/>
  <c r="H272" i="4"/>
  <c r="I272" i="4" s="1"/>
  <c r="F272" i="4"/>
  <c r="C272" i="4"/>
  <c r="AC271" i="4"/>
  <c r="AD271" i="4" s="1"/>
  <c r="AA271" i="4"/>
  <c r="X271" i="4"/>
  <c r="W271" i="4"/>
  <c r="U271" i="4"/>
  <c r="R271" i="4"/>
  <c r="N271" i="4"/>
  <c r="O271" i="4" s="1"/>
  <c r="L271" i="4"/>
  <c r="I271" i="4"/>
  <c r="H271" i="4"/>
  <c r="F271" i="4"/>
  <c r="C271" i="4"/>
  <c r="AD270" i="4"/>
  <c r="AC270" i="4"/>
  <c r="AA270" i="4"/>
  <c r="X270" i="4"/>
  <c r="W270" i="4"/>
  <c r="U270" i="4"/>
  <c r="R270" i="4"/>
  <c r="N270" i="4"/>
  <c r="O270" i="4" s="1"/>
  <c r="L270" i="4"/>
  <c r="H270" i="4"/>
  <c r="I270" i="4" s="1"/>
  <c r="F270" i="4"/>
  <c r="C270" i="4"/>
  <c r="AC269" i="4"/>
  <c r="AD269" i="4" s="1"/>
  <c r="AA269" i="4"/>
  <c r="W269" i="4"/>
  <c r="X269" i="4" s="1"/>
  <c r="U269" i="4"/>
  <c r="R269" i="4"/>
  <c r="O269" i="4"/>
  <c r="N269" i="4"/>
  <c r="L269" i="4"/>
  <c r="I269" i="4"/>
  <c r="H269" i="4"/>
  <c r="F269" i="4"/>
  <c r="C269" i="4"/>
  <c r="Z267" i="4"/>
  <c r="AA267" i="4" s="1"/>
  <c r="W267" i="4"/>
  <c r="X267" i="4" s="1"/>
  <c r="U267" i="4"/>
  <c r="T267" i="4"/>
  <c r="R267" i="4"/>
  <c r="Q267" i="4"/>
  <c r="AC267" i="4" s="1"/>
  <c r="AD267" i="4" s="1"/>
  <c r="K267" i="4"/>
  <c r="L267" i="4" s="1"/>
  <c r="H267" i="4"/>
  <c r="I267" i="4" s="1"/>
  <c r="F267" i="4"/>
  <c r="E267" i="4"/>
  <c r="B267" i="4"/>
  <c r="C267" i="4" s="1"/>
  <c r="AC266" i="4"/>
  <c r="AD266" i="4" s="1"/>
  <c r="AA266" i="4"/>
  <c r="W266" i="4"/>
  <c r="X266" i="4" s="1"/>
  <c r="U266" i="4"/>
  <c r="R266" i="4"/>
  <c r="N266" i="4"/>
  <c r="O266" i="4" s="1"/>
  <c r="L266" i="4"/>
  <c r="H266" i="4"/>
  <c r="I266" i="4" s="1"/>
  <c r="F266" i="4"/>
  <c r="C266" i="4"/>
  <c r="AC265" i="4"/>
  <c r="AD265" i="4" s="1"/>
  <c r="AA265" i="4"/>
  <c r="X265" i="4"/>
  <c r="W265" i="4"/>
  <c r="U265" i="4"/>
  <c r="R265" i="4"/>
  <c r="O265" i="4"/>
  <c r="N265" i="4"/>
  <c r="L265" i="4"/>
  <c r="H265" i="4"/>
  <c r="I265" i="4" s="1"/>
  <c r="F265" i="4"/>
  <c r="C265" i="4"/>
  <c r="AD263" i="4"/>
  <c r="Z263" i="4"/>
  <c r="AA263" i="4" s="1"/>
  <c r="T263" i="4"/>
  <c r="R263" i="4"/>
  <c r="Q263" i="4"/>
  <c r="AC263" i="4" s="1"/>
  <c r="L263" i="4"/>
  <c r="K263" i="4"/>
  <c r="H263" i="4"/>
  <c r="I263" i="4" s="1"/>
  <c r="F263" i="4"/>
  <c r="E263" i="4"/>
  <c r="B263" i="4"/>
  <c r="C263" i="4" s="1"/>
  <c r="AC262" i="4"/>
  <c r="AD262" i="4" s="1"/>
  <c r="Z262" i="4"/>
  <c r="AA262" i="4" s="1"/>
  <c r="X262" i="4"/>
  <c r="T262" i="4"/>
  <c r="U262" i="4" s="1"/>
  <c r="R262" i="4"/>
  <c r="Q262" i="4"/>
  <c r="W262" i="4" s="1"/>
  <c r="N262" i="4"/>
  <c r="O262" i="4" s="1"/>
  <c r="L262" i="4"/>
  <c r="K262" i="4"/>
  <c r="F262" i="4"/>
  <c r="E262" i="4"/>
  <c r="C262" i="4"/>
  <c r="B262" i="4"/>
  <c r="H262" i="4" s="1"/>
  <c r="I262" i="4" s="1"/>
  <c r="AD261" i="4"/>
  <c r="AC261" i="4"/>
  <c r="AA261" i="4"/>
  <c r="W261" i="4"/>
  <c r="X261" i="4" s="1"/>
  <c r="U261" i="4"/>
  <c r="R261" i="4"/>
  <c r="O261" i="4"/>
  <c r="N261" i="4"/>
  <c r="L261" i="4"/>
  <c r="H261" i="4"/>
  <c r="I261" i="4" s="1"/>
  <c r="F261" i="4"/>
  <c r="C261" i="4"/>
  <c r="AD260" i="4"/>
  <c r="AC260" i="4"/>
  <c r="AA260" i="4"/>
  <c r="X260" i="4"/>
  <c r="W260" i="4"/>
  <c r="U260" i="4"/>
  <c r="R260" i="4"/>
  <c r="N260" i="4"/>
  <c r="O260" i="4" s="1"/>
  <c r="L260" i="4"/>
  <c r="I260" i="4"/>
  <c r="H260" i="4"/>
  <c r="F260" i="4"/>
  <c r="C260" i="4"/>
  <c r="AC259" i="4"/>
  <c r="AD259" i="4" s="1"/>
  <c r="AA259" i="4"/>
  <c r="W259" i="4"/>
  <c r="X259" i="4" s="1"/>
  <c r="U259" i="4"/>
  <c r="R259" i="4"/>
  <c r="N259" i="4"/>
  <c r="O259" i="4" s="1"/>
  <c r="L259" i="4"/>
  <c r="H259" i="4"/>
  <c r="I259" i="4" s="1"/>
  <c r="F259" i="4"/>
  <c r="C259" i="4"/>
  <c r="AC258" i="4"/>
  <c r="AD258" i="4" s="1"/>
  <c r="AA258" i="4"/>
  <c r="X258" i="4"/>
  <c r="W258" i="4"/>
  <c r="U258" i="4"/>
  <c r="R258" i="4"/>
  <c r="O258" i="4"/>
  <c r="N258" i="4"/>
  <c r="L258" i="4"/>
  <c r="H258" i="4"/>
  <c r="I258" i="4" s="1"/>
  <c r="F258" i="4"/>
  <c r="C258" i="4"/>
  <c r="AD257" i="4"/>
  <c r="AC257" i="4"/>
  <c r="AA257" i="4"/>
  <c r="W257" i="4"/>
  <c r="X257" i="4" s="1"/>
  <c r="U257" i="4"/>
  <c r="R257" i="4"/>
  <c r="N257" i="4"/>
  <c r="O257" i="4" s="1"/>
  <c r="L257" i="4"/>
  <c r="H257" i="4"/>
  <c r="I257" i="4" s="1"/>
  <c r="F257" i="4"/>
  <c r="C257" i="4"/>
  <c r="AC256" i="4"/>
  <c r="AD256" i="4" s="1"/>
  <c r="AA256" i="4"/>
  <c r="X256" i="4"/>
  <c r="W256" i="4"/>
  <c r="U256" i="4"/>
  <c r="R256" i="4"/>
  <c r="O256" i="4"/>
  <c r="N256" i="4"/>
  <c r="L256" i="4"/>
  <c r="I256" i="4"/>
  <c r="H256" i="4"/>
  <c r="F256" i="4"/>
  <c r="C256" i="4"/>
  <c r="AD255" i="4"/>
  <c r="AC255" i="4"/>
  <c r="AA255" i="4"/>
  <c r="X255" i="4"/>
  <c r="W255" i="4"/>
  <c r="U255" i="4"/>
  <c r="R255" i="4"/>
  <c r="N255" i="4"/>
  <c r="O255" i="4" s="1"/>
  <c r="L255" i="4"/>
  <c r="I255" i="4"/>
  <c r="H255" i="4"/>
  <c r="F255" i="4"/>
  <c r="C255" i="4"/>
  <c r="AC254" i="4"/>
  <c r="AD254" i="4" s="1"/>
  <c r="AA254" i="4"/>
  <c r="W254" i="4"/>
  <c r="X254" i="4" s="1"/>
  <c r="U254" i="4"/>
  <c r="R254" i="4"/>
  <c r="O254" i="4"/>
  <c r="N254" i="4"/>
  <c r="L254" i="4"/>
  <c r="I254" i="4"/>
  <c r="H254" i="4"/>
  <c r="F254" i="4"/>
  <c r="C254" i="4"/>
  <c r="AD253" i="4"/>
  <c r="AC253" i="4"/>
  <c r="AA253" i="4"/>
  <c r="W253" i="4"/>
  <c r="X253" i="4" s="1"/>
  <c r="U253" i="4"/>
  <c r="R253" i="4"/>
  <c r="O253" i="4"/>
  <c r="N253" i="4"/>
  <c r="L253" i="4"/>
  <c r="H253" i="4"/>
  <c r="I253" i="4" s="1"/>
  <c r="F253" i="4"/>
  <c r="C253" i="4"/>
  <c r="AD252" i="4"/>
  <c r="AC252" i="4"/>
  <c r="AA252" i="4"/>
  <c r="X252" i="4"/>
  <c r="W252" i="4"/>
  <c r="U252" i="4"/>
  <c r="R252" i="4"/>
  <c r="N252" i="4"/>
  <c r="O252" i="4" s="1"/>
  <c r="L252" i="4"/>
  <c r="I252" i="4"/>
  <c r="H252" i="4"/>
  <c r="F252" i="4"/>
  <c r="C252" i="4"/>
  <c r="AC251" i="4"/>
  <c r="AD251" i="4" s="1"/>
  <c r="AA251" i="4"/>
  <c r="W251" i="4"/>
  <c r="X251" i="4" s="1"/>
  <c r="U251" i="4"/>
  <c r="R251" i="4"/>
  <c r="N251" i="4"/>
  <c r="O251" i="4" s="1"/>
  <c r="L251" i="4"/>
  <c r="H251" i="4"/>
  <c r="I251" i="4" s="1"/>
  <c r="F251" i="4"/>
  <c r="C251" i="4"/>
  <c r="AC250" i="4"/>
  <c r="AD250" i="4" s="1"/>
  <c r="AA250" i="4"/>
  <c r="X250" i="4"/>
  <c r="W250" i="4"/>
  <c r="U250" i="4"/>
  <c r="R250" i="4"/>
  <c r="O250" i="4"/>
  <c r="N250" i="4"/>
  <c r="L250" i="4"/>
  <c r="H250" i="4"/>
  <c r="I250" i="4" s="1"/>
  <c r="F250" i="4"/>
  <c r="C250" i="4"/>
  <c r="AD249" i="4"/>
  <c r="AC249" i="4"/>
  <c r="AA249" i="4"/>
  <c r="W249" i="4"/>
  <c r="X249" i="4" s="1"/>
  <c r="U249" i="4"/>
  <c r="R249" i="4"/>
  <c r="N249" i="4"/>
  <c r="O249" i="4" s="1"/>
  <c r="L249" i="4"/>
  <c r="H249" i="4"/>
  <c r="I249" i="4" s="1"/>
  <c r="F249" i="4"/>
  <c r="C249" i="4"/>
  <c r="AC248" i="4"/>
  <c r="AD248" i="4" s="1"/>
  <c r="AA248" i="4"/>
  <c r="X248" i="4"/>
  <c r="W248" i="4"/>
  <c r="U248" i="4"/>
  <c r="R248" i="4"/>
  <c r="O248" i="4"/>
  <c r="N248" i="4"/>
  <c r="L248" i="4"/>
  <c r="I248" i="4"/>
  <c r="H248" i="4"/>
  <c r="F248" i="4"/>
  <c r="C248" i="4"/>
  <c r="AD247" i="4"/>
  <c r="AC247" i="4"/>
  <c r="AA247" i="4"/>
  <c r="X247" i="4"/>
  <c r="W247" i="4"/>
  <c r="U247" i="4"/>
  <c r="R247" i="4"/>
  <c r="N247" i="4"/>
  <c r="O247" i="4" s="1"/>
  <c r="L247" i="4"/>
  <c r="I247" i="4"/>
  <c r="H247" i="4"/>
  <c r="F247" i="4"/>
  <c r="C247" i="4"/>
  <c r="AC246" i="4"/>
  <c r="AD246" i="4" s="1"/>
  <c r="AA246" i="4"/>
  <c r="W246" i="4"/>
  <c r="X246" i="4" s="1"/>
  <c r="U246" i="4"/>
  <c r="R246" i="4"/>
  <c r="O246" i="4"/>
  <c r="N246" i="4"/>
  <c r="L246" i="4"/>
  <c r="I246" i="4"/>
  <c r="H246" i="4"/>
  <c r="F246" i="4"/>
  <c r="C246" i="4"/>
  <c r="AD245" i="4"/>
  <c r="AC245" i="4"/>
  <c r="AA245" i="4"/>
  <c r="W245" i="4"/>
  <c r="X245" i="4" s="1"/>
  <c r="U245" i="4"/>
  <c r="R245" i="4"/>
  <c r="O245" i="4"/>
  <c r="N245" i="4"/>
  <c r="L245" i="4"/>
  <c r="H245" i="4"/>
  <c r="I245" i="4" s="1"/>
  <c r="F245" i="4"/>
  <c r="C245" i="4"/>
  <c r="AD244" i="4"/>
  <c r="AC244" i="4"/>
  <c r="AA244" i="4"/>
  <c r="X244" i="4"/>
  <c r="W244" i="4"/>
  <c r="U244" i="4"/>
  <c r="R244" i="4"/>
  <c r="N244" i="4"/>
  <c r="O244" i="4" s="1"/>
  <c r="L244" i="4"/>
  <c r="I244" i="4"/>
  <c r="H244" i="4"/>
  <c r="F244" i="4"/>
  <c r="C244" i="4"/>
  <c r="AC243" i="4"/>
  <c r="AD243" i="4" s="1"/>
  <c r="AA243" i="4"/>
  <c r="W243" i="4"/>
  <c r="X243" i="4" s="1"/>
  <c r="U243" i="4"/>
  <c r="R243" i="4"/>
  <c r="N243" i="4"/>
  <c r="O243" i="4" s="1"/>
  <c r="L243" i="4"/>
  <c r="H243" i="4"/>
  <c r="I243" i="4" s="1"/>
  <c r="F243" i="4"/>
  <c r="C243" i="4"/>
  <c r="AC242" i="4"/>
  <c r="AD242" i="4" s="1"/>
  <c r="AA242" i="4"/>
  <c r="X242" i="4"/>
  <c r="W242" i="4"/>
  <c r="U242" i="4"/>
  <c r="R242" i="4"/>
  <c r="O242" i="4"/>
  <c r="N242" i="4"/>
  <c r="L242" i="4"/>
  <c r="H242" i="4"/>
  <c r="I242" i="4" s="1"/>
  <c r="F242" i="4"/>
  <c r="C242" i="4"/>
  <c r="AD241" i="4"/>
  <c r="AC241" i="4"/>
  <c r="AA241" i="4"/>
  <c r="W241" i="4"/>
  <c r="X241" i="4" s="1"/>
  <c r="U241" i="4"/>
  <c r="R241" i="4"/>
  <c r="N241" i="4"/>
  <c r="O241" i="4" s="1"/>
  <c r="L241" i="4"/>
  <c r="H241" i="4"/>
  <c r="I241" i="4" s="1"/>
  <c r="F241" i="4"/>
  <c r="C241" i="4"/>
  <c r="AC240" i="4"/>
  <c r="AD240" i="4" s="1"/>
  <c r="AA240" i="4"/>
  <c r="X240" i="4"/>
  <c r="W240" i="4"/>
  <c r="U240" i="4"/>
  <c r="R240" i="4"/>
  <c r="O240" i="4"/>
  <c r="N240" i="4"/>
  <c r="L240" i="4"/>
  <c r="I240" i="4"/>
  <c r="H240" i="4"/>
  <c r="F240" i="4"/>
  <c r="C240" i="4"/>
  <c r="AD238" i="4"/>
  <c r="AC238" i="4"/>
  <c r="AA238" i="4"/>
  <c r="X238" i="4"/>
  <c r="W238" i="4"/>
  <c r="U238" i="4"/>
  <c r="R238" i="4"/>
  <c r="N238" i="4"/>
  <c r="O238" i="4" s="1"/>
  <c r="L238" i="4"/>
  <c r="I238" i="4"/>
  <c r="H238" i="4"/>
  <c r="F238" i="4"/>
  <c r="C238" i="4"/>
  <c r="Z236" i="4"/>
  <c r="AA236" i="4" s="1"/>
  <c r="W236" i="4"/>
  <c r="X236" i="4" s="1"/>
  <c r="U236" i="4"/>
  <c r="T236" i="4"/>
  <c r="Q236" i="4"/>
  <c r="R236" i="4" s="1"/>
  <c r="L236" i="4"/>
  <c r="K236" i="4"/>
  <c r="I236" i="4"/>
  <c r="E236" i="4"/>
  <c r="F236" i="4" s="1"/>
  <c r="B236" i="4"/>
  <c r="H236" i="4" s="1"/>
  <c r="AC235" i="4"/>
  <c r="AD235" i="4" s="1"/>
  <c r="AA235" i="4"/>
  <c r="X235" i="4"/>
  <c r="W235" i="4"/>
  <c r="U235" i="4"/>
  <c r="R235" i="4"/>
  <c r="O235" i="4"/>
  <c r="N235" i="4"/>
  <c r="L235" i="4"/>
  <c r="I235" i="4"/>
  <c r="H235" i="4"/>
  <c r="F235" i="4"/>
  <c r="C235" i="4"/>
  <c r="AC234" i="4"/>
  <c r="AD234" i="4" s="1"/>
  <c r="AA234" i="4"/>
  <c r="W234" i="4"/>
  <c r="X234" i="4" s="1"/>
  <c r="U234" i="4"/>
  <c r="R234" i="4"/>
  <c r="N234" i="4"/>
  <c r="O234" i="4" s="1"/>
  <c r="L234" i="4"/>
  <c r="I234" i="4"/>
  <c r="H234" i="4"/>
  <c r="F234" i="4"/>
  <c r="C234" i="4"/>
  <c r="AC233" i="4"/>
  <c r="AD233" i="4" s="1"/>
  <c r="AA233" i="4"/>
  <c r="X233" i="4"/>
  <c r="W233" i="4"/>
  <c r="U233" i="4"/>
  <c r="R233" i="4"/>
  <c r="O233" i="4"/>
  <c r="N233" i="4"/>
  <c r="L233" i="4"/>
  <c r="I233" i="4"/>
  <c r="H233" i="4"/>
  <c r="F233" i="4"/>
  <c r="C233" i="4"/>
  <c r="AD232" i="4"/>
  <c r="AC232" i="4"/>
  <c r="AA232" i="4"/>
  <c r="W232" i="4"/>
  <c r="X232" i="4" s="1"/>
  <c r="U232" i="4"/>
  <c r="R232" i="4"/>
  <c r="N232" i="4"/>
  <c r="O232" i="4" s="1"/>
  <c r="L232" i="4"/>
  <c r="H232" i="4"/>
  <c r="I232" i="4" s="1"/>
  <c r="F232" i="4"/>
  <c r="C232" i="4"/>
  <c r="AD231" i="4"/>
  <c r="AC231" i="4"/>
  <c r="AA231" i="4"/>
  <c r="X231" i="4"/>
  <c r="W231" i="4"/>
  <c r="U231" i="4"/>
  <c r="R231" i="4"/>
  <c r="N231" i="4"/>
  <c r="O231" i="4" s="1"/>
  <c r="L231" i="4"/>
  <c r="I231" i="4"/>
  <c r="H231" i="4"/>
  <c r="F231" i="4"/>
  <c r="C231" i="4"/>
  <c r="AD230" i="4"/>
  <c r="AC230" i="4"/>
  <c r="AA230" i="4"/>
  <c r="X230" i="4"/>
  <c r="W230" i="4"/>
  <c r="U230" i="4"/>
  <c r="R230" i="4"/>
  <c r="N230" i="4"/>
  <c r="O230" i="4" s="1"/>
  <c r="L230" i="4"/>
  <c r="H230" i="4"/>
  <c r="I230" i="4" s="1"/>
  <c r="F230" i="4"/>
  <c r="C230" i="4"/>
  <c r="AC229" i="4"/>
  <c r="AD229" i="4" s="1"/>
  <c r="AA229" i="4"/>
  <c r="W229" i="4"/>
  <c r="X229" i="4" s="1"/>
  <c r="U229" i="4"/>
  <c r="R229" i="4"/>
  <c r="O229" i="4"/>
  <c r="N229" i="4"/>
  <c r="L229" i="4"/>
  <c r="H229" i="4"/>
  <c r="I229" i="4" s="1"/>
  <c r="F229" i="4"/>
  <c r="C229" i="4"/>
  <c r="AD227" i="4"/>
  <c r="Z227" i="4"/>
  <c r="AA227" i="4" s="1"/>
  <c r="W227" i="4"/>
  <c r="X227" i="4" s="1"/>
  <c r="T227" i="4"/>
  <c r="U227" i="4" s="1"/>
  <c r="R227" i="4"/>
  <c r="Q227" i="4"/>
  <c r="AC227" i="4" s="1"/>
  <c r="L227" i="4"/>
  <c r="K227" i="4"/>
  <c r="H227" i="4"/>
  <c r="I227" i="4" s="1"/>
  <c r="F227" i="4"/>
  <c r="E227" i="4"/>
  <c r="B227" i="4"/>
  <c r="C227" i="4" s="1"/>
  <c r="AC226" i="4"/>
  <c r="AD226" i="4" s="1"/>
  <c r="AA226" i="4"/>
  <c r="W226" i="4"/>
  <c r="X226" i="4" s="1"/>
  <c r="U226" i="4"/>
  <c r="R226" i="4"/>
  <c r="N226" i="4"/>
  <c r="O226" i="4" s="1"/>
  <c r="L226" i="4"/>
  <c r="I226" i="4"/>
  <c r="H226" i="4"/>
  <c r="F226" i="4"/>
  <c r="C226" i="4"/>
  <c r="AC225" i="4"/>
  <c r="AD225" i="4" s="1"/>
  <c r="AA225" i="4"/>
  <c r="X225" i="4"/>
  <c r="W225" i="4"/>
  <c r="U225" i="4"/>
  <c r="R225" i="4"/>
  <c r="O225" i="4"/>
  <c r="N225" i="4"/>
  <c r="L225" i="4"/>
  <c r="H225" i="4"/>
  <c r="I225" i="4" s="1"/>
  <c r="F225" i="4"/>
  <c r="C225" i="4"/>
  <c r="AD224" i="4"/>
  <c r="AC224" i="4"/>
  <c r="AA224" i="4"/>
  <c r="W224" i="4"/>
  <c r="X224" i="4" s="1"/>
  <c r="U224" i="4"/>
  <c r="R224" i="4"/>
  <c r="N224" i="4"/>
  <c r="O224" i="4" s="1"/>
  <c r="L224" i="4"/>
  <c r="H224" i="4"/>
  <c r="I224" i="4" s="1"/>
  <c r="F224" i="4"/>
  <c r="C224" i="4"/>
  <c r="AC223" i="4"/>
  <c r="AD223" i="4" s="1"/>
  <c r="AA223" i="4"/>
  <c r="X223" i="4"/>
  <c r="W223" i="4"/>
  <c r="U223" i="4"/>
  <c r="R223" i="4"/>
  <c r="N223" i="4"/>
  <c r="O223" i="4" s="1"/>
  <c r="L223" i="4"/>
  <c r="I223" i="4"/>
  <c r="H223" i="4"/>
  <c r="F223" i="4"/>
  <c r="C223" i="4"/>
  <c r="AD222" i="4"/>
  <c r="AC222" i="4"/>
  <c r="AA222" i="4"/>
  <c r="X222" i="4"/>
  <c r="W222" i="4"/>
  <c r="U222" i="4"/>
  <c r="R222" i="4"/>
  <c r="N222" i="4"/>
  <c r="O222" i="4" s="1"/>
  <c r="L222" i="4"/>
  <c r="H222" i="4"/>
  <c r="I222" i="4" s="1"/>
  <c r="F222" i="4"/>
  <c r="C222" i="4"/>
  <c r="AC221" i="4"/>
  <c r="AD221" i="4" s="1"/>
  <c r="AA221" i="4"/>
  <c r="W221" i="4"/>
  <c r="X221" i="4" s="1"/>
  <c r="U221" i="4"/>
  <c r="R221" i="4"/>
  <c r="O221" i="4"/>
  <c r="N221" i="4"/>
  <c r="L221" i="4"/>
  <c r="I221" i="4"/>
  <c r="H221" i="4"/>
  <c r="F221" i="4"/>
  <c r="C221" i="4"/>
  <c r="AD220" i="4"/>
  <c r="AC220" i="4"/>
  <c r="AA220" i="4"/>
  <c r="W220" i="4"/>
  <c r="X220" i="4" s="1"/>
  <c r="U220" i="4"/>
  <c r="R220" i="4"/>
  <c r="O220" i="4"/>
  <c r="N220" i="4"/>
  <c r="L220" i="4"/>
  <c r="H220" i="4"/>
  <c r="I220" i="4" s="1"/>
  <c r="F220" i="4"/>
  <c r="C220" i="4"/>
  <c r="AD219" i="4"/>
  <c r="AC219" i="4"/>
  <c r="AA219" i="4"/>
  <c r="X219" i="4"/>
  <c r="W219" i="4"/>
  <c r="U219" i="4"/>
  <c r="R219" i="4"/>
  <c r="O219" i="4"/>
  <c r="N219" i="4"/>
  <c r="L219" i="4"/>
  <c r="I219" i="4"/>
  <c r="H219" i="4"/>
  <c r="F219" i="4"/>
  <c r="C219" i="4"/>
  <c r="AC218" i="4"/>
  <c r="AD218" i="4" s="1"/>
  <c r="AA218" i="4"/>
  <c r="Z218" i="4"/>
  <c r="X218" i="4"/>
  <c r="T218" i="4"/>
  <c r="U218" i="4" s="1"/>
  <c r="Q218" i="4"/>
  <c r="W218" i="4" s="1"/>
  <c r="N218" i="4"/>
  <c r="O218" i="4" s="1"/>
  <c r="L218" i="4"/>
  <c r="K218" i="4"/>
  <c r="F218" i="4"/>
  <c r="E218" i="4"/>
  <c r="B218" i="4"/>
  <c r="H218" i="4" s="1"/>
  <c r="I218" i="4" s="1"/>
  <c r="AD217" i="4"/>
  <c r="AC217" i="4"/>
  <c r="AA217" i="4"/>
  <c r="W217" i="4"/>
  <c r="X217" i="4" s="1"/>
  <c r="U217" i="4"/>
  <c r="R217" i="4"/>
  <c r="N217" i="4"/>
  <c r="O217" i="4" s="1"/>
  <c r="L217" i="4"/>
  <c r="H217" i="4"/>
  <c r="I217" i="4" s="1"/>
  <c r="F217" i="4"/>
  <c r="C217" i="4"/>
  <c r="AD216" i="4"/>
  <c r="AC216" i="4"/>
  <c r="AA216" i="4"/>
  <c r="X216" i="4"/>
  <c r="W216" i="4"/>
  <c r="U216" i="4"/>
  <c r="R216" i="4"/>
  <c r="N216" i="4"/>
  <c r="O216" i="4" s="1"/>
  <c r="L216" i="4"/>
  <c r="I216" i="4"/>
  <c r="H216" i="4"/>
  <c r="F216" i="4"/>
  <c r="C216" i="4"/>
  <c r="AD215" i="4"/>
  <c r="AC215" i="4"/>
  <c r="AA215" i="4"/>
  <c r="X215" i="4"/>
  <c r="W215" i="4"/>
  <c r="U215" i="4"/>
  <c r="R215" i="4"/>
  <c r="N215" i="4"/>
  <c r="O215" i="4" s="1"/>
  <c r="L215" i="4"/>
  <c r="H215" i="4"/>
  <c r="I215" i="4" s="1"/>
  <c r="F215" i="4"/>
  <c r="C215" i="4"/>
  <c r="AC214" i="4"/>
  <c r="AD214" i="4" s="1"/>
  <c r="AA214" i="4"/>
  <c r="X214" i="4"/>
  <c r="W214" i="4"/>
  <c r="U214" i="4"/>
  <c r="R214" i="4"/>
  <c r="O214" i="4"/>
  <c r="N214" i="4"/>
  <c r="L214" i="4"/>
  <c r="H214" i="4"/>
  <c r="I214" i="4" s="1"/>
  <c r="F214" i="4"/>
  <c r="C214" i="4"/>
  <c r="AD213" i="4"/>
  <c r="AC213" i="4"/>
  <c r="AA213" i="4"/>
  <c r="W213" i="4"/>
  <c r="X213" i="4" s="1"/>
  <c r="U213" i="4"/>
  <c r="R213" i="4"/>
  <c r="O213" i="4"/>
  <c r="N213" i="4"/>
  <c r="L213" i="4"/>
  <c r="H213" i="4"/>
  <c r="I213" i="4" s="1"/>
  <c r="F213" i="4"/>
  <c r="C213" i="4"/>
  <c r="AC211" i="4"/>
  <c r="AD211" i="4" s="1"/>
  <c r="AA211" i="4"/>
  <c r="X211" i="4"/>
  <c r="W211" i="4"/>
  <c r="U211" i="4"/>
  <c r="R211" i="4"/>
  <c r="O211" i="4"/>
  <c r="N211" i="4"/>
  <c r="L211" i="4"/>
  <c r="I211" i="4"/>
  <c r="H211" i="4"/>
  <c r="F211" i="4"/>
  <c r="C211" i="4"/>
  <c r="Z209" i="4"/>
  <c r="T209" i="4"/>
  <c r="U209" i="4" s="1"/>
  <c r="R209" i="4"/>
  <c r="Q209" i="4"/>
  <c r="W209" i="4" s="1"/>
  <c r="X209" i="4" s="1"/>
  <c r="N209" i="4"/>
  <c r="O209" i="4" s="1"/>
  <c r="L209" i="4"/>
  <c r="K209" i="4"/>
  <c r="F209" i="4"/>
  <c r="E209" i="4"/>
  <c r="C209" i="4"/>
  <c r="B209" i="4"/>
  <c r="H209" i="4" s="1"/>
  <c r="I209" i="4" s="1"/>
  <c r="AD208" i="4"/>
  <c r="AC208" i="4"/>
  <c r="AA208" i="4"/>
  <c r="W208" i="4"/>
  <c r="X208" i="4" s="1"/>
  <c r="U208" i="4"/>
  <c r="R208" i="4"/>
  <c r="O208" i="4"/>
  <c r="N208" i="4"/>
  <c r="L208" i="4"/>
  <c r="H208" i="4"/>
  <c r="I208" i="4" s="1"/>
  <c r="F208" i="4"/>
  <c r="C208" i="4"/>
  <c r="AD207" i="4"/>
  <c r="AC207" i="4"/>
  <c r="AA207" i="4"/>
  <c r="X207" i="4"/>
  <c r="W207" i="4"/>
  <c r="U207" i="4"/>
  <c r="R207" i="4"/>
  <c r="O207" i="4"/>
  <c r="N207" i="4"/>
  <c r="L207" i="4"/>
  <c r="I207" i="4"/>
  <c r="H207" i="4"/>
  <c r="F207" i="4"/>
  <c r="C207" i="4"/>
  <c r="AC206" i="4"/>
  <c r="AD206" i="4" s="1"/>
  <c r="AA206" i="4"/>
  <c r="W206" i="4"/>
  <c r="X206" i="4" s="1"/>
  <c r="U206" i="4"/>
  <c r="R206" i="4"/>
  <c r="N206" i="4"/>
  <c r="O206" i="4" s="1"/>
  <c r="L206" i="4"/>
  <c r="I206" i="4"/>
  <c r="H206" i="4"/>
  <c r="F206" i="4"/>
  <c r="C206" i="4"/>
  <c r="AC205" i="4"/>
  <c r="AD205" i="4" s="1"/>
  <c r="AA205" i="4"/>
  <c r="X205" i="4"/>
  <c r="W205" i="4"/>
  <c r="U205" i="4"/>
  <c r="R205" i="4"/>
  <c r="O205" i="4"/>
  <c r="N205" i="4"/>
  <c r="L205" i="4"/>
  <c r="H205" i="4"/>
  <c r="I205" i="4" s="1"/>
  <c r="F205" i="4"/>
  <c r="C205" i="4"/>
  <c r="AD204" i="4"/>
  <c r="AC204" i="4"/>
  <c r="AA204" i="4"/>
  <c r="W204" i="4"/>
  <c r="X204" i="4" s="1"/>
  <c r="U204" i="4"/>
  <c r="R204" i="4"/>
  <c r="N204" i="4"/>
  <c r="O204" i="4" s="1"/>
  <c r="L204" i="4"/>
  <c r="H204" i="4"/>
  <c r="I204" i="4" s="1"/>
  <c r="F204" i="4"/>
  <c r="C204" i="4"/>
  <c r="AC203" i="4"/>
  <c r="AD203" i="4" s="1"/>
  <c r="AA203" i="4"/>
  <c r="X203" i="4"/>
  <c r="W203" i="4"/>
  <c r="U203" i="4"/>
  <c r="R203" i="4"/>
  <c r="O203" i="4"/>
  <c r="N203" i="4"/>
  <c r="L203" i="4"/>
  <c r="I203" i="4"/>
  <c r="H203" i="4"/>
  <c r="F203" i="4"/>
  <c r="C203" i="4"/>
  <c r="AD202" i="4"/>
  <c r="AC202" i="4"/>
  <c r="AA202" i="4"/>
  <c r="X202" i="4"/>
  <c r="W202" i="4"/>
  <c r="U202" i="4"/>
  <c r="R202" i="4"/>
  <c r="N202" i="4"/>
  <c r="O202" i="4" s="1"/>
  <c r="L202" i="4"/>
  <c r="I202" i="4"/>
  <c r="H202" i="4"/>
  <c r="F202" i="4"/>
  <c r="C202" i="4"/>
  <c r="AC201" i="4"/>
  <c r="AD201" i="4" s="1"/>
  <c r="AA201" i="4"/>
  <c r="W201" i="4"/>
  <c r="X201" i="4" s="1"/>
  <c r="U201" i="4"/>
  <c r="R201" i="4"/>
  <c r="O201" i="4"/>
  <c r="N201" i="4"/>
  <c r="L201" i="4"/>
  <c r="I201" i="4"/>
  <c r="H201" i="4"/>
  <c r="F201" i="4"/>
  <c r="C201" i="4"/>
  <c r="AD197" i="4"/>
  <c r="Z197" i="4"/>
  <c r="AC197" i="4" s="1"/>
  <c r="X197" i="4"/>
  <c r="T197" i="4"/>
  <c r="U197" i="4" s="1"/>
  <c r="R197" i="4"/>
  <c r="Q197" i="4"/>
  <c r="W197" i="4" s="1"/>
  <c r="O197" i="4"/>
  <c r="N197" i="4"/>
  <c r="L197" i="4"/>
  <c r="K197" i="4"/>
  <c r="E197" i="4"/>
  <c r="F197" i="4" s="1"/>
  <c r="C197" i="4"/>
  <c r="B197" i="4"/>
  <c r="AD196" i="4"/>
  <c r="Z196" i="4"/>
  <c r="AA196" i="4" s="1"/>
  <c r="W196" i="4"/>
  <c r="X196" i="4" s="1"/>
  <c r="T196" i="4"/>
  <c r="U196" i="4" s="1"/>
  <c r="R196" i="4"/>
  <c r="Q196" i="4"/>
  <c r="AC196" i="4" s="1"/>
  <c r="L196" i="4"/>
  <c r="K196" i="4"/>
  <c r="H196" i="4"/>
  <c r="I196" i="4" s="1"/>
  <c r="F196" i="4"/>
  <c r="E196" i="4"/>
  <c r="B196" i="4"/>
  <c r="C196" i="4" s="1"/>
  <c r="AC195" i="4"/>
  <c r="AD195" i="4" s="1"/>
  <c r="AA195" i="4"/>
  <c r="W195" i="4"/>
  <c r="X195" i="4" s="1"/>
  <c r="U195" i="4"/>
  <c r="R195" i="4"/>
  <c r="N195" i="4"/>
  <c r="O195" i="4" s="1"/>
  <c r="L195" i="4"/>
  <c r="I195" i="4"/>
  <c r="H195" i="4"/>
  <c r="F195" i="4"/>
  <c r="C195" i="4"/>
  <c r="AC194" i="4"/>
  <c r="AD194" i="4" s="1"/>
  <c r="AA194" i="4"/>
  <c r="X194" i="4"/>
  <c r="W194" i="4"/>
  <c r="U194" i="4"/>
  <c r="R194" i="4"/>
  <c r="O194" i="4"/>
  <c r="N194" i="4"/>
  <c r="L194" i="4"/>
  <c r="H194" i="4"/>
  <c r="I194" i="4" s="1"/>
  <c r="F194" i="4"/>
  <c r="C194" i="4"/>
  <c r="Z193" i="4"/>
  <c r="AA193" i="4" s="1"/>
  <c r="T193" i="4"/>
  <c r="W193" i="4" s="1"/>
  <c r="X193" i="4" s="1"/>
  <c r="R193" i="4"/>
  <c r="Q193" i="4"/>
  <c r="AC193" i="4" s="1"/>
  <c r="AD193" i="4" s="1"/>
  <c r="L193" i="4"/>
  <c r="K193" i="4"/>
  <c r="I193" i="4"/>
  <c r="H193" i="4"/>
  <c r="F193" i="4"/>
  <c r="E193" i="4"/>
  <c r="B193" i="4"/>
  <c r="C193" i="4" s="1"/>
  <c r="AD192" i="4"/>
  <c r="AC192" i="4"/>
  <c r="AA192" i="4"/>
  <c r="X192" i="4"/>
  <c r="W192" i="4"/>
  <c r="U192" i="4"/>
  <c r="R192" i="4"/>
  <c r="N192" i="4"/>
  <c r="O192" i="4" s="1"/>
  <c r="L192" i="4"/>
  <c r="I192" i="4"/>
  <c r="H192" i="4"/>
  <c r="F192" i="4"/>
  <c r="C192" i="4"/>
  <c r="AC191" i="4"/>
  <c r="AD191" i="4" s="1"/>
  <c r="AA191" i="4"/>
  <c r="W191" i="4"/>
  <c r="X191" i="4" s="1"/>
  <c r="U191" i="4"/>
  <c r="R191" i="4"/>
  <c r="O191" i="4"/>
  <c r="N191" i="4"/>
  <c r="L191" i="4"/>
  <c r="I191" i="4"/>
  <c r="H191" i="4"/>
  <c r="F191" i="4"/>
  <c r="C191" i="4"/>
  <c r="AD190" i="4"/>
  <c r="AC190" i="4"/>
  <c r="AA190" i="4"/>
  <c r="W190" i="4"/>
  <c r="X190" i="4" s="1"/>
  <c r="U190" i="4"/>
  <c r="R190" i="4"/>
  <c r="O190" i="4"/>
  <c r="N190" i="4"/>
  <c r="L190" i="4"/>
  <c r="H190" i="4"/>
  <c r="I190" i="4" s="1"/>
  <c r="F190" i="4"/>
  <c r="C190" i="4"/>
  <c r="AD189" i="4"/>
  <c r="AC189" i="4"/>
  <c r="AA189" i="4"/>
  <c r="X189" i="4"/>
  <c r="W189" i="4"/>
  <c r="U189" i="4"/>
  <c r="R189" i="4"/>
  <c r="N189" i="4"/>
  <c r="O189" i="4" s="1"/>
  <c r="L189" i="4"/>
  <c r="I189" i="4"/>
  <c r="H189" i="4"/>
  <c r="F189" i="4"/>
  <c r="C189" i="4"/>
  <c r="AC188" i="4"/>
  <c r="AD188" i="4" s="1"/>
  <c r="AA188" i="4"/>
  <c r="W188" i="4"/>
  <c r="X188" i="4" s="1"/>
  <c r="U188" i="4"/>
  <c r="R188" i="4"/>
  <c r="N188" i="4"/>
  <c r="O188" i="4" s="1"/>
  <c r="L188" i="4"/>
  <c r="H188" i="4"/>
  <c r="I188" i="4" s="1"/>
  <c r="F188" i="4"/>
  <c r="C188" i="4"/>
  <c r="AC187" i="4"/>
  <c r="AD187" i="4" s="1"/>
  <c r="AA187" i="4"/>
  <c r="W187" i="4"/>
  <c r="X187" i="4" s="1"/>
  <c r="U187" i="4"/>
  <c r="R187" i="4"/>
  <c r="O187" i="4"/>
  <c r="N187" i="4"/>
  <c r="L187" i="4"/>
  <c r="H187" i="4"/>
  <c r="I187" i="4" s="1"/>
  <c r="F187" i="4"/>
  <c r="C187" i="4"/>
  <c r="AD186" i="4"/>
  <c r="AC186" i="4"/>
  <c r="AA186" i="4"/>
  <c r="W186" i="4"/>
  <c r="X186" i="4" s="1"/>
  <c r="U186" i="4"/>
  <c r="R186" i="4"/>
  <c r="N186" i="4"/>
  <c r="O186" i="4" s="1"/>
  <c r="L186" i="4"/>
  <c r="H186" i="4"/>
  <c r="I186" i="4" s="1"/>
  <c r="F186" i="4"/>
  <c r="C186" i="4"/>
  <c r="AC184" i="4"/>
  <c r="AD184" i="4" s="1"/>
  <c r="AA184" i="4"/>
  <c r="X184" i="4"/>
  <c r="W184" i="4"/>
  <c r="U184" i="4"/>
  <c r="R184" i="4"/>
  <c r="O184" i="4"/>
  <c r="N184" i="4"/>
  <c r="L184" i="4"/>
  <c r="I184" i="4"/>
  <c r="H184" i="4"/>
  <c r="F184" i="4"/>
  <c r="C184" i="4"/>
  <c r="AD183" i="4"/>
  <c r="AC183" i="4"/>
  <c r="AA183" i="4"/>
  <c r="W183" i="4"/>
  <c r="X183" i="4" s="1"/>
  <c r="U183" i="4"/>
  <c r="R183" i="4"/>
  <c r="N183" i="4"/>
  <c r="O183" i="4" s="1"/>
  <c r="L183" i="4"/>
  <c r="I183" i="4"/>
  <c r="H183" i="4"/>
  <c r="F183" i="4"/>
  <c r="C183" i="4"/>
  <c r="Z182" i="4"/>
  <c r="AA182" i="4" s="1"/>
  <c r="W182" i="4"/>
  <c r="X182" i="4" s="1"/>
  <c r="U182" i="4"/>
  <c r="T182" i="4"/>
  <c r="Q182" i="4"/>
  <c r="R182" i="4" s="1"/>
  <c r="L182" i="4"/>
  <c r="K182" i="4"/>
  <c r="I182" i="4"/>
  <c r="E182" i="4"/>
  <c r="F182" i="4" s="1"/>
  <c r="B182" i="4"/>
  <c r="H182" i="4" s="1"/>
  <c r="AD181" i="4"/>
  <c r="AC181" i="4"/>
  <c r="AA181" i="4"/>
  <c r="X181" i="4"/>
  <c r="W181" i="4"/>
  <c r="U181" i="4"/>
  <c r="R181" i="4"/>
  <c r="O181" i="4"/>
  <c r="N181" i="4"/>
  <c r="L181" i="4"/>
  <c r="I181" i="4"/>
  <c r="H181" i="4"/>
  <c r="F181" i="4"/>
  <c r="C181" i="4"/>
  <c r="AC180" i="4"/>
  <c r="AD180" i="4" s="1"/>
  <c r="AA180" i="4"/>
  <c r="W180" i="4"/>
  <c r="X180" i="4" s="1"/>
  <c r="U180" i="4"/>
  <c r="R180" i="4"/>
  <c r="N180" i="4"/>
  <c r="O180" i="4" s="1"/>
  <c r="L180" i="4"/>
  <c r="I180" i="4"/>
  <c r="H180" i="4"/>
  <c r="F180" i="4"/>
  <c r="C180" i="4"/>
  <c r="AC179" i="4"/>
  <c r="AD179" i="4" s="1"/>
  <c r="AA179" i="4"/>
  <c r="X179" i="4"/>
  <c r="W179" i="4"/>
  <c r="U179" i="4"/>
  <c r="R179" i="4"/>
  <c r="O179" i="4"/>
  <c r="N179" i="4"/>
  <c r="L179" i="4"/>
  <c r="I179" i="4"/>
  <c r="H179" i="4"/>
  <c r="F179" i="4"/>
  <c r="C179" i="4"/>
  <c r="AD178" i="4"/>
  <c r="AC178" i="4"/>
  <c r="AA178" i="4"/>
  <c r="W178" i="4"/>
  <c r="X178" i="4" s="1"/>
  <c r="U178" i="4"/>
  <c r="R178" i="4"/>
  <c r="N178" i="4"/>
  <c r="O178" i="4" s="1"/>
  <c r="L178" i="4"/>
  <c r="H178" i="4"/>
  <c r="I178" i="4" s="1"/>
  <c r="F178" i="4"/>
  <c r="C178" i="4"/>
  <c r="AD177" i="4"/>
  <c r="AC177" i="4"/>
  <c r="AA177" i="4"/>
  <c r="X177" i="4"/>
  <c r="W177" i="4"/>
  <c r="U177" i="4"/>
  <c r="R177" i="4"/>
  <c r="N177" i="4"/>
  <c r="O177" i="4" s="1"/>
  <c r="L177" i="4"/>
  <c r="I177" i="4"/>
  <c r="H177" i="4"/>
  <c r="F177" i="4"/>
  <c r="C177" i="4"/>
  <c r="AD175" i="4"/>
  <c r="AC175" i="4"/>
  <c r="AA175" i="4"/>
  <c r="W175" i="4"/>
  <c r="X175" i="4" s="1"/>
  <c r="U175" i="4"/>
  <c r="R175" i="4"/>
  <c r="N175" i="4"/>
  <c r="O175" i="4" s="1"/>
  <c r="L175" i="4"/>
  <c r="H175" i="4"/>
  <c r="I175" i="4" s="1"/>
  <c r="F175" i="4"/>
  <c r="C175" i="4"/>
  <c r="B172" i="4"/>
  <c r="AC171" i="4"/>
  <c r="AD171" i="4" s="1"/>
  <c r="AA171" i="4"/>
  <c r="Z171" i="4"/>
  <c r="T171" i="4"/>
  <c r="U171" i="4" s="1"/>
  <c r="Q171" i="4"/>
  <c r="W171" i="4" s="1"/>
  <c r="X171" i="4" s="1"/>
  <c r="K171" i="4"/>
  <c r="L171" i="4" s="1"/>
  <c r="E171" i="4"/>
  <c r="H171" i="4" s="1"/>
  <c r="I171" i="4" s="1"/>
  <c r="C171" i="4"/>
  <c r="B171" i="4"/>
  <c r="N171" i="4" s="1"/>
  <c r="O171" i="4" s="1"/>
  <c r="Z170" i="4"/>
  <c r="AA170" i="4" s="1"/>
  <c r="W170" i="4"/>
  <c r="X170" i="4" s="1"/>
  <c r="U170" i="4"/>
  <c r="T170" i="4"/>
  <c r="Q170" i="4"/>
  <c r="R170" i="4" s="1"/>
  <c r="L170" i="4"/>
  <c r="K170" i="4"/>
  <c r="E170" i="4"/>
  <c r="F170" i="4" s="1"/>
  <c r="C170" i="4"/>
  <c r="B170" i="4"/>
  <c r="H170" i="4" s="1"/>
  <c r="I170" i="4" s="1"/>
  <c r="AD169" i="4"/>
  <c r="AC169" i="4"/>
  <c r="AA169" i="4"/>
  <c r="X169" i="4"/>
  <c r="W169" i="4"/>
  <c r="U169" i="4"/>
  <c r="R169" i="4"/>
  <c r="N169" i="4"/>
  <c r="O169" i="4" s="1"/>
  <c r="L169" i="4"/>
  <c r="I169" i="4"/>
  <c r="H169" i="4"/>
  <c r="F169" i="4"/>
  <c r="C169" i="4"/>
  <c r="AC168" i="4"/>
  <c r="AD168" i="4" s="1"/>
  <c r="AA168" i="4"/>
  <c r="W168" i="4"/>
  <c r="X168" i="4" s="1"/>
  <c r="U168" i="4"/>
  <c r="R168" i="4"/>
  <c r="N168" i="4"/>
  <c r="O168" i="4" s="1"/>
  <c r="L168" i="4"/>
  <c r="H168" i="4"/>
  <c r="I168" i="4" s="1"/>
  <c r="F168" i="4"/>
  <c r="C168" i="4"/>
  <c r="AC167" i="4"/>
  <c r="AD167" i="4" s="1"/>
  <c r="AA167" i="4"/>
  <c r="X167" i="4"/>
  <c r="W167" i="4"/>
  <c r="U167" i="4"/>
  <c r="R167" i="4"/>
  <c r="O167" i="4"/>
  <c r="N167" i="4"/>
  <c r="L167" i="4"/>
  <c r="H167" i="4"/>
  <c r="I167" i="4" s="1"/>
  <c r="F167" i="4"/>
  <c r="C167" i="4"/>
  <c r="Z166" i="4"/>
  <c r="AA166" i="4" s="1"/>
  <c r="T166" i="4"/>
  <c r="R166" i="4"/>
  <c r="Q166" i="4"/>
  <c r="AC166" i="4" s="1"/>
  <c r="AD166" i="4" s="1"/>
  <c r="L166" i="4"/>
  <c r="K166" i="4"/>
  <c r="I166" i="4"/>
  <c r="H166" i="4"/>
  <c r="F166" i="4"/>
  <c r="E166" i="4"/>
  <c r="B166" i="4"/>
  <c r="C166" i="4" s="1"/>
  <c r="AD165" i="4"/>
  <c r="AC165" i="4"/>
  <c r="AA165" i="4"/>
  <c r="X165" i="4"/>
  <c r="W165" i="4"/>
  <c r="U165" i="4"/>
  <c r="R165" i="4"/>
  <c r="N165" i="4"/>
  <c r="O165" i="4" s="1"/>
  <c r="L165" i="4"/>
  <c r="I165" i="4"/>
  <c r="H165" i="4"/>
  <c r="F165" i="4"/>
  <c r="C165" i="4"/>
  <c r="AC164" i="4"/>
  <c r="AD164" i="4" s="1"/>
  <c r="AA164" i="4"/>
  <c r="W164" i="4"/>
  <c r="X164" i="4" s="1"/>
  <c r="U164" i="4"/>
  <c r="R164" i="4"/>
  <c r="O164" i="4"/>
  <c r="N164" i="4"/>
  <c r="L164" i="4"/>
  <c r="H164" i="4"/>
  <c r="I164" i="4" s="1"/>
  <c r="F164" i="4"/>
  <c r="C164" i="4"/>
  <c r="AD163" i="4"/>
  <c r="AC163" i="4"/>
  <c r="AA163" i="4"/>
  <c r="W163" i="4"/>
  <c r="X163" i="4" s="1"/>
  <c r="U163" i="4"/>
  <c r="R163" i="4"/>
  <c r="O163" i="4"/>
  <c r="N163" i="4"/>
  <c r="L163" i="4"/>
  <c r="H163" i="4"/>
  <c r="I163" i="4" s="1"/>
  <c r="F163" i="4"/>
  <c r="C163" i="4"/>
  <c r="AC162" i="4"/>
  <c r="AD162" i="4" s="1"/>
  <c r="AA162" i="4"/>
  <c r="X162" i="4"/>
  <c r="W162" i="4"/>
  <c r="U162" i="4"/>
  <c r="R162" i="4"/>
  <c r="N162" i="4"/>
  <c r="O162" i="4" s="1"/>
  <c r="L162" i="4"/>
  <c r="I162" i="4"/>
  <c r="H162" i="4"/>
  <c r="F162" i="4"/>
  <c r="C162" i="4"/>
  <c r="AC161" i="4"/>
  <c r="AD161" i="4" s="1"/>
  <c r="AA161" i="4"/>
  <c r="W161" i="4"/>
  <c r="X161" i="4" s="1"/>
  <c r="U161" i="4"/>
  <c r="R161" i="4"/>
  <c r="N161" i="4"/>
  <c r="O161" i="4" s="1"/>
  <c r="L161" i="4"/>
  <c r="H161" i="4"/>
  <c r="I161" i="4" s="1"/>
  <c r="F161" i="4"/>
  <c r="C161" i="4"/>
  <c r="AC160" i="4"/>
  <c r="AD160" i="4" s="1"/>
  <c r="AA160" i="4"/>
  <c r="X160" i="4"/>
  <c r="W160" i="4"/>
  <c r="U160" i="4"/>
  <c r="R160" i="4"/>
  <c r="O160" i="4"/>
  <c r="N160" i="4"/>
  <c r="L160" i="4"/>
  <c r="H160" i="4"/>
  <c r="I160" i="4" s="1"/>
  <c r="F160" i="4"/>
  <c r="C160" i="4"/>
  <c r="AD158" i="4"/>
  <c r="Z158" i="4"/>
  <c r="AA158" i="4" s="1"/>
  <c r="T158" i="4"/>
  <c r="U158" i="4" s="1"/>
  <c r="R158" i="4"/>
  <c r="Q158" i="4"/>
  <c r="AC158" i="4" s="1"/>
  <c r="L158" i="4"/>
  <c r="K158" i="4"/>
  <c r="H158" i="4"/>
  <c r="I158" i="4" s="1"/>
  <c r="F158" i="4"/>
  <c r="E158" i="4"/>
  <c r="B158" i="4"/>
  <c r="C158" i="4" s="1"/>
  <c r="AC157" i="4"/>
  <c r="AD157" i="4" s="1"/>
  <c r="AA157" i="4"/>
  <c r="W157" i="4"/>
  <c r="X157" i="4" s="1"/>
  <c r="U157" i="4"/>
  <c r="R157" i="4"/>
  <c r="N157" i="4"/>
  <c r="O157" i="4" s="1"/>
  <c r="L157" i="4"/>
  <c r="I157" i="4"/>
  <c r="H157" i="4"/>
  <c r="F157" i="4"/>
  <c r="C157" i="4"/>
  <c r="AC156" i="4"/>
  <c r="AD156" i="4" s="1"/>
  <c r="AA156" i="4"/>
  <c r="W156" i="4"/>
  <c r="X156" i="4" s="1"/>
  <c r="U156" i="4"/>
  <c r="R156" i="4"/>
  <c r="O156" i="4"/>
  <c r="N156" i="4"/>
  <c r="L156" i="4"/>
  <c r="I156" i="4"/>
  <c r="H156" i="4"/>
  <c r="F156" i="4"/>
  <c r="C156" i="4"/>
  <c r="AD155" i="4"/>
  <c r="AC155" i="4"/>
  <c r="AA155" i="4"/>
  <c r="W155" i="4"/>
  <c r="X155" i="4" s="1"/>
  <c r="U155" i="4"/>
  <c r="R155" i="4"/>
  <c r="N155" i="4"/>
  <c r="O155" i="4" s="1"/>
  <c r="L155" i="4"/>
  <c r="H155" i="4"/>
  <c r="I155" i="4" s="1"/>
  <c r="F155" i="4"/>
  <c r="C155" i="4"/>
  <c r="AD154" i="4"/>
  <c r="AC154" i="4"/>
  <c r="AA154" i="4"/>
  <c r="X154" i="4"/>
  <c r="W154" i="4"/>
  <c r="U154" i="4"/>
  <c r="R154" i="4"/>
  <c r="N154" i="4"/>
  <c r="O154" i="4" s="1"/>
  <c r="L154" i="4"/>
  <c r="I154" i="4"/>
  <c r="H154" i="4"/>
  <c r="F154" i="4"/>
  <c r="C154" i="4"/>
  <c r="AD153" i="4"/>
  <c r="AC153" i="4"/>
  <c r="AA153" i="4"/>
  <c r="X153" i="4"/>
  <c r="W153" i="4"/>
  <c r="U153" i="4"/>
  <c r="R153" i="4"/>
  <c r="N153" i="4"/>
  <c r="O153" i="4" s="1"/>
  <c r="L153" i="4"/>
  <c r="H153" i="4"/>
  <c r="I153" i="4" s="1"/>
  <c r="F153" i="4"/>
  <c r="C153" i="4"/>
  <c r="AC151" i="4"/>
  <c r="AD151" i="4" s="1"/>
  <c r="AA151" i="4"/>
  <c r="W151" i="4"/>
  <c r="X151" i="4" s="1"/>
  <c r="U151" i="4"/>
  <c r="R151" i="4"/>
  <c r="O151" i="4"/>
  <c r="N151" i="4"/>
  <c r="L151" i="4"/>
  <c r="H151" i="4"/>
  <c r="I151" i="4" s="1"/>
  <c r="F151" i="4"/>
  <c r="C151" i="4"/>
  <c r="AD149" i="4"/>
  <c r="Z149" i="4"/>
  <c r="AA149" i="4" s="1"/>
  <c r="T149" i="4"/>
  <c r="W149" i="4" s="1"/>
  <c r="X149" i="4" s="1"/>
  <c r="R149" i="4"/>
  <c r="Q149" i="4"/>
  <c r="AC149" i="4" s="1"/>
  <c r="L149" i="4"/>
  <c r="K149" i="4"/>
  <c r="H149" i="4"/>
  <c r="I149" i="4" s="1"/>
  <c r="F149" i="4"/>
  <c r="E149" i="4"/>
  <c r="B149" i="4"/>
  <c r="C149" i="4" s="1"/>
  <c r="AC148" i="4"/>
  <c r="AD148" i="4" s="1"/>
  <c r="AA148" i="4"/>
  <c r="Z148" i="4"/>
  <c r="T148" i="4"/>
  <c r="U148" i="4" s="1"/>
  <c r="Q148" i="4"/>
  <c r="W148" i="4" s="1"/>
  <c r="X148" i="4" s="1"/>
  <c r="N148" i="4"/>
  <c r="O148" i="4" s="1"/>
  <c r="L148" i="4"/>
  <c r="K148" i="4"/>
  <c r="F148" i="4"/>
  <c r="E148" i="4"/>
  <c r="B148" i="4"/>
  <c r="C148" i="4" s="1"/>
  <c r="AD147" i="4"/>
  <c r="AC147" i="4"/>
  <c r="AA147" i="4"/>
  <c r="W147" i="4"/>
  <c r="X147" i="4" s="1"/>
  <c r="U147" i="4"/>
  <c r="R147" i="4"/>
  <c r="N147" i="4"/>
  <c r="O147" i="4" s="1"/>
  <c r="L147" i="4"/>
  <c r="H147" i="4"/>
  <c r="I147" i="4" s="1"/>
  <c r="F147" i="4"/>
  <c r="C147" i="4"/>
  <c r="AD146" i="4"/>
  <c r="AC146" i="4"/>
  <c r="AA146" i="4"/>
  <c r="X146" i="4"/>
  <c r="W146" i="4"/>
  <c r="U146" i="4"/>
  <c r="R146" i="4"/>
  <c r="N146" i="4"/>
  <c r="O146" i="4" s="1"/>
  <c r="L146" i="4"/>
  <c r="I146" i="4"/>
  <c r="H146" i="4"/>
  <c r="F146" i="4"/>
  <c r="C146" i="4"/>
  <c r="AC145" i="4"/>
  <c r="AD145" i="4" s="1"/>
  <c r="AA145" i="4"/>
  <c r="W145" i="4"/>
  <c r="X145" i="4" s="1"/>
  <c r="U145" i="4"/>
  <c r="R145" i="4"/>
  <c r="N145" i="4"/>
  <c r="O145" i="4" s="1"/>
  <c r="L145" i="4"/>
  <c r="H145" i="4"/>
  <c r="I145" i="4" s="1"/>
  <c r="F145" i="4"/>
  <c r="C145" i="4"/>
  <c r="AC144" i="4"/>
  <c r="AD144" i="4" s="1"/>
  <c r="AA144" i="4"/>
  <c r="X144" i="4"/>
  <c r="W144" i="4"/>
  <c r="U144" i="4"/>
  <c r="R144" i="4"/>
  <c r="O144" i="4"/>
  <c r="N144" i="4"/>
  <c r="L144" i="4"/>
  <c r="H144" i="4"/>
  <c r="I144" i="4" s="1"/>
  <c r="F144" i="4"/>
  <c r="C144" i="4"/>
  <c r="AD143" i="4"/>
  <c r="AC143" i="4"/>
  <c r="AA143" i="4"/>
  <c r="W143" i="4"/>
  <c r="X143" i="4" s="1"/>
  <c r="U143" i="4"/>
  <c r="R143" i="4"/>
  <c r="N143" i="4"/>
  <c r="O143" i="4" s="1"/>
  <c r="L143" i="4"/>
  <c r="H143" i="4"/>
  <c r="I143" i="4" s="1"/>
  <c r="F143" i="4"/>
  <c r="C143" i="4"/>
  <c r="AC141" i="4"/>
  <c r="AD141" i="4" s="1"/>
  <c r="AA141" i="4"/>
  <c r="Z141" i="4"/>
  <c r="T141" i="4"/>
  <c r="U141" i="4" s="1"/>
  <c r="Q141" i="4"/>
  <c r="W141" i="4" s="1"/>
  <c r="X141" i="4" s="1"/>
  <c r="K141" i="4"/>
  <c r="L141" i="4" s="1"/>
  <c r="E141" i="4"/>
  <c r="H141" i="4" s="1"/>
  <c r="I141" i="4" s="1"/>
  <c r="C141" i="4"/>
  <c r="B141" i="4"/>
  <c r="N141" i="4" s="1"/>
  <c r="O141" i="4" s="1"/>
  <c r="AC140" i="4"/>
  <c r="AD140" i="4" s="1"/>
  <c r="AA140" i="4"/>
  <c r="X140" i="4"/>
  <c r="W140" i="4"/>
  <c r="U140" i="4"/>
  <c r="R140" i="4"/>
  <c r="O140" i="4"/>
  <c r="N140" i="4"/>
  <c r="L140" i="4"/>
  <c r="I140" i="4"/>
  <c r="H140" i="4"/>
  <c r="F140" i="4"/>
  <c r="C140" i="4"/>
  <c r="AD139" i="4"/>
  <c r="AC139" i="4"/>
  <c r="AA139" i="4"/>
  <c r="W139" i="4"/>
  <c r="X139" i="4" s="1"/>
  <c r="U139" i="4"/>
  <c r="R139" i="4"/>
  <c r="N139" i="4"/>
  <c r="O139" i="4" s="1"/>
  <c r="L139" i="4"/>
  <c r="H139" i="4"/>
  <c r="I139" i="4" s="1"/>
  <c r="F139" i="4"/>
  <c r="C139" i="4"/>
  <c r="AD138" i="4"/>
  <c r="AC138" i="4"/>
  <c r="AA138" i="4"/>
  <c r="X138" i="4"/>
  <c r="W138" i="4"/>
  <c r="U138" i="4"/>
  <c r="R138" i="4"/>
  <c r="N138" i="4"/>
  <c r="O138" i="4" s="1"/>
  <c r="L138" i="4"/>
  <c r="I138" i="4"/>
  <c r="H138" i="4"/>
  <c r="F138" i="4"/>
  <c r="C138" i="4"/>
  <c r="AD137" i="4"/>
  <c r="AC137" i="4"/>
  <c r="AA137" i="4"/>
  <c r="X137" i="4"/>
  <c r="W137" i="4"/>
  <c r="U137" i="4"/>
  <c r="R137" i="4"/>
  <c r="N137" i="4"/>
  <c r="O137" i="4" s="1"/>
  <c r="L137" i="4"/>
  <c r="H137" i="4"/>
  <c r="I137" i="4" s="1"/>
  <c r="F137" i="4"/>
  <c r="C137" i="4"/>
  <c r="AC136" i="4"/>
  <c r="AD136" i="4" s="1"/>
  <c r="AA136" i="4"/>
  <c r="W136" i="4"/>
  <c r="X136" i="4" s="1"/>
  <c r="U136" i="4"/>
  <c r="R136" i="4"/>
  <c r="O136" i="4"/>
  <c r="N136" i="4"/>
  <c r="L136" i="4"/>
  <c r="I136" i="4"/>
  <c r="H136" i="4"/>
  <c r="F136" i="4"/>
  <c r="C136" i="4"/>
  <c r="AD135" i="4"/>
  <c r="AC135" i="4"/>
  <c r="AA135" i="4"/>
  <c r="W135" i="4"/>
  <c r="X135" i="4" s="1"/>
  <c r="U135" i="4"/>
  <c r="R135" i="4"/>
  <c r="O135" i="4"/>
  <c r="N135" i="4"/>
  <c r="L135" i="4"/>
  <c r="H135" i="4"/>
  <c r="I135" i="4" s="1"/>
  <c r="F135" i="4"/>
  <c r="C135" i="4"/>
  <c r="AC134" i="4"/>
  <c r="AD134" i="4" s="1"/>
  <c r="AA134" i="4"/>
  <c r="X134" i="4"/>
  <c r="W134" i="4"/>
  <c r="U134" i="4"/>
  <c r="R134" i="4"/>
  <c r="N134" i="4"/>
  <c r="O134" i="4" s="1"/>
  <c r="L134" i="4"/>
  <c r="I134" i="4"/>
  <c r="H134" i="4"/>
  <c r="F134" i="4"/>
  <c r="C134" i="4"/>
  <c r="AC133" i="4"/>
  <c r="AD133" i="4" s="1"/>
  <c r="AA133" i="4"/>
  <c r="W133" i="4"/>
  <c r="X133" i="4" s="1"/>
  <c r="U133" i="4"/>
  <c r="R133" i="4"/>
  <c r="N133" i="4"/>
  <c r="O133" i="4" s="1"/>
  <c r="L133" i="4"/>
  <c r="H133" i="4"/>
  <c r="I133" i="4" s="1"/>
  <c r="F133" i="4"/>
  <c r="C133" i="4"/>
  <c r="AC132" i="4"/>
  <c r="AD132" i="4" s="1"/>
  <c r="AA132" i="4"/>
  <c r="W132" i="4"/>
  <c r="X132" i="4" s="1"/>
  <c r="U132" i="4"/>
  <c r="R132" i="4"/>
  <c r="O132" i="4"/>
  <c r="N132" i="4"/>
  <c r="L132" i="4"/>
  <c r="I132" i="4"/>
  <c r="H132" i="4"/>
  <c r="F132" i="4"/>
  <c r="C132" i="4"/>
  <c r="AC131" i="4"/>
  <c r="AD131" i="4" s="1"/>
  <c r="AA131" i="4"/>
  <c r="W131" i="4"/>
  <c r="X131" i="4" s="1"/>
  <c r="U131" i="4"/>
  <c r="R131" i="4"/>
  <c r="N131" i="4"/>
  <c r="O131" i="4" s="1"/>
  <c r="L131" i="4"/>
  <c r="H131" i="4"/>
  <c r="I131" i="4" s="1"/>
  <c r="F131" i="4"/>
  <c r="C131" i="4"/>
  <c r="AD130" i="4"/>
  <c r="AC130" i="4"/>
  <c r="AA130" i="4"/>
  <c r="X130" i="4"/>
  <c r="W130" i="4"/>
  <c r="U130" i="4"/>
  <c r="R130" i="4"/>
  <c r="N130" i="4"/>
  <c r="O130" i="4" s="1"/>
  <c r="L130" i="4"/>
  <c r="H130" i="4"/>
  <c r="I130" i="4" s="1"/>
  <c r="F130" i="4"/>
  <c r="C130" i="4"/>
  <c r="AD129" i="4"/>
  <c r="AC129" i="4"/>
  <c r="AA129" i="4"/>
  <c r="X129" i="4"/>
  <c r="W129" i="4"/>
  <c r="U129" i="4"/>
  <c r="R129" i="4"/>
  <c r="O129" i="4"/>
  <c r="N129" i="4"/>
  <c r="L129" i="4"/>
  <c r="I129" i="4"/>
  <c r="H129" i="4"/>
  <c r="F129" i="4"/>
  <c r="C129" i="4"/>
  <c r="AC127" i="4"/>
  <c r="AD127" i="4" s="1"/>
  <c r="AA127" i="4"/>
  <c r="X127" i="4"/>
  <c r="W127" i="4"/>
  <c r="U127" i="4"/>
  <c r="R127" i="4"/>
  <c r="O127" i="4"/>
  <c r="N127" i="4"/>
  <c r="L127" i="4"/>
  <c r="I127" i="4"/>
  <c r="H127" i="4"/>
  <c r="F127" i="4"/>
  <c r="C127" i="4"/>
  <c r="Z124" i="4"/>
  <c r="W124" i="4"/>
  <c r="X124" i="4" s="1"/>
  <c r="U124" i="4"/>
  <c r="T124" i="4"/>
  <c r="R124" i="4"/>
  <c r="Q124" i="4"/>
  <c r="K124" i="4"/>
  <c r="K172" i="4" s="1"/>
  <c r="E124" i="4"/>
  <c r="B124" i="4"/>
  <c r="C124" i="4" s="1"/>
  <c r="AC123" i="4"/>
  <c r="AD123" i="4" s="1"/>
  <c r="AA123" i="4"/>
  <c r="W123" i="4"/>
  <c r="X123" i="4" s="1"/>
  <c r="U123" i="4"/>
  <c r="R123" i="4"/>
  <c r="O123" i="4"/>
  <c r="N123" i="4"/>
  <c r="L123" i="4"/>
  <c r="H123" i="4"/>
  <c r="I123" i="4" s="1"/>
  <c r="F123" i="4"/>
  <c r="C123" i="4"/>
  <c r="AC122" i="4"/>
  <c r="AD122" i="4" s="1"/>
  <c r="AA122" i="4"/>
  <c r="Z122" i="4"/>
  <c r="T122" i="4"/>
  <c r="W122" i="4" s="1"/>
  <c r="X122" i="4" s="1"/>
  <c r="Q122" i="4"/>
  <c r="R122" i="4" s="1"/>
  <c r="K122" i="4"/>
  <c r="L122" i="4" s="1"/>
  <c r="E122" i="4"/>
  <c r="F122" i="4" s="1"/>
  <c r="B122" i="4"/>
  <c r="H122" i="4" s="1"/>
  <c r="I122" i="4" s="1"/>
  <c r="AD121" i="4"/>
  <c r="AC121" i="4"/>
  <c r="AA121" i="4"/>
  <c r="X121" i="4"/>
  <c r="W121" i="4"/>
  <c r="U121" i="4"/>
  <c r="R121" i="4"/>
  <c r="O121" i="4"/>
  <c r="N121" i="4"/>
  <c r="L121" i="4"/>
  <c r="H121" i="4"/>
  <c r="I121" i="4" s="1"/>
  <c r="F121" i="4"/>
  <c r="C121" i="4"/>
  <c r="AC120" i="4"/>
  <c r="AD120" i="4" s="1"/>
  <c r="AA120" i="4"/>
  <c r="W120" i="4"/>
  <c r="X120" i="4" s="1"/>
  <c r="U120" i="4"/>
  <c r="R120" i="4"/>
  <c r="O120" i="4"/>
  <c r="N120" i="4"/>
  <c r="L120" i="4"/>
  <c r="I120" i="4"/>
  <c r="H120" i="4"/>
  <c r="F120" i="4"/>
  <c r="C120" i="4"/>
  <c r="AC119" i="4"/>
  <c r="AD119" i="4" s="1"/>
  <c r="AA119" i="4"/>
  <c r="W119" i="4"/>
  <c r="X119" i="4" s="1"/>
  <c r="U119" i="4"/>
  <c r="R119" i="4"/>
  <c r="O119" i="4"/>
  <c r="N119" i="4"/>
  <c r="L119" i="4"/>
  <c r="I119" i="4"/>
  <c r="H119" i="4"/>
  <c r="F119" i="4"/>
  <c r="C119" i="4"/>
  <c r="Z118" i="4"/>
  <c r="AA118" i="4" s="1"/>
  <c r="T118" i="4"/>
  <c r="U118" i="4" s="1"/>
  <c r="R118" i="4"/>
  <c r="Q118" i="4"/>
  <c r="K118" i="4"/>
  <c r="L118" i="4" s="1"/>
  <c r="F118" i="4"/>
  <c r="E118" i="4"/>
  <c r="B118" i="4"/>
  <c r="C118" i="4" s="1"/>
  <c r="AD117" i="4"/>
  <c r="AC117" i="4"/>
  <c r="AA117" i="4"/>
  <c r="X117" i="4"/>
  <c r="W117" i="4"/>
  <c r="U117" i="4"/>
  <c r="R117" i="4"/>
  <c r="N117" i="4"/>
  <c r="O117" i="4" s="1"/>
  <c r="L117" i="4"/>
  <c r="H117" i="4"/>
  <c r="I117" i="4" s="1"/>
  <c r="F117" i="4"/>
  <c r="C117" i="4"/>
  <c r="AC116" i="4"/>
  <c r="AD116" i="4" s="1"/>
  <c r="AA116" i="4"/>
  <c r="X116" i="4"/>
  <c r="W116" i="4"/>
  <c r="U116" i="4"/>
  <c r="R116" i="4"/>
  <c r="O116" i="4"/>
  <c r="N116" i="4"/>
  <c r="L116" i="4"/>
  <c r="H116" i="4"/>
  <c r="I116" i="4" s="1"/>
  <c r="F116" i="4"/>
  <c r="C116" i="4"/>
  <c r="AD115" i="4"/>
  <c r="AC115" i="4"/>
  <c r="AA115" i="4"/>
  <c r="X115" i="4"/>
  <c r="W115" i="4"/>
  <c r="U115" i="4"/>
  <c r="R115" i="4"/>
  <c r="O115" i="4"/>
  <c r="N115" i="4"/>
  <c r="L115" i="4"/>
  <c r="H115" i="4"/>
  <c r="I115" i="4" s="1"/>
  <c r="F115" i="4"/>
  <c r="C115" i="4"/>
  <c r="AC114" i="4"/>
  <c r="AD114" i="4" s="1"/>
  <c r="AA114" i="4"/>
  <c r="X114" i="4"/>
  <c r="W114" i="4"/>
  <c r="U114" i="4"/>
  <c r="R114" i="4"/>
  <c r="N114" i="4"/>
  <c r="O114" i="4" s="1"/>
  <c r="L114" i="4"/>
  <c r="I114" i="4"/>
  <c r="H114" i="4"/>
  <c r="F114" i="4"/>
  <c r="C114" i="4"/>
  <c r="AD113" i="4"/>
  <c r="AC113" i="4"/>
  <c r="AA113" i="4"/>
  <c r="W113" i="4"/>
  <c r="X113" i="4" s="1"/>
  <c r="U113" i="4"/>
  <c r="R113" i="4"/>
  <c r="O113" i="4"/>
  <c r="N113" i="4"/>
  <c r="L113" i="4"/>
  <c r="H113" i="4"/>
  <c r="I113" i="4" s="1"/>
  <c r="F113" i="4"/>
  <c r="C113" i="4"/>
  <c r="AC112" i="4"/>
  <c r="AD112" i="4" s="1"/>
  <c r="AA112" i="4"/>
  <c r="X112" i="4"/>
  <c r="W112" i="4"/>
  <c r="U112" i="4"/>
  <c r="R112" i="4"/>
  <c r="O112" i="4"/>
  <c r="N112" i="4"/>
  <c r="L112" i="4"/>
  <c r="I112" i="4"/>
  <c r="H112" i="4"/>
  <c r="F112" i="4"/>
  <c r="C112" i="4"/>
  <c r="AC111" i="4"/>
  <c r="AD111" i="4" s="1"/>
  <c r="AA111" i="4"/>
  <c r="W111" i="4"/>
  <c r="X111" i="4" s="1"/>
  <c r="U111" i="4"/>
  <c r="R111" i="4"/>
  <c r="O111" i="4"/>
  <c r="N111" i="4"/>
  <c r="L111" i="4"/>
  <c r="H111" i="4"/>
  <c r="I111" i="4" s="1"/>
  <c r="F111" i="4"/>
  <c r="C111" i="4"/>
  <c r="AD110" i="4"/>
  <c r="AC110" i="4"/>
  <c r="AA110" i="4"/>
  <c r="X110" i="4"/>
  <c r="W110" i="4"/>
  <c r="U110" i="4"/>
  <c r="R110" i="4"/>
  <c r="O110" i="4"/>
  <c r="N110" i="4"/>
  <c r="L110" i="4"/>
  <c r="I110" i="4"/>
  <c r="H110" i="4"/>
  <c r="F110" i="4"/>
  <c r="C110" i="4"/>
  <c r="AC109" i="4"/>
  <c r="AD109" i="4" s="1"/>
  <c r="AA109" i="4"/>
  <c r="W109" i="4"/>
  <c r="X109" i="4" s="1"/>
  <c r="U109" i="4"/>
  <c r="R109" i="4"/>
  <c r="O109" i="4"/>
  <c r="N109" i="4"/>
  <c r="L109" i="4"/>
  <c r="I109" i="4"/>
  <c r="H109" i="4"/>
  <c r="F109" i="4"/>
  <c r="C109" i="4"/>
  <c r="AC108" i="4"/>
  <c r="AD108" i="4" s="1"/>
  <c r="AA108" i="4"/>
  <c r="W108" i="4"/>
  <c r="X108" i="4" s="1"/>
  <c r="U108" i="4"/>
  <c r="R108" i="4"/>
  <c r="O108" i="4"/>
  <c r="N108" i="4"/>
  <c r="L108" i="4"/>
  <c r="I108" i="4"/>
  <c r="H108" i="4"/>
  <c r="F108" i="4"/>
  <c r="C108" i="4"/>
  <c r="AC107" i="4"/>
  <c r="AD107" i="4" s="1"/>
  <c r="AA107" i="4"/>
  <c r="W107" i="4"/>
  <c r="X107" i="4" s="1"/>
  <c r="U107" i="4"/>
  <c r="R107" i="4"/>
  <c r="O107" i="4"/>
  <c r="N107" i="4"/>
  <c r="L107" i="4"/>
  <c r="H107" i="4"/>
  <c r="I107" i="4" s="1"/>
  <c r="F107" i="4"/>
  <c r="C107" i="4"/>
  <c r="AC106" i="4"/>
  <c r="AD106" i="4" s="1"/>
  <c r="AA106" i="4"/>
  <c r="X106" i="4"/>
  <c r="W106" i="4"/>
  <c r="U106" i="4"/>
  <c r="R106" i="4"/>
  <c r="O106" i="4"/>
  <c r="N106" i="4"/>
  <c r="L106" i="4"/>
  <c r="I106" i="4"/>
  <c r="H106" i="4"/>
  <c r="F106" i="4"/>
  <c r="C106" i="4"/>
  <c r="AC105" i="4"/>
  <c r="AD105" i="4" s="1"/>
  <c r="AA105" i="4"/>
  <c r="X105" i="4"/>
  <c r="W105" i="4"/>
  <c r="U105" i="4"/>
  <c r="R105" i="4"/>
  <c r="O105" i="4"/>
  <c r="N105" i="4"/>
  <c r="L105" i="4"/>
  <c r="H105" i="4"/>
  <c r="I105" i="4" s="1"/>
  <c r="F105" i="4"/>
  <c r="C105" i="4"/>
  <c r="AC104" i="4"/>
  <c r="AD104" i="4" s="1"/>
  <c r="AA104" i="4"/>
  <c r="X104" i="4"/>
  <c r="W104" i="4"/>
  <c r="U104" i="4"/>
  <c r="R104" i="4"/>
  <c r="O104" i="4"/>
  <c r="N104" i="4"/>
  <c r="L104" i="4"/>
  <c r="I104" i="4"/>
  <c r="H104" i="4"/>
  <c r="F104" i="4"/>
  <c r="C104" i="4"/>
  <c r="AD103" i="4"/>
  <c r="AC103" i="4"/>
  <c r="AA103" i="4"/>
  <c r="W103" i="4"/>
  <c r="X103" i="4" s="1"/>
  <c r="U103" i="4"/>
  <c r="R103" i="4"/>
  <c r="N103" i="4"/>
  <c r="O103" i="4" s="1"/>
  <c r="L103" i="4"/>
  <c r="H103" i="4"/>
  <c r="I103" i="4" s="1"/>
  <c r="F103" i="4"/>
  <c r="C103" i="4"/>
  <c r="AD102" i="4"/>
  <c r="AC102" i="4"/>
  <c r="AA102" i="4"/>
  <c r="X102" i="4"/>
  <c r="W102" i="4"/>
  <c r="U102" i="4"/>
  <c r="R102" i="4"/>
  <c r="N102" i="4"/>
  <c r="O102" i="4" s="1"/>
  <c r="L102" i="4"/>
  <c r="H102" i="4"/>
  <c r="I102" i="4" s="1"/>
  <c r="F102" i="4"/>
  <c r="C102" i="4"/>
  <c r="AD101" i="4"/>
  <c r="AC101" i="4"/>
  <c r="AA101" i="4"/>
  <c r="X101" i="4"/>
  <c r="W101" i="4"/>
  <c r="U101" i="4"/>
  <c r="R101" i="4"/>
  <c r="N101" i="4"/>
  <c r="O101" i="4" s="1"/>
  <c r="L101" i="4"/>
  <c r="H101" i="4"/>
  <c r="I101" i="4" s="1"/>
  <c r="F101" i="4"/>
  <c r="C101" i="4"/>
  <c r="AC100" i="4"/>
  <c r="AD100" i="4" s="1"/>
  <c r="AA100" i="4"/>
  <c r="W100" i="4"/>
  <c r="X100" i="4" s="1"/>
  <c r="U100" i="4"/>
  <c r="R100" i="4"/>
  <c r="O100" i="4"/>
  <c r="N100" i="4"/>
  <c r="L100" i="4"/>
  <c r="H100" i="4"/>
  <c r="I100" i="4" s="1"/>
  <c r="F100" i="4"/>
  <c r="C100" i="4"/>
  <c r="AD99" i="4"/>
  <c r="AC99" i="4"/>
  <c r="AA99" i="4"/>
  <c r="X99" i="4"/>
  <c r="W99" i="4"/>
  <c r="U99" i="4"/>
  <c r="R99" i="4"/>
  <c r="O99" i="4"/>
  <c r="N99" i="4"/>
  <c r="L99" i="4"/>
  <c r="H99" i="4"/>
  <c r="I99" i="4" s="1"/>
  <c r="F99" i="4"/>
  <c r="C99" i="4"/>
  <c r="AC98" i="4"/>
  <c r="AD98" i="4" s="1"/>
  <c r="AA98" i="4"/>
  <c r="X98" i="4"/>
  <c r="W98" i="4"/>
  <c r="U98" i="4"/>
  <c r="R98" i="4"/>
  <c r="N98" i="4"/>
  <c r="O98" i="4" s="1"/>
  <c r="L98" i="4"/>
  <c r="H98" i="4"/>
  <c r="I98" i="4" s="1"/>
  <c r="F98" i="4"/>
  <c r="C98" i="4"/>
  <c r="AD97" i="4"/>
  <c r="AC97" i="4"/>
  <c r="AA97" i="4"/>
  <c r="W97" i="4"/>
  <c r="X97" i="4" s="1"/>
  <c r="U97" i="4"/>
  <c r="R97" i="4"/>
  <c r="O97" i="4"/>
  <c r="N97" i="4"/>
  <c r="L97" i="4"/>
  <c r="H97" i="4"/>
  <c r="I97" i="4" s="1"/>
  <c r="F97" i="4"/>
  <c r="C97" i="4"/>
  <c r="AC96" i="4"/>
  <c r="AD96" i="4" s="1"/>
  <c r="AA96" i="4"/>
  <c r="X96" i="4"/>
  <c r="W96" i="4"/>
  <c r="U96" i="4"/>
  <c r="R96" i="4"/>
  <c r="O96" i="4"/>
  <c r="N96" i="4"/>
  <c r="L96" i="4"/>
  <c r="I96" i="4"/>
  <c r="H96" i="4"/>
  <c r="F96" i="4"/>
  <c r="C96" i="4"/>
  <c r="AC95" i="4"/>
  <c r="AD95" i="4" s="1"/>
  <c r="AA95" i="4"/>
  <c r="W95" i="4"/>
  <c r="X95" i="4" s="1"/>
  <c r="U95" i="4"/>
  <c r="R95" i="4"/>
  <c r="O95" i="4"/>
  <c r="N95" i="4"/>
  <c r="L95" i="4"/>
  <c r="H95" i="4"/>
  <c r="I95" i="4" s="1"/>
  <c r="F95" i="4"/>
  <c r="C95" i="4"/>
  <c r="AD94" i="4"/>
  <c r="AC94" i="4"/>
  <c r="AA94" i="4"/>
  <c r="X94" i="4"/>
  <c r="W94" i="4"/>
  <c r="U94" i="4"/>
  <c r="R94" i="4"/>
  <c r="O94" i="4"/>
  <c r="N94" i="4"/>
  <c r="L94" i="4"/>
  <c r="I94" i="4"/>
  <c r="H94" i="4"/>
  <c r="F94" i="4"/>
  <c r="C94" i="4"/>
  <c r="AC92" i="4"/>
  <c r="AD92" i="4" s="1"/>
  <c r="AA92" i="4"/>
  <c r="W92" i="4"/>
  <c r="X92" i="4" s="1"/>
  <c r="U92" i="4"/>
  <c r="R92" i="4"/>
  <c r="O92" i="4"/>
  <c r="N92" i="4"/>
  <c r="L92" i="4"/>
  <c r="I92" i="4"/>
  <c r="H92" i="4"/>
  <c r="F92" i="4"/>
  <c r="C92" i="4"/>
  <c r="AC91" i="4"/>
  <c r="AD91" i="4" s="1"/>
  <c r="AA91" i="4"/>
  <c r="W91" i="4"/>
  <c r="X91" i="4" s="1"/>
  <c r="U91" i="4"/>
  <c r="R91" i="4"/>
  <c r="O91" i="4"/>
  <c r="N91" i="4"/>
  <c r="L91" i="4"/>
  <c r="I91" i="4"/>
  <c r="H91" i="4"/>
  <c r="F91" i="4"/>
  <c r="C91" i="4"/>
  <c r="AC90" i="4"/>
  <c r="AD90" i="4" s="1"/>
  <c r="AA90" i="4"/>
  <c r="W90" i="4"/>
  <c r="X90" i="4" s="1"/>
  <c r="U90" i="4"/>
  <c r="R90" i="4"/>
  <c r="O90" i="4"/>
  <c r="N90" i="4"/>
  <c r="L90" i="4"/>
  <c r="H90" i="4"/>
  <c r="I90" i="4" s="1"/>
  <c r="F90" i="4"/>
  <c r="C90" i="4"/>
  <c r="AC89" i="4"/>
  <c r="AD89" i="4" s="1"/>
  <c r="AA89" i="4"/>
  <c r="X89" i="4"/>
  <c r="W89" i="4"/>
  <c r="U89" i="4"/>
  <c r="R89" i="4"/>
  <c r="O89" i="4"/>
  <c r="N89" i="4"/>
  <c r="L89" i="4"/>
  <c r="I89" i="4"/>
  <c r="H89" i="4"/>
  <c r="F89" i="4"/>
  <c r="C89" i="4"/>
  <c r="Z88" i="4"/>
  <c r="AA88" i="4" s="1"/>
  <c r="T88" i="4"/>
  <c r="U88" i="4" s="1"/>
  <c r="Q88" i="4"/>
  <c r="R88" i="4" s="1"/>
  <c r="L88" i="4"/>
  <c r="K88" i="4"/>
  <c r="E88" i="4"/>
  <c r="F88" i="4" s="1"/>
  <c r="C88" i="4"/>
  <c r="B88" i="4"/>
  <c r="AC87" i="4"/>
  <c r="AD87" i="4" s="1"/>
  <c r="AA87" i="4"/>
  <c r="W87" i="4"/>
  <c r="X87" i="4" s="1"/>
  <c r="U87" i="4"/>
  <c r="R87" i="4"/>
  <c r="O87" i="4"/>
  <c r="N87" i="4"/>
  <c r="L87" i="4"/>
  <c r="H87" i="4"/>
  <c r="I87" i="4" s="1"/>
  <c r="F87" i="4"/>
  <c r="C87" i="4"/>
  <c r="AC86" i="4"/>
  <c r="AD86" i="4" s="1"/>
  <c r="AA86" i="4"/>
  <c r="X86" i="4"/>
  <c r="W86" i="4"/>
  <c r="U86" i="4"/>
  <c r="R86" i="4"/>
  <c r="O86" i="4"/>
  <c r="N86" i="4"/>
  <c r="L86" i="4"/>
  <c r="I86" i="4"/>
  <c r="H86" i="4"/>
  <c r="F86" i="4"/>
  <c r="C86" i="4"/>
  <c r="AC85" i="4"/>
  <c r="AD85" i="4" s="1"/>
  <c r="AA85" i="4"/>
  <c r="W85" i="4"/>
  <c r="X85" i="4" s="1"/>
  <c r="U85" i="4"/>
  <c r="R85" i="4"/>
  <c r="O85" i="4"/>
  <c r="N85" i="4"/>
  <c r="L85" i="4"/>
  <c r="I85" i="4"/>
  <c r="H85" i="4"/>
  <c r="F85" i="4"/>
  <c r="C85" i="4"/>
  <c r="AC84" i="4"/>
  <c r="AD84" i="4" s="1"/>
  <c r="AA84" i="4"/>
  <c r="W84" i="4"/>
  <c r="X84" i="4" s="1"/>
  <c r="U84" i="4"/>
  <c r="R84" i="4"/>
  <c r="O84" i="4"/>
  <c r="N84" i="4"/>
  <c r="L84" i="4"/>
  <c r="I84" i="4"/>
  <c r="H84" i="4"/>
  <c r="F84" i="4"/>
  <c r="C84" i="4"/>
  <c r="AD83" i="4"/>
  <c r="AC83" i="4"/>
  <c r="AA83" i="4"/>
  <c r="X83" i="4"/>
  <c r="W83" i="4"/>
  <c r="U83" i="4"/>
  <c r="R83" i="4"/>
  <c r="N83" i="4"/>
  <c r="O83" i="4" s="1"/>
  <c r="L83" i="4"/>
  <c r="H83" i="4"/>
  <c r="I83" i="4" s="1"/>
  <c r="F83" i="4"/>
  <c r="C83" i="4"/>
  <c r="AC82" i="4"/>
  <c r="AD82" i="4" s="1"/>
  <c r="AA82" i="4"/>
  <c r="X82" i="4"/>
  <c r="W82" i="4"/>
  <c r="U82" i="4"/>
  <c r="R82" i="4"/>
  <c r="O82" i="4"/>
  <c r="N82" i="4"/>
  <c r="L82" i="4"/>
  <c r="H82" i="4"/>
  <c r="I82" i="4" s="1"/>
  <c r="F82" i="4"/>
  <c r="C82" i="4"/>
  <c r="AD81" i="4"/>
  <c r="AC81" i="4"/>
  <c r="AA81" i="4"/>
  <c r="W81" i="4"/>
  <c r="X81" i="4" s="1"/>
  <c r="U81" i="4"/>
  <c r="R81" i="4"/>
  <c r="N81" i="4"/>
  <c r="O81" i="4" s="1"/>
  <c r="L81" i="4"/>
  <c r="H81" i="4"/>
  <c r="I81" i="4" s="1"/>
  <c r="F81" i="4"/>
  <c r="C81" i="4"/>
  <c r="AC80" i="4"/>
  <c r="AD80" i="4" s="1"/>
  <c r="AA80" i="4"/>
  <c r="X80" i="4"/>
  <c r="W80" i="4"/>
  <c r="U80" i="4"/>
  <c r="R80" i="4"/>
  <c r="O80" i="4"/>
  <c r="N80" i="4"/>
  <c r="L80" i="4"/>
  <c r="H80" i="4"/>
  <c r="I80" i="4" s="1"/>
  <c r="F80" i="4"/>
  <c r="C80" i="4"/>
  <c r="AC79" i="4"/>
  <c r="AD79" i="4" s="1"/>
  <c r="AA79" i="4"/>
  <c r="X79" i="4"/>
  <c r="W79" i="4"/>
  <c r="U79" i="4"/>
  <c r="R79" i="4"/>
  <c r="N79" i="4"/>
  <c r="O79" i="4" s="1"/>
  <c r="L79" i="4"/>
  <c r="H79" i="4"/>
  <c r="I79" i="4" s="1"/>
  <c r="F79" i="4"/>
  <c r="C79" i="4"/>
  <c r="AD78" i="4"/>
  <c r="AC78" i="4"/>
  <c r="AA78" i="4"/>
  <c r="X78" i="4"/>
  <c r="W78" i="4"/>
  <c r="U78" i="4"/>
  <c r="R78" i="4"/>
  <c r="N78" i="4"/>
  <c r="O78" i="4" s="1"/>
  <c r="L78" i="4"/>
  <c r="H78" i="4"/>
  <c r="I78" i="4" s="1"/>
  <c r="F78" i="4"/>
  <c r="C78" i="4"/>
  <c r="AD77" i="4"/>
  <c r="AC77" i="4"/>
  <c r="AA77" i="4"/>
  <c r="X77" i="4"/>
  <c r="W77" i="4"/>
  <c r="U77" i="4"/>
  <c r="R77" i="4"/>
  <c r="N77" i="4"/>
  <c r="O77" i="4" s="1"/>
  <c r="L77" i="4"/>
  <c r="I77" i="4"/>
  <c r="H77" i="4"/>
  <c r="F77" i="4"/>
  <c r="C77" i="4"/>
  <c r="AC76" i="4"/>
  <c r="AD76" i="4" s="1"/>
  <c r="AA76" i="4"/>
  <c r="X76" i="4"/>
  <c r="W76" i="4"/>
  <c r="U76" i="4"/>
  <c r="R76" i="4"/>
  <c r="O76" i="4"/>
  <c r="N76" i="4"/>
  <c r="L76" i="4"/>
  <c r="H76" i="4"/>
  <c r="I76" i="4" s="1"/>
  <c r="F76" i="4"/>
  <c r="C76" i="4"/>
  <c r="AD75" i="4"/>
  <c r="AC75" i="4"/>
  <c r="AA75" i="4"/>
  <c r="X75" i="4"/>
  <c r="W75" i="4"/>
  <c r="U75" i="4"/>
  <c r="R75" i="4"/>
  <c r="O75" i="4"/>
  <c r="N75" i="4"/>
  <c r="L75" i="4"/>
  <c r="H75" i="4"/>
  <c r="I75" i="4" s="1"/>
  <c r="F75" i="4"/>
  <c r="C75" i="4"/>
  <c r="AA73" i="4"/>
  <c r="Z73" i="4"/>
  <c r="T73" i="4"/>
  <c r="U73" i="4" s="1"/>
  <c r="Q73" i="4"/>
  <c r="N73" i="4"/>
  <c r="O73" i="4" s="1"/>
  <c r="K73" i="4"/>
  <c r="L73" i="4" s="1"/>
  <c r="H73" i="4"/>
  <c r="I73" i="4" s="1"/>
  <c r="F73" i="4"/>
  <c r="E73" i="4"/>
  <c r="C73" i="4"/>
  <c r="B73" i="4"/>
  <c r="AC72" i="4"/>
  <c r="AD72" i="4" s="1"/>
  <c r="AA72" i="4"/>
  <c r="W72" i="4"/>
  <c r="X72" i="4" s="1"/>
  <c r="U72" i="4"/>
  <c r="R72" i="4"/>
  <c r="O72" i="4"/>
  <c r="N72" i="4"/>
  <c r="L72" i="4"/>
  <c r="I72" i="4"/>
  <c r="H72" i="4"/>
  <c r="F72" i="4"/>
  <c r="C72" i="4"/>
  <c r="AD71" i="4"/>
  <c r="AC71" i="4"/>
  <c r="AA71" i="4"/>
  <c r="X71" i="4"/>
  <c r="W71" i="4"/>
  <c r="U71" i="4"/>
  <c r="R71" i="4"/>
  <c r="O71" i="4"/>
  <c r="N71" i="4"/>
  <c r="L71" i="4"/>
  <c r="H71" i="4"/>
  <c r="I71" i="4" s="1"/>
  <c r="F71" i="4"/>
  <c r="C71" i="4"/>
  <c r="AC70" i="4"/>
  <c r="AD70" i="4" s="1"/>
  <c r="AA70" i="4"/>
  <c r="X70" i="4"/>
  <c r="W70" i="4"/>
  <c r="U70" i="4"/>
  <c r="R70" i="4"/>
  <c r="O70" i="4"/>
  <c r="N70" i="4"/>
  <c r="L70" i="4"/>
  <c r="H70" i="4"/>
  <c r="I70" i="4" s="1"/>
  <c r="F70" i="4"/>
  <c r="C70" i="4"/>
  <c r="AD69" i="4"/>
  <c r="AC69" i="4"/>
  <c r="AA69" i="4"/>
  <c r="W69" i="4"/>
  <c r="X69" i="4" s="1"/>
  <c r="U69" i="4"/>
  <c r="R69" i="4"/>
  <c r="N69" i="4"/>
  <c r="O69" i="4" s="1"/>
  <c r="L69" i="4"/>
  <c r="H69" i="4"/>
  <c r="I69" i="4" s="1"/>
  <c r="F69" i="4"/>
  <c r="C69" i="4"/>
  <c r="AC68" i="4"/>
  <c r="AD68" i="4" s="1"/>
  <c r="AA68" i="4"/>
  <c r="X68" i="4"/>
  <c r="W68" i="4"/>
  <c r="U68" i="4"/>
  <c r="R68" i="4"/>
  <c r="O68" i="4"/>
  <c r="N68" i="4"/>
  <c r="L68" i="4"/>
  <c r="H68" i="4"/>
  <c r="I68" i="4" s="1"/>
  <c r="F68" i="4"/>
  <c r="C68" i="4"/>
  <c r="AC67" i="4"/>
  <c r="AD67" i="4" s="1"/>
  <c r="AA67" i="4"/>
  <c r="X67" i="4"/>
  <c r="W67" i="4"/>
  <c r="U67" i="4"/>
  <c r="R67" i="4"/>
  <c r="N67" i="4"/>
  <c r="O67" i="4" s="1"/>
  <c r="L67" i="4"/>
  <c r="H67" i="4"/>
  <c r="I67" i="4" s="1"/>
  <c r="F67" i="4"/>
  <c r="C67" i="4"/>
  <c r="AD66" i="4"/>
  <c r="AC66" i="4"/>
  <c r="AA66" i="4"/>
  <c r="X66" i="4"/>
  <c r="W66" i="4"/>
  <c r="U66" i="4"/>
  <c r="R66" i="4"/>
  <c r="N66" i="4"/>
  <c r="O66" i="4" s="1"/>
  <c r="L66" i="4"/>
  <c r="H66" i="4"/>
  <c r="I66" i="4" s="1"/>
  <c r="F66" i="4"/>
  <c r="C66" i="4"/>
  <c r="AD65" i="4"/>
  <c r="AC65" i="4"/>
  <c r="AA65" i="4"/>
  <c r="X65" i="4"/>
  <c r="W65" i="4"/>
  <c r="U65" i="4"/>
  <c r="R65" i="4"/>
  <c r="O65" i="4"/>
  <c r="N65" i="4"/>
  <c r="L65" i="4"/>
  <c r="I65" i="4"/>
  <c r="H65" i="4"/>
  <c r="F65" i="4"/>
  <c r="C65" i="4"/>
  <c r="AC64" i="4"/>
  <c r="AD64" i="4" s="1"/>
  <c r="AA64" i="4"/>
  <c r="X64" i="4"/>
  <c r="W64" i="4"/>
  <c r="U64" i="4"/>
  <c r="R64" i="4"/>
  <c r="O64" i="4"/>
  <c r="N64" i="4"/>
  <c r="L64" i="4"/>
  <c r="I64" i="4"/>
  <c r="H64" i="4"/>
  <c r="F64" i="4"/>
  <c r="C64" i="4"/>
  <c r="Z62" i="4"/>
  <c r="AA62" i="4" s="1"/>
  <c r="W62" i="4"/>
  <c r="X62" i="4" s="1"/>
  <c r="U62" i="4"/>
  <c r="T62" i="4"/>
  <c r="R62" i="4"/>
  <c r="Q62" i="4"/>
  <c r="L62" i="4"/>
  <c r="K62" i="4"/>
  <c r="H62" i="4"/>
  <c r="I62" i="4" s="1"/>
  <c r="E62" i="4"/>
  <c r="F62" i="4" s="1"/>
  <c r="B62" i="4"/>
  <c r="C62" i="4" s="1"/>
  <c r="Z61" i="4"/>
  <c r="AC61" i="4" s="1"/>
  <c r="AD61" i="4" s="1"/>
  <c r="T61" i="4"/>
  <c r="U61" i="4" s="1"/>
  <c r="R61" i="4"/>
  <c r="Q61" i="4"/>
  <c r="K61" i="4"/>
  <c r="L61" i="4" s="1"/>
  <c r="F61" i="4"/>
  <c r="E61" i="4"/>
  <c r="B61" i="4"/>
  <c r="AD60" i="4"/>
  <c r="AC60" i="4"/>
  <c r="AA60" i="4"/>
  <c r="W60" i="4"/>
  <c r="X60" i="4" s="1"/>
  <c r="U60" i="4"/>
  <c r="R60" i="4"/>
  <c r="N60" i="4"/>
  <c r="O60" i="4" s="1"/>
  <c r="L60" i="4"/>
  <c r="H60" i="4"/>
  <c r="I60" i="4" s="1"/>
  <c r="F60" i="4"/>
  <c r="C60" i="4"/>
  <c r="AD59" i="4"/>
  <c r="AC59" i="4"/>
  <c r="AA59" i="4"/>
  <c r="X59" i="4"/>
  <c r="W59" i="4"/>
  <c r="U59" i="4"/>
  <c r="R59" i="4"/>
  <c r="O59" i="4"/>
  <c r="N59" i="4"/>
  <c r="L59" i="4"/>
  <c r="H59" i="4"/>
  <c r="I59" i="4" s="1"/>
  <c r="F59" i="4"/>
  <c r="C59" i="4"/>
  <c r="AC58" i="4"/>
  <c r="AD58" i="4" s="1"/>
  <c r="AA58" i="4"/>
  <c r="W58" i="4"/>
  <c r="X58" i="4" s="1"/>
  <c r="U58" i="4"/>
  <c r="R58" i="4"/>
  <c r="O58" i="4"/>
  <c r="N58" i="4"/>
  <c r="L58" i="4"/>
  <c r="I58" i="4"/>
  <c r="H58" i="4"/>
  <c r="F58" i="4"/>
  <c r="C58" i="4"/>
  <c r="AC57" i="4"/>
  <c r="AD57" i="4" s="1"/>
  <c r="AA57" i="4"/>
  <c r="W57" i="4"/>
  <c r="X57" i="4" s="1"/>
  <c r="U57" i="4"/>
  <c r="R57" i="4"/>
  <c r="O57" i="4"/>
  <c r="N57" i="4"/>
  <c r="L57" i="4"/>
  <c r="I57" i="4"/>
  <c r="H57" i="4"/>
  <c r="F57" i="4"/>
  <c r="C57" i="4"/>
  <c r="AC56" i="4"/>
  <c r="AD56" i="4" s="1"/>
  <c r="AA56" i="4"/>
  <c r="X56" i="4"/>
  <c r="W56" i="4"/>
  <c r="U56" i="4"/>
  <c r="R56" i="4"/>
  <c r="O56" i="4"/>
  <c r="N56" i="4"/>
  <c r="L56" i="4"/>
  <c r="H56" i="4"/>
  <c r="I56" i="4" s="1"/>
  <c r="F56" i="4"/>
  <c r="C56" i="4"/>
  <c r="AC55" i="4"/>
  <c r="AD55" i="4" s="1"/>
  <c r="AA55" i="4"/>
  <c r="X55" i="4"/>
  <c r="W55" i="4"/>
  <c r="U55" i="4"/>
  <c r="R55" i="4"/>
  <c r="O55" i="4"/>
  <c r="N55" i="4"/>
  <c r="L55" i="4"/>
  <c r="I55" i="4"/>
  <c r="H55" i="4"/>
  <c r="F55" i="4"/>
  <c r="C55" i="4"/>
  <c r="AC54" i="4"/>
  <c r="AD54" i="4" s="1"/>
  <c r="AA54" i="4"/>
  <c r="X54" i="4"/>
  <c r="W54" i="4"/>
  <c r="U54" i="4"/>
  <c r="R54" i="4"/>
  <c r="N54" i="4"/>
  <c r="O54" i="4" s="1"/>
  <c r="L54" i="4"/>
  <c r="H54" i="4"/>
  <c r="I54" i="4" s="1"/>
  <c r="F54" i="4"/>
  <c r="C54" i="4"/>
  <c r="AC53" i="4"/>
  <c r="AD53" i="4" s="1"/>
  <c r="AA53" i="4"/>
  <c r="W53" i="4"/>
  <c r="X53" i="4" s="1"/>
  <c r="U53" i="4"/>
  <c r="R53" i="4"/>
  <c r="O53" i="4"/>
  <c r="N53" i="4"/>
  <c r="L53" i="4"/>
  <c r="I53" i="4"/>
  <c r="H53" i="4"/>
  <c r="F53" i="4"/>
  <c r="C53" i="4"/>
  <c r="AD52" i="4"/>
  <c r="AC52" i="4"/>
  <c r="AA52" i="4"/>
  <c r="X52" i="4"/>
  <c r="W52" i="4"/>
  <c r="U52" i="4"/>
  <c r="R52" i="4"/>
  <c r="N52" i="4"/>
  <c r="O52" i="4" s="1"/>
  <c r="L52" i="4"/>
  <c r="H52" i="4"/>
  <c r="I52" i="4" s="1"/>
  <c r="F52" i="4"/>
  <c r="C52" i="4"/>
  <c r="AD51" i="4"/>
  <c r="AC51" i="4"/>
  <c r="AA51" i="4"/>
  <c r="X51" i="4"/>
  <c r="W51" i="4"/>
  <c r="U51" i="4"/>
  <c r="R51" i="4"/>
  <c r="O51" i="4"/>
  <c r="N51" i="4"/>
  <c r="L51" i="4"/>
  <c r="H51" i="4"/>
  <c r="I51" i="4" s="1"/>
  <c r="F51" i="4"/>
  <c r="C51" i="4"/>
  <c r="AC50" i="4"/>
  <c r="AD50" i="4" s="1"/>
  <c r="AA50" i="4"/>
  <c r="X50" i="4"/>
  <c r="W50" i="4"/>
  <c r="U50" i="4"/>
  <c r="R50" i="4"/>
  <c r="N50" i="4"/>
  <c r="O50" i="4" s="1"/>
  <c r="L50" i="4"/>
  <c r="I50" i="4"/>
  <c r="H50" i="4"/>
  <c r="F50" i="4"/>
  <c r="C50" i="4"/>
  <c r="AC49" i="4"/>
  <c r="AD49" i="4" s="1"/>
  <c r="AA49" i="4"/>
  <c r="X49" i="4"/>
  <c r="W49" i="4"/>
  <c r="U49" i="4"/>
  <c r="R49" i="4"/>
  <c r="O49" i="4"/>
  <c r="N49" i="4"/>
  <c r="L49" i="4"/>
  <c r="H49" i="4"/>
  <c r="I49" i="4" s="1"/>
  <c r="F49" i="4"/>
  <c r="C49" i="4"/>
  <c r="AD48" i="4"/>
  <c r="AC48" i="4"/>
  <c r="AA48" i="4"/>
  <c r="X48" i="4"/>
  <c r="W48" i="4"/>
  <c r="U48" i="4"/>
  <c r="R48" i="4"/>
  <c r="N48" i="4"/>
  <c r="O48" i="4" s="1"/>
  <c r="L48" i="4"/>
  <c r="H48" i="4"/>
  <c r="I48" i="4" s="1"/>
  <c r="F48" i="4"/>
  <c r="C48" i="4"/>
  <c r="AD47" i="4"/>
  <c r="AC47" i="4"/>
  <c r="AA47" i="4"/>
  <c r="X47" i="4"/>
  <c r="W47" i="4"/>
  <c r="U47" i="4"/>
  <c r="R47" i="4"/>
  <c r="N47" i="4"/>
  <c r="O47" i="4" s="1"/>
  <c r="L47" i="4"/>
  <c r="I47" i="4"/>
  <c r="H47" i="4"/>
  <c r="F47" i="4"/>
  <c r="C47" i="4"/>
  <c r="AD46" i="4"/>
  <c r="AC46" i="4"/>
  <c r="AA46" i="4"/>
  <c r="X46" i="4"/>
  <c r="W46" i="4"/>
  <c r="U46" i="4"/>
  <c r="R46" i="4"/>
  <c r="O46" i="4"/>
  <c r="N46" i="4"/>
  <c r="L46" i="4"/>
  <c r="H46" i="4"/>
  <c r="I46" i="4" s="1"/>
  <c r="F46" i="4"/>
  <c r="C46" i="4"/>
  <c r="AC44" i="4"/>
  <c r="AD44" i="4" s="1"/>
  <c r="AA44" i="4"/>
  <c r="X44" i="4"/>
  <c r="W44" i="4"/>
  <c r="U44" i="4"/>
  <c r="R44" i="4"/>
  <c r="O44" i="4"/>
  <c r="N44" i="4"/>
  <c r="L44" i="4"/>
  <c r="I44" i="4"/>
  <c r="H44" i="4"/>
  <c r="F44" i="4"/>
  <c r="C44" i="4"/>
  <c r="AD43" i="4"/>
  <c r="AC43" i="4"/>
  <c r="AA43" i="4"/>
  <c r="W43" i="4"/>
  <c r="X43" i="4" s="1"/>
  <c r="U43" i="4"/>
  <c r="R43" i="4"/>
  <c r="N43" i="4"/>
  <c r="O43" i="4" s="1"/>
  <c r="L43" i="4"/>
  <c r="H43" i="4"/>
  <c r="I43" i="4" s="1"/>
  <c r="F43" i="4"/>
  <c r="C43" i="4"/>
  <c r="AD42" i="4"/>
  <c r="AC42" i="4"/>
  <c r="AA42" i="4"/>
  <c r="X42" i="4"/>
  <c r="W42" i="4"/>
  <c r="U42" i="4"/>
  <c r="R42" i="4"/>
  <c r="O42" i="4"/>
  <c r="N42" i="4"/>
  <c r="L42" i="4"/>
  <c r="H42" i="4"/>
  <c r="I42" i="4" s="1"/>
  <c r="F42" i="4"/>
  <c r="C42" i="4"/>
  <c r="AC40" i="4"/>
  <c r="AD40" i="4" s="1"/>
  <c r="AA40" i="4"/>
  <c r="Z40" i="4"/>
  <c r="T40" i="4"/>
  <c r="U40" i="4" s="1"/>
  <c r="R40" i="4"/>
  <c r="Q40" i="4"/>
  <c r="K40" i="4"/>
  <c r="L40" i="4" s="1"/>
  <c r="F40" i="4"/>
  <c r="E40" i="4"/>
  <c r="B40" i="4"/>
  <c r="H40" i="4" s="1"/>
  <c r="I40" i="4" s="1"/>
  <c r="AD39" i="4"/>
  <c r="AC39" i="4"/>
  <c r="AA39" i="4"/>
  <c r="X39" i="4"/>
  <c r="W39" i="4"/>
  <c r="U39" i="4"/>
  <c r="R39" i="4"/>
  <c r="O39" i="4"/>
  <c r="N39" i="4"/>
  <c r="L39" i="4"/>
  <c r="H39" i="4"/>
  <c r="I39" i="4" s="1"/>
  <c r="F39" i="4"/>
  <c r="C39" i="4"/>
  <c r="AD38" i="4"/>
  <c r="AC38" i="4"/>
  <c r="AA38" i="4"/>
  <c r="X38" i="4"/>
  <c r="W38" i="4"/>
  <c r="U38" i="4"/>
  <c r="R38" i="4"/>
  <c r="O38" i="4"/>
  <c r="N38" i="4"/>
  <c r="L38" i="4"/>
  <c r="I38" i="4"/>
  <c r="H38" i="4"/>
  <c r="F38" i="4"/>
  <c r="C38" i="4"/>
  <c r="AD37" i="4"/>
  <c r="AC37" i="4"/>
  <c r="AA37" i="4"/>
  <c r="W37" i="4"/>
  <c r="X37" i="4" s="1"/>
  <c r="U37" i="4"/>
  <c r="R37" i="4"/>
  <c r="O37" i="4"/>
  <c r="N37" i="4"/>
  <c r="L37" i="4"/>
  <c r="I37" i="4"/>
  <c r="H37" i="4"/>
  <c r="F37" i="4"/>
  <c r="C37" i="4"/>
  <c r="AC36" i="4"/>
  <c r="AD36" i="4" s="1"/>
  <c r="AA36" i="4"/>
  <c r="W36" i="4"/>
  <c r="X36" i="4" s="1"/>
  <c r="U36" i="4"/>
  <c r="R36" i="4"/>
  <c r="O36" i="4"/>
  <c r="N36" i="4"/>
  <c r="L36" i="4"/>
  <c r="I36" i="4"/>
  <c r="H36" i="4"/>
  <c r="F36" i="4"/>
  <c r="C36" i="4"/>
  <c r="AC35" i="4"/>
  <c r="AD35" i="4" s="1"/>
  <c r="AA35" i="4"/>
  <c r="W35" i="4"/>
  <c r="X35" i="4" s="1"/>
  <c r="U35" i="4"/>
  <c r="R35" i="4"/>
  <c r="O35" i="4"/>
  <c r="N35" i="4"/>
  <c r="L35" i="4"/>
  <c r="H35" i="4"/>
  <c r="I35" i="4" s="1"/>
  <c r="F35" i="4"/>
  <c r="C35" i="4"/>
  <c r="AD34" i="4"/>
  <c r="AC34" i="4"/>
  <c r="AA34" i="4"/>
  <c r="X34" i="4"/>
  <c r="W34" i="4"/>
  <c r="U34" i="4"/>
  <c r="R34" i="4"/>
  <c r="N34" i="4"/>
  <c r="O34" i="4" s="1"/>
  <c r="L34" i="4"/>
  <c r="I34" i="4"/>
  <c r="H34" i="4"/>
  <c r="F34" i="4"/>
  <c r="C34" i="4"/>
  <c r="AC33" i="4"/>
  <c r="AD33" i="4" s="1"/>
  <c r="AA33" i="4"/>
  <c r="X33" i="4"/>
  <c r="W33" i="4"/>
  <c r="U33" i="4"/>
  <c r="R33" i="4"/>
  <c r="O33" i="4"/>
  <c r="N33" i="4"/>
  <c r="L33" i="4"/>
  <c r="H33" i="4"/>
  <c r="I33" i="4" s="1"/>
  <c r="F33" i="4"/>
  <c r="C33" i="4"/>
  <c r="AC32" i="4"/>
  <c r="AD32" i="4" s="1"/>
  <c r="AA32" i="4"/>
  <c r="W32" i="4"/>
  <c r="X32" i="4" s="1"/>
  <c r="U32" i="4"/>
  <c r="R32" i="4"/>
  <c r="O32" i="4"/>
  <c r="N32" i="4"/>
  <c r="L32" i="4"/>
  <c r="I32" i="4"/>
  <c r="H32" i="4"/>
  <c r="F32" i="4"/>
  <c r="C32" i="4"/>
  <c r="AC31" i="4"/>
  <c r="AD31" i="4" s="1"/>
  <c r="AA31" i="4"/>
  <c r="X31" i="4"/>
  <c r="W31" i="4"/>
  <c r="U31" i="4"/>
  <c r="R31" i="4"/>
  <c r="N31" i="4"/>
  <c r="O31" i="4" s="1"/>
  <c r="L31" i="4"/>
  <c r="H31" i="4"/>
  <c r="I31" i="4" s="1"/>
  <c r="F31" i="4"/>
  <c r="C31" i="4"/>
  <c r="AC29" i="4"/>
  <c r="AD29" i="4" s="1"/>
  <c r="AA29" i="4"/>
  <c r="Z29" i="4"/>
  <c r="T29" i="4"/>
  <c r="U29" i="4" s="1"/>
  <c r="R29" i="4"/>
  <c r="Q29" i="4"/>
  <c r="L29" i="4"/>
  <c r="K29" i="4"/>
  <c r="F29" i="4"/>
  <c r="E29" i="4"/>
  <c r="B29" i="4"/>
  <c r="H29" i="4" s="1"/>
  <c r="I29" i="4" s="1"/>
  <c r="AD28" i="4"/>
  <c r="AC28" i="4"/>
  <c r="AA28" i="4"/>
  <c r="X28" i="4"/>
  <c r="W28" i="4"/>
  <c r="U28" i="4"/>
  <c r="R28" i="4"/>
  <c r="O28" i="4"/>
  <c r="N28" i="4"/>
  <c r="L28" i="4"/>
  <c r="H28" i="4"/>
  <c r="I28" i="4" s="1"/>
  <c r="F28" i="4"/>
  <c r="C28" i="4"/>
  <c r="AC27" i="4"/>
  <c r="AD27" i="4" s="1"/>
  <c r="AA27" i="4"/>
  <c r="X27" i="4"/>
  <c r="W27" i="4"/>
  <c r="U27" i="4"/>
  <c r="R27" i="4"/>
  <c r="N27" i="4"/>
  <c r="O27" i="4" s="1"/>
  <c r="L27" i="4"/>
  <c r="H27" i="4"/>
  <c r="I27" i="4" s="1"/>
  <c r="F27" i="4"/>
  <c r="C27" i="4"/>
  <c r="AD26" i="4"/>
  <c r="AC26" i="4"/>
  <c r="AA26" i="4"/>
  <c r="W26" i="4"/>
  <c r="X26" i="4" s="1"/>
  <c r="U26" i="4"/>
  <c r="R26" i="4"/>
  <c r="O26" i="4"/>
  <c r="N26" i="4"/>
  <c r="L26" i="4"/>
  <c r="I26" i="4"/>
  <c r="H26" i="4"/>
  <c r="F26" i="4"/>
  <c r="C26" i="4"/>
  <c r="AC25" i="4"/>
  <c r="AD25" i="4" s="1"/>
  <c r="AA25" i="4"/>
  <c r="W25" i="4"/>
  <c r="X25" i="4" s="1"/>
  <c r="U25" i="4"/>
  <c r="R25" i="4"/>
  <c r="O25" i="4"/>
  <c r="N25" i="4"/>
  <c r="L25" i="4"/>
  <c r="I25" i="4"/>
  <c r="H25" i="4"/>
  <c r="F25" i="4"/>
  <c r="C25" i="4"/>
  <c r="AD24" i="4"/>
  <c r="AC24" i="4"/>
  <c r="AA24" i="4"/>
  <c r="X24" i="4"/>
  <c r="W24" i="4"/>
  <c r="U24" i="4"/>
  <c r="R24" i="4"/>
  <c r="N24" i="4"/>
  <c r="O24" i="4" s="1"/>
  <c r="L24" i="4"/>
  <c r="H24" i="4"/>
  <c r="I24" i="4" s="1"/>
  <c r="F24" i="4"/>
  <c r="C24" i="4"/>
  <c r="AD23" i="4"/>
  <c r="AC23" i="4"/>
  <c r="AA23" i="4"/>
  <c r="X23" i="4"/>
  <c r="W23" i="4"/>
  <c r="U23" i="4"/>
  <c r="R23" i="4"/>
  <c r="N23" i="4"/>
  <c r="O23" i="4" s="1"/>
  <c r="L23" i="4"/>
  <c r="H23" i="4"/>
  <c r="I23" i="4" s="1"/>
  <c r="F23" i="4"/>
  <c r="C23" i="4"/>
  <c r="AD22" i="4"/>
  <c r="AC22" i="4"/>
  <c r="AA22" i="4"/>
  <c r="X22" i="4"/>
  <c r="W22" i="4"/>
  <c r="U22" i="4"/>
  <c r="R22" i="4"/>
  <c r="O22" i="4"/>
  <c r="N22" i="4"/>
  <c r="L22" i="4"/>
  <c r="I22" i="4"/>
  <c r="H22" i="4"/>
  <c r="F22" i="4"/>
  <c r="C22" i="4"/>
  <c r="AC21" i="4"/>
  <c r="AD21" i="4" s="1"/>
  <c r="AA21" i="4"/>
  <c r="W21" i="4"/>
  <c r="X21" i="4" s="1"/>
  <c r="U21" i="4"/>
  <c r="R21" i="4"/>
  <c r="O21" i="4"/>
  <c r="N21" i="4"/>
  <c r="L21" i="4"/>
  <c r="I21" i="4"/>
  <c r="H21" i="4"/>
  <c r="F21" i="4"/>
  <c r="C21" i="4"/>
  <c r="AD19" i="4"/>
  <c r="AC19" i="4"/>
  <c r="AA19" i="4"/>
  <c r="X19" i="4"/>
  <c r="W19" i="4"/>
  <c r="U19" i="4"/>
  <c r="R19" i="4"/>
  <c r="O19" i="4"/>
  <c r="N19" i="4"/>
  <c r="L19" i="4"/>
  <c r="H19" i="4"/>
  <c r="I19" i="4" s="1"/>
  <c r="F19" i="4"/>
  <c r="C19" i="4"/>
  <c r="AA18" i="4"/>
  <c r="Z18" i="4"/>
  <c r="U18" i="4"/>
  <c r="T18" i="4"/>
  <c r="R18" i="4"/>
  <c r="Q18" i="4"/>
  <c r="AC18" i="4" s="1"/>
  <c r="AD18" i="4" s="1"/>
  <c r="N18" i="4"/>
  <c r="O18" i="4" s="1"/>
  <c r="K18" i="4"/>
  <c r="L18" i="4" s="1"/>
  <c r="F18" i="4"/>
  <c r="E18" i="4"/>
  <c r="B18" i="4"/>
  <c r="H18" i="4" s="1"/>
  <c r="I18" i="4" s="1"/>
  <c r="AC17" i="4"/>
  <c r="AD17" i="4" s="1"/>
  <c r="AA17" i="4"/>
  <c r="W17" i="4"/>
  <c r="X17" i="4" s="1"/>
  <c r="U17" i="4"/>
  <c r="R17" i="4"/>
  <c r="O17" i="4"/>
  <c r="N17" i="4"/>
  <c r="L17" i="4"/>
  <c r="I17" i="4"/>
  <c r="H17" i="4"/>
  <c r="F17" i="4"/>
  <c r="C17" i="4"/>
  <c r="AD16" i="4"/>
  <c r="AC16" i="4"/>
  <c r="AA16" i="4"/>
  <c r="X16" i="4"/>
  <c r="W16" i="4"/>
  <c r="U16" i="4"/>
  <c r="R16" i="4"/>
  <c r="O16" i="4"/>
  <c r="N16" i="4"/>
  <c r="L16" i="4"/>
  <c r="H16" i="4"/>
  <c r="I16" i="4" s="1"/>
  <c r="F16" i="4"/>
  <c r="C16" i="4"/>
  <c r="AC15" i="4"/>
  <c r="AD15" i="4" s="1"/>
  <c r="AA15" i="4"/>
  <c r="X15" i="4"/>
  <c r="W15" i="4"/>
  <c r="U15" i="4"/>
  <c r="R15" i="4"/>
  <c r="N15" i="4"/>
  <c r="O15" i="4" s="1"/>
  <c r="L15" i="4"/>
  <c r="I15" i="4"/>
  <c r="H15" i="4"/>
  <c r="F15" i="4"/>
  <c r="C15" i="4"/>
  <c r="AD14" i="4"/>
  <c r="AC14" i="4"/>
  <c r="AA14" i="4"/>
  <c r="W14" i="4"/>
  <c r="X14" i="4" s="1"/>
  <c r="U14" i="4"/>
  <c r="R14" i="4"/>
  <c r="O14" i="4"/>
  <c r="N14" i="4"/>
  <c r="L14" i="4"/>
  <c r="I14" i="4"/>
  <c r="H14" i="4"/>
  <c r="F14" i="4"/>
  <c r="C14" i="4"/>
  <c r="AC13" i="4"/>
  <c r="AD13" i="4" s="1"/>
  <c r="AA13" i="4"/>
  <c r="W13" i="4"/>
  <c r="X13" i="4" s="1"/>
  <c r="U13" i="4"/>
  <c r="R13" i="4"/>
  <c r="O13" i="4"/>
  <c r="N13" i="4"/>
  <c r="L13" i="4"/>
  <c r="I13" i="4"/>
  <c r="H13" i="4"/>
  <c r="F13" i="4"/>
  <c r="C13" i="4"/>
  <c r="AD12" i="4"/>
  <c r="AC12" i="4"/>
  <c r="AA12" i="4"/>
  <c r="X12" i="4"/>
  <c r="W12" i="4"/>
  <c r="U12" i="4"/>
  <c r="R12" i="4"/>
  <c r="O12" i="4"/>
  <c r="N12" i="4"/>
  <c r="L12" i="4"/>
  <c r="H12" i="4"/>
  <c r="I12" i="4" s="1"/>
  <c r="F12" i="4"/>
  <c r="C12" i="4"/>
  <c r="AC11" i="4"/>
  <c r="AD11" i="4" s="1"/>
  <c r="AA11" i="4"/>
  <c r="X11" i="4"/>
  <c r="W11" i="4"/>
  <c r="U11" i="4"/>
  <c r="R11" i="4"/>
  <c r="N11" i="4"/>
  <c r="O11" i="4" s="1"/>
  <c r="L11" i="4"/>
  <c r="H11" i="4"/>
  <c r="I11" i="4" s="1"/>
  <c r="F11" i="4"/>
  <c r="C11" i="4"/>
  <c r="AD10" i="4"/>
  <c r="AC10" i="4"/>
  <c r="AA10" i="4"/>
  <c r="W10" i="4"/>
  <c r="X10" i="4" s="1"/>
  <c r="U10" i="4"/>
  <c r="R10" i="4"/>
  <c r="O10" i="4"/>
  <c r="N10" i="4"/>
  <c r="L10" i="4"/>
  <c r="I10" i="4"/>
  <c r="H10" i="4"/>
  <c r="F10" i="4"/>
  <c r="C10" i="4"/>
  <c r="AC8" i="4"/>
  <c r="AD8" i="4" s="1"/>
  <c r="AA8" i="4"/>
  <c r="W8" i="4"/>
  <c r="X8" i="4" s="1"/>
  <c r="U8" i="4"/>
  <c r="R8" i="4"/>
  <c r="O8" i="4"/>
  <c r="N8" i="4"/>
  <c r="L8" i="4"/>
  <c r="I8" i="4"/>
  <c r="H8" i="4"/>
  <c r="F8" i="4"/>
  <c r="C8" i="4"/>
  <c r="AC444" i="3"/>
  <c r="W444" i="3"/>
  <c r="N444" i="3"/>
  <c r="H444" i="3"/>
  <c r="I435" i="3" s="1"/>
  <c r="Z442" i="3"/>
  <c r="AA442" i="3" s="1"/>
  <c r="U442" i="3"/>
  <c r="T442" i="3"/>
  <c r="Q442" i="3"/>
  <c r="W442" i="3" s="1"/>
  <c r="X442" i="3" s="1"/>
  <c r="L442" i="3"/>
  <c r="K442" i="3"/>
  <c r="F442" i="3"/>
  <c r="E442" i="3"/>
  <c r="B442" i="3"/>
  <c r="C442" i="3" s="1"/>
  <c r="AA441" i="3"/>
  <c r="Z441" i="3"/>
  <c r="T441" i="3"/>
  <c r="U441" i="3" s="1"/>
  <c r="R441" i="3"/>
  <c r="Q441" i="3"/>
  <c r="AC441" i="3" s="1"/>
  <c r="AD441" i="3" s="1"/>
  <c r="L441" i="3"/>
  <c r="K441" i="3"/>
  <c r="F441" i="3"/>
  <c r="E441" i="3"/>
  <c r="B441" i="3"/>
  <c r="H441" i="3" s="1"/>
  <c r="I441" i="3" s="1"/>
  <c r="AD440" i="3"/>
  <c r="AC440" i="3"/>
  <c r="AA440" i="3"/>
  <c r="X440" i="3"/>
  <c r="W440" i="3"/>
  <c r="U440" i="3"/>
  <c r="R440" i="3"/>
  <c r="O440" i="3"/>
  <c r="N440" i="3"/>
  <c r="L440" i="3"/>
  <c r="H440" i="3"/>
  <c r="F440" i="3"/>
  <c r="C440" i="3"/>
  <c r="AC439" i="3"/>
  <c r="AD439" i="3" s="1"/>
  <c r="AA439" i="3"/>
  <c r="X439" i="3"/>
  <c r="W439" i="3"/>
  <c r="U439" i="3"/>
  <c r="R439" i="3"/>
  <c r="N439" i="3"/>
  <c r="O439" i="3" s="1"/>
  <c r="L439" i="3"/>
  <c r="H439" i="3"/>
  <c r="I439" i="3" s="1"/>
  <c r="F439" i="3"/>
  <c r="C439" i="3"/>
  <c r="AC438" i="3"/>
  <c r="AA438" i="3"/>
  <c r="X438" i="3"/>
  <c r="W438" i="3"/>
  <c r="U438" i="3"/>
  <c r="R438" i="3"/>
  <c r="O438" i="3"/>
  <c r="N438" i="3"/>
  <c r="L438" i="3"/>
  <c r="H438" i="3"/>
  <c r="I438" i="3" s="1"/>
  <c r="F438" i="3"/>
  <c r="C438" i="3"/>
  <c r="AC437" i="3"/>
  <c r="AD437" i="3" s="1"/>
  <c r="AA437" i="3"/>
  <c r="W437" i="3"/>
  <c r="X437" i="3" s="1"/>
  <c r="U437" i="3"/>
  <c r="R437" i="3"/>
  <c r="O437" i="3"/>
  <c r="N437" i="3"/>
  <c r="L437" i="3"/>
  <c r="H437" i="3"/>
  <c r="F437" i="3"/>
  <c r="C437" i="3"/>
  <c r="AC436" i="3"/>
  <c r="AD436" i="3" s="1"/>
  <c r="AA436" i="3"/>
  <c r="X436" i="3"/>
  <c r="W436" i="3"/>
  <c r="U436" i="3"/>
  <c r="R436" i="3"/>
  <c r="O436" i="3"/>
  <c r="N436" i="3"/>
  <c r="L436" i="3"/>
  <c r="H436" i="3"/>
  <c r="I436" i="3" s="1"/>
  <c r="F436" i="3"/>
  <c r="C436" i="3"/>
  <c r="AD435" i="3"/>
  <c r="AC435" i="3"/>
  <c r="AA435" i="3"/>
  <c r="X435" i="3"/>
  <c r="W435" i="3"/>
  <c r="U435" i="3"/>
  <c r="R435" i="3"/>
  <c r="N435" i="3"/>
  <c r="O435" i="3" s="1"/>
  <c r="L435" i="3"/>
  <c r="H435" i="3"/>
  <c r="F435" i="3"/>
  <c r="C435" i="3"/>
  <c r="AC434" i="3"/>
  <c r="AA434" i="3"/>
  <c r="W434" i="3"/>
  <c r="X434" i="3" s="1"/>
  <c r="U434" i="3"/>
  <c r="R434" i="3"/>
  <c r="O434" i="3"/>
  <c r="N434" i="3"/>
  <c r="L434" i="3"/>
  <c r="H434" i="3"/>
  <c r="I434" i="3" s="1"/>
  <c r="F434" i="3"/>
  <c r="C434" i="3"/>
  <c r="AC433" i="3"/>
  <c r="AD433" i="3" s="1"/>
  <c r="AA433" i="3"/>
  <c r="W433" i="3"/>
  <c r="X433" i="3" s="1"/>
  <c r="U433" i="3"/>
  <c r="R433" i="3"/>
  <c r="O433" i="3"/>
  <c r="N433" i="3"/>
  <c r="L433" i="3"/>
  <c r="H433" i="3"/>
  <c r="F433" i="3"/>
  <c r="C433" i="3"/>
  <c r="AD432" i="3"/>
  <c r="AC432" i="3"/>
  <c r="AA432" i="3"/>
  <c r="X432" i="3"/>
  <c r="W432" i="3"/>
  <c r="U432" i="3"/>
  <c r="R432" i="3"/>
  <c r="N432" i="3"/>
  <c r="O432" i="3" s="1"/>
  <c r="L432" i="3"/>
  <c r="H432" i="3"/>
  <c r="I432" i="3" s="1"/>
  <c r="F432" i="3"/>
  <c r="C432" i="3"/>
  <c r="Z429" i="3"/>
  <c r="AA429" i="3" s="1"/>
  <c r="W429" i="3"/>
  <c r="X429" i="3" s="1"/>
  <c r="U429" i="3"/>
  <c r="T429" i="3"/>
  <c r="R429" i="3"/>
  <c r="Q429" i="3"/>
  <c r="AC429" i="3" s="1"/>
  <c r="AD429" i="3" s="1"/>
  <c r="K429" i="3"/>
  <c r="L429" i="3" s="1"/>
  <c r="E429" i="3"/>
  <c r="F429" i="3" s="1"/>
  <c r="C429" i="3"/>
  <c r="B429" i="3"/>
  <c r="Z428" i="3"/>
  <c r="AA428" i="3" s="1"/>
  <c r="T428" i="3"/>
  <c r="U428" i="3" s="1"/>
  <c r="Q428" i="3"/>
  <c r="R428" i="3" s="1"/>
  <c r="L428" i="3"/>
  <c r="K428" i="3"/>
  <c r="E428" i="3"/>
  <c r="F428" i="3" s="1"/>
  <c r="B428" i="3"/>
  <c r="C428" i="3" s="1"/>
  <c r="AC427" i="3"/>
  <c r="AD427" i="3" s="1"/>
  <c r="AA427" i="3"/>
  <c r="X427" i="3"/>
  <c r="W427" i="3"/>
  <c r="U427" i="3"/>
  <c r="R427" i="3"/>
  <c r="N427" i="3"/>
  <c r="O427" i="3" s="1"/>
  <c r="L427" i="3"/>
  <c r="I427" i="3"/>
  <c r="H427" i="3"/>
  <c r="F427" i="3"/>
  <c r="C427" i="3"/>
  <c r="AC426" i="3"/>
  <c r="AD426" i="3" s="1"/>
  <c r="AA426" i="3"/>
  <c r="W426" i="3"/>
  <c r="X426" i="3" s="1"/>
  <c r="U426" i="3"/>
  <c r="R426" i="3"/>
  <c r="O426" i="3"/>
  <c r="N426" i="3"/>
  <c r="L426" i="3"/>
  <c r="I426" i="3"/>
  <c r="H426" i="3"/>
  <c r="F426" i="3"/>
  <c r="C426" i="3"/>
  <c r="AC425" i="3"/>
  <c r="AD425" i="3" s="1"/>
  <c r="AA425" i="3"/>
  <c r="W425" i="3"/>
  <c r="X425" i="3" s="1"/>
  <c r="U425" i="3"/>
  <c r="R425" i="3"/>
  <c r="O425" i="3"/>
  <c r="N425" i="3"/>
  <c r="L425" i="3"/>
  <c r="H425" i="3"/>
  <c r="F425" i="3"/>
  <c r="C425" i="3"/>
  <c r="AC424" i="3"/>
  <c r="AD424" i="3" s="1"/>
  <c r="AA424" i="3"/>
  <c r="X424" i="3"/>
  <c r="W424" i="3"/>
  <c r="U424" i="3"/>
  <c r="R424" i="3"/>
  <c r="N424" i="3"/>
  <c r="O424" i="3" s="1"/>
  <c r="L424" i="3"/>
  <c r="H424" i="3"/>
  <c r="I424" i="3" s="1"/>
  <c r="F424" i="3"/>
  <c r="C424" i="3"/>
  <c r="AD423" i="3"/>
  <c r="AC423" i="3"/>
  <c r="AA423" i="3"/>
  <c r="X423" i="3"/>
  <c r="W423" i="3"/>
  <c r="U423" i="3"/>
  <c r="R423" i="3"/>
  <c r="N423" i="3"/>
  <c r="O423" i="3" s="1"/>
  <c r="L423" i="3"/>
  <c r="H423" i="3"/>
  <c r="F423" i="3"/>
  <c r="C423" i="3"/>
  <c r="AC422" i="3"/>
  <c r="AD422" i="3" s="1"/>
  <c r="AA422" i="3"/>
  <c r="X422" i="3"/>
  <c r="W422" i="3"/>
  <c r="U422" i="3"/>
  <c r="R422" i="3"/>
  <c r="O422" i="3"/>
  <c r="N422" i="3"/>
  <c r="L422" i="3"/>
  <c r="H422" i="3"/>
  <c r="I422" i="3" s="1"/>
  <c r="F422" i="3"/>
  <c r="C422" i="3"/>
  <c r="AC421" i="3"/>
  <c r="AD421" i="3" s="1"/>
  <c r="AA421" i="3"/>
  <c r="W421" i="3"/>
  <c r="X421" i="3" s="1"/>
  <c r="U421" i="3"/>
  <c r="R421" i="3"/>
  <c r="O421" i="3"/>
  <c r="N421" i="3"/>
  <c r="L421" i="3"/>
  <c r="H421" i="3"/>
  <c r="F421" i="3"/>
  <c r="C421" i="3"/>
  <c r="AC420" i="3"/>
  <c r="AD420" i="3" s="1"/>
  <c r="AA420" i="3"/>
  <c r="X420" i="3"/>
  <c r="W420" i="3"/>
  <c r="U420" i="3"/>
  <c r="R420" i="3"/>
  <c r="O420" i="3"/>
  <c r="N420" i="3"/>
  <c r="L420" i="3"/>
  <c r="H420" i="3"/>
  <c r="I420" i="3" s="1"/>
  <c r="F420" i="3"/>
  <c r="C420" i="3"/>
  <c r="AC419" i="3"/>
  <c r="AD419" i="3" s="1"/>
  <c r="AA419" i="3"/>
  <c r="X419" i="3"/>
  <c r="W419" i="3"/>
  <c r="U419" i="3"/>
  <c r="R419" i="3"/>
  <c r="N419" i="3"/>
  <c r="O419" i="3" s="1"/>
  <c r="L419" i="3"/>
  <c r="H419" i="3"/>
  <c r="I419" i="3" s="1"/>
  <c r="F419" i="3"/>
  <c r="C419" i="3"/>
  <c r="AC418" i="3"/>
  <c r="AD418" i="3" s="1"/>
  <c r="AA418" i="3"/>
  <c r="X418" i="3"/>
  <c r="W418" i="3"/>
  <c r="U418" i="3"/>
  <c r="R418" i="3"/>
  <c r="O418" i="3"/>
  <c r="N418" i="3"/>
  <c r="L418" i="3"/>
  <c r="H418" i="3"/>
  <c r="F418" i="3"/>
  <c r="C418" i="3"/>
  <c r="AC417" i="3"/>
  <c r="AD417" i="3" s="1"/>
  <c r="AA417" i="3"/>
  <c r="W417" i="3"/>
  <c r="X417" i="3" s="1"/>
  <c r="U417" i="3"/>
  <c r="R417" i="3"/>
  <c r="O417" i="3"/>
  <c r="N417" i="3"/>
  <c r="L417" i="3"/>
  <c r="H417" i="3"/>
  <c r="I417" i="3" s="1"/>
  <c r="F417" i="3"/>
  <c r="C417" i="3"/>
  <c r="AD416" i="3"/>
  <c r="AC416" i="3"/>
  <c r="AA416" i="3"/>
  <c r="X416" i="3"/>
  <c r="W416" i="3"/>
  <c r="U416" i="3"/>
  <c r="R416" i="3"/>
  <c r="N416" i="3"/>
  <c r="O416" i="3" s="1"/>
  <c r="L416" i="3"/>
  <c r="H416" i="3"/>
  <c r="F416" i="3"/>
  <c r="C416" i="3"/>
  <c r="AD415" i="3"/>
  <c r="AC415" i="3"/>
  <c r="AA415" i="3"/>
  <c r="X415" i="3"/>
  <c r="W415" i="3"/>
  <c r="U415" i="3"/>
  <c r="R415" i="3"/>
  <c r="N415" i="3"/>
  <c r="O415" i="3" s="1"/>
  <c r="L415" i="3"/>
  <c r="H415" i="3"/>
  <c r="I415" i="3" s="1"/>
  <c r="F415" i="3"/>
  <c r="C415" i="3"/>
  <c r="AC414" i="3"/>
  <c r="AD414" i="3" s="1"/>
  <c r="AA414" i="3"/>
  <c r="W414" i="3"/>
  <c r="X414" i="3" s="1"/>
  <c r="U414" i="3"/>
  <c r="R414" i="3"/>
  <c r="O414" i="3"/>
  <c r="N414" i="3"/>
  <c r="L414" i="3"/>
  <c r="H414" i="3"/>
  <c r="I414" i="3" s="1"/>
  <c r="F414" i="3"/>
  <c r="C414" i="3"/>
  <c r="AC413" i="3"/>
  <c r="AD413" i="3" s="1"/>
  <c r="AA413" i="3"/>
  <c r="W413" i="3"/>
  <c r="X413" i="3" s="1"/>
  <c r="U413" i="3"/>
  <c r="R413" i="3"/>
  <c r="O413" i="3"/>
  <c r="N413" i="3"/>
  <c r="L413" i="3"/>
  <c r="H413" i="3"/>
  <c r="I413" i="3" s="1"/>
  <c r="F413" i="3"/>
  <c r="C413" i="3"/>
  <c r="AD412" i="3"/>
  <c r="AC412" i="3"/>
  <c r="AA412" i="3"/>
  <c r="X412" i="3"/>
  <c r="W412" i="3"/>
  <c r="U412" i="3"/>
  <c r="R412" i="3"/>
  <c r="O412" i="3"/>
  <c r="N412" i="3"/>
  <c r="L412" i="3"/>
  <c r="H412" i="3"/>
  <c r="F412" i="3"/>
  <c r="C412" i="3"/>
  <c r="AC411" i="3"/>
  <c r="AD411" i="3" s="1"/>
  <c r="AA411" i="3"/>
  <c r="X411" i="3"/>
  <c r="W411" i="3"/>
  <c r="U411" i="3"/>
  <c r="R411" i="3"/>
  <c r="N411" i="3"/>
  <c r="O411" i="3" s="1"/>
  <c r="L411" i="3"/>
  <c r="I411" i="3"/>
  <c r="H411" i="3"/>
  <c r="F411" i="3"/>
  <c r="C411" i="3"/>
  <c r="AC410" i="3"/>
  <c r="AD410" i="3" s="1"/>
  <c r="AA410" i="3"/>
  <c r="W410" i="3"/>
  <c r="X410" i="3" s="1"/>
  <c r="U410" i="3"/>
  <c r="R410" i="3"/>
  <c r="O410" i="3"/>
  <c r="N410" i="3"/>
  <c r="L410" i="3"/>
  <c r="I410" i="3"/>
  <c r="H410" i="3"/>
  <c r="F410" i="3"/>
  <c r="C410" i="3"/>
  <c r="AC409" i="3"/>
  <c r="AD409" i="3" s="1"/>
  <c r="AA409" i="3"/>
  <c r="W409" i="3"/>
  <c r="X409" i="3" s="1"/>
  <c r="U409" i="3"/>
  <c r="R409" i="3"/>
  <c r="O409" i="3"/>
  <c r="N409" i="3"/>
  <c r="L409" i="3"/>
  <c r="H409" i="3"/>
  <c r="F409" i="3"/>
  <c r="C409" i="3"/>
  <c r="AC408" i="3"/>
  <c r="AD408" i="3" s="1"/>
  <c r="AA408" i="3"/>
  <c r="X408" i="3"/>
  <c r="W408" i="3"/>
  <c r="U408" i="3"/>
  <c r="R408" i="3"/>
  <c r="N408" i="3"/>
  <c r="O408" i="3" s="1"/>
  <c r="L408" i="3"/>
  <c r="H408" i="3"/>
  <c r="I408" i="3" s="1"/>
  <c r="F408" i="3"/>
  <c r="C408" i="3"/>
  <c r="AD407" i="3"/>
  <c r="AC407" i="3"/>
  <c r="AA407" i="3"/>
  <c r="X407" i="3"/>
  <c r="W407" i="3"/>
  <c r="U407" i="3"/>
  <c r="R407" i="3"/>
  <c r="N407" i="3"/>
  <c r="O407" i="3" s="1"/>
  <c r="L407" i="3"/>
  <c r="H407" i="3"/>
  <c r="F407" i="3"/>
  <c r="C407" i="3"/>
  <c r="Z403" i="3"/>
  <c r="AA403" i="3" s="1"/>
  <c r="U403" i="3"/>
  <c r="T403" i="3"/>
  <c r="Q403" i="3"/>
  <c r="K403" i="3"/>
  <c r="L403" i="3" s="1"/>
  <c r="E403" i="3"/>
  <c r="F403" i="3" s="1"/>
  <c r="B403" i="3"/>
  <c r="AC402" i="3"/>
  <c r="AD402" i="3" s="1"/>
  <c r="AA402" i="3"/>
  <c r="X402" i="3"/>
  <c r="W402" i="3"/>
  <c r="U402" i="3"/>
  <c r="R402" i="3"/>
  <c r="O402" i="3"/>
  <c r="N402" i="3"/>
  <c r="L402" i="3"/>
  <c r="H402" i="3"/>
  <c r="F402" i="3"/>
  <c r="C402" i="3"/>
  <c r="AC401" i="3"/>
  <c r="AD401" i="3" s="1"/>
  <c r="AA401" i="3"/>
  <c r="W401" i="3"/>
  <c r="X401" i="3" s="1"/>
  <c r="U401" i="3"/>
  <c r="R401" i="3"/>
  <c r="O401" i="3"/>
  <c r="N401" i="3"/>
  <c r="L401" i="3"/>
  <c r="H401" i="3"/>
  <c r="I401" i="3" s="1"/>
  <c r="F401" i="3"/>
  <c r="C401" i="3"/>
  <c r="AD400" i="3"/>
  <c r="AC400" i="3"/>
  <c r="AA400" i="3"/>
  <c r="X400" i="3"/>
  <c r="W400" i="3"/>
  <c r="U400" i="3"/>
  <c r="R400" i="3"/>
  <c r="O400" i="3"/>
  <c r="N400" i="3"/>
  <c r="L400" i="3"/>
  <c r="H400" i="3"/>
  <c r="F400" i="3"/>
  <c r="C400" i="3"/>
  <c r="AD399" i="3"/>
  <c r="AC399" i="3"/>
  <c r="AA399" i="3"/>
  <c r="X399" i="3"/>
  <c r="W399" i="3"/>
  <c r="U399" i="3"/>
  <c r="R399" i="3"/>
  <c r="N399" i="3"/>
  <c r="O399" i="3" s="1"/>
  <c r="L399" i="3"/>
  <c r="H399" i="3"/>
  <c r="I399" i="3" s="1"/>
  <c r="F399" i="3"/>
  <c r="C399" i="3"/>
  <c r="AC398" i="3"/>
  <c r="AD398" i="3" s="1"/>
  <c r="AA398" i="3"/>
  <c r="W398" i="3"/>
  <c r="X398" i="3" s="1"/>
  <c r="U398" i="3"/>
  <c r="R398" i="3"/>
  <c r="O398" i="3"/>
  <c r="N398" i="3"/>
  <c r="L398" i="3"/>
  <c r="H398" i="3"/>
  <c r="I398" i="3" s="1"/>
  <c r="F398" i="3"/>
  <c r="C398" i="3"/>
  <c r="AC397" i="3"/>
  <c r="AD397" i="3" s="1"/>
  <c r="AA397" i="3"/>
  <c r="W397" i="3"/>
  <c r="X397" i="3" s="1"/>
  <c r="U397" i="3"/>
  <c r="R397" i="3"/>
  <c r="O397" i="3"/>
  <c r="N397" i="3"/>
  <c r="L397" i="3"/>
  <c r="H397" i="3"/>
  <c r="I397" i="3" s="1"/>
  <c r="F397" i="3"/>
  <c r="C397" i="3"/>
  <c r="Z396" i="3"/>
  <c r="AA396" i="3" s="1"/>
  <c r="U396" i="3"/>
  <c r="T396" i="3"/>
  <c r="Q396" i="3"/>
  <c r="K396" i="3"/>
  <c r="L396" i="3" s="1"/>
  <c r="E396" i="3"/>
  <c r="F396" i="3" s="1"/>
  <c r="B396" i="3"/>
  <c r="AC395" i="3"/>
  <c r="AD395" i="3" s="1"/>
  <c r="AA395" i="3"/>
  <c r="X395" i="3"/>
  <c r="W395" i="3"/>
  <c r="U395" i="3"/>
  <c r="R395" i="3"/>
  <c r="O395" i="3"/>
  <c r="N395" i="3"/>
  <c r="L395" i="3"/>
  <c r="H395" i="3"/>
  <c r="F395" i="3"/>
  <c r="C395" i="3"/>
  <c r="AC394" i="3"/>
  <c r="AD394" i="3" s="1"/>
  <c r="AA394" i="3"/>
  <c r="W394" i="3"/>
  <c r="X394" i="3" s="1"/>
  <c r="U394" i="3"/>
  <c r="R394" i="3"/>
  <c r="O394" i="3"/>
  <c r="N394" i="3"/>
  <c r="L394" i="3"/>
  <c r="H394" i="3"/>
  <c r="I394" i="3" s="1"/>
  <c r="F394" i="3"/>
  <c r="C394" i="3"/>
  <c r="Z393" i="3"/>
  <c r="AA393" i="3" s="1"/>
  <c r="T393" i="3"/>
  <c r="U393" i="3" s="1"/>
  <c r="Q393" i="3"/>
  <c r="K393" i="3"/>
  <c r="L393" i="3" s="1"/>
  <c r="E393" i="3"/>
  <c r="F393" i="3" s="1"/>
  <c r="B393" i="3"/>
  <c r="AC392" i="3"/>
  <c r="AD392" i="3" s="1"/>
  <c r="AA392" i="3"/>
  <c r="X392" i="3"/>
  <c r="W392" i="3"/>
  <c r="U392" i="3"/>
  <c r="R392" i="3"/>
  <c r="O392" i="3"/>
  <c r="N392" i="3"/>
  <c r="L392" i="3"/>
  <c r="I392" i="3"/>
  <c r="H392" i="3"/>
  <c r="F392" i="3"/>
  <c r="C392" i="3"/>
  <c r="AC391" i="3"/>
  <c r="AD391" i="3" s="1"/>
  <c r="AA391" i="3"/>
  <c r="W391" i="3"/>
  <c r="X391" i="3" s="1"/>
  <c r="U391" i="3"/>
  <c r="R391" i="3"/>
  <c r="O391" i="3"/>
  <c r="N391" i="3"/>
  <c r="L391" i="3"/>
  <c r="H391" i="3"/>
  <c r="F391" i="3"/>
  <c r="C391" i="3"/>
  <c r="AD390" i="3"/>
  <c r="AC390" i="3"/>
  <c r="AA390" i="3"/>
  <c r="X390" i="3"/>
  <c r="W390" i="3"/>
  <c r="U390" i="3"/>
  <c r="R390" i="3"/>
  <c r="O390" i="3"/>
  <c r="N390" i="3"/>
  <c r="L390" i="3"/>
  <c r="H390" i="3"/>
  <c r="I390" i="3" s="1"/>
  <c r="F390" i="3"/>
  <c r="C390" i="3"/>
  <c r="AC389" i="3"/>
  <c r="AD389" i="3" s="1"/>
  <c r="AA389" i="3"/>
  <c r="X389" i="3"/>
  <c r="W389" i="3"/>
  <c r="U389" i="3"/>
  <c r="R389" i="3"/>
  <c r="N389" i="3"/>
  <c r="O389" i="3" s="1"/>
  <c r="L389" i="3"/>
  <c r="H389" i="3"/>
  <c r="I389" i="3" s="1"/>
  <c r="F389" i="3"/>
  <c r="C389" i="3"/>
  <c r="AC388" i="3"/>
  <c r="AD388" i="3" s="1"/>
  <c r="AA388" i="3"/>
  <c r="X388" i="3"/>
  <c r="W388" i="3"/>
  <c r="U388" i="3"/>
  <c r="R388" i="3"/>
  <c r="O388" i="3"/>
  <c r="N388" i="3"/>
  <c r="L388" i="3"/>
  <c r="H388" i="3"/>
  <c r="F388" i="3"/>
  <c r="C388" i="3"/>
  <c r="AC386" i="3"/>
  <c r="AD386" i="3" s="1"/>
  <c r="AA386" i="3"/>
  <c r="W386" i="3"/>
  <c r="X386" i="3" s="1"/>
  <c r="U386" i="3"/>
  <c r="R386" i="3"/>
  <c r="O386" i="3"/>
  <c r="N386" i="3"/>
  <c r="L386" i="3"/>
  <c r="H386" i="3"/>
  <c r="I386" i="3" s="1"/>
  <c r="F386" i="3"/>
  <c r="C386" i="3"/>
  <c r="AD385" i="3"/>
  <c r="AC385" i="3"/>
  <c r="AA385" i="3"/>
  <c r="X385" i="3"/>
  <c r="W385" i="3"/>
  <c r="U385" i="3"/>
  <c r="R385" i="3"/>
  <c r="O385" i="3"/>
  <c r="N385" i="3"/>
  <c r="L385" i="3"/>
  <c r="H385" i="3"/>
  <c r="F385" i="3"/>
  <c r="C385" i="3"/>
  <c r="AD383" i="3"/>
  <c r="AC383" i="3"/>
  <c r="AA383" i="3"/>
  <c r="X383" i="3"/>
  <c r="W383" i="3"/>
  <c r="U383" i="3"/>
  <c r="R383" i="3"/>
  <c r="N383" i="3"/>
  <c r="O383" i="3" s="1"/>
  <c r="L383" i="3"/>
  <c r="H383" i="3"/>
  <c r="I383" i="3" s="1"/>
  <c r="F383" i="3"/>
  <c r="C383" i="3"/>
  <c r="AC382" i="3"/>
  <c r="AD382" i="3" s="1"/>
  <c r="AA382" i="3"/>
  <c r="W382" i="3"/>
  <c r="X382" i="3" s="1"/>
  <c r="U382" i="3"/>
  <c r="R382" i="3"/>
  <c r="O382" i="3"/>
  <c r="N382" i="3"/>
  <c r="L382" i="3"/>
  <c r="H382" i="3"/>
  <c r="I382" i="3" s="1"/>
  <c r="F382" i="3"/>
  <c r="C382" i="3"/>
  <c r="AC381" i="3"/>
  <c r="AD381" i="3" s="1"/>
  <c r="AA381" i="3"/>
  <c r="W381" i="3"/>
  <c r="X381" i="3" s="1"/>
  <c r="U381" i="3"/>
  <c r="R381" i="3"/>
  <c r="O381" i="3"/>
  <c r="N381" i="3"/>
  <c r="L381" i="3"/>
  <c r="H381" i="3"/>
  <c r="I381" i="3" s="1"/>
  <c r="F381" i="3"/>
  <c r="C381" i="3"/>
  <c r="AD380" i="3"/>
  <c r="AC380" i="3"/>
  <c r="AA380" i="3"/>
  <c r="X380" i="3"/>
  <c r="W380" i="3"/>
  <c r="U380" i="3"/>
  <c r="R380" i="3"/>
  <c r="O380" i="3"/>
  <c r="N380" i="3"/>
  <c r="L380" i="3"/>
  <c r="H380" i="3"/>
  <c r="F380" i="3"/>
  <c r="C380" i="3"/>
  <c r="AD379" i="3"/>
  <c r="AC379" i="3"/>
  <c r="AA379" i="3"/>
  <c r="X379" i="3"/>
  <c r="W379" i="3"/>
  <c r="U379" i="3"/>
  <c r="R379" i="3"/>
  <c r="N379" i="3"/>
  <c r="O379" i="3" s="1"/>
  <c r="L379" i="3"/>
  <c r="I379" i="3"/>
  <c r="H379" i="3"/>
  <c r="F379" i="3"/>
  <c r="C379" i="3"/>
  <c r="AC378" i="3"/>
  <c r="AD378" i="3" s="1"/>
  <c r="AA378" i="3"/>
  <c r="X378" i="3"/>
  <c r="W378" i="3"/>
  <c r="U378" i="3"/>
  <c r="R378" i="3"/>
  <c r="O378" i="3"/>
  <c r="N378" i="3"/>
  <c r="L378" i="3"/>
  <c r="H378" i="3"/>
  <c r="I378" i="3" s="1"/>
  <c r="F378" i="3"/>
  <c r="C378" i="3"/>
  <c r="AC377" i="3"/>
  <c r="AD377" i="3" s="1"/>
  <c r="AA377" i="3"/>
  <c r="W377" i="3"/>
  <c r="X377" i="3" s="1"/>
  <c r="U377" i="3"/>
  <c r="R377" i="3"/>
  <c r="O377" i="3"/>
  <c r="N377" i="3"/>
  <c r="L377" i="3"/>
  <c r="H377" i="3"/>
  <c r="F377" i="3"/>
  <c r="C377" i="3"/>
  <c r="AC376" i="3"/>
  <c r="AD376" i="3" s="1"/>
  <c r="AA376" i="3"/>
  <c r="X376" i="3"/>
  <c r="W376" i="3"/>
  <c r="U376" i="3"/>
  <c r="R376" i="3"/>
  <c r="N376" i="3"/>
  <c r="O376" i="3" s="1"/>
  <c r="L376" i="3"/>
  <c r="H376" i="3"/>
  <c r="I376" i="3" s="1"/>
  <c r="F376" i="3"/>
  <c r="C376" i="3"/>
  <c r="AD375" i="3"/>
  <c r="AC375" i="3"/>
  <c r="AA375" i="3"/>
  <c r="X375" i="3"/>
  <c r="W375" i="3"/>
  <c r="U375" i="3"/>
  <c r="R375" i="3"/>
  <c r="N375" i="3"/>
  <c r="O375" i="3" s="1"/>
  <c r="L375" i="3"/>
  <c r="H375" i="3"/>
  <c r="F375" i="3"/>
  <c r="C375" i="3"/>
  <c r="AC374" i="3"/>
  <c r="AD374" i="3" s="1"/>
  <c r="AA374" i="3"/>
  <c r="X374" i="3"/>
  <c r="W374" i="3"/>
  <c r="U374" i="3"/>
  <c r="R374" i="3"/>
  <c r="O374" i="3"/>
  <c r="N374" i="3"/>
  <c r="L374" i="3"/>
  <c r="H374" i="3"/>
  <c r="I374" i="3" s="1"/>
  <c r="F374" i="3"/>
  <c r="C374" i="3"/>
  <c r="AC373" i="3"/>
  <c r="AD373" i="3" s="1"/>
  <c r="AA373" i="3"/>
  <c r="W373" i="3"/>
  <c r="X373" i="3" s="1"/>
  <c r="U373" i="3"/>
  <c r="R373" i="3"/>
  <c r="O373" i="3"/>
  <c r="N373" i="3"/>
  <c r="L373" i="3"/>
  <c r="H373" i="3"/>
  <c r="F373" i="3"/>
  <c r="C373" i="3"/>
  <c r="AD372" i="3"/>
  <c r="AC372" i="3"/>
  <c r="AA372" i="3"/>
  <c r="X372" i="3"/>
  <c r="W372" i="3"/>
  <c r="U372" i="3"/>
  <c r="R372" i="3"/>
  <c r="O372" i="3"/>
  <c r="N372" i="3"/>
  <c r="L372" i="3"/>
  <c r="H372" i="3"/>
  <c r="I372" i="3" s="1"/>
  <c r="F372" i="3"/>
  <c r="C372" i="3"/>
  <c r="AC371" i="3"/>
  <c r="AD371" i="3" s="1"/>
  <c r="AA371" i="3"/>
  <c r="X371" i="3"/>
  <c r="W371" i="3"/>
  <c r="U371" i="3"/>
  <c r="R371" i="3"/>
  <c r="N371" i="3"/>
  <c r="O371" i="3" s="1"/>
  <c r="L371" i="3"/>
  <c r="H371" i="3"/>
  <c r="I371" i="3" s="1"/>
  <c r="F371" i="3"/>
  <c r="C371" i="3"/>
  <c r="AC370" i="3"/>
  <c r="AD370" i="3" s="1"/>
  <c r="AA370" i="3"/>
  <c r="X370" i="3"/>
  <c r="W370" i="3"/>
  <c r="U370" i="3"/>
  <c r="R370" i="3"/>
  <c r="O370" i="3"/>
  <c r="N370" i="3"/>
  <c r="L370" i="3"/>
  <c r="H370" i="3"/>
  <c r="F370" i="3"/>
  <c r="C370" i="3"/>
  <c r="AC369" i="3"/>
  <c r="AD369" i="3" s="1"/>
  <c r="AA369" i="3"/>
  <c r="W369" i="3"/>
  <c r="X369" i="3" s="1"/>
  <c r="U369" i="3"/>
  <c r="R369" i="3"/>
  <c r="O369" i="3"/>
  <c r="N369" i="3"/>
  <c r="L369" i="3"/>
  <c r="H369" i="3"/>
  <c r="I369" i="3" s="1"/>
  <c r="F369" i="3"/>
  <c r="C369" i="3"/>
  <c r="Z368" i="3"/>
  <c r="AA368" i="3" s="1"/>
  <c r="T368" i="3"/>
  <c r="U368" i="3" s="1"/>
  <c r="Q368" i="3"/>
  <c r="K368" i="3"/>
  <c r="L368" i="3" s="1"/>
  <c r="E368" i="3"/>
  <c r="F368" i="3" s="1"/>
  <c r="B368" i="3"/>
  <c r="AC367" i="3"/>
  <c r="AD367" i="3" s="1"/>
  <c r="AA367" i="3"/>
  <c r="X367" i="3"/>
  <c r="W367" i="3"/>
  <c r="U367" i="3"/>
  <c r="R367" i="3"/>
  <c r="O367" i="3"/>
  <c r="N367" i="3"/>
  <c r="L367" i="3"/>
  <c r="H367" i="3"/>
  <c r="I367" i="3" s="1"/>
  <c r="F367" i="3"/>
  <c r="C367" i="3"/>
  <c r="AC366" i="3"/>
  <c r="AD366" i="3" s="1"/>
  <c r="AA366" i="3"/>
  <c r="W366" i="3"/>
  <c r="X366" i="3" s="1"/>
  <c r="U366" i="3"/>
  <c r="R366" i="3"/>
  <c r="O366" i="3"/>
  <c r="N366" i="3"/>
  <c r="L366" i="3"/>
  <c r="H366" i="3"/>
  <c r="F366" i="3"/>
  <c r="C366" i="3"/>
  <c r="AD365" i="3"/>
  <c r="AC365" i="3"/>
  <c r="AA365" i="3"/>
  <c r="X365" i="3"/>
  <c r="W365" i="3"/>
  <c r="U365" i="3"/>
  <c r="R365" i="3"/>
  <c r="O365" i="3"/>
  <c r="N365" i="3"/>
  <c r="L365" i="3"/>
  <c r="H365" i="3"/>
  <c r="I365" i="3" s="1"/>
  <c r="F365" i="3"/>
  <c r="C365" i="3"/>
  <c r="AC364" i="3"/>
  <c r="AD364" i="3" s="1"/>
  <c r="AA364" i="3"/>
  <c r="X364" i="3"/>
  <c r="W364" i="3"/>
  <c r="U364" i="3"/>
  <c r="R364" i="3"/>
  <c r="N364" i="3"/>
  <c r="O364" i="3" s="1"/>
  <c r="L364" i="3"/>
  <c r="H364" i="3"/>
  <c r="I364" i="3" s="1"/>
  <c r="F364" i="3"/>
  <c r="C364" i="3"/>
  <c r="AC363" i="3"/>
  <c r="AD363" i="3" s="1"/>
  <c r="AA363" i="3"/>
  <c r="X363" i="3"/>
  <c r="W363" i="3"/>
  <c r="U363" i="3"/>
  <c r="R363" i="3"/>
  <c r="O363" i="3"/>
  <c r="N363" i="3"/>
  <c r="L363" i="3"/>
  <c r="H363" i="3"/>
  <c r="F363" i="3"/>
  <c r="C363" i="3"/>
  <c r="AC362" i="3"/>
  <c r="AD362" i="3" s="1"/>
  <c r="AA362" i="3"/>
  <c r="W362" i="3"/>
  <c r="X362" i="3" s="1"/>
  <c r="U362" i="3"/>
  <c r="R362" i="3"/>
  <c r="O362" i="3"/>
  <c r="N362" i="3"/>
  <c r="L362" i="3"/>
  <c r="H362" i="3"/>
  <c r="I362" i="3" s="1"/>
  <c r="F362" i="3"/>
  <c r="C362" i="3"/>
  <c r="AD361" i="3"/>
  <c r="AC361" i="3"/>
  <c r="AA361" i="3"/>
  <c r="X361" i="3"/>
  <c r="W361" i="3"/>
  <c r="U361" i="3"/>
  <c r="R361" i="3"/>
  <c r="O361" i="3"/>
  <c r="N361" i="3"/>
  <c r="L361" i="3"/>
  <c r="H361" i="3"/>
  <c r="F361" i="3"/>
  <c r="C361" i="3"/>
  <c r="AD360" i="3"/>
  <c r="AC360" i="3"/>
  <c r="AA360" i="3"/>
  <c r="X360" i="3"/>
  <c r="W360" i="3"/>
  <c r="U360" i="3"/>
  <c r="R360" i="3"/>
  <c r="N360" i="3"/>
  <c r="O360" i="3" s="1"/>
  <c r="L360" i="3"/>
  <c r="H360" i="3"/>
  <c r="I360" i="3" s="1"/>
  <c r="F360" i="3"/>
  <c r="C360" i="3"/>
  <c r="AA358" i="3"/>
  <c r="Z358" i="3"/>
  <c r="W358" i="3"/>
  <c r="X358" i="3" s="1"/>
  <c r="T358" i="3"/>
  <c r="U358" i="3" s="1"/>
  <c r="Q358" i="3"/>
  <c r="R358" i="3" s="1"/>
  <c r="L358" i="3"/>
  <c r="K358" i="3"/>
  <c r="E358" i="3"/>
  <c r="F358" i="3" s="1"/>
  <c r="B358" i="3"/>
  <c r="AD357" i="3"/>
  <c r="AC357" i="3"/>
  <c r="AA357" i="3"/>
  <c r="X357" i="3"/>
  <c r="W357" i="3"/>
  <c r="U357" i="3"/>
  <c r="R357" i="3"/>
  <c r="O357" i="3"/>
  <c r="N357" i="3"/>
  <c r="L357" i="3"/>
  <c r="H357" i="3"/>
  <c r="F357" i="3"/>
  <c r="C357" i="3"/>
  <c r="AC356" i="3"/>
  <c r="AD356" i="3" s="1"/>
  <c r="AA356" i="3"/>
  <c r="X356" i="3"/>
  <c r="W356" i="3"/>
  <c r="U356" i="3"/>
  <c r="R356" i="3"/>
  <c r="N356" i="3"/>
  <c r="O356" i="3" s="1"/>
  <c r="L356" i="3"/>
  <c r="H356" i="3"/>
  <c r="I356" i="3" s="1"/>
  <c r="F356" i="3"/>
  <c r="C356" i="3"/>
  <c r="AC355" i="3"/>
  <c r="AD355" i="3" s="1"/>
  <c r="AA355" i="3"/>
  <c r="W355" i="3"/>
  <c r="X355" i="3" s="1"/>
  <c r="U355" i="3"/>
  <c r="R355" i="3"/>
  <c r="O355" i="3"/>
  <c r="N355" i="3"/>
  <c r="L355" i="3"/>
  <c r="H355" i="3"/>
  <c r="I355" i="3" s="1"/>
  <c r="F355" i="3"/>
  <c r="C355" i="3"/>
  <c r="AC354" i="3"/>
  <c r="AD354" i="3" s="1"/>
  <c r="AA354" i="3"/>
  <c r="W354" i="3"/>
  <c r="X354" i="3" s="1"/>
  <c r="U354" i="3"/>
  <c r="R354" i="3"/>
  <c r="O354" i="3"/>
  <c r="N354" i="3"/>
  <c r="L354" i="3"/>
  <c r="H354" i="3"/>
  <c r="I354" i="3" s="1"/>
  <c r="F354" i="3"/>
  <c r="C354" i="3"/>
  <c r="AD353" i="3"/>
  <c r="AC353" i="3"/>
  <c r="AA353" i="3"/>
  <c r="X353" i="3"/>
  <c r="W353" i="3"/>
  <c r="U353" i="3"/>
  <c r="R353" i="3"/>
  <c r="O353" i="3"/>
  <c r="N353" i="3"/>
  <c r="L353" i="3"/>
  <c r="H353" i="3"/>
  <c r="F353" i="3"/>
  <c r="C353" i="3"/>
  <c r="AD352" i="3"/>
  <c r="AC352" i="3"/>
  <c r="AA352" i="3"/>
  <c r="X352" i="3"/>
  <c r="W352" i="3"/>
  <c r="U352" i="3"/>
  <c r="R352" i="3"/>
  <c r="N352" i="3"/>
  <c r="O352" i="3" s="1"/>
  <c r="L352" i="3"/>
  <c r="I352" i="3"/>
  <c r="H352" i="3"/>
  <c r="F352" i="3"/>
  <c r="C352" i="3"/>
  <c r="AC351" i="3"/>
  <c r="AD351" i="3" s="1"/>
  <c r="AA351" i="3"/>
  <c r="X351" i="3"/>
  <c r="W351" i="3"/>
  <c r="U351" i="3"/>
  <c r="R351" i="3"/>
  <c r="O351" i="3"/>
  <c r="N351" i="3"/>
  <c r="L351" i="3"/>
  <c r="I351" i="3"/>
  <c r="H351" i="3"/>
  <c r="F351" i="3"/>
  <c r="C351" i="3"/>
  <c r="AC350" i="3"/>
  <c r="AD350" i="3" s="1"/>
  <c r="AA350" i="3"/>
  <c r="W350" i="3"/>
  <c r="X350" i="3" s="1"/>
  <c r="U350" i="3"/>
  <c r="R350" i="3"/>
  <c r="O350" i="3"/>
  <c r="N350" i="3"/>
  <c r="L350" i="3"/>
  <c r="H350" i="3"/>
  <c r="F350" i="3"/>
  <c r="C350" i="3"/>
  <c r="AC349" i="3"/>
  <c r="AD349" i="3" s="1"/>
  <c r="AA349" i="3"/>
  <c r="X349" i="3"/>
  <c r="W349" i="3"/>
  <c r="U349" i="3"/>
  <c r="R349" i="3"/>
  <c r="N349" i="3"/>
  <c r="O349" i="3" s="1"/>
  <c r="L349" i="3"/>
  <c r="H349" i="3"/>
  <c r="I349" i="3" s="1"/>
  <c r="F349" i="3"/>
  <c r="C349" i="3"/>
  <c r="AD347" i="3"/>
  <c r="AC347" i="3"/>
  <c r="AA347" i="3"/>
  <c r="X347" i="3"/>
  <c r="W347" i="3"/>
  <c r="U347" i="3"/>
  <c r="R347" i="3"/>
  <c r="N347" i="3"/>
  <c r="O347" i="3" s="1"/>
  <c r="L347" i="3"/>
  <c r="H347" i="3"/>
  <c r="F347" i="3"/>
  <c r="C347" i="3"/>
  <c r="Z344" i="3"/>
  <c r="AA344" i="3" s="1"/>
  <c r="T344" i="3"/>
  <c r="U344" i="3" s="1"/>
  <c r="Q344" i="3"/>
  <c r="K344" i="3"/>
  <c r="L344" i="3" s="1"/>
  <c r="E344" i="3"/>
  <c r="F344" i="3" s="1"/>
  <c r="B344" i="3"/>
  <c r="AA343" i="3"/>
  <c r="Z343" i="3"/>
  <c r="T343" i="3"/>
  <c r="U343" i="3" s="1"/>
  <c r="Q343" i="3"/>
  <c r="R343" i="3" s="1"/>
  <c r="L343" i="3"/>
  <c r="K343" i="3"/>
  <c r="E343" i="3"/>
  <c r="F343" i="3" s="1"/>
  <c r="B343" i="3"/>
  <c r="N343" i="3" s="1"/>
  <c r="O343" i="3" s="1"/>
  <c r="AC342" i="3"/>
  <c r="AD342" i="3" s="1"/>
  <c r="Z342" i="3"/>
  <c r="AA342" i="3" s="1"/>
  <c r="U342" i="3"/>
  <c r="T342" i="3"/>
  <c r="Q342" i="3"/>
  <c r="W342" i="3" s="1"/>
  <c r="X342" i="3" s="1"/>
  <c r="N342" i="3"/>
  <c r="O342" i="3" s="1"/>
  <c r="K342" i="3"/>
  <c r="L342" i="3" s="1"/>
  <c r="H342" i="3"/>
  <c r="I342" i="3" s="1"/>
  <c r="F342" i="3"/>
  <c r="E342" i="3"/>
  <c r="B342" i="3"/>
  <c r="C342" i="3" s="1"/>
  <c r="AC341" i="3"/>
  <c r="AD341" i="3" s="1"/>
  <c r="AA341" i="3"/>
  <c r="X341" i="3"/>
  <c r="W341" i="3"/>
  <c r="U341" i="3"/>
  <c r="R341" i="3"/>
  <c r="O341" i="3"/>
  <c r="N341" i="3"/>
  <c r="L341" i="3"/>
  <c r="H341" i="3"/>
  <c r="I341" i="3" s="1"/>
  <c r="F341" i="3"/>
  <c r="C341" i="3"/>
  <c r="AC340" i="3"/>
  <c r="AD340" i="3" s="1"/>
  <c r="AA340" i="3"/>
  <c r="W340" i="3"/>
  <c r="X340" i="3" s="1"/>
  <c r="U340" i="3"/>
  <c r="R340" i="3"/>
  <c r="O340" i="3"/>
  <c r="N340" i="3"/>
  <c r="L340" i="3"/>
  <c r="H340" i="3"/>
  <c r="F340" i="3"/>
  <c r="C340" i="3"/>
  <c r="AC339" i="3"/>
  <c r="AD339" i="3" s="1"/>
  <c r="AA339" i="3"/>
  <c r="X339" i="3"/>
  <c r="W339" i="3"/>
  <c r="U339" i="3"/>
  <c r="R339" i="3"/>
  <c r="N339" i="3"/>
  <c r="O339" i="3" s="1"/>
  <c r="L339" i="3"/>
  <c r="H339" i="3"/>
  <c r="I339" i="3" s="1"/>
  <c r="F339" i="3"/>
  <c r="C339" i="3"/>
  <c r="AD338" i="3"/>
  <c r="AC338" i="3"/>
  <c r="AA338" i="3"/>
  <c r="X338" i="3"/>
  <c r="W338" i="3"/>
  <c r="U338" i="3"/>
  <c r="R338" i="3"/>
  <c r="N338" i="3"/>
  <c r="O338" i="3" s="1"/>
  <c r="L338" i="3"/>
  <c r="H338" i="3"/>
  <c r="F338" i="3"/>
  <c r="C338" i="3"/>
  <c r="AC337" i="3"/>
  <c r="AD337" i="3" s="1"/>
  <c r="AA337" i="3"/>
  <c r="X337" i="3"/>
  <c r="W337" i="3"/>
  <c r="U337" i="3"/>
  <c r="R337" i="3"/>
  <c r="O337" i="3"/>
  <c r="N337" i="3"/>
  <c r="L337" i="3"/>
  <c r="I337" i="3"/>
  <c r="H337" i="3"/>
  <c r="F337" i="3"/>
  <c r="C337" i="3"/>
  <c r="AC335" i="3"/>
  <c r="AD335" i="3" s="1"/>
  <c r="AA335" i="3"/>
  <c r="W335" i="3"/>
  <c r="X335" i="3" s="1"/>
  <c r="U335" i="3"/>
  <c r="R335" i="3"/>
  <c r="O335" i="3"/>
  <c r="N335" i="3"/>
  <c r="L335" i="3"/>
  <c r="H335" i="3"/>
  <c r="F335" i="3"/>
  <c r="C335" i="3"/>
  <c r="AD334" i="3"/>
  <c r="AC334" i="3"/>
  <c r="AA334" i="3"/>
  <c r="X334" i="3"/>
  <c r="W334" i="3"/>
  <c r="U334" i="3"/>
  <c r="R334" i="3"/>
  <c r="N334" i="3"/>
  <c r="O334" i="3" s="1"/>
  <c r="L334" i="3"/>
  <c r="H334" i="3"/>
  <c r="I334" i="3" s="1"/>
  <c r="F334" i="3"/>
  <c r="C334" i="3"/>
  <c r="AC333" i="3"/>
  <c r="AD333" i="3" s="1"/>
  <c r="AA333" i="3"/>
  <c r="X333" i="3"/>
  <c r="W333" i="3"/>
  <c r="U333" i="3"/>
  <c r="R333" i="3"/>
  <c r="N333" i="3"/>
  <c r="O333" i="3" s="1"/>
  <c r="L333" i="3"/>
  <c r="H333" i="3"/>
  <c r="I333" i="3" s="1"/>
  <c r="F333" i="3"/>
  <c r="C333" i="3"/>
  <c r="AC332" i="3"/>
  <c r="AD332" i="3" s="1"/>
  <c r="AA332" i="3"/>
  <c r="X332" i="3"/>
  <c r="W332" i="3"/>
  <c r="U332" i="3"/>
  <c r="R332" i="3"/>
  <c r="O332" i="3"/>
  <c r="N332" i="3"/>
  <c r="L332" i="3"/>
  <c r="H332" i="3"/>
  <c r="F332" i="3"/>
  <c r="C332" i="3"/>
  <c r="AC331" i="3"/>
  <c r="AD331" i="3" s="1"/>
  <c r="AA331" i="3"/>
  <c r="W331" i="3"/>
  <c r="X331" i="3" s="1"/>
  <c r="U331" i="3"/>
  <c r="R331" i="3"/>
  <c r="O331" i="3"/>
  <c r="N331" i="3"/>
  <c r="L331" i="3"/>
  <c r="H331" i="3"/>
  <c r="I331" i="3" s="1"/>
  <c r="F331" i="3"/>
  <c r="C331" i="3"/>
  <c r="AD330" i="3"/>
  <c r="AC330" i="3"/>
  <c r="AA330" i="3"/>
  <c r="X330" i="3"/>
  <c r="W330" i="3"/>
  <c r="U330" i="3"/>
  <c r="R330" i="3"/>
  <c r="O330" i="3"/>
  <c r="N330" i="3"/>
  <c r="L330" i="3"/>
  <c r="H330" i="3"/>
  <c r="F330" i="3"/>
  <c r="C330" i="3"/>
  <c r="AC329" i="3"/>
  <c r="AD329" i="3" s="1"/>
  <c r="AA329" i="3"/>
  <c r="X329" i="3"/>
  <c r="W329" i="3"/>
  <c r="U329" i="3"/>
  <c r="R329" i="3"/>
  <c r="N329" i="3"/>
  <c r="O329" i="3" s="1"/>
  <c r="L329" i="3"/>
  <c r="I329" i="3"/>
  <c r="H329" i="3"/>
  <c r="F329" i="3"/>
  <c r="C329" i="3"/>
  <c r="AC328" i="3"/>
  <c r="AD328" i="3" s="1"/>
  <c r="AA328" i="3"/>
  <c r="W328" i="3"/>
  <c r="X328" i="3" s="1"/>
  <c r="U328" i="3"/>
  <c r="R328" i="3"/>
  <c r="O328" i="3"/>
  <c r="N328" i="3"/>
  <c r="L328" i="3"/>
  <c r="H328" i="3"/>
  <c r="I328" i="3" s="1"/>
  <c r="F328" i="3"/>
  <c r="C328" i="3"/>
  <c r="AC325" i="3"/>
  <c r="AD325" i="3" s="1"/>
  <c r="Z325" i="3"/>
  <c r="AA325" i="3" s="1"/>
  <c r="T325" i="3"/>
  <c r="U325" i="3" s="1"/>
  <c r="Q325" i="3"/>
  <c r="L325" i="3"/>
  <c r="K325" i="3"/>
  <c r="I325" i="3"/>
  <c r="H325" i="3"/>
  <c r="E325" i="3"/>
  <c r="F325" i="3" s="1"/>
  <c r="B325" i="3"/>
  <c r="C325" i="3" s="1"/>
  <c r="Z324" i="3"/>
  <c r="AC324" i="3" s="1"/>
  <c r="AD324" i="3" s="1"/>
  <c r="W324" i="3"/>
  <c r="X324" i="3" s="1"/>
  <c r="T324" i="3"/>
  <c r="U324" i="3" s="1"/>
  <c r="R324" i="3"/>
  <c r="Q324" i="3"/>
  <c r="N324" i="3"/>
  <c r="O324" i="3" s="1"/>
  <c r="K324" i="3"/>
  <c r="L324" i="3" s="1"/>
  <c r="E324" i="3"/>
  <c r="F324" i="3" s="1"/>
  <c r="C324" i="3"/>
  <c r="B324" i="3"/>
  <c r="AC323" i="3"/>
  <c r="AD323" i="3" s="1"/>
  <c r="AA323" i="3"/>
  <c r="W323" i="3"/>
  <c r="X323" i="3" s="1"/>
  <c r="U323" i="3"/>
  <c r="R323" i="3"/>
  <c r="O323" i="3"/>
  <c r="N323" i="3"/>
  <c r="L323" i="3"/>
  <c r="H323" i="3"/>
  <c r="F323" i="3"/>
  <c r="C323" i="3"/>
  <c r="AC322" i="3"/>
  <c r="AD322" i="3" s="1"/>
  <c r="AA322" i="3"/>
  <c r="X322" i="3"/>
  <c r="W322" i="3"/>
  <c r="U322" i="3"/>
  <c r="R322" i="3"/>
  <c r="O322" i="3"/>
  <c r="N322" i="3"/>
  <c r="L322" i="3"/>
  <c r="H322" i="3"/>
  <c r="I322" i="3" s="1"/>
  <c r="F322" i="3"/>
  <c r="C322" i="3"/>
  <c r="AC321" i="3"/>
  <c r="AD321" i="3" s="1"/>
  <c r="AA321" i="3"/>
  <c r="X321" i="3"/>
  <c r="W321" i="3"/>
  <c r="U321" i="3"/>
  <c r="R321" i="3"/>
  <c r="N321" i="3"/>
  <c r="O321" i="3" s="1"/>
  <c r="L321" i="3"/>
  <c r="H321" i="3"/>
  <c r="I321" i="3" s="1"/>
  <c r="F321" i="3"/>
  <c r="C321" i="3"/>
  <c r="AC320" i="3"/>
  <c r="AD320" i="3" s="1"/>
  <c r="AA320" i="3"/>
  <c r="X320" i="3"/>
  <c r="W320" i="3"/>
  <c r="U320" i="3"/>
  <c r="R320" i="3"/>
  <c r="O320" i="3"/>
  <c r="N320" i="3"/>
  <c r="L320" i="3"/>
  <c r="H320" i="3"/>
  <c r="F320" i="3"/>
  <c r="C320" i="3"/>
  <c r="AC319" i="3"/>
  <c r="AD319" i="3" s="1"/>
  <c r="AA319" i="3"/>
  <c r="W319" i="3"/>
  <c r="X319" i="3" s="1"/>
  <c r="U319" i="3"/>
  <c r="R319" i="3"/>
  <c r="O319" i="3"/>
  <c r="N319" i="3"/>
  <c r="L319" i="3"/>
  <c r="H319" i="3"/>
  <c r="I319" i="3" s="1"/>
  <c r="F319" i="3"/>
  <c r="C319" i="3"/>
  <c r="AD318" i="3"/>
  <c r="AC318" i="3"/>
  <c r="AA318" i="3"/>
  <c r="X318" i="3"/>
  <c r="W318" i="3"/>
  <c r="U318" i="3"/>
  <c r="R318" i="3"/>
  <c r="N318" i="3"/>
  <c r="O318" i="3" s="1"/>
  <c r="L318" i="3"/>
  <c r="H318" i="3"/>
  <c r="F318" i="3"/>
  <c r="C318" i="3"/>
  <c r="AC317" i="3"/>
  <c r="AD317" i="3" s="1"/>
  <c r="AA317" i="3"/>
  <c r="X317" i="3"/>
  <c r="W317" i="3"/>
  <c r="U317" i="3"/>
  <c r="R317" i="3"/>
  <c r="N317" i="3"/>
  <c r="O317" i="3" s="1"/>
  <c r="L317" i="3"/>
  <c r="I317" i="3"/>
  <c r="H317" i="3"/>
  <c r="F317" i="3"/>
  <c r="C317" i="3"/>
  <c r="AC316" i="3"/>
  <c r="AD316" i="3" s="1"/>
  <c r="AA316" i="3"/>
  <c r="W316" i="3"/>
  <c r="X316" i="3" s="1"/>
  <c r="U316" i="3"/>
  <c r="R316" i="3"/>
  <c r="O316" i="3"/>
  <c r="N316" i="3"/>
  <c r="L316" i="3"/>
  <c r="H316" i="3"/>
  <c r="I316" i="3" s="1"/>
  <c r="F316" i="3"/>
  <c r="C316" i="3"/>
  <c r="AC315" i="3"/>
  <c r="AD315" i="3" s="1"/>
  <c r="AA315" i="3"/>
  <c r="W315" i="3"/>
  <c r="X315" i="3" s="1"/>
  <c r="U315" i="3"/>
  <c r="R315" i="3"/>
  <c r="O315" i="3"/>
  <c r="N315" i="3"/>
  <c r="L315" i="3"/>
  <c r="H315" i="3"/>
  <c r="I315" i="3" s="1"/>
  <c r="F315" i="3"/>
  <c r="C315" i="3"/>
  <c r="AD314" i="3"/>
  <c r="AC314" i="3"/>
  <c r="AA314" i="3"/>
  <c r="X314" i="3"/>
  <c r="W314" i="3"/>
  <c r="U314" i="3"/>
  <c r="R314" i="3"/>
  <c r="O314" i="3"/>
  <c r="N314" i="3"/>
  <c r="L314" i="3"/>
  <c r="H314" i="3"/>
  <c r="F314" i="3"/>
  <c r="C314" i="3"/>
  <c r="AC313" i="3"/>
  <c r="AD313" i="3" s="1"/>
  <c r="AA313" i="3"/>
  <c r="X313" i="3"/>
  <c r="W313" i="3"/>
  <c r="U313" i="3"/>
  <c r="R313" i="3"/>
  <c r="N313" i="3"/>
  <c r="O313" i="3" s="1"/>
  <c r="L313" i="3"/>
  <c r="I313" i="3"/>
  <c r="H313" i="3"/>
  <c r="F313" i="3"/>
  <c r="C313" i="3"/>
  <c r="AC312" i="3"/>
  <c r="AD312" i="3" s="1"/>
  <c r="AA312" i="3"/>
  <c r="X312" i="3"/>
  <c r="W312" i="3"/>
  <c r="U312" i="3"/>
  <c r="R312" i="3"/>
  <c r="O312" i="3"/>
  <c r="N312" i="3"/>
  <c r="L312" i="3"/>
  <c r="I312" i="3"/>
  <c r="H312" i="3"/>
  <c r="F312" i="3"/>
  <c r="C312" i="3"/>
  <c r="AC311" i="3"/>
  <c r="AD311" i="3" s="1"/>
  <c r="AA311" i="3"/>
  <c r="W311" i="3"/>
  <c r="X311" i="3" s="1"/>
  <c r="U311" i="3"/>
  <c r="R311" i="3"/>
  <c r="O311" i="3"/>
  <c r="N311" i="3"/>
  <c r="L311" i="3"/>
  <c r="H311" i="3"/>
  <c r="F311" i="3"/>
  <c r="C311" i="3"/>
  <c r="AC310" i="3"/>
  <c r="AD310" i="3" s="1"/>
  <c r="AA310" i="3"/>
  <c r="X310" i="3"/>
  <c r="W310" i="3"/>
  <c r="U310" i="3"/>
  <c r="R310" i="3"/>
  <c r="N310" i="3"/>
  <c r="O310" i="3" s="1"/>
  <c r="L310" i="3"/>
  <c r="H310" i="3"/>
  <c r="I310" i="3" s="1"/>
  <c r="F310" i="3"/>
  <c r="C310" i="3"/>
  <c r="AD309" i="3"/>
  <c r="AC309" i="3"/>
  <c r="AA309" i="3"/>
  <c r="X309" i="3"/>
  <c r="W309" i="3"/>
  <c r="U309" i="3"/>
  <c r="R309" i="3"/>
  <c r="N309" i="3"/>
  <c r="O309" i="3" s="1"/>
  <c r="L309" i="3"/>
  <c r="H309" i="3"/>
  <c r="F309" i="3"/>
  <c r="C309" i="3"/>
  <c r="AC308" i="3"/>
  <c r="AD308" i="3" s="1"/>
  <c r="AA308" i="3"/>
  <c r="X308" i="3"/>
  <c r="W308" i="3"/>
  <c r="U308" i="3"/>
  <c r="R308" i="3"/>
  <c r="O308" i="3"/>
  <c r="N308" i="3"/>
  <c r="L308" i="3"/>
  <c r="H308" i="3"/>
  <c r="I308" i="3" s="1"/>
  <c r="F308" i="3"/>
  <c r="C308" i="3"/>
  <c r="AC307" i="3"/>
  <c r="AD307" i="3" s="1"/>
  <c r="AA307" i="3"/>
  <c r="W307" i="3"/>
  <c r="X307" i="3" s="1"/>
  <c r="U307" i="3"/>
  <c r="R307" i="3"/>
  <c r="O307" i="3"/>
  <c r="N307" i="3"/>
  <c r="L307" i="3"/>
  <c r="H307" i="3"/>
  <c r="F307" i="3"/>
  <c r="C307" i="3"/>
  <c r="AC306" i="3"/>
  <c r="AD306" i="3" s="1"/>
  <c r="AA306" i="3"/>
  <c r="X306" i="3"/>
  <c r="W306" i="3"/>
  <c r="U306" i="3"/>
  <c r="R306" i="3"/>
  <c r="O306" i="3"/>
  <c r="N306" i="3"/>
  <c r="L306" i="3"/>
  <c r="H306" i="3"/>
  <c r="I306" i="3" s="1"/>
  <c r="F306" i="3"/>
  <c r="C306" i="3"/>
  <c r="AC305" i="3"/>
  <c r="AD305" i="3" s="1"/>
  <c r="AA305" i="3"/>
  <c r="X305" i="3"/>
  <c r="W305" i="3"/>
  <c r="U305" i="3"/>
  <c r="R305" i="3"/>
  <c r="N305" i="3"/>
  <c r="O305" i="3" s="1"/>
  <c r="L305" i="3"/>
  <c r="H305" i="3"/>
  <c r="I305" i="3" s="1"/>
  <c r="F305" i="3"/>
  <c r="C305" i="3"/>
  <c r="AC304" i="3"/>
  <c r="AD304" i="3" s="1"/>
  <c r="AA304" i="3"/>
  <c r="X304" i="3"/>
  <c r="W304" i="3"/>
  <c r="U304" i="3"/>
  <c r="R304" i="3"/>
  <c r="O304" i="3"/>
  <c r="N304" i="3"/>
  <c r="L304" i="3"/>
  <c r="H304" i="3"/>
  <c r="F304" i="3"/>
  <c r="C304" i="3"/>
  <c r="AC303" i="3"/>
  <c r="AD303" i="3" s="1"/>
  <c r="AA303" i="3"/>
  <c r="W303" i="3"/>
  <c r="X303" i="3" s="1"/>
  <c r="U303" i="3"/>
  <c r="R303" i="3"/>
  <c r="O303" i="3"/>
  <c r="N303" i="3"/>
  <c r="L303" i="3"/>
  <c r="H303" i="3"/>
  <c r="I303" i="3" s="1"/>
  <c r="F303" i="3"/>
  <c r="C303" i="3"/>
  <c r="AD302" i="3"/>
  <c r="AC302" i="3"/>
  <c r="AA302" i="3"/>
  <c r="X302" i="3"/>
  <c r="W302" i="3"/>
  <c r="U302" i="3"/>
  <c r="R302" i="3"/>
  <c r="N302" i="3"/>
  <c r="O302" i="3" s="1"/>
  <c r="L302" i="3"/>
  <c r="H302" i="3"/>
  <c r="F302" i="3"/>
  <c r="C302" i="3"/>
  <c r="AC301" i="3"/>
  <c r="AD301" i="3" s="1"/>
  <c r="AA301" i="3"/>
  <c r="X301" i="3"/>
  <c r="W301" i="3"/>
  <c r="U301" i="3"/>
  <c r="R301" i="3"/>
  <c r="N301" i="3"/>
  <c r="O301" i="3" s="1"/>
  <c r="L301" i="3"/>
  <c r="I301" i="3"/>
  <c r="H301" i="3"/>
  <c r="F301" i="3"/>
  <c r="C301" i="3"/>
  <c r="AC300" i="3"/>
  <c r="AD300" i="3" s="1"/>
  <c r="AA300" i="3"/>
  <c r="W300" i="3"/>
  <c r="X300" i="3" s="1"/>
  <c r="U300" i="3"/>
  <c r="R300" i="3"/>
  <c r="O300" i="3"/>
  <c r="N300" i="3"/>
  <c r="L300" i="3"/>
  <c r="H300" i="3"/>
  <c r="I300" i="3" s="1"/>
  <c r="F300" i="3"/>
  <c r="C300" i="3"/>
  <c r="AC299" i="3"/>
  <c r="AD299" i="3" s="1"/>
  <c r="AA299" i="3"/>
  <c r="W299" i="3"/>
  <c r="X299" i="3" s="1"/>
  <c r="U299" i="3"/>
  <c r="R299" i="3"/>
  <c r="O299" i="3"/>
  <c r="N299" i="3"/>
  <c r="L299" i="3"/>
  <c r="H299" i="3"/>
  <c r="I299" i="3" s="1"/>
  <c r="F299" i="3"/>
  <c r="C299" i="3"/>
  <c r="AD298" i="3"/>
  <c r="AC298" i="3"/>
  <c r="AA298" i="3"/>
  <c r="X298" i="3"/>
  <c r="W298" i="3"/>
  <c r="U298" i="3"/>
  <c r="R298" i="3"/>
  <c r="O298" i="3"/>
  <c r="N298" i="3"/>
  <c r="L298" i="3"/>
  <c r="H298" i="3"/>
  <c r="F298" i="3"/>
  <c r="C298" i="3"/>
  <c r="AC297" i="3"/>
  <c r="AD297" i="3" s="1"/>
  <c r="AA297" i="3"/>
  <c r="X297" i="3"/>
  <c r="W297" i="3"/>
  <c r="U297" i="3"/>
  <c r="R297" i="3"/>
  <c r="N297" i="3"/>
  <c r="O297" i="3" s="1"/>
  <c r="L297" i="3"/>
  <c r="I297" i="3"/>
  <c r="H297" i="3"/>
  <c r="F297" i="3"/>
  <c r="C297" i="3"/>
  <c r="Z295" i="3"/>
  <c r="AA295" i="3" s="1"/>
  <c r="X295" i="3"/>
  <c r="W295" i="3"/>
  <c r="T295" i="3"/>
  <c r="U295" i="3" s="1"/>
  <c r="Q295" i="3"/>
  <c r="R295" i="3" s="1"/>
  <c r="K295" i="3"/>
  <c r="L295" i="3" s="1"/>
  <c r="H295" i="3"/>
  <c r="I295" i="3" s="1"/>
  <c r="E295" i="3"/>
  <c r="F295" i="3" s="1"/>
  <c r="C295" i="3"/>
  <c r="B295" i="3"/>
  <c r="AD294" i="3"/>
  <c r="AC294" i="3"/>
  <c r="AA294" i="3"/>
  <c r="X294" i="3"/>
  <c r="W294" i="3"/>
  <c r="U294" i="3"/>
  <c r="R294" i="3"/>
  <c r="O294" i="3"/>
  <c r="N294" i="3"/>
  <c r="L294" i="3"/>
  <c r="H294" i="3"/>
  <c r="F294" i="3"/>
  <c r="C294" i="3"/>
  <c r="AC293" i="3"/>
  <c r="AD293" i="3" s="1"/>
  <c r="AA293" i="3"/>
  <c r="X293" i="3"/>
  <c r="W293" i="3"/>
  <c r="U293" i="3"/>
  <c r="R293" i="3"/>
  <c r="N293" i="3"/>
  <c r="O293" i="3" s="1"/>
  <c r="L293" i="3"/>
  <c r="I293" i="3"/>
  <c r="H293" i="3"/>
  <c r="F293" i="3"/>
  <c r="C293" i="3"/>
  <c r="AC292" i="3"/>
  <c r="AD292" i="3" s="1"/>
  <c r="AA292" i="3"/>
  <c r="X292" i="3"/>
  <c r="W292" i="3"/>
  <c r="U292" i="3"/>
  <c r="R292" i="3"/>
  <c r="O292" i="3"/>
  <c r="N292" i="3"/>
  <c r="L292" i="3"/>
  <c r="H292" i="3"/>
  <c r="I292" i="3" s="1"/>
  <c r="F292" i="3"/>
  <c r="C292" i="3"/>
  <c r="AC291" i="3"/>
  <c r="AD291" i="3" s="1"/>
  <c r="AA291" i="3"/>
  <c r="W291" i="3"/>
  <c r="X291" i="3" s="1"/>
  <c r="U291" i="3"/>
  <c r="R291" i="3"/>
  <c r="O291" i="3"/>
  <c r="N291" i="3"/>
  <c r="L291" i="3"/>
  <c r="H291" i="3"/>
  <c r="F291" i="3"/>
  <c r="C291" i="3"/>
  <c r="AC290" i="3"/>
  <c r="AD290" i="3" s="1"/>
  <c r="AA290" i="3"/>
  <c r="X290" i="3"/>
  <c r="W290" i="3"/>
  <c r="U290" i="3"/>
  <c r="R290" i="3"/>
  <c r="N290" i="3"/>
  <c r="O290" i="3" s="1"/>
  <c r="L290" i="3"/>
  <c r="H290" i="3"/>
  <c r="I290" i="3" s="1"/>
  <c r="F290" i="3"/>
  <c r="C290" i="3"/>
  <c r="AD289" i="3"/>
  <c r="AC289" i="3"/>
  <c r="AA289" i="3"/>
  <c r="X289" i="3"/>
  <c r="W289" i="3"/>
  <c r="U289" i="3"/>
  <c r="R289" i="3"/>
  <c r="N289" i="3"/>
  <c r="O289" i="3" s="1"/>
  <c r="L289" i="3"/>
  <c r="H289" i="3"/>
  <c r="F289" i="3"/>
  <c r="C289" i="3"/>
  <c r="AC288" i="3"/>
  <c r="AD288" i="3" s="1"/>
  <c r="AA288" i="3"/>
  <c r="X288" i="3"/>
  <c r="W288" i="3"/>
  <c r="U288" i="3"/>
  <c r="R288" i="3"/>
  <c r="O288" i="3"/>
  <c r="N288" i="3"/>
  <c r="L288" i="3"/>
  <c r="I288" i="3"/>
  <c r="H288" i="3"/>
  <c r="F288" i="3"/>
  <c r="C288" i="3"/>
  <c r="AC287" i="3"/>
  <c r="AD287" i="3" s="1"/>
  <c r="AA287" i="3"/>
  <c r="W287" i="3"/>
  <c r="X287" i="3" s="1"/>
  <c r="U287" i="3"/>
  <c r="R287" i="3"/>
  <c r="O287" i="3"/>
  <c r="N287" i="3"/>
  <c r="L287" i="3"/>
  <c r="H287" i="3"/>
  <c r="F287" i="3"/>
  <c r="C287" i="3"/>
  <c r="AC286" i="3"/>
  <c r="AD286" i="3" s="1"/>
  <c r="AA286" i="3"/>
  <c r="X286" i="3"/>
  <c r="W286" i="3"/>
  <c r="U286" i="3"/>
  <c r="R286" i="3"/>
  <c r="O286" i="3"/>
  <c r="N286" i="3"/>
  <c r="L286" i="3"/>
  <c r="H286" i="3"/>
  <c r="I286" i="3" s="1"/>
  <c r="F286" i="3"/>
  <c r="C286" i="3"/>
  <c r="Z284" i="3"/>
  <c r="AC284" i="3" s="1"/>
  <c r="AD284" i="3" s="1"/>
  <c r="W284" i="3"/>
  <c r="X284" i="3" s="1"/>
  <c r="T284" i="3"/>
  <c r="U284" i="3" s="1"/>
  <c r="R284" i="3"/>
  <c r="Q284" i="3"/>
  <c r="K284" i="3"/>
  <c r="E284" i="3"/>
  <c r="H284" i="3" s="1"/>
  <c r="I284" i="3" s="1"/>
  <c r="C284" i="3"/>
  <c r="B284" i="3"/>
  <c r="AC283" i="3"/>
  <c r="AD283" i="3" s="1"/>
  <c r="AA283" i="3"/>
  <c r="X283" i="3"/>
  <c r="W283" i="3"/>
  <c r="U283" i="3"/>
  <c r="R283" i="3"/>
  <c r="O283" i="3"/>
  <c r="N283" i="3"/>
  <c r="L283" i="3"/>
  <c r="H283" i="3"/>
  <c r="F283" i="3"/>
  <c r="C283" i="3"/>
  <c r="AC282" i="3"/>
  <c r="AD282" i="3" s="1"/>
  <c r="AA282" i="3"/>
  <c r="X282" i="3"/>
  <c r="W282" i="3"/>
  <c r="U282" i="3"/>
  <c r="R282" i="3"/>
  <c r="N282" i="3"/>
  <c r="O282" i="3" s="1"/>
  <c r="L282" i="3"/>
  <c r="H282" i="3"/>
  <c r="F282" i="3"/>
  <c r="C282" i="3"/>
  <c r="AC281" i="3"/>
  <c r="AD281" i="3" s="1"/>
  <c r="AA281" i="3"/>
  <c r="X281" i="3"/>
  <c r="W281" i="3"/>
  <c r="U281" i="3"/>
  <c r="R281" i="3"/>
  <c r="N281" i="3"/>
  <c r="O281" i="3" s="1"/>
  <c r="L281" i="3"/>
  <c r="H281" i="3"/>
  <c r="I281" i="3" s="1"/>
  <c r="F281" i="3"/>
  <c r="C281" i="3"/>
  <c r="AC280" i="3"/>
  <c r="AD280" i="3" s="1"/>
  <c r="AA280" i="3"/>
  <c r="W280" i="3"/>
  <c r="X280" i="3" s="1"/>
  <c r="U280" i="3"/>
  <c r="R280" i="3"/>
  <c r="O280" i="3"/>
  <c r="N280" i="3"/>
  <c r="L280" i="3"/>
  <c r="H280" i="3"/>
  <c r="I280" i="3" s="1"/>
  <c r="F280" i="3"/>
  <c r="C280" i="3"/>
  <c r="AC279" i="3"/>
  <c r="AD279" i="3" s="1"/>
  <c r="AA279" i="3"/>
  <c r="X279" i="3"/>
  <c r="W279" i="3"/>
  <c r="U279" i="3"/>
  <c r="R279" i="3"/>
  <c r="O279" i="3"/>
  <c r="N279" i="3"/>
  <c r="L279" i="3"/>
  <c r="H279" i="3"/>
  <c r="I279" i="3" s="1"/>
  <c r="F279" i="3"/>
  <c r="C279" i="3"/>
  <c r="AC278" i="3"/>
  <c r="AD278" i="3" s="1"/>
  <c r="AA278" i="3"/>
  <c r="X278" i="3"/>
  <c r="W278" i="3"/>
  <c r="U278" i="3"/>
  <c r="R278" i="3"/>
  <c r="O278" i="3"/>
  <c r="N278" i="3"/>
  <c r="L278" i="3"/>
  <c r="H278" i="3"/>
  <c r="I278" i="3" s="1"/>
  <c r="F278" i="3"/>
  <c r="C278" i="3"/>
  <c r="AD277" i="3"/>
  <c r="AC277" i="3"/>
  <c r="AA277" i="3"/>
  <c r="X277" i="3"/>
  <c r="W277" i="3"/>
  <c r="U277" i="3"/>
  <c r="R277" i="3"/>
  <c r="N277" i="3"/>
  <c r="O277" i="3" s="1"/>
  <c r="L277" i="3"/>
  <c r="H277" i="3"/>
  <c r="F277" i="3"/>
  <c r="C277" i="3"/>
  <c r="AC276" i="3"/>
  <c r="AD276" i="3" s="1"/>
  <c r="AA276" i="3"/>
  <c r="X276" i="3"/>
  <c r="W276" i="3"/>
  <c r="U276" i="3"/>
  <c r="R276" i="3"/>
  <c r="O276" i="3"/>
  <c r="N276" i="3"/>
  <c r="L276" i="3"/>
  <c r="I276" i="3"/>
  <c r="H276" i="3"/>
  <c r="F276" i="3"/>
  <c r="C276" i="3"/>
  <c r="AC275" i="3"/>
  <c r="AD275" i="3" s="1"/>
  <c r="AA275" i="3"/>
  <c r="W275" i="3"/>
  <c r="X275" i="3" s="1"/>
  <c r="U275" i="3"/>
  <c r="R275" i="3"/>
  <c r="O275" i="3"/>
  <c r="N275" i="3"/>
  <c r="L275" i="3"/>
  <c r="H275" i="3"/>
  <c r="F275" i="3"/>
  <c r="C275" i="3"/>
  <c r="AD273" i="3"/>
  <c r="AC273" i="3"/>
  <c r="Z273" i="3"/>
  <c r="AA273" i="3" s="1"/>
  <c r="T273" i="3"/>
  <c r="U273" i="3" s="1"/>
  <c r="R273" i="3"/>
  <c r="Q273" i="3"/>
  <c r="W273" i="3" s="1"/>
  <c r="X273" i="3" s="1"/>
  <c r="K273" i="3"/>
  <c r="E273" i="3"/>
  <c r="F273" i="3" s="1"/>
  <c r="B273" i="3"/>
  <c r="AC272" i="3"/>
  <c r="AD272" i="3" s="1"/>
  <c r="AA272" i="3"/>
  <c r="X272" i="3"/>
  <c r="W272" i="3"/>
  <c r="U272" i="3"/>
  <c r="R272" i="3"/>
  <c r="O272" i="3"/>
  <c r="N272" i="3"/>
  <c r="L272" i="3"/>
  <c r="H272" i="3"/>
  <c r="I272" i="3" s="1"/>
  <c r="F272" i="3"/>
  <c r="C272" i="3"/>
  <c r="AC271" i="3"/>
  <c r="AD271" i="3" s="1"/>
  <c r="AA271" i="3"/>
  <c r="W271" i="3"/>
  <c r="X271" i="3" s="1"/>
  <c r="U271" i="3"/>
  <c r="R271" i="3"/>
  <c r="O271" i="3"/>
  <c r="N271" i="3"/>
  <c r="L271" i="3"/>
  <c r="H271" i="3"/>
  <c r="F271" i="3"/>
  <c r="C271" i="3"/>
  <c r="AD270" i="3"/>
  <c r="AC270" i="3"/>
  <c r="AA270" i="3"/>
  <c r="X270" i="3"/>
  <c r="W270" i="3"/>
  <c r="U270" i="3"/>
  <c r="R270" i="3"/>
  <c r="O270" i="3"/>
  <c r="N270" i="3"/>
  <c r="L270" i="3"/>
  <c r="H270" i="3"/>
  <c r="F270" i="3"/>
  <c r="C270" i="3"/>
  <c r="AC269" i="3"/>
  <c r="AD269" i="3" s="1"/>
  <c r="AA269" i="3"/>
  <c r="X269" i="3"/>
  <c r="W269" i="3"/>
  <c r="U269" i="3"/>
  <c r="R269" i="3"/>
  <c r="N269" i="3"/>
  <c r="O269" i="3" s="1"/>
  <c r="L269" i="3"/>
  <c r="I269" i="3"/>
  <c r="H269" i="3"/>
  <c r="F269" i="3"/>
  <c r="C269" i="3"/>
  <c r="Z267" i="3"/>
  <c r="AA267" i="3" s="1"/>
  <c r="T267" i="3"/>
  <c r="U267" i="3" s="1"/>
  <c r="Q267" i="3"/>
  <c r="K267" i="3"/>
  <c r="L267" i="3" s="1"/>
  <c r="H267" i="3"/>
  <c r="I267" i="3" s="1"/>
  <c r="E267" i="3"/>
  <c r="F267" i="3" s="1"/>
  <c r="C267" i="3"/>
  <c r="B267" i="3"/>
  <c r="N267" i="3" s="1"/>
  <c r="O267" i="3" s="1"/>
  <c r="AD266" i="3"/>
  <c r="AC266" i="3"/>
  <c r="AA266" i="3"/>
  <c r="X266" i="3"/>
  <c r="W266" i="3"/>
  <c r="U266" i="3"/>
  <c r="R266" i="3"/>
  <c r="O266" i="3"/>
  <c r="N266" i="3"/>
  <c r="L266" i="3"/>
  <c r="H266" i="3"/>
  <c r="F266" i="3"/>
  <c r="C266" i="3"/>
  <c r="AC265" i="3"/>
  <c r="AD265" i="3" s="1"/>
  <c r="AA265" i="3"/>
  <c r="X265" i="3"/>
  <c r="W265" i="3"/>
  <c r="U265" i="3"/>
  <c r="R265" i="3"/>
  <c r="O265" i="3"/>
  <c r="N265" i="3"/>
  <c r="L265" i="3"/>
  <c r="I265" i="3"/>
  <c r="H265" i="3"/>
  <c r="F265" i="3"/>
  <c r="C265" i="3"/>
  <c r="Z263" i="3"/>
  <c r="X263" i="3"/>
  <c r="W263" i="3"/>
  <c r="T263" i="3"/>
  <c r="U263" i="3" s="1"/>
  <c r="Q263" i="3"/>
  <c r="R263" i="3" s="1"/>
  <c r="L263" i="3"/>
  <c r="K263" i="3"/>
  <c r="N263" i="3" s="1"/>
  <c r="O263" i="3" s="1"/>
  <c r="E263" i="3"/>
  <c r="C263" i="3"/>
  <c r="B263" i="3"/>
  <c r="Z262" i="3"/>
  <c r="U262" i="3"/>
  <c r="T262" i="3"/>
  <c r="W262" i="3" s="1"/>
  <c r="X262" i="3" s="1"/>
  <c r="R262" i="3"/>
  <c r="Q262" i="3"/>
  <c r="K262" i="3"/>
  <c r="L262" i="3" s="1"/>
  <c r="E262" i="3"/>
  <c r="B262" i="3"/>
  <c r="C262" i="3" s="1"/>
  <c r="AC261" i="3"/>
  <c r="AD261" i="3" s="1"/>
  <c r="AA261" i="3"/>
  <c r="W261" i="3"/>
  <c r="X261" i="3" s="1"/>
  <c r="U261" i="3"/>
  <c r="R261" i="3"/>
  <c r="O261" i="3"/>
  <c r="N261" i="3"/>
  <c r="L261" i="3"/>
  <c r="H261" i="3"/>
  <c r="I261" i="3" s="1"/>
  <c r="F261" i="3"/>
  <c r="C261" i="3"/>
  <c r="AC260" i="3"/>
  <c r="AD260" i="3" s="1"/>
  <c r="AA260" i="3"/>
  <c r="X260" i="3"/>
  <c r="W260" i="3"/>
  <c r="U260" i="3"/>
  <c r="R260" i="3"/>
  <c r="O260" i="3"/>
  <c r="N260" i="3"/>
  <c r="L260" i="3"/>
  <c r="H260" i="3"/>
  <c r="I260" i="3" s="1"/>
  <c r="F260" i="3"/>
  <c r="C260" i="3"/>
  <c r="AC259" i="3"/>
  <c r="AD259" i="3" s="1"/>
  <c r="AA259" i="3"/>
  <c r="X259" i="3"/>
  <c r="W259" i="3"/>
  <c r="U259" i="3"/>
  <c r="R259" i="3"/>
  <c r="O259" i="3"/>
  <c r="N259" i="3"/>
  <c r="L259" i="3"/>
  <c r="H259" i="3"/>
  <c r="I259" i="3" s="1"/>
  <c r="F259" i="3"/>
  <c r="C259" i="3"/>
  <c r="AD258" i="3"/>
  <c r="AC258" i="3"/>
  <c r="AA258" i="3"/>
  <c r="X258" i="3"/>
  <c r="W258" i="3"/>
  <c r="U258" i="3"/>
  <c r="R258" i="3"/>
  <c r="N258" i="3"/>
  <c r="O258" i="3" s="1"/>
  <c r="L258" i="3"/>
  <c r="H258" i="3"/>
  <c r="F258" i="3"/>
  <c r="C258" i="3"/>
  <c r="AC257" i="3"/>
  <c r="AD257" i="3" s="1"/>
  <c r="AA257" i="3"/>
  <c r="X257" i="3"/>
  <c r="W257" i="3"/>
  <c r="U257" i="3"/>
  <c r="R257" i="3"/>
  <c r="O257" i="3"/>
  <c r="N257" i="3"/>
  <c r="L257" i="3"/>
  <c r="I257" i="3"/>
  <c r="H257" i="3"/>
  <c r="F257" i="3"/>
  <c r="C257" i="3"/>
  <c r="AC256" i="3"/>
  <c r="AD256" i="3" s="1"/>
  <c r="AA256" i="3"/>
  <c r="X256" i="3"/>
  <c r="W256" i="3"/>
  <c r="U256" i="3"/>
  <c r="R256" i="3"/>
  <c r="O256" i="3"/>
  <c r="N256" i="3"/>
  <c r="L256" i="3"/>
  <c r="H256" i="3"/>
  <c r="I256" i="3" s="1"/>
  <c r="F256" i="3"/>
  <c r="C256" i="3"/>
  <c r="AD255" i="3"/>
  <c r="AC255" i="3"/>
  <c r="AA255" i="3"/>
  <c r="W255" i="3"/>
  <c r="X255" i="3" s="1"/>
  <c r="U255" i="3"/>
  <c r="R255" i="3"/>
  <c r="O255" i="3"/>
  <c r="N255" i="3"/>
  <c r="L255" i="3"/>
  <c r="H255" i="3"/>
  <c r="F255" i="3"/>
  <c r="C255" i="3"/>
  <c r="AC254" i="3"/>
  <c r="AD254" i="3" s="1"/>
  <c r="AA254" i="3"/>
  <c r="X254" i="3"/>
  <c r="W254" i="3"/>
  <c r="U254" i="3"/>
  <c r="R254" i="3"/>
  <c r="N254" i="3"/>
  <c r="O254" i="3" s="1"/>
  <c r="L254" i="3"/>
  <c r="I254" i="3"/>
  <c r="H254" i="3"/>
  <c r="F254" i="3"/>
  <c r="C254" i="3"/>
  <c r="AC253" i="3"/>
  <c r="AD253" i="3" s="1"/>
  <c r="AA253" i="3"/>
  <c r="X253" i="3"/>
  <c r="W253" i="3"/>
  <c r="U253" i="3"/>
  <c r="R253" i="3"/>
  <c r="O253" i="3"/>
  <c r="N253" i="3"/>
  <c r="L253" i="3"/>
  <c r="I253" i="3"/>
  <c r="H253" i="3"/>
  <c r="F253" i="3"/>
  <c r="C253" i="3"/>
  <c r="AC252" i="3"/>
  <c r="AD252" i="3" s="1"/>
  <c r="AA252" i="3"/>
  <c r="W252" i="3"/>
  <c r="X252" i="3" s="1"/>
  <c r="U252" i="3"/>
  <c r="R252" i="3"/>
  <c r="O252" i="3"/>
  <c r="N252" i="3"/>
  <c r="L252" i="3"/>
  <c r="H252" i="3"/>
  <c r="F252" i="3"/>
  <c r="C252" i="3"/>
  <c r="AD251" i="3"/>
  <c r="AC251" i="3"/>
  <c r="AA251" i="3"/>
  <c r="X251" i="3"/>
  <c r="W251" i="3"/>
  <c r="U251" i="3"/>
  <c r="R251" i="3"/>
  <c r="O251" i="3"/>
  <c r="N251" i="3"/>
  <c r="L251" i="3"/>
  <c r="H251" i="3"/>
  <c r="I251" i="3" s="1"/>
  <c r="F251" i="3"/>
  <c r="C251" i="3"/>
  <c r="AC250" i="3"/>
  <c r="AD250" i="3" s="1"/>
  <c r="AA250" i="3"/>
  <c r="X250" i="3"/>
  <c r="W250" i="3"/>
  <c r="U250" i="3"/>
  <c r="R250" i="3"/>
  <c r="O250" i="3"/>
  <c r="N250" i="3"/>
  <c r="L250" i="3"/>
  <c r="H250" i="3"/>
  <c r="I250" i="3" s="1"/>
  <c r="F250" i="3"/>
  <c r="C250" i="3"/>
  <c r="AD249" i="3"/>
  <c r="AC249" i="3"/>
  <c r="AA249" i="3"/>
  <c r="W249" i="3"/>
  <c r="X249" i="3" s="1"/>
  <c r="U249" i="3"/>
  <c r="R249" i="3"/>
  <c r="O249" i="3"/>
  <c r="N249" i="3"/>
  <c r="L249" i="3"/>
  <c r="H249" i="3"/>
  <c r="I249" i="3" s="1"/>
  <c r="F249" i="3"/>
  <c r="C249" i="3"/>
  <c r="AC248" i="3"/>
  <c r="AD248" i="3" s="1"/>
  <c r="AA248" i="3"/>
  <c r="X248" i="3"/>
  <c r="W248" i="3"/>
  <c r="U248" i="3"/>
  <c r="R248" i="3"/>
  <c r="O248" i="3"/>
  <c r="N248" i="3"/>
  <c r="L248" i="3"/>
  <c r="I248" i="3"/>
  <c r="H248" i="3"/>
  <c r="F248" i="3"/>
  <c r="C248" i="3"/>
  <c r="AC247" i="3"/>
  <c r="AD247" i="3" s="1"/>
  <c r="AA247" i="3"/>
  <c r="X247" i="3"/>
  <c r="W247" i="3"/>
  <c r="U247" i="3"/>
  <c r="R247" i="3"/>
  <c r="N247" i="3"/>
  <c r="O247" i="3" s="1"/>
  <c r="L247" i="3"/>
  <c r="H247" i="3"/>
  <c r="I247" i="3" s="1"/>
  <c r="F247" i="3"/>
  <c r="C247" i="3"/>
  <c r="AD246" i="3"/>
  <c r="AC246" i="3"/>
  <c r="AA246" i="3"/>
  <c r="X246" i="3"/>
  <c r="W246" i="3"/>
  <c r="U246" i="3"/>
  <c r="R246" i="3"/>
  <c r="O246" i="3"/>
  <c r="N246" i="3"/>
  <c r="L246" i="3"/>
  <c r="H246" i="3"/>
  <c r="I246" i="3" s="1"/>
  <c r="F246" i="3"/>
  <c r="C246" i="3"/>
  <c r="AC245" i="3"/>
  <c r="AD245" i="3" s="1"/>
  <c r="AA245" i="3"/>
  <c r="X245" i="3"/>
  <c r="W245" i="3"/>
  <c r="U245" i="3"/>
  <c r="R245" i="3"/>
  <c r="O245" i="3"/>
  <c r="N245" i="3"/>
  <c r="L245" i="3"/>
  <c r="I245" i="3"/>
  <c r="H245" i="3"/>
  <c r="F245" i="3"/>
  <c r="C245" i="3"/>
  <c r="AC244" i="3"/>
  <c r="AD244" i="3" s="1"/>
  <c r="AA244" i="3"/>
  <c r="W244" i="3"/>
  <c r="X244" i="3" s="1"/>
  <c r="U244" i="3"/>
  <c r="R244" i="3"/>
  <c r="O244" i="3"/>
  <c r="N244" i="3"/>
  <c r="L244" i="3"/>
  <c r="I244" i="3"/>
  <c r="H244" i="3"/>
  <c r="F244" i="3"/>
  <c r="C244" i="3"/>
  <c r="AD243" i="3"/>
  <c r="AC243" i="3"/>
  <c r="AA243" i="3"/>
  <c r="X243" i="3"/>
  <c r="W243" i="3"/>
  <c r="U243" i="3"/>
  <c r="R243" i="3"/>
  <c r="O243" i="3"/>
  <c r="N243" i="3"/>
  <c r="L243" i="3"/>
  <c r="H243" i="3"/>
  <c r="F243" i="3"/>
  <c r="C243" i="3"/>
  <c r="AC242" i="3"/>
  <c r="AD242" i="3" s="1"/>
  <c r="AA242" i="3"/>
  <c r="X242" i="3"/>
  <c r="W242" i="3"/>
  <c r="U242" i="3"/>
  <c r="R242" i="3"/>
  <c r="O242" i="3"/>
  <c r="N242" i="3"/>
  <c r="L242" i="3"/>
  <c r="I242" i="3"/>
  <c r="H242" i="3"/>
  <c r="F242" i="3"/>
  <c r="C242" i="3"/>
  <c r="AD241" i="3"/>
  <c r="AC241" i="3"/>
  <c r="AA241" i="3"/>
  <c r="X241" i="3"/>
  <c r="W241" i="3"/>
  <c r="U241" i="3"/>
  <c r="R241" i="3"/>
  <c r="N241" i="3"/>
  <c r="O241" i="3" s="1"/>
  <c r="L241" i="3"/>
  <c r="I241" i="3"/>
  <c r="H241" i="3"/>
  <c r="F241" i="3"/>
  <c r="C241" i="3"/>
  <c r="AC240" i="3"/>
  <c r="AD240" i="3" s="1"/>
  <c r="AA240" i="3"/>
  <c r="X240" i="3"/>
  <c r="W240" i="3"/>
  <c r="U240" i="3"/>
  <c r="R240" i="3"/>
  <c r="O240" i="3"/>
  <c r="N240" i="3"/>
  <c r="L240" i="3"/>
  <c r="H240" i="3"/>
  <c r="I240" i="3" s="1"/>
  <c r="F240" i="3"/>
  <c r="C240" i="3"/>
  <c r="AD238" i="3"/>
  <c r="AC238" i="3"/>
  <c r="AA238" i="3"/>
  <c r="W238" i="3"/>
  <c r="X238" i="3" s="1"/>
  <c r="U238" i="3"/>
  <c r="R238" i="3"/>
  <c r="O238" i="3"/>
  <c r="N238" i="3"/>
  <c r="L238" i="3"/>
  <c r="H238" i="3"/>
  <c r="F238" i="3"/>
  <c r="C238" i="3"/>
  <c r="Z236" i="3"/>
  <c r="AA236" i="3" s="1"/>
  <c r="U236" i="3"/>
  <c r="T236" i="3"/>
  <c r="Q236" i="3"/>
  <c r="AC236" i="3" s="1"/>
  <c r="AD236" i="3" s="1"/>
  <c r="K236" i="3"/>
  <c r="L236" i="3" s="1"/>
  <c r="E236" i="3"/>
  <c r="F236" i="3" s="1"/>
  <c r="C236" i="3"/>
  <c r="B236" i="3"/>
  <c r="H236" i="3" s="1"/>
  <c r="I236" i="3" s="1"/>
  <c r="AC235" i="3"/>
  <c r="AD235" i="3" s="1"/>
  <c r="AA235" i="3"/>
  <c r="X235" i="3"/>
  <c r="W235" i="3"/>
  <c r="U235" i="3"/>
  <c r="R235" i="3"/>
  <c r="O235" i="3"/>
  <c r="N235" i="3"/>
  <c r="L235" i="3"/>
  <c r="I235" i="3"/>
  <c r="H235" i="3"/>
  <c r="F235" i="3"/>
  <c r="C235" i="3"/>
  <c r="AC234" i="3"/>
  <c r="AD234" i="3" s="1"/>
  <c r="AA234" i="3"/>
  <c r="X234" i="3"/>
  <c r="W234" i="3"/>
  <c r="U234" i="3"/>
  <c r="R234" i="3"/>
  <c r="N234" i="3"/>
  <c r="O234" i="3" s="1"/>
  <c r="L234" i="3"/>
  <c r="H234" i="3"/>
  <c r="I234" i="3" s="1"/>
  <c r="F234" i="3"/>
  <c r="C234" i="3"/>
  <c r="AD233" i="3"/>
  <c r="AC233" i="3"/>
  <c r="AA233" i="3"/>
  <c r="X233" i="3"/>
  <c r="W233" i="3"/>
  <c r="U233" i="3"/>
  <c r="R233" i="3"/>
  <c r="O233" i="3"/>
  <c r="N233" i="3"/>
  <c r="L233" i="3"/>
  <c r="H233" i="3"/>
  <c r="I233" i="3" s="1"/>
  <c r="F233" i="3"/>
  <c r="C233" i="3"/>
  <c r="AC232" i="3"/>
  <c r="AD232" i="3" s="1"/>
  <c r="AA232" i="3"/>
  <c r="X232" i="3"/>
  <c r="W232" i="3"/>
  <c r="U232" i="3"/>
  <c r="R232" i="3"/>
  <c r="O232" i="3"/>
  <c r="N232" i="3"/>
  <c r="L232" i="3"/>
  <c r="I232" i="3"/>
  <c r="H232" i="3"/>
  <c r="F232" i="3"/>
  <c r="C232" i="3"/>
  <c r="AC231" i="3"/>
  <c r="AD231" i="3" s="1"/>
  <c r="AA231" i="3"/>
  <c r="W231" i="3"/>
  <c r="X231" i="3" s="1"/>
  <c r="U231" i="3"/>
  <c r="R231" i="3"/>
  <c r="O231" i="3"/>
  <c r="N231" i="3"/>
  <c r="L231" i="3"/>
  <c r="I231" i="3"/>
  <c r="H231" i="3"/>
  <c r="F231" i="3"/>
  <c r="C231" i="3"/>
  <c r="AD230" i="3"/>
  <c r="AC230" i="3"/>
  <c r="AA230" i="3"/>
  <c r="W230" i="3"/>
  <c r="X230" i="3" s="1"/>
  <c r="U230" i="3"/>
  <c r="R230" i="3"/>
  <c r="O230" i="3"/>
  <c r="N230" i="3"/>
  <c r="L230" i="3"/>
  <c r="H230" i="3"/>
  <c r="F230" i="3"/>
  <c r="C230" i="3"/>
  <c r="AD229" i="3"/>
  <c r="AC229" i="3"/>
  <c r="AA229" i="3"/>
  <c r="X229" i="3"/>
  <c r="W229" i="3"/>
  <c r="U229" i="3"/>
  <c r="R229" i="3"/>
  <c r="O229" i="3"/>
  <c r="N229" i="3"/>
  <c r="L229" i="3"/>
  <c r="I229" i="3"/>
  <c r="H229" i="3"/>
  <c r="F229" i="3"/>
  <c r="C229" i="3"/>
  <c r="AA227" i="3"/>
  <c r="Z227" i="3"/>
  <c r="AC227" i="3" s="1"/>
  <c r="AD227" i="3" s="1"/>
  <c r="T227" i="3"/>
  <c r="U227" i="3" s="1"/>
  <c r="Q227" i="3"/>
  <c r="O227" i="3"/>
  <c r="N227" i="3"/>
  <c r="L227" i="3"/>
  <c r="K227" i="3"/>
  <c r="E227" i="3"/>
  <c r="F227" i="3" s="1"/>
  <c r="C227" i="3"/>
  <c r="B227" i="3"/>
  <c r="H227" i="3" s="1"/>
  <c r="I227" i="3" s="1"/>
  <c r="AC226" i="3"/>
  <c r="AD226" i="3" s="1"/>
  <c r="AA226" i="3"/>
  <c r="X226" i="3"/>
  <c r="W226" i="3"/>
  <c r="U226" i="3"/>
  <c r="R226" i="3"/>
  <c r="O226" i="3"/>
  <c r="N226" i="3"/>
  <c r="L226" i="3"/>
  <c r="H226" i="3"/>
  <c r="I226" i="3" s="1"/>
  <c r="F226" i="3"/>
  <c r="C226" i="3"/>
  <c r="AC225" i="3"/>
  <c r="AD225" i="3" s="1"/>
  <c r="AA225" i="3"/>
  <c r="X225" i="3"/>
  <c r="W225" i="3"/>
  <c r="U225" i="3"/>
  <c r="R225" i="3"/>
  <c r="N225" i="3"/>
  <c r="O225" i="3" s="1"/>
  <c r="L225" i="3"/>
  <c r="H225" i="3"/>
  <c r="I225" i="3" s="1"/>
  <c r="F225" i="3"/>
  <c r="C225" i="3"/>
  <c r="AD224" i="3"/>
  <c r="AC224" i="3"/>
  <c r="AA224" i="3"/>
  <c r="X224" i="3"/>
  <c r="W224" i="3"/>
  <c r="U224" i="3"/>
  <c r="R224" i="3"/>
  <c r="O224" i="3"/>
  <c r="N224" i="3"/>
  <c r="L224" i="3"/>
  <c r="H224" i="3"/>
  <c r="I224" i="3" s="1"/>
  <c r="F224" i="3"/>
  <c r="C224" i="3"/>
  <c r="AC223" i="3"/>
  <c r="AD223" i="3" s="1"/>
  <c r="AA223" i="3"/>
  <c r="X223" i="3"/>
  <c r="W223" i="3"/>
  <c r="U223" i="3"/>
  <c r="R223" i="3"/>
  <c r="O223" i="3"/>
  <c r="N223" i="3"/>
  <c r="L223" i="3"/>
  <c r="I223" i="3"/>
  <c r="H223" i="3"/>
  <c r="F223" i="3"/>
  <c r="C223" i="3"/>
  <c r="AC222" i="3"/>
  <c r="AD222" i="3" s="1"/>
  <c r="AA222" i="3"/>
  <c r="X222" i="3"/>
  <c r="W222" i="3"/>
  <c r="U222" i="3"/>
  <c r="R222" i="3"/>
  <c r="N222" i="3"/>
  <c r="O222" i="3" s="1"/>
  <c r="L222" i="3"/>
  <c r="H222" i="3"/>
  <c r="I222" i="3" s="1"/>
  <c r="F222" i="3"/>
  <c r="C222" i="3"/>
  <c r="AD221" i="3"/>
  <c r="AC221" i="3"/>
  <c r="AA221" i="3"/>
  <c r="X221" i="3"/>
  <c r="W221" i="3"/>
  <c r="U221" i="3"/>
  <c r="R221" i="3"/>
  <c r="O221" i="3"/>
  <c r="N221" i="3"/>
  <c r="L221" i="3"/>
  <c r="H221" i="3"/>
  <c r="I221" i="3" s="1"/>
  <c r="F221" i="3"/>
  <c r="C221" i="3"/>
  <c r="AD220" i="3"/>
  <c r="AC220" i="3"/>
  <c r="AA220" i="3"/>
  <c r="W220" i="3"/>
  <c r="X220" i="3" s="1"/>
  <c r="U220" i="3"/>
  <c r="R220" i="3"/>
  <c r="O220" i="3"/>
  <c r="N220" i="3"/>
  <c r="L220" i="3"/>
  <c r="H220" i="3"/>
  <c r="F220" i="3"/>
  <c r="C220" i="3"/>
  <c r="AC219" i="3"/>
  <c r="AD219" i="3" s="1"/>
  <c r="AA219" i="3"/>
  <c r="X219" i="3"/>
  <c r="W219" i="3"/>
  <c r="U219" i="3"/>
  <c r="R219" i="3"/>
  <c r="O219" i="3"/>
  <c r="N219" i="3"/>
  <c r="L219" i="3"/>
  <c r="I219" i="3"/>
  <c r="H219" i="3"/>
  <c r="F219" i="3"/>
  <c r="C219" i="3"/>
  <c r="Z218" i="3"/>
  <c r="X218" i="3"/>
  <c r="W218" i="3"/>
  <c r="U218" i="3"/>
  <c r="T218" i="3"/>
  <c r="R218" i="3"/>
  <c r="Q218" i="3"/>
  <c r="L218" i="3"/>
  <c r="K218" i="3"/>
  <c r="N218" i="3" s="1"/>
  <c r="O218" i="3" s="1"/>
  <c r="I218" i="3"/>
  <c r="H218" i="3"/>
  <c r="F218" i="3"/>
  <c r="E218" i="3"/>
  <c r="B218" i="3"/>
  <c r="C218" i="3" s="1"/>
  <c r="AC217" i="3"/>
  <c r="AD217" i="3" s="1"/>
  <c r="AA217" i="3"/>
  <c r="X217" i="3"/>
  <c r="W217" i="3"/>
  <c r="U217" i="3"/>
  <c r="R217" i="3"/>
  <c r="N217" i="3"/>
  <c r="O217" i="3" s="1"/>
  <c r="L217" i="3"/>
  <c r="H217" i="3"/>
  <c r="I217" i="3" s="1"/>
  <c r="F217" i="3"/>
  <c r="C217" i="3"/>
  <c r="AC216" i="3"/>
  <c r="AD216" i="3" s="1"/>
  <c r="AA216" i="3"/>
  <c r="W216" i="3"/>
  <c r="X216" i="3" s="1"/>
  <c r="U216" i="3"/>
  <c r="R216" i="3"/>
  <c r="O216" i="3"/>
  <c r="N216" i="3"/>
  <c r="L216" i="3"/>
  <c r="H216" i="3"/>
  <c r="I216" i="3" s="1"/>
  <c r="F216" i="3"/>
  <c r="C216" i="3"/>
  <c r="AD215" i="3"/>
  <c r="AC215" i="3"/>
  <c r="AA215" i="3"/>
  <c r="X215" i="3"/>
  <c r="W215" i="3"/>
  <c r="U215" i="3"/>
  <c r="R215" i="3"/>
  <c r="O215" i="3"/>
  <c r="N215" i="3"/>
  <c r="L215" i="3"/>
  <c r="H215" i="3"/>
  <c r="I215" i="3" s="1"/>
  <c r="F215" i="3"/>
  <c r="C215" i="3"/>
  <c r="AC214" i="3"/>
  <c r="AD214" i="3" s="1"/>
  <c r="AA214" i="3"/>
  <c r="X214" i="3"/>
  <c r="W214" i="3"/>
  <c r="U214" i="3"/>
  <c r="R214" i="3"/>
  <c r="N214" i="3"/>
  <c r="O214" i="3" s="1"/>
  <c r="L214" i="3"/>
  <c r="I214" i="3"/>
  <c r="H214" i="3"/>
  <c r="F214" i="3"/>
  <c r="C214" i="3"/>
  <c r="AD213" i="3"/>
  <c r="AC213" i="3"/>
  <c r="AA213" i="3"/>
  <c r="X213" i="3"/>
  <c r="W213" i="3"/>
  <c r="U213" i="3"/>
  <c r="R213" i="3"/>
  <c r="O213" i="3"/>
  <c r="N213" i="3"/>
  <c r="L213" i="3"/>
  <c r="H213" i="3"/>
  <c r="I213" i="3" s="1"/>
  <c r="F213" i="3"/>
  <c r="C213" i="3"/>
  <c r="AC211" i="3"/>
  <c r="AD211" i="3" s="1"/>
  <c r="AA211" i="3"/>
  <c r="X211" i="3"/>
  <c r="W211" i="3"/>
  <c r="U211" i="3"/>
  <c r="R211" i="3"/>
  <c r="O211" i="3"/>
  <c r="N211" i="3"/>
  <c r="L211" i="3"/>
  <c r="I211" i="3"/>
  <c r="H211" i="3"/>
  <c r="F211" i="3"/>
  <c r="C211" i="3"/>
  <c r="AD209" i="3"/>
  <c r="AC209" i="3"/>
  <c r="Z209" i="3"/>
  <c r="AA209" i="3" s="1"/>
  <c r="U209" i="3"/>
  <c r="T209" i="3"/>
  <c r="Q209" i="3"/>
  <c r="K209" i="3"/>
  <c r="N209" i="3" s="1"/>
  <c r="O209" i="3" s="1"/>
  <c r="E209" i="3"/>
  <c r="F209" i="3" s="1"/>
  <c r="B209" i="3"/>
  <c r="AD208" i="3"/>
  <c r="AC208" i="3"/>
  <c r="AA208" i="3"/>
  <c r="X208" i="3"/>
  <c r="W208" i="3"/>
  <c r="U208" i="3"/>
  <c r="R208" i="3"/>
  <c r="N208" i="3"/>
  <c r="O208" i="3" s="1"/>
  <c r="L208" i="3"/>
  <c r="I208" i="3"/>
  <c r="H208" i="3"/>
  <c r="F208" i="3"/>
  <c r="C208" i="3"/>
  <c r="AC207" i="3"/>
  <c r="AD207" i="3" s="1"/>
  <c r="AA207" i="3"/>
  <c r="X207" i="3"/>
  <c r="W207" i="3"/>
  <c r="U207" i="3"/>
  <c r="R207" i="3"/>
  <c r="O207" i="3"/>
  <c r="N207" i="3"/>
  <c r="L207" i="3"/>
  <c r="H207" i="3"/>
  <c r="I207" i="3" s="1"/>
  <c r="F207" i="3"/>
  <c r="C207" i="3"/>
  <c r="AD206" i="3"/>
  <c r="AC206" i="3"/>
  <c r="AA206" i="3"/>
  <c r="W206" i="3"/>
  <c r="X206" i="3" s="1"/>
  <c r="U206" i="3"/>
  <c r="R206" i="3"/>
  <c r="O206" i="3"/>
  <c r="N206" i="3"/>
  <c r="L206" i="3"/>
  <c r="H206" i="3"/>
  <c r="F206" i="3"/>
  <c r="C206" i="3"/>
  <c r="AC205" i="3"/>
  <c r="AD205" i="3" s="1"/>
  <c r="AA205" i="3"/>
  <c r="X205" i="3"/>
  <c r="W205" i="3"/>
  <c r="U205" i="3"/>
  <c r="R205" i="3"/>
  <c r="O205" i="3"/>
  <c r="N205" i="3"/>
  <c r="L205" i="3"/>
  <c r="I205" i="3"/>
  <c r="H205" i="3"/>
  <c r="F205" i="3"/>
  <c r="C205" i="3"/>
  <c r="AC204" i="3"/>
  <c r="AD204" i="3" s="1"/>
  <c r="AA204" i="3"/>
  <c r="W204" i="3"/>
  <c r="X204" i="3" s="1"/>
  <c r="U204" i="3"/>
  <c r="R204" i="3"/>
  <c r="N204" i="3"/>
  <c r="O204" i="3" s="1"/>
  <c r="L204" i="3"/>
  <c r="I204" i="3"/>
  <c r="H204" i="3"/>
  <c r="F204" i="3"/>
  <c r="C204" i="3"/>
  <c r="AC203" i="3"/>
  <c r="AD203" i="3" s="1"/>
  <c r="AA203" i="3"/>
  <c r="W203" i="3"/>
  <c r="X203" i="3" s="1"/>
  <c r="U203" i="3"/>
  <c r="R203" i="3"/>
  <c r="O203" i="3"/>
  <c r="N203" i="3"/>
  <c r="L203" i="3"/>
  <c r="H203" i="3"/>
  <c r="I203" i="3" s="1"/>
  <c r="F203" i="3"/>
  <c r="C203" i="3"/>
  <c r="AD202" i="3"/>
  <c r="AC202" i="3"/>
  <c r="AA202" i="3"/>
  <c r="X202" i="3"/>
  <c r="W202" i="3"/>
  <c r="U202" i="3"/>
  <c r="R202" i="3"/>
  <c r="N202" i="3"/>
  <c r="O202" i="3" s="1"/>
  <c r="L202" i="3"/>
  <c r="H202" i="3"/>
  <c r="I202" i="3" s="1"/>
  <c r="F202" i="3"/>
  <c r="C202" i="3"/>
  <c r="AC201" i="3"/>
  <c r="AD201" i="3" s="1"/>
  <c r="AA201" i="3"/>
  <c r="X201" i="3"/>
  <c r="W201" i="3"/>
  <c r="U201" i="3"/>
  <c r="R201" i="3"/>
  <c r="N201" i="3"/>
  <c r="O201" i="3" s="1"/>
  <c r="L201" i="3"/>
  <c r="I201" i="3"/>
  <c r="H201" i="3"/>
  <c r="F201" i="3"/>
  <c r="C201" i="3"/>
  <c r="AC197" i="3"/>
  <c r="AD197" i="3" s="1"/>
  <c r="Z197" i="3"/>
  <c r="AA197" i="3" s="1"/>
  <c r="W197" i="3"/>
  <c r="X197" i="3" s="1"/>
  <c r="U197" i="3"/>
  <c r="T197" i="3"/>
  <c r="Q197" i="3"/>
  <c r="R197" i="3" s="1"/>
  <c r="N197" i="3"/>
  <c r="O197" i="3" s="1"/>
  <c r="L197" i="3"/>
  <c r="K197" i="3"/>
  <c r="I197" i="3"/>
  <c r="H197" i="3"/>
  <c r="F197" i="3"/>
  <c r="E197" i="3"/>
  <c r="B197" i="3"/>
  <c r="C197" i="3" s="1"/>
  <c r="AC196" i="3"/>
  <c r="AD196" i="3" s="1"/>
  <c r="AA196" i="3"/>
  <c r="Z196" i="3"/>
  <c r="T196" i="3"/>
  <c r="U196" i="3" s="1"/>
  <c r="Q196" i="3"/>
  <c r="L196" i="3"/>
  <c r="K196" i="3"/>
  <c r="E196" i="3"/>
  <c r="F196" i="3" s="1"/>
  <c r="B196" i="3"/>
  <c r="AD195" i="3"/>
  <c r="AC195" i="3"/>
  <c r="AA195" i="3"/>
  <c r="X195" i="3"/>
  <c r="W195" i="3"/>
  <c r="U195" i="3"/>
  <c r="R195" i="3"/>
  <c r="O195" i="3"/>
  <c r="N195" i="3"/>
  <c r="L195" i="3"/>
  <c r="H195" i="3"/>
  <c r="I195" i="3" s="1"/>
  <c r="F195" i="3"/>
  <c r="C195" i="3"/>
  <c r="AC194" i="3"/>
  <c r="AD194" i="3" s="1"/>
  <c r="AA194" i="3"/>
  <c r="X194" i="3"/>
  <c r="W194" i="3"/>
  <c r="U194" i="3"/>
  <c r="R194" i="3"/>
  <c r="N194" i="3"/>
  <c r="O194" i="3" s="1"/>
  <c r="L194" i="3"/>
  <c r="I194" i="3"/>
  <c r="H194" i="3"/>
  <c r="F194" i="3"/>
  <c r="C194" i="3"/>
  <c r="Z193" i="3"/>
  <c r="AA193" i="3" s="1"/>
  <c r="X193" i="3"/>
  <c r="W193" i="3"/>
  <c r="T193" i="3"/>
  <c r="U193" i="3" s="1"/>
  <c r="R193" i="3"/>
  <c r="Q193" i="3"/>
  <c r="L193" i="3"/>
  <c r="K193" i="3"/>
  <c r="N193" i="3" s="1"/>
  <c r="O193" i="3" s="1"/>
  <c r="H193" i="3"/>
  <c r="I193" i="3" s="1"/>
  <c r="F193" i="3"/>
  <c r="E193" i="3"/>
  <c r="C193" i="3"/>
  <c r="B193" i="3"/>
  <c r="AC192" i="3"/>
  <c r="AD192" i="3" s="1"/>
  <c r="AA192" i="3"/>
  <c r="X192" i="3"/>
  <c r="W192" i="3"/>
  <c r="U192" i="3"/>
  <c r="R192" i="3"/>
  <c r="N192" i="3"/>
  <c r="O192" i="3" s="1"/>
  <c r="L192" i="3"/>
  <c r="H192" i="3"/>
  <c r="I192" i="3" s="1"/>
  <c r="F192" i="3"/>
  <c r="C192" i="3"/>
  <c r="AD191" i="3"/>
  <c r="AC191" i="3"/>
  <c r="AA191" i="3"/>
  <c r="X191" i="3"/>
  <c r="W191" i="3"/>
  <c r="U191" i="3"/>
  <c r="R191" i="3"/>
  <c r="O191" i="3"/>
  <c r="N191" i="3"/>
  <c r="L191" i="3"/>
  <c r="H191" i="3"/>
  <c r="I191" i="3" s="1"/>
  <c r="F191" i="3"/>
  <c r="C191" i="3"/>
  <c r="AC190" i="3"/>
  <c r="AD190" i="3" s="1"/>
  <c r="AA190" i="3"/>
  <c r="X190" i="3"/>
  <c r="W190" i="3"/>
  <c r="U190" i="3"/>
  <c r="R190" i="3"/>
  <c r="O190" i="3"/>
  <c r="N190" i="3"/>
  <c r="L190" i="3"/>
  <c r="I190" i="3"/>
  <c r="H190" i="3"/>
  <c r="F190" i="3"/>
  <c r="C190" i="3"/>
  <c r="AC189" i="3"/>
  <c r="AD189" i="3" s="1"/>
  <c r="AA189" i="3"/>
  <c r="W189" i="3"/>
  <c r="X189" i="3" s="1"/>
  <c r="U189" i="3"/>
  <c r="R189" i="3"/>
  <c r="O189" i="3"/>
  <c r="N189" i="3"/>
  <c r="L189" i="3"/>
  <c r="I189" i="3"/>
  <c r="H189" i="3"/>
  <c r="F189" i="3"/>
  <c r="C189" i="3"/>
  <c r="AD188" i="3"/>
  <c r="AC188" i="3"/>
  <c r="AA188" i="3"/>
  <c r="X188" i="3"/>
  <c r="W188" i="3"/>
  <c r="U188" i="3"/>
  <c r="R188" i="3"/>
  <c r="O188" i="3"/>
  <c r="N188" i="3"/>
  <c r="L188" i="3"/>
  <c r="H188" i="3"/>
  <c r="I188" i="3" s="1"/>
  <c r="F188" i="3"/>
  <c r="C188" i="3"/>
  <c r="AC187" i="3"/>
  <c r="AD187" i="3" s="1"/>
  <c r="AA187" i="3"/>
  <c r="X187" i="3"/>
  <c r="W187" i="3"/>
  <c r="U187" i="3"/>
  <c r="R187" i="3"/>
  <c r="O187" i="3"/>
  <c r="N187" i="3"/>
  <c r="L187" i="3"/>
  <c r="I187" i="3"/>
  <c r="H187" i="3"/>
  <c r="F187" i="3"/>
  <c r="C187" i="3"/>
  <c r="AD186" i="3"/>
  <c r="AC186" i="3"/>
  <c r="AA186" i="3"/>
  <c r="X186" i="3"/>
  <c r="W186" i="3"/>
  <c r="U186" i="3"/>
  <c r="R186" i="3"/>
  <c r="N186" i="3"/>
  <c r="O186" i="3" s="1"/>
  <c r="L186" i="3"/>
  <c r="I186" i="3"/>
  <c r="H186" i="3"/>
  <c r="F186" i="3"/>
  <c r="C186" i="3"/>
  <c r="AC184" i="3"/>
  <c r="AD184" i="3" s="1"/>
  <c r="AA184" i="3"/>
  <c r="X184" i="3"/>
  <c r="W184" i="3"/>
  <c r="U184" i="3"/>
  <c r="R184" i="3"/>
  <c r="O184" i="3"/>
  <c r="N184" i="3"/>
  <c r="L184" i="3"/>
  <c r="H184" i="3"/>
  <c r="I184" i="3" s="1"/>
  <c r="F184" i="3"/>
  <c r="C184" i="3"/>
  <c r="AD183" i="3"/>
  <c r="AC183" i="3"/>
  <c r="AA183" i="3"/>
  <c r="W183" i="3"/>
  <c r="X183" i="3" s="1"/>
  <c r="U183" i="3"/>
  <c r="R183" i="3"/>
  <c r="O183" i="3"/>
  <c r="N183" i="3"/>
  <c r="L183" i="3"/>
  <c r="H183" i="3"/>
  <c r="F183" i="3"/>
  <c r="C183" i="3"/>
  <c r="AA182" i="3"/>
  <c r="Z182" i="3"/>
  <c r="AC182" i="3" s="1"/>
  <c r="AD182" i="3" s="1"/>
  <c r="U182" i="3"/>
  <c r="T182" i="3"/>
  <c r="Q182" i="3"/>
  <c r="K182" i="3"/>
  <c r="L182" i="3" s="1"/>
  <c r="E182" i="3"/>
  <c r="F182" i="3" s="1"/>
  <c r="C182" i="3"/>
  <c r="B182" i="3"/>
  <c r="H182" i="3" s="1"/>
  <c r="I182" i="3" s="1"/>
  <c r="AC181" i="3"/>
  <c r="AD181" i="3" s="1"/>
  <c r="AA181" i="3"/>
  <c r="X181" i="3"/>
  <c r="W181" i="3"/>
  <c r="U181" i="3"/>
  <c r="R181" i="3"/>
  <c r="O181" i="3"/>
  <c r="N181" i="3"/>
  <c r="L181" i="3"/>
  <c r="I181" i="3"/>
  <c r="H181" i="3"/>
  <c r="F181" i="3"/>
  <c r="C181" i="3"/>
  <c r="AC180" i="3"/>
  <c r="AD180" i="3" s="1"/>
  <c r="AA180" i="3"/>
  <c r="X180" i="3"/>
  <c r="W180" i="3"/>
  <c r="U180" i="3"/>
  <c r="R180" i="3"/>
  <c r="N180" i="3"/>
  <c r="O180" i="3" s="1"/>
  <c r="L180" i="3"/>
  <c r="H180" i="3"/>
  <c r="I180" i="3" s="1"/>
  <c r="F180" i="3"/>
  <c r="C180" i="3"/>
  <c r="AD179" i="3"/>
  <c r="AC179" i="3"/>
  <c r="AA179" i="3"/>
  <c r="X179" i="3"/>
  <c r="W179" i="3"/>
  <c r="U179" i="3"/>
  <c r="R179" i="3"/>
  <c r="O179" i="3"/>
  <c r="N179" i="3"/>
  <c r="L179" i="3"/>
  <c r="H179" i="3"/>
  <c r="I179" i="3" s="1"/>
  <c r="F179" i="3"/>
  <c r="C179" i="3"/>
  <c r="AD178" i="3"/>
  <c r="AC178" i="3"/>
  <c r="AA178" i="3"/>
  <c r="X178" i="3"/>
  <c r="W178" i="3"/>
  <c r="U178" i="3"/>
  <c r="R178" i="3"/>
  <c r="N178" i="3"/>
  <c r="O178" i="3" s="1"/>
  <c r="L178" i="3"/>
  <c r="I178" i="3"/>
  <c r="H178" i="3"/>
  <c r="F178" i="3"/>
  <c r="C178" i="3"/>
  <c r="AC177" i="3"/>
  <c r="AD177" i="3" s="1"/>
  <c r="AA177" i="3"/>
  <c r="W177" i="3"/>
  <c r="X177" i="3" s="1"/>
  <c r="U177" i="3"/>
  <c r="R177" i="3"/>
  <c r="O177" i="3"/>
  <c r="N177" i="3"/>
  <c r="L177" i="3"/>
  <c r="H177" i="3"/>
  <c r="I177" i="3" s="1"/>
  <c r="F177" i="3"/>
  <c r="C177" i="3"/>
  <c r="AD175" i="3"/>
  <c r="AC175" i="3"/>
  <c r="AA175" i="3"/>
  <c r="W175" i="3"/>
  <c r="X175" i="3" s="1"/>
  <c r="U175" i="3"/>
  <c r="R175" i="3"/>
  <c r="O175" i="3"/>
  <c r="N175" i="3"/>
  <c r="L175" i="3"/>
  <c r="H175" i="3"/>
  <c r="I175" i="3" s="1"/>
  <c r="F175" i="3"/>
  <c r="C175" i="3"/>
  <c r="AC171" i="3"/>
  <c r="AD171" i="3" s="1"/>
  <c r="AA171" i="3"/>
  <c r="Z171" i="3"/>
  <c r="T171" i="3"/>
  <c r="W171" i="3" s="1"/>
  <c r="X171" i="3" s="1"/>
  <c r="Q171" i="3"/>
  <c r="R171" i="3" s="1"/>
  <c r="K171" i="3"/>
  <c r="L171" i="3" s="1"/>
  <c r="E171" i="3"/>
  <c r="F171" i="3" s="1"/>
  <c r="C171" i="3"/>
  <c r="B171" i="3"/>
  <c r="Z170" i="3"/>
  <c r="AA170" i="3" s="1"/>
  <c r="U170" i="3"/>
  <c r="T170" i="3"/>
  <c r="W170" i="3" s="1"/>
  <c r="X170" i="3" s="1"/>
  <c r="R170" i="3"/>
  <c r="Q170" i="3"/>
  <c r="AC170" i="3" s="1"/>
  <c r="AD170" i="3" s="1"/>
  <c r="K170" i="3"/>
  <c r="E170" i="3"/>
  <c r="C170" i="3"/>
  <c r="B170" i="3"/>
  <c r="AC169" i="3"/>
  <c r="AD169" i="3" s="1"/>
  <c r="AA169" i="3"/>
  <c r="X169" i="3"/>
  <c r="W169" i="3"/>
  <c r="U169" i="3"/>
  <c r="R169" i="3"/>
  <c r="O169" i="3"/>
  <c r="N169" i="3"/>
  <c r="L169" i="3"/>
  <c r="I169" i="3"/>
  <c r="H169" i="3"/>
  <c r="F169" i="3"/>
  <c r="C169" i="3"/>
  <c r="AD168" i="3"/>
  <c r="AC168" i="3"/>
  <c r="AA168" i="3"/>
  <c r="W168" i="3"/>
  <c r="X168" i="3" s="1"/>
  <c r="U168" i="3"/>
  <c r="R168" i="3"/>
  <c r="O168" i="3"/>
  <c r="N168" i="3"/>
  <c r="L168" i="3"/>
  <c r="H168" i="3"/>
  <c r="I168" i="3" s="1"/>
  <c r="F168" i="3"/>
  <c r="C168" i="3"/>
  <c r="AD167" i="3"/>
  <c r="AC167" i="3"/>
  <c r="AA167" i="3"/>
  <c r="X167" i="3"/>
  <c r="W167" i="3"/>
  <c r="U167" i="3"/>
  <c r="R167" i="3"/>
  <c r="O167" i="3"/>
  <c r="N167" i="3"/>
  <c r="L167" i="3"/>
  <c r="I167" i="3"/>
  <c r="H167" i="3"/>
  <c r="F167" i="3"/>
  <c r="C167" i="3"/>
  <c r="AA166" i="3"/>
  <c r="Z166" i="3"/>
  <c r="AC166" i="3" s="1"/>
  <c r="AD166" i="3" s="1"/>
  <c r="T166" i="3"/>
  <c r="U166" i="3" s="1"/>
  <c r="R166" i="3"/>
  <c r="Q166" i="3"/>
  <c r="W166" i="3" s="1"/>
  <c r="X166" i="3" s="1"/>
  <c r="N166" i="3"/>
  <c r="O166" i="3" s="1"/>
  <c r="L166" i="3"/>
  <c r="K166" i="3"/>
  <c r="F166" i="3"/>
  <c r="E166" i="3"/>
  <c r="C166" i="3"/>
  <c r="B166" i="3"/>
  <c r="H166" i="3" s="1"/>
  <c r="I166" i="3" s="1"/>
  <c r="AD165" i="3"/>
  <c r="AC165" i="3"/>
  <c r="AA165" i="3"/>
  <c r="W165" i="3"/>
  <c r="X165" i="3" s="1"/>
  <c r="U165" i="3"/>
  <c r="R165" i="3"/>
  <c r="O165" i="3"/>
  <c r="N165" i="3"/>
  <c r="L165" i="3"/>
  <c r="H165" i="3"/>
  <c r="I165" i="3" s="1"/>
  <c r="F165" i="3"/>
  <c r="C165" i="3"/>
  <c r="AD164" i="3"/>
  <c r="AC164" i="3"/>
  <c r="AA164" i="3"/>
  <c r="X164" i="3"/>
  <c r="W164" i="3"/>
  <c r="U164" i="3"/>
  <c r="R164" i="3"/>
  <c r="O164" i="3"/>
  <c r="N164" i="3"/>
  <c r="L164" i="3"/>
  <c r="I164" i="3"/>
  <c r="H164" i="3"/>
  <c r="F164" i="3"/>
  <c r="C164" i="3"/>
  <c r="AC163" i="3"/>
  <c r="AD163" i="3" s="1"/>
  <c r="AA163" i="3"/>
  <c r="W163" i="3"/>
  <c r="X163" i="3" s="1"/>
  <c r="U163" i="3"/>
  <c r="R163" i="3"/>
  <c r="N163" i="3"/>
  <c r="O163" i="3" s="1"/>
  <c r="L163" i="3"/>
  <c r="I163" i="3"/>
  <c r="H163" i="3"/>
  <c r="F163" i="3"/>
  <c r="C163" i="3"/>
  <c r="AC162" i="3"/>
  <c r="AD162" i="3" s="1"/>
  <c r="AA162" i="3"/>
  <c r="X162" i="3"/>
  <c r="W162" i="3"/>
  <c r="U162" i="3"/>
  <c r="R162" i="3"/>
  <c r="O162" i="3"/>
  <c r="N162" i="3"/>
  <c r="L162" i="3"/>
  <c r="H162" i="3"/>
  <c r="I162" i="3" s="1"/>
  <c r="F162" i="3"/>
  <c r="C162" i="3"/>
  <c r="AD161" i="3"/>
  <c r="AC161" i="3"/>
  <c r="AA161" i="3"/>
  <c r="W161" i="3"/>
  <c r="X161" i="3" s="1"/>
  <c r="U161" i="3"/>
  <c r="R161" i="3"/>
  <c r="O161" i="3"/>
  <c r="N161" i="3"/>
  <c r="L161" i="3"/>
  <c r="H161" i="3"/>
  <c r="I161" i="3" s="1"/>
  <c r="F161" i="3"/>
  <c r="C161" i="3"/>
  <c r="AC160" i="3"/>
  <c r="AD160" i="3" s="1"/>
  <c r="AA160" i="3"/>
  <c r="X160" i="3"/>
  <c r="W160" i="3"/>
  <c r="U160" i="3"/>
  <c r="R160" i="3"/>
  <c r="O160" i="3"/>
  <c r="N160" i="3"/>
  <c r="L160" i="3"/>
  <c r="I160" i="3"/>
  <c r="H160" i="3"/>
  <c r="F160" i="3"/>
  <c r="C160" i="3"/>
  <c r="Z158" i="3"/>
  <c r="X158" i="3"/>
  <c r="T158" i="3"/>
  <c r="U158" i="3" s="1"/>
  <c r="R158" i="3"/>
  <c r="Q158" i="3"/>
  <c r="W158" i="3" s="1"/>
  <c r="O158" i="3"/>
  <c r="N158" i="3"/>
  <c r="L158" i="3"/>
  <c r="K158" i="3"/>
  <c r="F158" i="3"/>
  <c r="E158" i="3"/>
  <c r="C158" i="3"/>
  <c r="B158" i="3"/>
  <c r="AD157" i="3"/>
  <c r="AC157" i="3"/>
  <c r="AA157" i="3"/>
  <c r="W157" i="3"/>
  <c r="X157" i="3" s="1"/>
  <c r="U157" i="3"/>
  <c r="R157" i="3"/>
  <c r="O157" i="3"/>
  <c r="N157" i="3"/>
  <c r="L157" i="3"/>
  <c r="H157" i="3"/>
  <c r="I157" i="3" s="1"/>
  <c r="F157" i="3"/>
  <c r="C157" i="3"/>
  <c r="AD156" i="3"/>
  <c r="AC156" i="3"/>
  <c r="AA156" i="3"/>
  <c r="X156" i="3"/>
  <c r="W156" i="3"/>
  <c r="U156" i="3"/>
  <c r="R156" i="3"/>
  <c r="O156" i="3"/>
  <c r="N156" i="3"/>
  <c r="L156" i="3"/>
  <c r="I156" i="3"/>
  <c r="H156" i="3"/>
  <c r="F156" i="3"/>
  <c r="C156" i="3"/>
  <c r="AC155" i="3"/>
  <c r="AD155" i="3" s="1"/>
  <c r="AA155" i="3"/>
  <c r="X155" i="3"/>
  <c r="W155" i="3"/>
  <c r="U155" i="3"/>
  <c r="R155" i="3"/>
  <c r="N155" i="3"/>
  <c r="O155" i="3" s="1"/>
  <c r="L155" i="3"/>
  <c r="H155" i="3"/>
  <c r="I155" i="3" s="1"/>
  <c r="F155" i="3"/>
  <c r="C155" i="3"/>
  <c r="AC154" i="3"/>
  <c r="AD154" i="3" s="1"/>
  <c r="AA154" i="3"/>
  <c r="X154" i="3"/>
  <c r="W154" i="3"/>
  <c r="U154" i="3"/>
  <c r="R154" i="3"/>
  <c r="O154" i="3"/>
  <c r="N154" i="3"/>
  <c r="L154" i="3"/>
  <c r="I154" i="3"/>
  <c r="H154" i="3"/>
  <c r="F154" i="3"/>
  <c r="C154" i="3"/>
  <c r="AD153" i="3"/>
  <c r="AC153" i="3"/>
  <c r="AA153" i="3"/>
  <c r="W153" i="3"/>
  <c r="X153" i="3" s="1"/>
  <c r="U153" i="3"/>
  <c r="R153" i="3"/>
  <c r="N153" i="3"/>
  <c r="O153" i="3" s="1"/>
  <c r="L153" i="3"/>
  <c r="H153" i="3"/>
  <c r="I153" i="3" s="1"/>
  <c r="F153" i="3"/>
  <c r="C153" i="3"/>
  <c r="AD151" i="3"/>
  <c r="AC151" i="3"/>
  <c r="AA151" i="3"/>
  <c r="X151" i="3"/>
  <c r="W151" i="3"/>
  <c r="U151" i="3"/>
  <c r="R151" i="3"/>
  <c r="N151" i="3"/>
  <c r="O151" i="3" s="1"/>
  <c r="L151" i="3"/>
  <c r="I151" i="3"/>
  <c r="H151" i="3"/>
  <c r="F151" i="3"/>
  <c r="C151" i="3"/>
  <c r="AA149" i="3"/>
  <c r="Z149" i="3"/>
  <c r="T149" i="3"/>
  <c r="U149" i="3" s="1"/>
  <c r="R149" i="3"/>
  <c r="Q149" i="3"/>
  <c r="L149" i="3"/>
  <c r="K149" i="3"/>
  <c r="E149" i="3"/>
  <c r="F149" i="3" s="1"/>
  <c r="C149" i="3"/>
  <c r="B149" i="3"/>
  <c r="Z148" i="3"/>
  <c r="AA148" i="3" s="1"/>
  <c r="T148" i="3"/>
  <c r="R148" i="3"/>
  <c r="Q148" i="3"/>
  <c r="AC148" i="3" s="1"/>
  <c r="AD148" i="3" s="1"/>
  <c r="L148" i="3"/>
  <c r="K148" i="3"/>
  <c r="I148" i="3"/>
  <c r="H148" i="3"/>
  <c r="F148" i="3"/>
  <c r="E148" i="3"/>
  <c r="B148" i="3"/>
  <c r="C148" i="3" s="1"/>
  <c r="AD147" i="3"/>
  <c r="AC147" i="3"/>
  <c r="AA147" i="3"/>
  <c r="X147" i="3"/>
  <c r="W147" i="3"/>
  <c r="U147" i="3"/>
  <c r="R147" i="3"/>
  <c r="N147" i="3"/>
  <c r="O147" i="3" s="1"/>
  <c r="L147" i="3"/>
  <c r="I147" i="3"/>
  <c r="H147" i="3"/>
  <c r="F147" i="3"/>
  <c r="C147" i="3"/>
  <c r="AC146" i="3"/>
  <c r="AD146" i="3" s="1"/>
  <c r="AA146" i="3"/>
  <c r="W146" i="3"/>
  <c r="X146" i="3" s="1"/>
  <c r="U146" i="3"/>
  <c r="R146" i="3"/>
  <c r="O146" i="3"/>
  <c r="N146" i="3"/>
  <c r="L146" i="3"/>
  <c r="I146" i="3"/>
  <c r="H146" i="3"/>
  <c r="F146" i="3"/>
  <c r="C146" i="3"/>
  <c r="AD145" i="3"/>
  <c r="AC145" i="3"/>
  <c r="AA145" i="3"/>
  <c r="W145" i="3"/>
  <c r="X145" i="3" s="1"/>
  <c r="U145" i="3"/>
  <c r="R145" i="3"/>
  <c r="O145" i="3"/>
  <c r="N145" i="3"/>
  <c r="L145" i="3"/>
  <c r="H145" i="3"/>
  <c r="I145" i="3" s="1"/>
  <c r="F145" i="3"/>
  <c r="C145" i="3"/>
  <c r="AD144" i="3"/>
  <c r="AC144" i="3"/>
  <c r="AA144" i="3"/>
  <c r="X144" i="3"/>
  <c r="W144" i="3"/>
  <c r="U144" i="3"/>
  <c r="R144" i="3"/>
  <c r="N144" i="3"/>
  <c r="O144" i="3" s="1"/>
  <c r="L144" i="3"/>
  <c r="I144" i="3"/>
  <c r="H144" i="3"/>
  <c r="F144" i="3"/>
  <c r="C144" i="3"/>
  <c r="AD143" i="3"/>
  <c r="AC143" i="3"/>
  <c r="AA143" i="3"/>
  <c r="X143" i="3"/>
  <c r="W143" i="3"/>
  <c r="U143" i="3"/>
  <c r="R143" i="3"/>
  <c r="N143" i="3"/>
  <c r="O143" i="3" s="1"/>
  <c r="L143" i="3"/>
  <c r="H143" i="3"/>
  <c r="I143" i="3" s="1"/>
  <c r="F143" i="3"/>
  <c r="C143" i="3"/>
  <c r="AA141" i="3"/>
  <c r="Z141" i="3"/>
  <c r="X141" i="3"/>
  <c r="W141" i="3"/>
  <c r="U141" i="3"/>
  <c r="T141" i="3"/>
  <c r="Q141" i="3"/>
  <c r="R141" i="3" s="1"/>
  <c r="K141" i="3"/>
  <c r="L141" i="3" s="1"/>
  <c r="E141" i="3"/>
  <c r="F141" i="3" s="1"/>
  <c r="B141" i="3"/>
  <c r="AD140" i="3"/>
  <c r="AC140" i="3"/>
  <c r="AA140" i="3"/>
  <c r="X140" i="3"/>
  <c r="W140" i="3"/>
  <c r="U140" i="3"/>
  <c r="R140" i="3"/>
  <c r="O140" i="3"/>
  <c r="N140" i="3"/>
  <c r="L140" i="3"/>
  <c r="I140" i="3"/>
  <c r="H140" i="3"/>
  <c r="F140" i="3"/>
  <c r="C140" i="3"/>
  <c r="AC139" i="3"/>
  <c r="AD139" i="3" s="1"/>
  <c r="AA139" i="3"/>
  <c r="X139" i="3"/>
  <c r="W139" i="3"/>
  <c r="U139" i="3"/>
  <c r="R139" i="3"/>
  <c r="N139" i="3"/>
  <c r="O139" i="3" s="1"/>
  <c r="L139" i="3"/>
  <c r="I139" i="3"/>
  <c r="H139" i="3"/>
  <c r="F139" i="3"/>
  <c r="C139" i="3"/>
  <c r="AC138" i="3"/>
  <c r="AD138" i="3" s="1"/>
  <c r="AA138" i="3"/>
  <c r="W138" i="3"/>
  <c r="X138" i="3" s="1"/>
  <c r="U138" i="3"/>
  <c r="R138" i="3"/>
  <c r="O138" i="3"/>
  <c r="N138" i="3"/>
  <c r="L138" i="3"/>
  <c r="I138" i="3"/>
  <c r="H138" i="3"/>
  <c r="F138" i="3"/>
  <c r="C138" i="3"/>
  <c r="AD137" i="3"/>
  <c r="AC137" i="3"/>
  <c r="AA137" i="3"/>
  <c r="W137" i="3"/>
  <c r="X137" i="3" s="1"/>
  <c r="U137" i="3"/>
  <c r="R137" i="3"/>
  <c r="N137" i="3"/>
  <c r="O137" i="3" s="1"/>
  <c r="L137" i="3"/>
  <c r="H137" i="3"/>
  <c r="I137" i="3" s="1"/>
  <c r="F137" i="3"/>
  <c r="C137" i="3"/>
  <c r="AD136" i="3"/>
  <c r="AC136" i="3"/>
  <c r="AA136" i="3"/>
  <c r="X136" i="3"/>
  <c r="W136" i="3"/>
  <c r="U136" i="3"/>
  <c r="R136" i="3"/>
  <c r="O136" i="3"/>
  <c r="N136" i="3"/>
  <c r="L136" i="3"/>
  <c r="I136" i="3"/>
  <c r="H136" i="3"/>
  <c r="F136" i="3"/>
  <c r="C136" i="3"/>
  <c r="AC135" i="3"/>
  <c r="AD135" i="3" s="1"/>
  <c r="AA135" i="3"/>
  <c r="W135" i="3"/>
  <c r="X135" i="3" s="1"/>
  <c r="U135" i="3"/>
  <c r="R135" i="3"/>
  <c r="N135" i="3"/>
  <c r="O135" i="3" s="1"/>
  <c r="L135" i="3"/>
  <c r="I135" i="3"/>
  <c r="H135" i="3"/>
  <c r="F135" i="3"/>
  <c r="C135" i="3"/>
  <c r="AC134" i="3"/>
  <c r="AD134" i="3" s="1"/>
  <c r="AA134" i="3"/>
  <c r="X134" i="3"/>
  <c r="W134" i="3"/>
  <c r="U134" i="3"/>
  <c r="R134" i="3"/>
  <c r="O134" i="3"/>
  <c r="N134" i="3"/>
  <c r="L134" i="3"/>
  <c r="I134" i="3"/>
  <c r="H134" i="3"/>
  <c r="F134" i="3"/>
  <c r="C134" i="3"/>
  <c r="AD133" i="3"/>
  <c r="AC133" i="3"/>
  <c r="AA133" i="3"/>
  <c r="W133" i="3"/>
  <c r="X133" i="3" s="1"/>
  <c r="U133" i="3"/>
  <c r="R133" i="3"/>
  <c r="N133" i="3"/>
  <c r="O133" i="3" s="1"/>
  <c r="L133" i="3"/>
  <c r="H133" i="3"/>
  <c r="I133" i="3" s="1"/>
  <c r="F133" i="3"/>
  <c r="C133" i="3"/>
  <c r="AD132" i="3"/>
  <c r="AC132" i="3"/>
  <c r="AA132" i="3"/>
  <c r="X132" i="3"/>
  <c r="W132" i="3"/>
  <c r="U132" i="3"/>
  <c r="R132" i="3"/>
  <c r="O132" i="3"/>
  <c r="N132" i="3"/>
  <c r="L132" i="3"/>
  <c r="I132" i="3"/>
  <c r="H132" i="3"/>
  <c r="F132" i="3"/>
  <c r="C132" i="3"/>
  <c r="AD131" i="3"/>
  <c r="AC131" i="3"/>
  <c r="AA131" i="3"/>
  <c r="X131" i="3"/>
  <c r="W131" i="3"/>
  <c r="U131" i="3"/>
  <c r="R131" i="3"/>
  <c r="N131" i="3"/>
  <c r="O131" i="3" s="1"/>
  <c r="L131" i="3"/>
  <c r="I131" i="3"/>
  <c r="H131" i="3"/>
  <c r="F131" i="3"/>
  <c r="C131" i="3"/>
  <c r="AC130" i="3"/>
  <c r="AD130" i="3" s="1"/>
  <c r="AA130" i="3"/>
  <c r="W130" i="3"/>
  <c r="X130" i="3" s="1"/>
  <c r="U130" i="3"/>
  <c r="R130" i="3"/>
  <c r="O130" i="3"/>
  <c r="N130" i="3"/>
  <c r="L130" i="3"/>
  <c r="H130" i="3"/>
  <c r="I130" i="3" s="1"/>
  <c r="F130" i="3"/>
  <c r="C130" i="3"/>
  <c r="AD129" i="3"/>
  <c r="AC129" i="3"/>
  <c r="AA129" i="3"/>
  <c r="X129" i="3"/>
  <c r="W129" i="3"/>
  <c r="U129" i="3"/>
  <c r="R129" i="3"/>
  <c r="O129" i="3"/>
  <c r="N129" i="3"/>
  <c r="L129" i="3"/>
  <c r="H129" i="3"/>
  <c r="I129" i="3" s="1"/>
  <c r="F129" i="3"/>
  <c r="C129" i="3"/>
  <c r="AD127" i="3"/>
  <c r="AC127" i="3"/>
  <c r="AA127" i="3"/>
  <c r="X127" i="3"/>
  <c r="W127" i="3"/>
  <c r="U127" i="3"/>
  <c r="R127" i="3"/>
  <c r="N127" i="3"/>
  <c r="O127" i="3" s="1"/>
  <c r="L127" i="3"/>
  <c r="I127" i="3"/>
  <c r="H127" i="3"/>
  <c r="F127" i="3"/>
  <c r="C127" i="3"/>
  <c r="Z124" i="3"/>
  <c r="Z172" i="3" s="1"/>
  <c r="AA172" i="3" s="1"/>
  <c r="T124" i="3"/>
  <c r="U124" i="3" s="1"/>
  <c r="Q124" i="3"/>
  <c r="L124" i="3"/>
  <c r="K124" i="3"/>
  <c r="K172" i="3" s="1"/>
  <c r="H124" i="3"/>
  <c r="I124" i="3" s="1"/>
  <c r="F124" i="3"/>
  <c r="E124" i="3"/>
  <c r="C124" i="3"/>
  <c r="B124" i="3"/>
  <c r="N124" i="3" s="1"/>
  <c r="O124" i="3" s="1"/>
  <c r="AD123" i="3"/>
  <c r="AC123" i="3"/>
  <c r="AA123" i="3"/>
  <c r="X123" i="3"/>
  <c r="W123" i="3"/>
  <c r="U123" i="3"/>
  <c r="R123" i="3"/>
  <c r="O123" i="3"/>
  <c r="N123" i="3"/>
  <c r="L123" i="3"/>
  <c r="H123" i="3"/>
  <c r="I123" i="3" s="1"/>
  <c r="F123" i="3"/>
  <c r="C123" i="3"/>
  <c r="AC122" i="3"/>
  <c r="AD122" i="3" s="1"/>
  <c r="AA122" i="3"/>
  <c r="Z122" i="3"/>
  <c r="U122" i="3"/>
  <c r="T122" i="3"/>
  <c r="W122" i="3" s="1"/>
  <c r="X122" i="3" s="1"/>
  <c r="Q122" i="3"/>
  <c r="R122" i="3" s="1"/>
  <c r="K122" i="3"/>
  <c r="L122" i="3" s="1"/>
  <c r="H122" i="3"/>
  <c r="I122" i="3" s="1"/>
  <c r="F122" i="3"/>
  <c r="E122" i="3"/>
  <c r="C122" i="3"/>
  <c r="B122" i="3"/>
  <c r="AC121" i="3"/>
  <c r="AD121" i="3" s="1"/>
  <c r="AA121" i="3"/>
  <c r="W121" i="3"/>
  <c r="X121" i="3" s="1"/>
  <c r="U121" i="3"/>
  <c r="R121" i="3"/>
  <c r="O121" i="3"/>
  <c r="N121" i="3"/>
  <c r="L121" i="3"/>
  <c r="I121" i="3"/>
  <c r="H121" i="3"/>
  <c r="F121" i="3"/>
  <c r="C121" i="3"/>
  <c r="AD120" i="3"/>
  <c r="AC120" i="3"/>
  <c r="AA120" i="3"/>
  <c r="X120" i="3"/>
  <c r="W120" i="3"/>
  <c r="U120" i="3"/>
  <c r="R120" i="3"/>
  <c r="O120" i="3"/>
  <c r="N120" i="3"/>
  <c r="L120" i="3"/>
  <c r="H120" i="3"/>
  <c r="I120" i="3" s="1"/>
  <c r="F120" i="3"/>
  <c r="C120" i="3"/>
  <c r="AC119" i="3"/>
  <c r="AD119" i="3" s="1"/>
  <c r="AA119" i="3"/>
  <c r="X119" i="3"/>
  <c r="W119" i="3"/>
  <c r="U119" i="3"/>
  <c r="R119" i="3"/>
  <c r="O119" i="3"/>
  <c r="N119" i="3"/>
  <c r="L119" i="3"/>
  <c r="I119" i="3"/>
  <c r="H119" i="3"/>
  <c r="F119" i="3"/>
  <c r="C119" i="3"/>
  <c r="Z118" i="3"/>
  <c r="T118" i="3"/>
  <c r="U118" i="3" s="1"/>
  <c r="Q118" i="3"/>
  <c r="L118" i="3"/>
  <c r="K118" i="3"/>
  <c r="H118" i="3"/>
  <c r="I118" i="3" s="1"/>
  <c r="F118" i="3"/>
  <c r="E118" i="3"/>
  <c r="B118" i="3"/>
  <c r="AD117" i="3"/>
  <c r="AC117" i="3"/>
  <c r="AA117" i="3"/>
  <c r="W117" i="3"/>
  <c r="X117" i="3" s="1"/>
  <c r="U117" i="3"/>
  <c r="R117" i="3"/>
  <c r="O117" i="3"/>
  <c r="N117" i="3"/>
  <c r="L117" i="3"/>
  <c r="H117" i="3"/>
  <c r="I117" i="3" s="1"/>
  <c r="F117" i="3"/>
  <c r="C117" i="3"/>
  <c r="AC116" i="3"/>
  <c r="AD116" i="3" s="1"/>
  <c r="AA116" i="3"/>
  <c r="X116" i="3"/>
  <c r="W116" i="3"/>
  <c r="U116" i="3"/>
  <c r="R116" i="3"/>
  <c r="O116" i="3"/>
  <c r="N116" i="3"/>
  <c r="L116" i="3"/>
  <c r="I116" i="3"/>
  <c r="H116" i="3"/>
  <c r="F116" i="3"/>
  <c r="C116" i="3"/>
  <c r="AD115" i="3"/>
  <c r="AC115" i="3"/>
  <c r="AA115" i="3"/>
  <c r="W115" i="3"/>
  <c r="X115" i="3" s="1"/>
  <c r="U115" i="3"/>
  <c r="R115" i="3"/>
  <c r="N115" i="3"/>
  <c r="O115" i="3" s="1"/>
  <c r="L115" i="3"/>
  <c r="H115" i="3"/>
  <c r="I115" i="3" s="1"/>
  <c r="F115" i="3"/>
  <c r="C115" i="3"/>
  <c r="AC114" i="3"/>
  <c r="AD114" i="3" s="1"/>
  <c r="AA114" i="3"/>
  <c r="W114" i="3"/>
  <c r="X114" i="3" s="1"/>
  <c r="U114" i="3"/>
  <c r="R114" i="3"/>
  <c r="O114" i="3"/>
  <c r="N114" i="3"/>
  <c r="L114" i="3"/>
  <c r="H114" i="3"/>
  <c r="I114" i="3" s="1"/>
  <c r="F114" i="3"/>
  <c r="C114" i="3"/>
  <c r="AD113" i="3"/>
  <c r="AC113" i="3"/>
  <c r="AA113" i="3"/>
  <c r="W113" i="3"/>
  <c r="X113" i="3" s="1"/>
  <c r="U113" i="3"/>
  <c r="R113" i="3"/>
  <c r="N113" i="3"/>
  <c r="O113" i="3" s="1"/>
  <c r="L113" i="3"/>
  <c r="H113" i="3"/>
  <c r="I113" i="3" s="1"/>
  <c r="F113" i="3"/>
  <c r="C113" i="3"/>
  <c r="AC112" i="3"/>
  <c r="AD112" i="3" s="1"/>
  <c r="AA112" i="3"/>
  <c r="X112" i="3"/>
  <c r="W112" i="3"/>
  <c r="U112" i="3"/>
  <c r="R112" i="3"/>
  <c r="O112" i="3"/>
  <c r="N112" i="3"/>
  <c r="L112" i="3"/>
  <c r="I112" i="3"/>
  <c r="H112" i="3"/>
  <c r="F112" i="3"/>
  <c r="C112" i="3"/>
  <c r="AC111" i="3"/>
  <c r="AD111" i="3" s="1"/>
  <c r="AA111" i="3"/>
  <c r="X111" i="3"/>
  <c r="W111" i="3"/>
  <c r="U111" i="3"/>
  <c r="R111" i="3"/>
  <c r="O111" i="3"/>
  <c r="N111" i="3"/>
  <c r="L111" i="3"/>
  <c r="I111" i="3"/>
  <c r="H111" i="3"/>
  <c r="F111" i="3"/>
  <c r="C111" i="3"/>
  <c r="AC110" i="3"/>
  <c r="AD110" i="3" s="1"/>
  <c r="AA110" i="3"/>
  <c r="W110" i="3"/>
  <c r="X110" i="3" s="1"/>
  <c r="U110" i="3"/>
  <c r="R110" i="3"/>
  <c r="O110" i="3"/>
  <c r="N110" i="3"/>
  <c r="L110" i="3"/>
  <c r="I110" i="3"/>
  <c r="H110" i="3"/>
  <c r="F110" i="3"/>
  <c r="C110" i="3"/>
  <c r="AD109" i="3"/>
  <c r="AC109" i="3"/>
  <c r="AA109" i="3"/>
  <c r="X109" i="3"/>
  <c r="W109" i="3"/>
  <c r="U109" i="3"/>
  <c r="R109" i="3"/>
  <c r="O109" i="3"/>
  <c r="N109" i="3"/>
  <c r="L109" i="3"/>
  <c r="H109" i="3"/>
  <c r="I109" i="3" s="1"/>
  <c r="F109" i="3"/>
  <c r="C109" i="3"/>
  <c r="AC108" i="3"/>
  <c r="AD108" i="3" s="1"/>
  <c r="AA108" i="3"/>
  <c r="X108" i="3"/>
  <c r="W108" i="3"/>
  <c r="U108" i="3"/>
  <c r="R108" i="3"/>
  <c r="O108" i="3"/>
  <c r="N108" i="3"/>
  <c r="L108" i="3"/>
  <c r="I108" i="3"/>
  <c r="H108" i="3"/>
  <c r="F108" i="3"/>
  <c r="C108" i="3"/>
  <c r="AD107" i="3"/>
  <c r="AC107" i="3"/>
  <c r="AA107" i="3"/>
  <c r="X107" i="3"/>
  <c r="W107" i="3"/>
  <c r="U107" i="3"/>
  <c r="R107" i="3"/>
  <c r="N107" i="3"/>
  <c r="O107" i="3" s="1"/>
  <c r="L107" i="3"/>
  <c r="H107" i="3"/>
  <c r="I107" i="3" s="1"/>
  <c r="F107" i="3"/>
  <c r="C107" i="3"/>
  <c r="AC106" i="3"/>
  <c r="AD106" i="3" s="1"/>
  <c r="AA106" i="3"/>
  <c r="X106" i="3"/>
  <c r="W106" i="3"/>
  <c r="U106" i="3"/>
  <c r="R106" i="3"/>
  <c r="O106" i="3"/>
  <c r="N106" i="3"/>
  <c r="L106" i="3"/>
  <c r="H106" i="3"/>
  <c r="I106" i="3" s="1"/>
  <c r="F106" i="3"/>
  <c r="C106" i="3"/>
  <c r="AD105" i="3"/>
  <c r="AC105" i="3"/>
  <c r="AA105" i="3"/>
  <c r="W105" i="3"/>
  <c r="X105" i="3" s="1"/>
  <c r="U105" i="3"/>
  <c r="R105" i="3"/>
  <c r="N105" i="3"/>
  <c r="O105" i="3" s="1"/>
  <c r="L105" i="3"/>
  <c r="H105" i="3"/>
  <c r="I105" i="3" s="1"/>
  <c r="F105" i="3"/>
  <c r="C105" i="3"/>
  <c r="AD104" i="3"/>
  <c r="AC104" i="3"/>
  <c r="AA104" i="3"/>
  <c r="X104" i="3"/>
  <c r="W104" i="3"/>
  <c r="U104" i="3"/>
  <c r="R104" i="3"/>
  <c r="N104" i="3"/>
  <c r="O104" i="3" s="1"/>
  <c r="L104" i="3"/>
  <c r="I104" i="3"/>
  <c r="H104" i="3"/>
  <c r="F104" i="3"/>
  <c r="C104" i="3"/>
  <c r="AC103" i="3"/>
  <c r="AD103" i="3" s="1"/>
  <c r="AA103" i="3"/>
  <c r="X103" i="3"/>
  <c r="W103" i="3"/>
  <c r="U103" i="3"/>
  <c r="R103" i="3"/>
  <c r="O103" i="3"/>
  <c r="N103" i="3"/>
  <c r="L103" i="3"/>
  <c r="I103" i="3"/>
  <c r="H103" i="3"/>
  <c r="F103" i="3"/>
  <c r="C103" i="3"/>
  <c r="AC102" i="3"/>
  <c r="AD102" i="3" s="1"/>
  <c r="AA102" i="3"/>
  <c r="W102" i="3"/>
  <c r="X102" i="3" s="1"/>
  <c r="U102" i="3"/>
  <c r="R102" i="3"/>
  <c r="O102" i="3"/>
  <c r="N102" i="3"/>
  <c r="L102" i="3"/>
  <c r="I102" i="3"/>
  <c r="H102" i="3"/>
  <c r="F102" i="3"/>
  <c r="C102" i="3"/>
  <c r="AD101" i="3"/>
  <c r="AC101" i="3"/>
  <c r="AA101" i="3"/>
  <c r="W101" i="3"/>
  <c r="X101" i="3" s="1"/>
  <c r="U101" i="3"/>
  <c r="R101" i="3"/>
  <c r="N101" i="3"/>
  <c r="O101" i="3" s="1"/>
  <c r="L101" i="3"/>
  <c r="H101" i="3"/>
  <c r="I101" i="3" s="1"/>
  <c r="F101" i="3"/>
  <c r="C101" i="3"/>
  <c r="AC100" i="3"/>
  <c r="AD100" i="3" s="1"/>
  <c r="AA100" i="3"/>
  <c r="X100" i="3"/>
  <c r="W100" i="3"/>
  <c r="U100" i="3"/>
  <c r="R100" i="3"/>
  <c r="O100" i="3"/>
  <c r="N100" i="3"/>
  <c r="L100" i="3"/>
  <c r="I100" i="3"/>
  <c r="H100" i="3"/>
  <c r="F100" i="3"/>
  <c r="C100" i="3"/>
  <c r="AD99" i="3"/>
  <c r="AC99" i="3"/>
  <c r="AA99" i="3"/>
  <c r="W99" i="3"/>
  <c r="X99" i="3" s="1"/>
  <c r="U99" i="3"/>
  <c r="R99" i="3"/>
  <c r="N99" i="3"/>
  <c r="O99" i="3" s="1"/>
  <c r="L99" i="3"/>
  <c r="H99" i="3"/>
  <c r="I99" i="3" s="1"/>
  <c r="F99" i="3"/>
  <c r="C99" i="3"/>
  <c r="AC98" i="3"/>
  <c r="AD98" i="3" s="1"/>
  <c r="AA98" i="3"/>
  <c r="W98" i="3"/>
  <c r="X98" i="3" s="1"/>
  <c r="U98" i="3"/>
  <c r="R98" i="3"/>
  <c r="O98" i="3"/>
  <c r="N98" i="3"/>
  <c r="L98" i="3"/>
  <c r="H98" i="3"/>
  <c r="I98" i="3" s="1"/>
  <c r="F98" i="3"/>
  <c r="C98" i="3"/>
  <c r="AD97" i="3"/>
  <c r="AC97" i="3"/>
  <c r="AA97" i="3"/>
  <c r="W97" i="3"/>
  <c r="X97" i="3" s="1"/>
  <c r="U97" i="3"/>
  <c r="R97" i="3"/>
  <c r="N97" i="3"/>
  <c r="O97" i="3" s="1"/>
  <c r="L97" i="3"/>
  <c r="H97" i="3"/>
  <c r="I97" i="3" s="1"/>
  <c r="F97" i="3"/>
  <c r="C97" i="3"/>
  <c r="AC96" i="3"/>
  <c r="AD96" i="3" s="1"/>
  <c r="AA96" i="3"/>
  <c r="X96" i="3"/>
  <c r="W96" i="3"/>
  <c r="U96" i="3"/>
  <c r="R96" i="3"/>
  <c r="O96" i="3"/>
  <c r="N96" i="3"/>
  <c r="L96" i="3"/>
  <c r="I96" i="3"/>
  <c r="H96" i="3"/>
  <c r="F96" i="3"/>
  <c r="C96" i="3"/>
  <c r="AC95" i="3"/>
  <c r="AD95" i="3" s="1"/>
  <c r="AA95" i="3"/>
  <c r="X95" i="3"/>
  <c r="W95" i="3"/>
  <c r="U95" i="3"/>
  <c r="R95" i="3"/>
  <c r="O95" i="3"/>
  <c r="N95" i="3"/>
  <c r="L95" i="3"/>
  <c r="I95" i="3"/>
  <c r="H95" i="3"/>
  <c r="F95" i="3"/>
  <c r="C95" i="3"/>
  <c r="AC94" i="3"/>
  <c r="AD94" i="3" s="1"/>
  <c r="AA94" i="3"/>
  <c r="W94" i="3"/>
  <c r="X94" i="3" s="1"/>
  <c r="U94" i="3"/>
  <c r="R94" i="3"/>
  <c r="O94" i="3"/>
  <c r="N94" i="3"/>
  <c r="L94" i="3"/>
  <c r="I94" i="3"/>
  <c r="H94" i="3"/>
  <c r="F94" i="3"/>
  <c r="C94" i="3"/>
  <c r="AD92" i="3"/>
  <c r="AC92" i="3"/>
  <c r="AA92" i="3"/>
  <c r="W92" i="3"/>
  <c r="X92" i="3" s="1"/>
  <c r="U92" i="3"/>
  <c r="R92" i="3"/>
  <c r="O92" i="3"/>
  <c r="N92" i="3"/>
  <c r="L92" i="3"/>
  <c r="H92" i="3"/>
  <c r="I92" i="3" s="1"/>
  <c r="F92" i="3"/>
  <c r="C92" i="3"/>
  <c r="AC91" i="3"/>
  <c r="AD91" i="3" s="1"/>
  <c r="AA91" i="3"/>
  <c r="X91" i="3"/>
  <c r="W91" i="3"/>
  <c r="U91" i="3"/>
  <c r="R91" i="3"/>
  <c r="O91" i="3"/>
  <c r="N91" i="3"/>
  <c r="L91" i="3"/>
  <c r="I91" i="3"/>
  <c r="H91" i="3"/>
  <c r="F91" i="3"/>
  <c r="C91" i="3"/>
  <c r="AC90" i="3"/>
  <c r="AD90" i="3" s="1"/>
  <c r="AA90" i="3"/>
  <c r="X90" i="3"/>
  <c r="W90" i="3"/>
  <c r="U90" i="3"/>
  <c r="R90" i="3"/>
  <c r="N90" i="3"/>
  <c r="O90" i="3" s="1"/>
  <c r="L90" i="3"/>
  <c r="H90" i="3"/>
  <c r="I90" i="3" s="1"/>
  <c r="F90" i="3"/>
  <c r="C90" i="3"/>
  <c r="AC89" i="3"/>
  <c r="AD89" i="3" s="1"/>
  <c r="AA89" i="3"/>
  <c r="X89" i="3"/>
  <c r="W89" i="3"/>
  <c r="U89" i="3"/>
  <c r="R89" i="3"/>
  <c r="O89" i="3"/>
  <c r="N89" i="3"/>
  <c r="L89" i="3"/>
  <c r="H89" i="3"/>
  <c r="I89" i="3" s="1"/>
  <c r="F89" i="3"/>
  <c r="C89" i="3"/>
  <c r="Z88" i="3"/>
  <c r="AA88" i="3" s="1"/>
  <c r="T88" i="3"/>
  <c r="R88" i="3"/>
  <c r="Q88" i="3"/>
  <c r="K88" i="3"/>
  <c r="N88" i="3" s="1"/>
  <c r="O88" i="3" s="1"/>
  <c r="H88" i="3"/>
  <c r="I88" i="3" s="1"/>
  <c r="F88" i="3"/>
  <c r="E88" i="3"/>
  <c r="B88" i="3"/>
  <c r="C88" i="3" s="1"/>
  <c r="AD87" i="3"/>
  <c r="AC87" i="3"/>
  <c r="AA87" i="3"/>
  <c r="W87" i="3"/>
  <c r="X87" i="3" s="1"/>
  <c r="U87" i="3"/>
  <c r="R87" i="3"/>
  <c r="N87" i="3"/>
  <c r="O87" i="3" s="1"/>
  <c r="L87" i="3"/>
  <c r="I87" i="3"/>
  <c r="H87" i="3"/>
  <c r="F87" i="3"/>
  <c r="C87" i="3"/>
  <c r="AC86" i="3"/>
  <c r="AD86" i="3" s="1"/>
  <c r="AA86" i="3"/>
  <c r="X86" i="3"/>
  <c r="W86" i="3"/>
  <c r="U86" i="3"/>
  <c r="R86" i="3"/>
  <c r="O86" i="3"/>
  <c r="N86" i="3"/>
  <c r="L86" i="3"/>
  <c r="H86" i="3"/>
  <c r="I86" i="3" s="1"/>
  <c r="F86" i="3"/>
  <c r="C86" i="3"/>
  <c r="AD85" i="3"/>
  <c r="AC85" i="3"/>
  <c r="AA85" i="3"/>
  <c r="X85" i="3"/>
  <c r="W85" i="3"/>
  <c r="U85" i="3"/>
  <c r="R85" i="3"/>
  <c r="O85" i="3"/>
  <c r="N85" i="3"/>
  <c r="L85" i="3"/>
  <c r="H85" i="3"/>
  <c r="I85" i="3" s="1"/>
  <c r="F85" i="3"/>
  <c r="C85" i="3"/>
  <c r="AD84" i="3"/>
  <c r="AC84" i="3"/>
  <c r="AA84" i="3"/>
  <c r="X84" i="3"/>
  <c r="W84" i="3"/>
  <c r="U84" i="3"/>
  <c r="R84" i="3"/>
  <c r="N84" i="3"/>
  <c r="O84" i="3" s="1"/>
  <c r="L84" i="3"/>
  <c r="I84" i="3"/>
  <c r="H84" i="3"/>
  <c r="F84" i="3"/>
  <c r="C84" i="3"/>
  <c r="AD83" i="3"/>
  <c r="AC83" i="3"/>
  <c r="AA83" i="3"/>
  <c r="X83" i="3"/>
  <c r="W83" i="3"/>
  <c r="U83" i="3"/>
  <c r="R83" i="3"/>
  <c r="O83" i="3"/>
  <c r="N83" i="3"/>
  <c r="L83" i="3"/>
  <c r="H83" i="3"/>
  <c r="I83" i="3" s="1"/>
  <c r="F83" i="3"/>
  <c r="C83" i="3"/>
  <c r="AC82" i="3"/>
  <c r="AD82" i="3" s="1"/>
  <c r="AA82" i="3"/>
  <c r="X82" i="3"/>
  <c r="W82" i="3"/>
  <c r="U82" i="3"/>
  <c r="R82" i="3"/>
  <c r="O82" i="3"/>
  <c r="N82" i="3"/>
  <c r="L82" i="3"/>
  <c r="I82" i="3"/>
  <c r="H82" i="3"/>
  <c r="F82" i="3"/>
  <c r="C82" i="3"/>
  <c r="AD81" i="3"/>
  <c r="AC81" i="3"/>
  <c r="AA81" i="3"/>
  <c r="W81" i="3"/>
  <c r="X81" i="3" s="1"/>
  <c r="U81" i="3"/>
  <c r="R81" i="3"/>
  <c r="N81" i="3"/>
  <c r="O81" i="3" s="1"/>
  <c r="L81" i="3"/>
  <c r="H81" i="3"/>
  <c r="I81" i="3" s="1"/>
  <c r="F81" i="3"/>
  <c r="C81" i="3"/>
  <c r="AD80" i="3"/>
  <c r="AC80" i="3"/>
  <c r="AA80" i="3"/>
  <c r="X80" i="3"/>
  <c r="W80" i="3"/>
  <c r="U80" i="3"/>
  <c r="R80" i="3"/>
  <c r="O80" i="3"/>
  <c r="N80" i="3"/>
  <c r="L80" i="3"/>
  <c r="I80" i="3"/>
  <c r="H80" i="3"/>
  <c r="F80" i="3"/>
  <c r="C80" i="3"/>
  <c r="AC79" i="3"/>
  <c r="AD79" i="3" s="1"/>
  <c r="AA79" i="3"/>
  <c r="W79" i="3"/>
  <c r="X79" i="3" s="1"/>
  <c r="U79" i="3"/>
  <c r="R79" i="3"/>
  <c r="N79" i="3"/>
  <c r="O79" i="3" s="1"/>
  <c r="L79" i="3"/>
  <c r="I79" i="3"/>
  <c r="H79" i="3"/>
  <c r="F79" i="3"/>
  <c r="C79" i="3"/>
  <c r="AC78" i="3"/>
  <c r="AD78" i="3" s="1"/>
  <c r="AA78" i="3"/>
  <c r="W78" i="3"/>
  <c r="X78" i="3" s="1"/>
  <c r="U78" i="3"/>
  <c r="R78" i="3"/>
  <c r="O78" i="3"/>
  <c r="N78" i="3"/>
  <c r="L78" i="3"/>
  <c r="H78" i="3"/>
  <c r="I78" i="3" s="1"/>
  <c r="F78" i="3"/>
  <c r="C78" i="3"/>
  <c r="AD77" i="3"/>
  <c r="AC77" i="3"/>
  <c r="AA77" i="3"/>
  <c r="X77" i="3"/>
  <c r="W77" i="3"/>
  <c r="U77" i="3"/>
  <c r="R77" i="3"/>
  <c r="O77" i="3"/>
  <c r="N77" i="3"/>
  <c r="L77" i="3"/>
  <c r="H77" i="3"/>
  <c r="I77" i="3" s="1"/>
  <c r="F77" i="3"/>
  <c r="C77" i="3"/>
  <c r="AC76" i="3"/>
  <c r="AD76" i="3" s="1"/>
  <c r="AA76" i="3"/>
  <c r="X76" i="3"/>
  <c r="W76" i="3"/>
  <c r="U76" i="3"/>
  <c r="R76" i="3"/>
  <c r="N76" i="3"/>
  <c r="O76" i="3" s="1"/>
  <c r="L76" i="3"/>
  <c r="I76" i="3"/>
  <c r="H76" i="3"/>
  <c r="F76" i="3"/>
  <c r="C76" i="3"/>
  <c r="AD75" i="3"/>
  <c r="AC75" i="3"/>
  <c r="AA75" i="3"/>
  <c r="X75" i="3"/>
  <c r="W75" i="3"/>
  <c r="U75" i="3"/>
  <c r="R75" i="3"/>
  <c r="O75" i="3"/>
  <c r="N75" i="3"/>
  <c r="L75" i="3"/>
  <c r="H75" i="3"/>
  <c r="I75" i="3" s="1"/>
  <c r="F75" i="3"/>
  <c r="C75" i="3"/>
  <c r="Z73" i="3"/>
  <c r="AC73" i="3" s="1"/>
  <c r="AD73" i="3" s="1"/>
  <c r="W73" i="3"/>
  <c r="X73" i="3" s="1"/>
  <c r="U73" i="3"/>
  <c r="T73" i="3"/>
  <c r="Q73" i="3"/>
  <c r="R73" i="3" s="1"/>
  <c r="N73" i="3"/>
  <c r="O73" i="3" s="1"/>
  <c r="L73" i="3"/>
  <c r="K73" i="3"/>
  <c r="E73" i="3"/>
  <c r="F73" i="3" s="1"/>
  <c r="C73" i="3"/>
  <c r="B73" i="3"/>
  <c r="AD72" i="3"/>
  <c r="AC72" i="3"/>
  <c r="AA72" i="3"/>
  <c r="X72" i="3"/>
  <c r="W72" i="3"/>
  <c r="U72" i="3"/>
  <c r="R72" i="3"/>
  <c r="N72" i="3"/>
  <c r="O72" i="3" s="1"/>
  <c r="L72" i="3"/>
  <c r="I72" i="3"/>
  <c r="H72" i="3"/>
  <c r="F72" i="3"/>
  <c r="C72" i="3"/>
  <c r="AD71" i="3"/>
  <c r="AC71" i="3"/>
  <c r="AA71" i="3"/>
  <c r="X71" i="3"/>
  <c r="W71" i="3"/>
  <c r="U71" i="3"/>
  <c r="R71" i="3"/>
  <c r="O71" i="3"/>
  <c r="N71" i="3"/>
  <c r="L71" i="3"/>
  <c r="I71" i="3"/>
  <c r="H71" i="3"/>
  <c r="F71" i="3"/>
  <c r="C71" i="3"/>
  <c r="AC70" i="3"/>
  <c r="AD70" i="3" s="1"/>
  <c r="AA70" i="3"/>
  <c r="X70" i="3"/>
  <c r="W70" i="3"/>
  <c r="U70" i="3"/>
  <c r="R70" i="3"/>
  <c r="O70" i="3"/>
  <c r="N70" i="3"/>
  <c r="L70" i="3"/>
  <c r="I70" i="3"/>
  <c r="H70" i="3"/>
  <c r="F70" i="3"/>
  <c r="C70" i="3"/>
  <c r="AD69" i="3"/>
  <c r="AC69" i="3"/>
  <c r="AA69" i="3"/>
  <c r="W69" i="3"/>
  <c r="X69" i="3" s="1"/>
  <c r="U69" i="3"/>
  <c r="R69" i="3"/>
  <c r="N69" i="3"/>
  <c r="O69" i="3" s="1"/>
  <c r="L69" i="3"/>
  <c r="H69" i="3"/>
  <c r="I69" i="3" s="1"/>
  <c r="F69" i="3"/>
  <c r="C69" i="3"/>
  <c r="AD68" i="3"/>
  <c r="AC68" i="3"/>
  <c r="AA68" i="3"/>
  <c r="X68" i="3"/>
  <c r="W68" i="3"/>
  <c r="U68" i="3"/>
  <c r="R68" i="3"/>
  <c r="N68" i="3"/>
  <c r="O68" i="3" s="1"/>
  <c r="L68" i="3"/>
  <c r="H68" i="3"/>
  <c r="I68" i="3" s="1"/>
  <c r="F68" i="3"/>
  <c r="C68" i="3"/>
  <c r="AC67" i="3"/>
  <c r="AD67" i="3" s="1"/>
  <c r="AA67" i="3"/>
  <c r="W67" i="3"/>
  <c r="X67" i="3" s="1"/>
  <c r="U67" i="3"/>
  <c r="R67" i="3"/>
  <c r="O67" i="3"/>
  <c r="N67" i="3"/>
  <c r="L67" i="3"/>
  <c r="I67" i="3"/>
  <c r="H67" i="3"/>
  <c r="F67" i="3"/>
  <c r="C67" i="3"/>
  <c r="AC66" i="3"/>
  <c r="AD66" i="3" s="1"/>
  <c r="AA66" i="3"/>
  <c r="W66" i="3"/>
  <c r="X66" i="3" s="1"/>
  <c r="U66" i="3"/>
  <c r="R66" i="3"/>
  <c r="O66" i="3"/>
  <c r="N66" i="3"/>
  <c r="L66" i="3"/>
  <c r="I66" i="3"/>
  <c r="H66" i="3"/>
  <c r="F66" i="3"/>
  <c r="C66" i="3"/>
  <c r="AC65" i="3"/>
  <c r="AD65" i="3" s="1"/>
  <c r="AA65" i="3"/>
  <c r="X65" i="3"/>
  <c r="W65" i="3"/>
  <c r="U65" i="3"/>
  <c r="R65" i="3"/>
  <c r="O65" i="3"/>
  <c r="N65" i="3"/>
  <c r="L65" i="3"/>
  <c r="H65" i="3"/>
  <c r="I65" i="3" s="1"/>
  <c r="F65" i="3"/>
  <c r="C65" i="3"/>
  <c r="AC64" i="3"/>
  <c r="AD64" i="3" s="1"/>
  <c r="AA64" i="3"/>
  <c r="X64" i="3"/>
  <c r="W64" i="3"/>
  <c r="U64" i="3"/>
  <c r="R64" i="3"/>
  <c r="O64" i="3"/>
  <c r="N64" i="3"/>
  <c r="L64" i="3"/>
  <c r="I64" i="3"/>
  <c r="H64" i="3"/>
  <c r="F64" i="3"/>
  <c r="C64" i="3"/>
  <c r="Z62" i="3"/>
  <c r="AA62" i="3" s="1"/>
  <c r="T62" i="3"/>
  <c r="U62" i="3" s="1"/>
  <c r="R62" i="3"/>
  <c r="Q62" i="3"/>
  <c r="K62" i="3"/>
  <c r="L62" i="3" s="1"/>
  <c r="E62" i="3"/>
  <c r="F62" i="3" s="1"/>
  <c r="C62" i="3"/>
  <c r="B62" i="3"/>
  <c r="AC61" i="3"/>
  <c r="AD61" i="3" s="1"/>
  <c r="Z61" i="3"/>
  <c r="AA61" i="3" s="1"/>
  <c r="T61" i="3"/>
  <c r="W61" i="3" s="1"/>
  <c r="X61" i="3" s="1"/>
  <c r="Q61" i="3"/>
  <c r="R61" i="3" s="1"/>
  <c r="N61" i="3"/>
  <c r="O61" i="3" s="1"/>
  <c r="L61" i="3"/>
  <c r="K61" i="3"/>
  <c r="I61" i="3"/>
  <c r="H61" i="3"/>
  <c r="F61" i="3"/>
  <c r="E61" i="3"/>
  <c r="B61" i="3"/>
  <c r="C61" i="3" s="1"/>
  <c r="AD60" i="3"/>
  <c r="AC60" i="3"/>
  <c r="AA60" i="3"/>
  <c r="X60" i="3"/>
  <c r="W60" i="3"/>
  <c r="U60" i="3"/>
  <c r="R60" i="3"/>
  <c r="N60" i="3"/>
  <c r="O60" i="3" s="1"/>
  <c r="L60" i="3"/>
  <c r="H60" i="3"/>
  <c r="I60" i="3" s="1"/>
  <c r="F60" i="3"/>
  <c r="C60" i="3"/>
  <c r="AC59" i="3"/>
  <c r="AD59" i="3" s="1"/>
  <c r="AA59" i="3"/>
  <c r="W59" i="3"/>
  <c r="X59" i="3" s="1"/>
  <c r="U59" i="3"/>
  <c r="R59" i="3"/>
  <c r="O59" i="3"/>
  <c r="N59" i="3"/>
  <c r="L59" i="3"/>
  <c r="H59" i="3"/>
  <c r="I59" i="3" s="1"/>
  <c r="F59" i="3"/>
  <c r="C59" i="3"/>
  <c r="AD58" i="3"/>
  <c r="AC58" i="3"/>
  <c r="AA58" i="3"/>
  <c r="W58" i="3"/>
  <c r="X58" i="3" s="1"/>
  <c r="U58" i="3"/>
  <c r="R58" i="3"/>
  <c r="N58" i="3"/>
  <c r="O58" i="3" s="1"/>
  <c r="L58" i="3"/>
  <c r="H58" i="3"/>
  <c r="I58" i="3" s="1"/>
  <c r="F58" i="3"/>
  <c r="C58" i="3"/>
  <c r="AD57" i="3"/>
  <c r="AC57" i="3"/>
  <c r="AA57" i="3"/>
  <c r="X57" i="3"/>
  <c r="W57" i="3"/>
  <c r="U57" i="3"/>
  <c r="R57" i="3"/>
  <c r="N57" i="3"/>
  <c r="O57" i="3" s="1"/>
  <c r="L57" i="3"/>
  <c r="H57" i="3"/>
  <c r="I57" i="3" s="1"/>
  <c r="F57" i="3"/>
  <c r="C57" i="3"/>
  <c r="AC56" i="3"/>
  <c r="AD56" i="3" s="1"/>
  <c r="AA56" i="3"/>
  <c r="X56" i="3"/>
  <c r="W56" i="3"/>
  <c r="U56" i="3"/>
  <c r="R56" i="3"/>
  <c r="O56" i="3"/>
  <c r="N56" i="3"/>
  <c r="L56" i="3"/>
  <c r="I56" i="3"/>
  <c r="H56" i="3"/>
  <c r="F56" i="3"/>
  <c r="C56" i="3"/>
  <c r="AC55" i="3"/>
  <c r="AD55" i="3" s="1"/>
  <c r="AA55" i="3"/>
  <c r="W55" i="3"/>
  <c r="X55" i="3" s="1"/>
  <c r="U55" i="3"/>
  <c r="R55" i="3"/>
  <c r="O55" i="3"/>
  <c r="N55" i="3"/>
  <c r="L55" i="3"/>
  <c r="I55" i="3"/>
  <c r="H55" i="3"/>
  <c r="F55" i="3"/>
  <c r="C55" i="3"/>
  <c r="AD54" i="3"/>
  <c r="AC54" i="3"/>
  <c r="AA54" i="3"/>
  <c r="X54" i="3"/>
  <c r="W54" i="3"/>
  <c r="U54" i="3"/>
  <c r="R54" i="3"/>
  <c r="O54" i="3"/>
  <c r="N54" i="3"/>
  <c r="L54" i="3"/>
  <c r="H54" i="3"/>
  <c r="I54" i="3" s="1"/>
  <c r="F54" i="3"/>
  <c r="C54" i="3"/>
  <c r="AC53" i="3"/>
  <c r="AD53" i="3" s="1"/>
  <c r="AA53" i="3"/>
  <c r="X53" i="3"/>
  <c r="W53" i="3"/>
  <c r="U53" i="3"/>
  <c r="R53" i="3"/>
  <c r="O53" i="3"/>
  <c r="N53" i="3"/>
  <c r="L53" i="3"/>
  <c r="H53" i="3"/>
  <c r="I53" i="3" s="1"/>
  <c r="F53" i="3"/>
  <c r="C53" i="3"/>
  <c r="AD52" i="3"/>
  <c r="AC52" i="3"/>
  <c r="AA52" i="3"/>
  <c r="W52" i="3"/>
  <c r="X52" i="3" s="1"/>
  <c r="U52" i="3"/>
  <c r="R52" i="3"/>
  <c r="O52" i="3"/>
  <c r="N52" i="3"/>
  <c r="L52" i="3"/>
  <c r="H52" i="3"/>
  <c r="I52" i="3" s="1"/>
  <c r="F52" i="3"/>
  <c r="C52" i="3"/>
  <c r="AC51" i="3"/>
  <c r="AD51" i="3" s="1"/>
  <c r="AA51" i="3"/>
  <c r="X51" i="3"/>
  <c r="W51" i="3"/>
  <c r="U51" i="3"/>
  <c r="R51" i="3"/>
  <c r="O51" i="3"/>
  <c r="N51" i="3"/>
  <c r="L51" i="3"/>
  <c r="I51" i="3"/>
  <c r="H51" i="3"/>
  <c r="F51" i="3"/>
  <c r="C51" i="3"/>
  <c r="AC50" i="3"/>
  <c r="AD50" i="3" s="1"/>
  <c r="AA50" i="3"/>
  <c r="W50" i="3"/>
  <c r="X50" i="3" s="1"/>
  <c r="U50" i="3"/>
  <c r="R50" i="3"/>
  <c r="N50" i="3"/>
  <c r="O50" i="3" s="1"/>
  <c r="L50" i="3"/>
  <c r="H50" i="3"/>
  <c r="I50" i="3" s="1"/>
  <c r="F50" i="3"/>
  <c r="C50" i="3"/>
  <c r="AC49" i="3"/>
  <c r="AD49" i="3" s="1"/>
  <c r="AA49" i="3"/>
  <c r="X49" i="3"/>
  <c r="W49" i="3"/>
  <c r="U49" i="3"/>
  <c r="R49" i="3"/>
  <c r="N49" i="3"/>
  <c r="O49" i="3" s="1"/>
  <c r="L49" i="3"/>
  <c r="H49" i="3"/>
  <c r="I49" i="3" s="1"/>
  <c r="F49" i="3"/>
  <c r="C49" i="3"/>
  <c r="AC48" i="3"/>
  <c r="AD48" i="3" s="1"/>
  <c r="AA48" i="3"/>
  <c r="X48" i="3"/>
  <c r="W48" i="3"/>
  <c r="U48" i="3"/>
  <c r="R48" i="3"/>
  <c r="O48" i="3"/>
  <c r="N48" i="3"/>
  <c r="L48" i="3"/>
  <c r="I48" i="3"/>
  <c r="H48" i="3"/>
  <c r="F48" i="3"/>
  <c r="C48" i="3"/>
  <c r="AC47" i="3"/>
  <c r="AD47" i="3" s="1"/>
  <c r="AA47" i="3"/>
  <c r="W47" i="3"/>
  <c r="X47" i="3" s="1"/>
  <c r="U47" i="3"/>
  <c r="R47" i="3"/>
  <c r="O47" i="3"/>
  <c r="N47" i="3"/>
  <c r="L47" i="3"/>
  <c r="I47" i="3"/>
  <c r="H47" i="3"/>
  <c r="F47" i="3"/>
  <c r="C47" i="3"/>
  <c r="AD46" i="3"/>
  <c r="AC46" i="3"/>
  <c r="AA46" i="3"/>
  <c r="W46" i="3"/>
  <c r="X46" i="3" s="1"/>
  <c r="U46" i="3"/>
  <c r="R46" i="3"/>
  <c r="O46" i="3"/>
  <c r="N46" i="3"/>
  <c r="L46" i="3"/>
  <c r="H46" i="3"/>
  <c r="I46" i="3" s="1"/>
  <c r="F46" i="3"/>
  <c r="C46" i="3"/>
  <c r="AC44" i="3"/>
  <c r="AD44" i="3" s="1"/>
  <c r="AA44" i="3"/>
  <c r="X44" i="3"/>
  <c r="W44" i="3"/>
  <c r="U44" i="3"/>
  <c r="R44" i="3"/>
  <c r="O44" i="3"/>
  <c r="N44" i="3"/>
  <c r="L44" i="3"/>
  <c r="H44" i="3"/>
  <c r="I44" i="3" s="1"/>
  <c r="F44" i="3"/>
  <c r="C44" i="3"/>
  <c r="AC43" i="3"/>
  <c r="AD43" i="3" s="1"/>
  <c r="AA43" i="3"/>
  <c r="X43" i="3"/>
  <c r="W43" i="3"/>
  <c r="U43" i="3"/>
  <c r="R43" i="3"/>
  <c r="N43" i="3"/>
  <c r="O43" i="3" s="1"/>
  <c r="L43" i="3"/>
  <c r="H43" i="3"/>
  <c r="I43" i="3" s="1"/>
  <c r="F43" i="3"/>
  <c r="C43" i="3"/>
  <c r="AC42" i="3"/>
  <c r="AD42" i="3" s="1"/>
  <c r="AA42" i="3"/>
  <c r="X42" i="3"/>
  <c r="W42" i="3"/>
  <c r="U42" i="3"/>
  <c r="R42" i="3"/>
  <c r="O42" i="3"/>
  <c r="N42" i="3"/>
  <c r="L42" i="3"/>
  <c r="H42" i="3"/>
  <c r="I42" i="3" s="1"/>
  <c r="F42" i="3"/>
  <c r="C42" i="3"/>
  <c r="Z40" i="3"/>
  <c r="AA40" i="3" s="1"/>
  <c r="U40" i="3"/>
  <c r="T40" i="3"/>
  <c r="Q40" i="3"/>
  <c r="N40" i="3"/>
  <c r="O40" i="3" s="1"/>
  <c r="L40" i="3"/>
  <c r="K40" i="3"/>
  <c r="H40" i="3"/>
  <c r="I40" i="3" s="1"/>
  <c r="F40" i="3"/>
  <c r="E40" i="3"/>
  <c r="B40" i="3"/>
  <c r="C40" i="3" s="1"/>
  <c r="AD39" i="3"/>
  <c r="AC39" i="3"/>
  <c r="AA39" i="3"/>
  <c r="W39" i="3"/>
  <c r="X39" i="3" s="1"/>
  <c r="U39" i="3"/>
  <c r="R39" i="3"/>
  <c r="O39" i="3"/>
  <c r="N39" i="3"/>
  <c r="L39" i="3"/>
  <c r="H39" i="3"/>
  <c r="I39" i="3" s="1"/>
  <c r="F39" i="3"/>
  <c r="C39" i="3"/>
  <c r="AC38" i="3"/>
  <c r="AD38" i="3" s="1"/>
  <c r="AA38" i="3"/>
  <c r="X38" i="3"/>
  <c r="W38" i="3"/>
  <c r="U38" i="3"/>
  <c r="R38" i="3"/>
  <c r="O38" i="3"/>
  <c r="N38" i="3"/>
  <c r="L38" i="3"/>
  <c r="I38" i="3"/>
  <c r="H38" i="3"/>
  <c r="F38" i="3"/>
  <c r="C38" i="3"/>
  <c r="AC37" i="3"/>
  <c r="AD37" i="3" s="1"/>
  <c r="AA37" i="3"/>
  <c r="W37" i="3"/>
  <c r="X37" i="3" s="1"/>
  <c r="U37" i="3"/>
  <c r="R37" i="3"/>
  <c r="N37" i="3"/>
  <c r="O37" i="3" s="1"/>
  <c r="L37" i="3"/>
  <c r="H37" i="3"/>
  <c r="I37" i="3" s="1"/>
  <c r="F37" i="3"/>
  <c r="C37" i="3"/>
  <c r="AD36" i="3"/>
  <c r="AC36" i="3"/>
  <c r="AA36" i="3"/>
  <c r="X36" i="3"/>
  <c r="W36" i="3"/>
  <c r="U36" i="3"/>
  <c r="R36" i="3"/>
  <c r="N36" i="3"/>
  <c r="O36" i="3" s="1"/>
  <c r="L36" i="3"/>
  <c r="H36" i="3"/>
  <c r="I36" i="3" s="1"/>
  <c r="F36" i="3"/>
  <c r="C36" i="3"/>
  <c r="AC35" i="3"/>
  <c r="AD35" i="3" s="1"/>
  <c r="AA35" i="3"/>
  <c r="X35" i="3"/>
  <c r="W35" i="3"/>
  <c r="U35" i="3"/>
  <c r="R35" i="3"/>
  <c r="O35" i="3"/>
  <c r="N35" i="3"/>
  <c r="L35" i="3"/>
  <c r="I35" i="3"/>
  <c r="H35" i="3"/>
  <c r="F35" i="3"/>
  <c r="C35" i="3"/>
  <c r="AC34" i="3"/>
  <c r="AD34" i="3" s="1"/>
  <c r="AA34" i="3"/>
  <c r="W34" i="3"/>
  <c r="X34" i="3" s="1"/>
  <c r="U34" i="3"/>
  <c r="R34" i="3"/>
  <c r="O34" i="3"/>
  <c r="N34" i="3"/>
  <c r="L34" i="3"/>
  <c r="I34" i="3"/>
  <c r="H34" i="3"/>
  <c r="F34" i="3"/>
  <c r="C34" i="3"/>
  <c r="AD33" i="3"/>
  <c r="AC33" i="3"/>
  <c r="AA33" i="3"/>
  <c r="X33" i="3"/>
  <c r="W33" i="3"/>
  <c r="U33" i="3"/>
  <c r="R33" i="3"/>
  <c r="O33" i="3"/>
  <c r="N33" i="3"/>
  <c r="L33" i="3"/>
  <c r="H33" i="3"/>
  <c r="I33" i="3" s="1"/>
  <c r="F33" i="3"/>
  <c r="C33" i="3"/>
  <c r="AC32" i="3"/>
  <c r="AD32" i="3" s="1"/>
  <c r="AA32" i="3"/>
  <c r="X32" i="3"/>
  <c r="W32" i="3"/>
  <c r="U32" i="3"/>
  <c r="R32" i="3"/>
  <c r="O32" i="3"/>
  <c r="N32" i="3"/>
  <c r="L32" i="3"/>
  <c r="H32" i="3"/>
  <c r="I32" i="3" s="1"/>
  <c r="F32" i="3"/>
  <c r="C32" i="3"/>
  <c r="AC31" i="3"/>
  <c r="AD31" i="3" s="1"/>
  <c r="AA31" i="3"/>
  <c r="X31" i="3"/>
  <c r="W31" i="3"/>
  <c r="U31" i="3"/>
  <c r="R31" i="3"/>
  <c r="N31" i="3"/>
  <c r="O31" i="3" s="1"/>
  <c r="L31" i="3"/>
  <c r="H31" i="3"/>
  <c r="I31" i="3" s="1"/>
  <c r="F31" i="3"/>
  <c r="C31" i="3"/>
  <c r="Z29" i="3"/>
  <c r="AA29" i="3" s="1"/>
  <c r="U29" i="3"/>
  <c r="T29" i="3"/>
  <c r="Q29" i="3"/>
  <c r="K29" i="3"/>
  <c r="N29" i="3" s="1"/>
  <c r="O29" i="3" s="1"/>
  <c r="H29" i="3"/>
  <c r="I29" i="3" s="1"/>
  <c r="E29" i="3"/>
  <c r="F29" i="3" s="1"/>
  <c r="C29" i="3"/>
  <c r="B29" i="3"/>
  <c r="AC28" i="3"/>
  <c r="AD28" i="3" s="1"/>
  <c r="AA28" i="3"/>
  <c r="X28" i="3"/>
  <c r="W28" i="3"/>
  <c r="U28" i="3"/>
  <c r="R28" i="3"/>
  <c r="N28" i="3"/>
  <c r="O28" i="3" s="1"/>
  <c r="L28" i="3"/>
  <c r="I28" i="3"/>
  <c r="H28" i="3"/>
  <c r="F28" i="3"/>
  <c r="C28" i="3"/>
  <c r="AD27" i="3"/>
  <c r="AC27" i="3"/>
  <c r="AA27" i="3"/>
  <c r="X27" i="3"/>
  <c r="W27" i="3"/>
  <c r="U27" i="3"/>
  <c r="R27" i="3"/>
  <c r="O27" i="3"/>
  <c r="N27" i="3"/>
  <c r="L27" i="3"/>
  <c r="H27" i="3"/>
  <c r="I27" i="3" s="1"/>
  <c r="F27" i="3"/>
  <c r="C27" i="3"/>
  <c r="AC26" i="3"/>
  <c r="AD26" i="3" s="1"/>
  <c r="AA26" i="3"/>
  <c r="X26" i="3"/>
  <c r="W26" i="3"/>
  <c r="U26" i="3"/>
  <c r="R26" i="3"/>
  <c r="O26" i="3"/>
  <c r="N26" i="3"/>
  <c r="L26" i="3"/>
  <c r="H26" i="3"/>
  <c r="I26" i="3" s="1"/>
  <c r="F26" i="3"/>
  <c r="C26" i="3"/>
  <c r="AD25" i="3"/>
  <c r="AC25" i="3"/>
  <c r="AA25" i="3"/>
  <c r="W25" i="3"/>
  <c r="X25" i="3" s="1"/>
  <c r="U25" i="3"/>
  <c r="R25" i="3"/>
  <c r="N25" i="3"/>
  <c r="O25" i="3" s="1"/>
  <c r="L25" i="3"/>
  <c r="H25" i="3"/>
  <c r="I25" i="3" s="1"/>
  <c r="F25" i="3"/>
  <c r="C25" i="3"/>
  <c r="AD24" i="3"/>
  <c r="AC24" i="3"/>
  <c r="AA24" i="3"/>
  <c r="X24" i="3"/>
  <c r="W24" i="3"/>
  <c r="U24" i="3"/>
  <c r="R24" i="3"/>
  <c r="O24" i="3"/>
  <c r="N24" i="3"/>
  <c r="L24" i="3"/>
  <c r="H24" i="3"/>
  <c r="I24" i="3" s="1"/>
  <c r="F24" i="3"/>
  <c r="C24" i="3"/>
  <c r="AD23" i="3"/>
  <c r="AC23" i="3"/>
  <c r="AA23" i="3"/>
  <c r="X23" i="3"/>
  <c r="W23" i="3"/>
  <c r="U23" i="3"/>
  <c r="R23" i="3"/>
  <c r="N23" i="3"/>
  <c r="O23" i="3" s="1"/>
  <c r="L23" i="3"/>
  <c r="I23" i="3"/>
  <c r="H23" i="3"/>
  <c r="F23" i="3"/>
  <c r="C23" i="3"/>
  <c r="AC22" i="3"/>
  <c r="AD22" i="3" s="1"/>
  <c r="AA22" i="3"/>
  <c r="X22" i="3"/>
  <c r="W22" i="3"/>
  <c r="U22" i="3"/>
  <c r="R22" i="3"/>
  <c r="O22" i="3"/>
  <c r="N22" i="3"/>
  <c r="L22" i="3"/>
  <c r="H22" i="3"/>
  <c r="I22" i="3" s="1"/>
  <c r="F22" i="3"/>
  <c r="C22" i="3"/>
  <c r="AC21" i="3"/>
  <c r="AD21" i="3" s="1"/>
  <c r="AA21" i="3"/>
  <c r="X21" i="3"/>
  <c r="W21" i="3"/>
  <c r="U21" i="3"/>
  <c r="R21" i="3"/>
  <c r="O21" i="3"/>
  <c r="N21" i="3"/>
  <c r="L21" i="3"/>
  <c r="H21" i="3"/>
  <c r="I21" i="3" s="1"/>
  <c r="F21" i="3"/>
  <c r="C21" i="3"/>
  <c r="AD19" i="3"/>
  <c r="AC19" i="3"/>
  <c r="AA19" i="3"/>
  <c r="X19" i="3"/>
  <c r="W19" i="3"/>
  <c r="U19" i="3"/>
  <c r="R19" i="3"/>
  <c r="N19" i="3"/>
  <c r="O19" i="3" s="1"/>
  <c r="L19" i="3"/>
  <c r="I19" i="3"/>
  <c r="H19" i="3"/>
  <c r="F19" i="3"/>
  <c r="C19" i="3"/>
  <c r="Z18" i="3"/>
  <c r="AA18" i="3" s="1"/>
  <c r="T18" i="3"/>
  <c r="U18" i="3" s="1"/>
  <c r="R18" i="3"/>
  <c r="Q18" i="3"/>
  <c r="K18" i="3"/>
  <c r="N18" i="3" s="1"/>
  <c r="O18" i="3" s="1"/>
  <c r="E18" i="3"/>
  <c r="C18" i="3"/>
  <c r="B18" i="3"/>
  <c r="AD17" i="3"/>
  <c r="AC17" i="3"/>
  <c r="AA17" i="3"/>
  <c r="W17" i="3"/>
  <c r="X17" i="3" s="1"/>
  <c r="U17" i="3"/>
  <c r="R17" i="3"/>
  <c r="N17" i="3"/>
  <c r="O17" i="3" s="1"/>
  <c r="L17" i="3"/>
  <c r="H17" i="3"/>
  <c r="I17" i="3" s="1"/>
  <c r="F17" i="3"/>
  <c r="C17" i="3"/>
  <c r="AC16" i="3"/>
  <c r="AD16" i="3" s="1"/>
  <c r="AA16" i="3"/>
  <c r="X16" i="3"/>
  <c r="W16" i="3"/>
  <c r="U16" i="3"/>
  <c r="R16" i="3"/>
  <c r="N16" i="3"/>
  <c r="O16" i="3" s="1"/>
  <c r="L16" i="3"/>
  <c r="H16" i="3"/>
  <c r="I16" i="3" s="1"/>
  <c r="F16" i="3"/>
  <c r="C16" i="3"/>
  <c r="AC15" i="3"/>
  <c r="AD15" i="3" s="1"/>
  <c r="AA15" i="3"/>
  <c r="X15" i="3"/>
  <c r="W15" i="3"/>
  <c r="U15" i="3"/>
  <c r="R15" i="3"/>
  <c r="O15" i="3"/>
  <c r="N15" i="3"/>
  <c r="L15" i="3"/>
  <c r="I15" i="3"/>
  <c r="H15" i="3"/>
  <c r="F15" i="3"/>
  <c r="C15" i="3"/>
  <c r="AC14" i="3"/>
  <c r="AD14" i="3" s="1"/>
  <c r="AA14" i="3"/>
  <c r="W14" i="3"/>
  <c r="X14" i="3" s="1"/>
  <c r="U14" i="3"/>
  <c r="R14" i="3"/>
  <c r="O14" i="3"/>
  <c r="N14" i="3"/>
  <c r="L14" i="3"/>
  <c r="I14" i="3"/>
  <c r="H14" i="3"/>
  <c r="F14" i="3"/>
  <c r="C14" i="3"/>
  <c r="AD13" i="3"/>
  <c r="AC13" i="3"/>
  <c r="AA13" i="3"/>
  <c r="W13" i="3"/>
  <c r="X13" i="3" s="1"/>
  <c r="U13" i="3"/>
  <c r="R13" i="3"/>
  <c r="N13" i="3"/>
  <c r="O13" i="3" s="1"/>
  <c r="L13" i="3"/>
  <c r="H13" i="3"/>
  <c r="I13" i="3" s="1"/>
  <c r="F13" i="3"/>
  <c r="C13" i="3"/>
  <c r="AC12" i="3"/>
  <c r="AD12" i="3" s="1"/>
  <c r="AA12" i="3"/>
  <c r="X12" i="3"/>
  <c r="W12" i="3"/>
  <c r="U12" i="3"/>
  <c r="R12" i="3"/>
  <c r="O12" i="3"/>
  <c r="N12" i="3"/>
  <c r="L12" i="3"/>
  <c r="I12" i="3"/>
  <c r="H12" i="3"/>
  <c r="F12" i="3"/>
  <c r="C12" i="3"/>
  <c r="AC11" i="3"/>
  <c r="AD11" i="3" s="1"/>
  <c r="AA11" i="3"/>
  <c r="W11" i="3"/>
  <c r="X11" i="3" s="1"/>
  <c r="U11" i="3"/>
  <c r="R11" i="3"/>
  <c r="O11" i="3"/>
  <c r="N11" i="3"/>
  <c r="L11" i="3"/>
  <c r="H11" i="3"/>
  <c r="I11" i="3" s="1"/>
  <c r="F11" i="3"/>
  <c r="C11" i="3"/>
  <c r="AC10" i="3"/>
  <c r="AD10" i="3" s="1"/>
  <c r="AA10" i="3"/>
  <c r="X10" i="3"/>
  <c r="W10" i="3"/>
  <c r="U10" i="3"/>
  <c r="R10" i="3"/>
  <c r="O10" i="3"/>
  <c r="N10" i="3"/>
  <c r="L10" i="3"/>
  <c r="H10" i="3"/>
  <c r="I10" i="3" s="1"/>
  <c r="F10" i="3"/>
  <c r="C10" i="3"/>
  <c r="AC8" i="3"/>
  <c r="AD8" i="3" s="1"/>
  <c r="AA8" i="3"/>
  <c r="W8" i="3"/>
  <c r="X8" i="3" s="1"/>
  <c r="U8" i="3"/>
  <c r="R8" i="3"/>
  <c r="N8" i="3"/>
  <c r="O8" i="3" s="1"/>
  <c r="L8" i="3"/>
  <c r="H8" i="3"/>
  <c r="I8" i="3" s="1"/>
  <c r="F8" i="3"/>
  <c r="C8" i="3"/>
  <c r="AC444" i="2"/>
  <c r="W444" i="2"/>
  <c r="N444" i="2"/>
  <c r="H444" i="2"/>
  <c r="Z442" i="2"/>
  <c r="AA442" i="2" s="1"/>
  <c r="T442" i="2"/>
  <c r="U442" i="2" s="1"/>
  <c r="R442" i="2"/>
  <c r="Q442" i="2"/>
  <c r="W442" i="2" s="1"/>
  <c r="X442" i="2" s="1"/>
  <c r="K442" i="2"/>
  <c r="L442" i="2" s="1"/>
  <c r="E442" i="2"/>
  <c r="C442" i="2"/>
  <c r="B442" i="2"/>
  <c r="Z441" i="2"/>
  <c r="U441" i="2"/>
  <c r="T441" i="2"/>
  <c r="W441" i="2" s="1"/>
  <c r="Q441" i="2"/>
  <c r="R441" i="2" s="1"/>
  <c r="L441" i="2"/>
  <c r="K441" i="2"/>
  <c r="E441" i="2"/>
  <c r="F441" i="2" s="1"/>
  <c r="B441" i="2"/>
  <c r="C441" i="2" s="1"/>
  <c r="AD440" i="2"/>
  <c r="AC440" i="2"/>
  <c r="AA440" i="2"/>
  <c r="W440" i="2"/>
  <c r="U440" i="2"/>
  <c r="R440" i="2"/>
  <c r="N440" i="2"/>
  <c r="O440" i="2" s="1"/>
  <c r="L440" i="2"/>
  <c r="I440" i="2"/>
  <c r="H440" i="2"/>
  <c r="F440" i="2"/>
  <c r="C440" i="2"/>
  <c r="AC439" i="2"/>
  <c r="AD439" i="2" s="1"/>
  <c r="AA439" i="2"/>
  <c r="X439" i="2"/>
  <c r="W439" i="2"/>
  <c r="U439" i="2"/>
  <c r="R439" i="2"/>
  <c r="O439" i="2"/>
  <c r="N439" i="2"/>
  <c r="L439" i="2"/>
  <c r="H439" i="2"/>
  <c r="I439" i="2" s="1"/>
  <c r="F439" i="2"/>
  <c r="C439" i="2"/>
  <c r="AC438" i="2"/>
  <c r="AD438" i="2" s="1"/>
  <c r="AA438" i="2"/>
  <c r="W438" i="2"/>
  <c r="U438" i="2"/>
  <c r="R438" i="2"/>
  <c r="O438" i="2"/>
  <c r="N438" i="2"/>
  <c r="L438" i="2"/>
  <c r="I438" i="2"/>
  <c r="H438" i="2"/>
  <c r="F438" i="2"/>
  <c r="C438" i="2"/>
  <c r="AD437" i="2"/>
  <c r="AC437" i="2"/>
  <c r="AA437" i="2"/>
  <c r="W437" i="2"/>
  <c r="X437" i="2" s="1"/>
  <c r="U437" i="2"/>
  <c r="R437" i="2"/>
  <c r="N437" i="2"/>
  <c r="O437" i="2" s="1"/>
  <c r="L437" i="2"/>
  <c r="H437" i="2"/>
  <c r="I437" i="2" s="1"/>
  <c r="F437" i="2"/>
  <c r="C437" i="2"/>
  <c r="AC436" i="2"/>
  <c r="AA436" i="2"/>
  <c r="X436" i="2"/>
  <c r="W436" i="2"/>
  <c r="U436" i="2"/>
  <c r="R436" i="2"/>
  <c r="O436" i="2"/>
  <c r="N436" i="2"/>
  <c r="L436" i="2"/>
  <c r="H436" i="2"/>
  <c r="I436" i="2" s="1"/>
  <c r="F436" i="2"/>
  <c r="C436" i="2"/>
  <c r="AD435" i="2"/>
  <c r="AC435" i="2"/>
  <c r="AA435" i="2"/>
  <c r="W435" i="2"/>
  <c r="U435" i="2"/>
  <c r="R435" i="2"/>
  <c r="N435" i="2"/>
  <c r="O435" i="2" s="1"/>
  <c r="L435" i="2"/>
  <c r="H435" i="2"/>
  <c r="I435" i="2" s="1"/>
  <c r="F435" i="2"/>
  <c r="C435" i="2"/>
  <c r="AC434" i="2"/>
  <c r="AA434" i="2"/>
  <c r="W434" i="2"/>
  <c r="X434" i="2" s="1"/>
  <c r="U434" i="2"/>
  <c r="R434" i="2"/>
  <c r="O434" i="2"/>
  <c r="N434" i="2"/>
  <c r="L434" i="2"/>
  <c r="H434" i="2"/>
  <c r="I434" i="2" s="1"/>
  <c r="F434" i="2"/>
  <c r="C434" i="2"/>
  <c r="AD433" i="2"/>
  <c r="AC433" i="2"/>
  <c r="AA433" i="2"/>
  <c r="W433" i="2"/>
  <c r="U433" i="2"/>
  <c r="R433" i="2"/>
  <c r="N433" i="2"/>
  <c r="O433" i="2" s="1"/>
  <c r="L433" i="2"/>
  <c r="H433" i="2"/>
  <c r="I433" i="2" s="1"/>
  <c r="F433" i="2"/>
  <c r="C433" i="2"/>
  <c r="AC432" i="2"/>
  <c r="AA432" i="2"/>
  <c r="X432" i="2"/>
  <c r="W432" i="2"/>
  <c r="U432" i="2"/>
  <c r="R432" i="2"/>
  <c r="N432" i="2"/>
  <c r="O432" i="2" s="1"/>
  <c r="L432" i="2"/>
  <c r="H432" i="2"/>
  <c r="I432" i="2" s="1"/>
  <c r="F432" i="2"/>
  <c r="C432" i="2"/>
  <c r="Z429" i="2"/>
  <c r="AA429" i="2" s="1"/>
  <c r="T429" i="2"/>
  <c r="R429" i="2"/>
  <c r="Q429" i="2"/>
  <c r="N429" i="2"/>
  <c r="O429" i="2" s="1"/>
  <c r="L429" i="2"/>
  <c r="K429" i="2"/>
  <c r="E429" i="2"/>
  <c r="F429" i="2" s="1"/>
  <c r="C429" i="2"/>
  <c r="B429" i="2"/>
  <c r="AD428" i="2"/>
  <c r="AC428" i="2"/>
  <c r="Z428" i="2"/>
  <c r="AA428" i="2" s="1"/>
  <c r="U428" i="2"/>
  <c r="T428" i="2"/>
  <c r="Q428" i="2"/>
  <c r="R428" i="2" s="1"/>
  <c r="K428" i="2"/>
  <c r="L428" i="2" s="1"/>
  <c r="H428" i="2"/>
  <c r="I428" i="2" s="1"/>
  <c r="F428" i="2"/>
  <c r="E428" i="2"/>
  <c r="B428" i="2"/>
  <c r="C428" i="2" s="1"/>
  <c r="AC427" i="2"/>
  <c r="AA427" i="2"/>
  <c r="X427" i="2"/>
  <c r="W427" i="2"/>
  <c r="U427" i="2"/>
  <c r="R427" i="2"/>
  <c r="O427" i="2"/>
  <c r="N427" i="2"/>
  <c r="L427" i="2"/>
  <c r="H427" i="2"/>
  <c r="I427" i="2" s="1"/>
  <c r="F427" i="2"/>
  <c r="C427" i="2"/>
  <c r="AC426" i="2"/>
  <c r="AA426" i="2"/>
  <c r="W426" i="2"/>
  <c r="U426" i="2"/>
  <c r="R426" i="2"/>
  <c r="O426" i="2"/>
  <c r="N426" i="2"/>
  <c r="L426" i="2"/>
  <c r="I426" i="2"/>
  <c r="H426" i="2"/>
  <c r="F426" i="2"/>
  <c r="C426" i="2"/>
  <c r="AC425" i="2"/>
  <c r="AD425" i="2" s="1"/>
  <c r="AA425" i="2"/>
  <c r="W425" i="2"/>
  <c r="X425" i="2" s="1"/>
  <c r="U425" i="2"/>
  <c r="R425" i="2"/>
  <c r="N425" i="2"/>
  <c r="O425" i="2" s="1"/>
  <c r="L425" i="2"/>
  <c r="H425" i="2"/>
  <c r="I425" i="2" s="1"/>
  <c r="F425" i="2"/>
  <c r="C425" i="2"/>
  <c r="AC424" i="2"/>
  <c r="AA424" i="2"/>
  <c r="X424" i="2"/>
  <c r="W424" i="2"/>
  <c r="U424" i="2"/>
  <c r="R424" i="2"/>
  <c r="O424" i="2"/>
  <c r="N424" i="2"/>
  <c r="L424" i="2"/>
  <c r="H424" i="2"/>
  <c r="I424" i="2" s="1"/>
  <c r="F424" i="2"/>
  <c r="C424" i="2"/>
  <c r="AC423" i="2"/>
  <c r="AA423" i="2"/>
  <c r="W423" i="2"/>
  <c r="U423" i="2"/>
  <c r="R423" i="2"/>
  <c r="O423" i="2"/>
  <c r="N423" i="2"/>
  <c r="L423" i="2"/>
  <c r="I423" i="2"/>
  <c r="H423" i="2"/>
  <c r="F423" i="2"/>
  <c r="C423" i="2"/>
  <c r="AC422" i="2"/>
  <c r="AD422" i="2" s="1"/>
  <c r="AA422" i="2"/>
  <c r="W422" i="2"/>
  <c r="X422" i="2" s="1"/>
  <c r="U422" i="2"/>
  <c r="R422" i="2"/>
  <c r="O422" i="2"/>
  <c r="N422" i="2"/>
  <c r="L422" i="2"/>
  <c r="I422" i="2"/>
  <c r="H422" i="2"/>
  <c r="F422" i="2"/>
  <c r="C422" i="2"/>
  <c r="AC421" i="2"/>
  <c r="AA421" i="2"/>
  <c r="W421" i="2"/>
  <c r="U421" i="2"/>
  <c r="R421" i="2"/>
  <c r="O421" i="2"/>
  <c r="N421" i="2"/>
  <c r="L421" i="2"/>
  <c r="I421" i="2"/>
  <c r="H421" i="2"/>
  <c r="F421" i="2"/>
  <c r="C421" i="2"/>
  <c r="AC420" i="2"/>
  <c r="AD420" i="2" s="1"/>
  <c r="AA420" i="2"/>
  <c r="W420" i="2"/>
  <c r="X420" i="2" s="1"/>
  <c r="U420" i="2"/>
  <c r="R420" i="2"/>
  <c r="N420" i="2"/>
  <c r="O420" i="2" s="1"/>
  <c r="L420" i="2"/>
  <c r="H420" i="2"/>
  <c r="I420" i="2" s="1"/>
  <c r="F420" i="2"/>
  <c r="C420" i="2"/>
  <c r="AC419" i="2"/>
  <c r="AA419" i="2"/>
  <c r="W419" i="2"/>
  <c r="U419" i="2"/>
  <c r="R419" i="2"/>
  <c r="O419" i="2"/>
  <c r="N419" i="2"/>
  <c r="L419" i="2"/>
  <c r="I419" i="2"/>
  <c r="H419" i="2"/>
  <c r="F419" i="2"/>
  <c r="C419" i="2"/>
  <c r="AC418" i="2"/>
  <c r="AD418" i="2" s="1"/>
  <c r="AA418" i="2"/>
  <c r="W418" i="2"/>
  <c r="X418" i="2" s="1"/>
  <c r="U418" i="2"/>
  <c r="R418" i="2"/>
  <c r="N418" i="2"/>
  <c r="O418" i="2" s="1"/>
  <c r="L418" i="2"/>
  <c r="I418" i="2"/>
  <c r="H418" i="2"/>
  <c r="F418" i="2"/>
  <c r="C418" i="2"/>
  <c r="AC417" i="2"/>
  <c r="AA417" i="2"/>
  <c r="X417" i="2"/>
  <c r="W417" i="2"/>
  <c r="U417" i="2"/>
  <c r="R417" i="2"/>
  <c r="O417" i="2"/>
  <c r="N417" i="2"/>
  <c r="L417" i="2"/>
  <c r="H417" i="2"/>
  <c r="I417" i="2" s="1"/>
  <c r="F417" i="2"/>
  <c r="C417" i="2"/>
  <c r="AC416" i="2"/>
  <c r="AD416" i="2" s="1"/>
  <c r="AA416" i="2"/>
  <c r="W416" i="2"/>
  <c r="X416" i="2" s="1"/>
  <c r="U416" i="2"/>
  <c r="R416" i="2"/>
  <c r="N416" i="2"/>
  <c r="O416" i="2" s="1"/>
  <c r="L416" i="2"/>
  <c r="H416" i="2"/>
  <c r="I416" i="2" s="1"/>
  <c r="F416" i="2"/>
  <c r="C416" i="2"/>
  <c r="AC415" i="2"/>
  <c r="AA415" i="2"/>
  <c r="X415" i="2"/>
  <c r="W415" i="2"/>
  <c r="U415" i="2"/>
  <c r="R415" i="2"/>
  <c r="O415" i="2"/>
  <c r="N415" i="2"/>
  <c r="L415" i="2"/>
  <c r="I415" i="2"/>
  <c r="H415" i="2"/>
  <c r="F415" i="2"/>
  <c r="C415" i="2"/>
  <c r="AD414" i="2"/>
  <c r="AC414" i="2"/>
  <c r="AA414" i="2"/>
  <c r="W414" i="2"/>
  <c r="X414" i="2" s="1"/>
  <c r="U414" i="2"/>
  <c r="R414" i="2"/>
  <c r="O414" i="2"/>
  <c r="N414" i="2"/>
  <c r="L414" i="2"/>
  <c r="I414" i="2"/>
  <c r="H414" i="2"/>
  <c r="F414" i="2"/>
  <c r="C414" i="2"/>
  <c r="AC413" i="2"/>
  <c r="AD413" i="2" s="1"/>
  <c r="AA413" i="2"/>
  <c r="W413" i="2"/>
  <c r="U413" i="2"/>
  <c r="R413" i="2"/>
  <c r="O413" i="2"/>
  <c r="N413" i="2"/>
  <c r="L413" i="2"/>
  <c r="I413" i="2"/>
  <c r="H413" i="2"/>
  <c r="F413" i="2"/>
  <c r="C413" i="2"/>
  <c r="AC412" i="2"/>
  <c r="AD412" i="2" s="1"/>
  <c r="AA412" i="2"/>
  <c r="X412" i="2"/>
  <c r="W412" i="2"/>
  <c r="U412" i="2"/>
  <c r="R412" i="2"/>
  <c r="N412" i="2"/>
  <c r="O412" i="2" s="1"/>
  <c r="L412" i="2"/>
  <c r="H412" i="2"/>
  <c r="I412" i="2" s="1"/>
  <c r="F412" i="2"/>
  <c r="C412" i="2"/>
  <c r="AC411" i="2"/>
  <c r="AA411" i="2"/>
  <c r="X411" i="2"/>
  <c r="W411" i="2"/>
  <c r="U411" i="2"/>
  <c r="R411" i="2"/>
  <c r="O411" i="2"/>
  <c r="N411" i="2"/>
  <c r="L411" i="2"/>
  <c r="H411" i="2"/>
  <c r="I411" i="2" s="1"/>
  <c r="F411" i="2"/>
  <c r="C411" i="2"/>
  <c r="AC410" i="2"/>
  <c r="AD410" i="2" s="1"/>
  <c r="AA410" i="2"/>
  <c r="W410" i="2"/>
  <c r="X410" i="2" s="1"/>
  <c r="U410" i="2"/>
  <c r="R410" i="2"/>
  <c r="O410" i="2"/>
  <c r="N410" i="2"/>
  <c r="L410" i="2"/>
  <c r="I410" i="2"/>
  <c r="H410" i="2"/>
  <c r="F410" i="2"/>
  <c r="C410" i="2"/>
  <c r="AC409" i="2"/>
  <c r="AD409" i="2" s="1"/>
  <c r="AA409" i="2"/>
  <c r="W409" i="2"/>
  <c r="U409" i="2"/>
  <c r="R409" i="2"/>
  <c r="O409" i="2"/>
  <c r="N409" i="2"/>
  <c r="L409" i="2"/>
  <c r="I409" i="2"/>
  <c r="H409" i="2"/>
  <c r="F409" i="2"/>
  <c r="C409" i="2"/>
  <c r="AD408" i="2"/>
  <c r="AC408" i="2"/>
  <c r="AA408" i="2"/>
  <c r="X408" i="2"/>
  <c r="W408" i="2"/>
  <c r="U408" i="2"/>
  <c r="R408" i="2"/>
  <c r="N408" i="2"/>
  <c r="O408" i="2" s="1"/>
  <c r="L408" i="2"/>
  <c r="H408" i="2"/>
  <c r="I408" i="2" s="1"/>
  <c r="F408" i="2"/>
  <c r="C408" i="2"/>
  <c r="AC407" i="2"/>
  <c r="AA407" i="2"/>
  <c r="X407" i="2"/>
  <c r="W407" i="2"/>
  <c r="U407" i="2"/>
  <c r="R407" i="2"/>
  <c r="O407" i="2"/>
  <c r="N407" i="2"/>
  <c r="L407" i="2"/>
  <c r="H407" i="2"/>
  <c r="I407" i="2" s="1"/>
  <c r="F407" i="2"/>
  <c r="C407" i="2"/>
  <c r="Z403" i="2"/>
  <c r="AA403" i="2" s="1"/>
  <c r="W403" i="2"/>
  <c r="X403" i="2" s="1"/>
  <c r="T403" i="2"/>
  <c r="U403" i="2" s="1"/>
  <c r="R403" i="2"/>
  <c r="Q403" i="2"/>
  <c r="K403" i="2"/>
  <c r="N403" i="2" s="1"/>
  <c r="O403" i="2" s="1"/>
  <c r="F403" i="2"/>
  <c r="E403" i="2"/>
  <c r="B403" i="2"/>
  <c r="AD402" i="2"/>
  <c r="AC402" i="2"/>
  <c r="AA402" i="2"/>
  <c r="W402" i="2"/>
  <c r="X402" i="2" s="1"/>
  <c r="U402" i="2"/>
  <c r="R402" i="2"/>
  <c r="O402" i="2"/>
  <c r="N402" i="2"/>
  <c r="L402" i="2"/>
  <c r="H402" i="2"/>
  <c r="I402" i="2" s="1"/>
  <c r="F402" i="2"/>
  <c r="C402" i="2"/>
  <c r="AC401" i="2"/>
  <c r="AD401" i="2" s="1"/>
  <c r="AA401" i="2"/>
  <c r="X401" i="2"/>
  <c r="W401" i="2"/>
  <c r="U401" i="2"/>
  <c r="R401" i="2"/>
  <c r="O401" i="2"/>
  <c r="N401" i="2"/>
  <c r="L401" i="2"/>
  <c r="I401" i="2"/>
  <c r="H401" i="2"/>
  <c r="F401" i="2"/>
  <c r="C401" i="2"/>
  <c r="AC400" i="2"/>
  <c r="AA400" i="2"/>
  <c r="W400" i="2"/>
  <c r="X400" i="2" s="1"/>
  <c r="U400" i="2"/>
  <c r="R400" i="2"/>
  <c r="O400" i="2"/>
  <c r="N400" i="2"/>
  <c r="L400" i="2"/>
  <c r="H400" i="2"/>
  <c r="I400" i="2" s="1"/>
  <c r="F400" i="2"/>
  <c r="C400" i="2"/>
  <c r="AC399" i="2"/>
  <c r="AD399" i="2" s="1"/>
  <c r="AA399" i="2"/>
  <c r="X399" i="2"/>
  <c r="W399" i="2"/>
  <c r="U399" i="2"/>
  <c r="R399" i="2"/>
  <c r="N399" i="2"/>
  <c r="O399" i="2" s="1"/>
  <c r="L399" i="2"/>
  <c r="H399" i="2"/>
  <c r="I399" i="2" s="1"/>
  <c r="F399" i="2"/>
  <c r="C399" i="2"/>
  <c r="AC398" i="2"/>
  <c r="AD398" i="2" s="1"/>
  <c r="AA398" i="2"/>
  <c r="X398" i="2"/>
  <c r="W398" i="2"/>
  <c r="U398" i="2"/>
  <c r="R398" i="2"/>
  <c r="N398" i="2"/>
  <c r="O398" i="2" s="1"/>
  <c r="L398" i="2"/>
  <c r="I398" i="2"/>
  <c r="H398" i="2"/>
  <c r="F398" i="2"/>
  <c r="C398" i="2"/>
  <c r="AC397" i="2"/>
  <c r="AA397" i="2"/>
  <c r="X397" i="2"/>
  <c r="W397" i="2"/>
  <c r="U397" i="2"/>
  <c r="R397" i="2"/>
  <c r="O397" i="2"/>
  <c r="N397" i="2"/>
  <c r="L397" i="2"/>
  <c r="H397" i="2"/>
  <c r="I397" i="2" s="1"/>
  <c r="F397" i="2"/>
  <c r="C397" i="2"/>
  <c r="Z396" i="2"/>
  <c r="AA396" i="2" s="1"/>
  <c r="T396" i="2"/>
  <c r="U396" i="2" s="1"/>
  <c r="R396" i="2"/>
  <c r="Q396" i="2"/>
  <c r="L396" i="2"/>
  <c r="K396" i="2"/>
  <c r="E396" i="2"/>
  <c r="F396" i="2" s="1"/>
  <c r="B396" i="2"/>
  <c r="AC395" i="2"/>
  <c r="AD395" i="2" s="1"/>
  <c r="AA395" i="2"/>
  <c r="W395" i="2"/>
  <c r="X395" i="2" s="1"/>
  <c r="U395" i="2"/>
  <c r="R395" i="2"/>
  <c r="O395" i="2"/>
  <c r="N395" i="2"/>
  <c r="L395" i="2"/>
  <c r="I395" i="2"/>
  <c r="H395" i="2"/>
  <c r="F395" i="2"/>
  <c r="C395" i="2"/>
  <c r="AC394" i="2"/>
  <c r="AD394" i="2" s="1"/>
  <c r="AA394" i="2"/>
  <c r="W394" i="2"/>
  <c r="X394" i="2" s="1"/>
  <c r="U394" i="2"/>
  <c r="R394" i="2"/>
  <c r="O394" i="2"/>
  <c r="N394" i="2"/>
  <c r="L394" i="2"/>
  <c r="I394" i="2"/>
  <c r="H394" i="2"/>
  <c r="F394" i="2"/>
  <c r="C394" i="2"/>
  <c r="Z393" i="2"/>
  <c r="AA393" i="2" s="1"/>
  <c r="T393" i="2"/>
  <c r="U393" i="2" s="1"/>
  <c r="R393" i="2"/>
  <c r="Q393" i="2"/>
  <c r="N393" i="2"/>
  <c r="O393" i="2" s="1"/>
  <c r="K393" i="2"/>
  <c r="L393" i="2" s="1"/>
  <c r="F393" i="2"/>
  <c r="E393" i="2"/>
  <c r="B393" i="2"/>
  <c r="C393" i="2" s="1"/>
  <c r="AC392" i="2"/>
  <c r="AD392" i="2" s="1"/>
  <c r="AA392" i="2"/>
  <c r="X392" i="2"/>
  <c r="W392" i="2"/>
  <c r="U392" i="2"/>
  <c r="R392" i="2"/>
  <c r="N392" i="2"/>
  <c r="O392" i="2" s="1"/>
  <c r="L392" i="2"/>
  <c r="I392" i="2"/>
  <c r="H392" i="2"/>
  <c r="F392" i="2"/>
  <c r="C392" i="2"/>
  <c r="AC391" i="2"/>
  <c r="AA391" i="2"/>
  <c r="W391" i="2"/>
  <c r="X391" i="2" s="1"/>
  <c r="U391" i="2"/>
  <c r="R391" i="2"/>
  <c r="O391" i="2"/>
  <c r="N391" i="2"/>
  <c r="L391" i="2"/>
  <c r="H391" i="2"/>
  <c r="I391" i="2" s="1"/>
  <c r="F391" i="2"/>
  <c r="C391" i="2"/>
  <c r="AD390" i="2"/>
  <c r="AC390" i="2"/>
  <c r="AA390" i="2"/>
  <c r="W390" i="2"/>
  <c r="U390" i="2"/>
  <c r="R390" i="2"/>
  <c r="N390" i="2"/>
  <c r="O390" i="2" s="1"/>
  <c r="L390" i="2"/>
  <c r="H390" i="2"/>
  <c r="I390" i="2" s="1"/>
  <c r="F390" i="2"/>
  <c r="C390" i="2"/>
  <c r="AC389" i="2"/>
  <c r="AD389" i="2" s="1"/>
  <c r="AA389" i="2"/>
  <c r="X389" i="2"/>
  <c r="W389" i="2"/>
  <c r="U389" i="2"/>
  <c r="R389" i="2"/>
  <c r="N389" i="2"/>
  <c r="O389" i="2" s="1"/>
  <c r="L389" i="2"/>
  <c r="I389" i="2"/>
  <c r="H389" i="2"/>
  <c r="F389" i="2"/>
  <c r="C389" i="2"/>
  <c r="AC388" i="2"/>
  <c r="AA388" i="2"/>
  <c r="X388" i="2"/>
  <c r="W388" i="2"/>
  <c r="U388" i="2"/>
  <c r="R388" i="2"/>
  <c r="O388" i="2"/>
  <c r="N388" i="2"/>
  <c r="L388" i="2"/>
  <c r="H388" i="2"/>
  <c r="I388" i="2" s="1"/>
  <c r="F388" i="2"/>
  <c r="C388" i="2"/>
  <c r="AC386" i="2"/>
  <c r="AA386" i="2"/>
  <c r="W386" i="2"/>
  <c r="U386" i="2"/>
  <c r="R386" i="2"/>
  <c r="O386" i="2"/>
  <c r="N386" i="2"/>
  <c r="L386" i="2"/>
  <c r="I386" i="2"/>
  <c r="H386" i="2"/>
  <c r="F386" i="2"/>
  <c r="C386" i="2"/>
  <c r="AD385" i="2"/>
  <c r="AC385" i="2"/>
  <c r="AA385" i="2"/>
  <c r="W385" i="2"/>
  <c r="X385" i="2" s="1"/>
  <c r="U385" i="2"/>
  <c r="R385" i="2"/>
  <c r="O385" i="2"/>
  <c r="N385" i="2"/>
  <c r="L385" i="2"/>
  <c r="I385" i="2"/>
  <c r="H385" i="2"/>
  <c r="F385" i="2"/>
  <c r="C385" i="2"/>
  <c r="AC383" i="2"/>
  <c r="AD383" i="2" s="1"/>
  <c r="AA383" i="2"/>
  <c r="W383" i="2"/>
  <c r="X383" i="2" s="1"/>
  <c r="U383" i="2"/>
  <c r="R383" i="2"/>
  <c r="O383" i="2"/>
  <c r="N383" i="2"/>
  <c r="L383" i="2"/>
  <c r="I383" i="2"/>
  <c r="H383" i="2"/>
  <c r="F383" i="2"/>
  <c r="C383" i="2"/>
  <c r="AD382" i="2"/>
  <c r="AC382" i="2"/>
  <c r="AA382" i="2"/>
  <c r="W382" i="2"/>
  <c r="X382" i="2" s="1"/>
  <c r="U382" i="2"/>
  <c r="R382" i="2"/>
  <c r="N382" i="2"/>
  <c r="O382" i="2" s="1"/>
  <c r="L382" i="2"/>
  <c r="H382" i="2"/>
  <c r="I382" i="2" s="1"/>
  <c r="F382" i="2"/>
  <c r="C382" i="2"/>
  <c r="AD381" i="2"/>
  <c r="AC381" i="2"/>
  <c r="AA381" i="2"/>
  <c r="W381" i="2"/>
  <c r="U381" i="2"/>
  <c r="R381" i="2"/>
  <c r="N381" i="2"/>
  <c r="O381" i="2" s="1"/>
  <c r="L381" i="2"/>
  <c r="I381" i="2"/>
  <c r="H381" i="2"/>
  <c r="F381" i="2"/>
  <c r="C381" i="2"/>
  <c r="AD380" i="2"/>
  <c r="AC380" i="2"/>
  <c r="AA380" i="2"/>
  <c r="W380" i="2"/>
  <c r="X380" i="2" s="1"/>
  <c r="U380" i="2"/>
  <c r="R380" i="2"/>
  <c r="O380" i="2"/>
  <c r="N380" i="2"/>
  <c r="L380" i="2"/>
  <c r="I380" i="2"/>
  <c r="H380" i="2"/>
  <c r="F380" i="2"/>
  <c r="C380" i="2"/>
  <c r="AC379" i="2"/>
  <c r="AD379" i="2" s="1"/>
  <c r="AA379" i="2"/>
  <c r="W379" i="2"/>
  <c r="X379" i="2" s="1"/>
  <c r="U379" i="2"/>
  <c r="R379" i="2"/>
  <c r="O379" i="2"/>
  <c r="N379" i="2"/>
  <c r="L379" i="2"/>
  <c r="I379" i="2"/>
  <c r="H379" i="2"/>
  <c r="F379" i="2"/>
  <c r="C379" i="2"/>
  <c r="AD378" i="2"/>
  <c r="AC378" i="2"/>
  <c r="AA378" i="2"/>
  <c r="X378" i="2"/>
  <c r="W378" i="2"/>
  <c r="U378" i="2"/>
  <c r="R378" i="2"/>
  <c r="N378" i="2"/>
  <c r="O378" i="2" s="1"/>
  <c r="L378" i="2"/>
  <c r="H378" i="2"/>
  <c r="I378" i="2" s="1"/>
  <c r="F378" i="2"/>
  <c r="C378" i="2"/>
  <c r="AD377" i="2"/>
  <c r="AC377" i="2"/>
  <c r="AA377" i="2"/>
  <c r="W377" i="2"/>
  <c r="U377" i="2"/>
  <c r="R377" i="2"/>
  <c r="N377" i="2"/>
  <c r="O377" i="2" s="1"/>
  <c r="L377" i="2"/>
  <c r="I377" i="2"/>
  <c r="H377" i="2"/>
  <c r="F377" i="2"/>
  <c r="C377" i="2"/>
  <c r="AD376" i="2"/>
  <c r="AC376" i="2"/>
  <c r="AA376" i="2"/>
  <c r="W376" i="2"/>
  <c r="X376" i="2" s="1"/>
  <c r="U376" i="2"/>
  <c r="R376" i="2"/>
  <c r="N376" i="2"/>
  <c r="O376" i="2" s="1"/>
  <c r="L376" i="2"/>
  <c r="I376" i="2"/>
  <c r="H376" i="2"/>
  <c r="F376" i="2"/>
  <c r="C376" i="2"/>
  <c r="AC375" i="2"/>
  <c r="AD375" i="2" s="1"/>
  <c r="AA375" i="2"/>
  <c r="W375" i="2"/>
  <c r="X375" i="2" s="1"/>
  <c r="U375" i="2"/>
  <c r="R375" i="2"/>
  <c r="O375" i="2"/>
  <c r="N375" i="2"/>
  <c r="L375" i="2"/>
  <c r="H375" i="2"/>
  <c r="I375" i="2" s="1"/>
  <c r="F375" i="2"/>
  <c r="C375" i="2"/>
  <c r="AD374" i="2"/>
  <c r="AC374" i="2"/>
  <c r="AA374" i="2"/>
  <c r="X374" i="2"/>
  <c r="W374" i="2"/>
  <c r="U374" i="2"/>
  <c r="R374" i="2"/>
  <c r="N374" i="2"/>
  <c r="O374" i="2" s="1"/>
  <c r="L374" i="2"/>
  <c r="H374" i="2"/>
  <c r="I374" i="2" s="1"/>
  <c r="F374" i="2"/>
  <c r="C374" i="2"/>
  <c r="AD373" i="2"/>
  <c r="AC373" i="2"/>
  <c r="AA373" i="2"/>
  <c r="W373" i="2"/>
  <c r="U373" i="2"/>
  <c r="R373" i="2"/>
  <c r="N373" i="2"/>
  <c r="O373" i="2" s="1"/>
  <c r="L373" i="2"/>
  <c r="I373" i="2"/>
  <c r="H373" i="2"/>
  <c r="F373" i="2"/>
  <c r="C373" i="2"/>
  <c r="AD372" i="2"/>
  <c r="AC372" i="2"/>
  <c r="AA372" i="2"/>
  <c r="W372" i="2"/>
  <c r="X372" i="2" s="1"/>
  <c r="U372" i="2"/>
  <c r="R372" i="2"/>
  <c r="N372" i="2"/>
  <c r="O372" i="2" s="1"/>
  <c r="L372" i="2"/>
  <c r="I372" i="2"/>
  <c r="H372" i="2"/>
  <c r="F372" i="2"/>
  <c r="C372" i="2"/>
  <c r="AC371" i="2"/>
  <c r="AD371" i="2" s="1"/>
  <c r="AA371" i="2"/>
  <c r="X371" i="2"/>
  <c r="W371" i="2"/>
  <c r="U371" i="2"/>
  <c r="R371" i="2"/>
  <c r="O371" i="2"/>
  <c r="N371" i="2"/>
  <c r="L371" i="2"/>
  <c r="H371" i="2"/>
  <c r="I371" i="2" s="1"/>
  <c r="F371" i="2"/>
  <c r="C371" i="2"/>
  <c r="AD370" i="2"/>
  <c r="AC370" i="2"/>
  <c r="AA370" i="2"/>
  <c r="X370" i="2"/>
  <c r="W370" i="2"/>
  <c r="U370" i="2"/>
  <c r="R370" i="2"/>
  <c r="N370" i="2"/>
  <c r="O370" i="2" s="1"/>
  <c r="L370" i="2"/>
  <c r="H370" i="2"/>
  <c r="I370" i="2" s="1"/>
  <c r="F370" i="2"/>
  <c r="C370" i="2"/>
  <c r="AD369" i="2"/>
  <c r="AC369" i="2"/>
  <c r="AA369" i="2"/>
  <c r="W369" i="2"/>
  <c r="U369" i="2"/>
  <c r="R369" i="2"/>
  <c r="N369" i="2"/>
  <c r="O369" i="2" s="1"/>
  <c r="L369" i="2"/>
  <c r="I369" i="2"/>
  <c r="H369" i="2"/>
  <c r="F369" i="2"/>
  <c r="C369" i="2"/>
  <c r="AA368" i="2"/>
  <c r="Z368" i="2"/>
  <c r="T368" i="2"/>
  <c r="U368" i="2" s="1"/>
  <c r="Q368" i="2"/>
  <c r="AC368" i="2" s="1"/>
  <c r="AD368" i="2" s="1"/>
  <c r="L368" i="2"/>
  <c r="K368" i="2"/>
  <c r="F368" i="2"/>
  <c r="E368" i="2"/>
  <c r="H368" i="2" s="1"/>
  <c r="I368" i="2" s="1"/>
  <c r="C368" i="2"/>
  <c r="B368" i="2"/>
  <c r="N368" i="2" s="1"/>
  <c r="O368" i="2" s="1"/>
  <c r="AD367" i="2"/>
  <c r="AC367" i="2"/>
  <c r="AA367" i="2"/>
  <c r="W367" i="2"/>
  <c r="X367" i="2" s="1"/>
  <c r="U367" i="2"/>
  <c r="R367" i="2"/>
  <c r="N367" i="2"/>
  <c r="O367" i="2" s="1"/>
  <c r="L367" i="2"/>
  <c r="H367" i="2"/>
  <c r="I367" i="2" s="1"/>
  <c r="F367" i="2"/>
  <c r="C367" i="2"/>
  <c r="AD366" i="2"/>
  <c r="AC366" i="2"/>
  <c r="AA366" i="2"/>
  <c r="W366" i="2"/>
  <c r="U366" i="2"/>
  <c r="R366" i="2"/>
  <c r="O366" i="2"/>
  <c r="N366" i="2"/>
  <c r="L366" i="2"/>
  <c r="I366" i="2"/>
  <c r="H366" i="2"/>
  <c r="F366" i="2"/>
  <c r="C366" i="2"/>
  <c r="AC365" i="2"/>
  <c r="AD365" i="2" s="1"/>
  <c r="AA365" i="2"/>
  <c r="W365" i="2"/>
  <c r="X365" i="2" s="1"/>
  <c r="U365" i="2"/>
  <c r="R365" i="2"/>
  <c r="O365" i="2"/>
  <c r="N365" i="2"/>
  <c r="L365" i="2"/>
  <c r="I365" i="2"/>
  <c r="H365" i="2"/>
  <c r="F365" i="2"/>
  <c r="C365" i="2"/>
  <c r="AC364" i="2"/>
  <c r="AD364" i="2" s="1"/>
  <c r="AA364" i="2"/>
  <c r="W364" i="2"/>
  <c r="X364" i="2" s="1"/>
  <c r="U364" i="2"/>
  <c r="R364" i="2"/>
  <c r="O364" i="2"/>
  <c r="N364" i="2"/>
  <c r="L364" i="2"/>
  <c r="I364" i="2"/>
  <c r="H364" i="2"/>
  <c r="F364" i="2"/>
  <c r="C364" i="2"/>
  <c r="AD363" i="2"/>
  <c r="AC363" i="2"/>
  <c r="AA363" i="2"/>
  <c r="W363" i="2"/>
  <c r="X363" i="2" s="1"/>
  <c r="U363" i="2"/>
  <c r="R363" i="2"/>
  <c r="N363" i="2"/>
  <c r="O363" i="2" s="1"/>
  <c r="L363" i="2"/>
  <c r="H363" i="2"/>
  <c r="I363" i="2" s="1"/>
  <c r="F363" i="2"/>
  <c r="C363" i="2"/>
  <c r="AD362" i="2"/>
  <c r="AC362" i="2"/>
  <c r="AA362" i="2"/>
  <c r="W362" i="2"/>
  <c r="U362" i="2"/>
  <c r="R362" i="2"/>
  <c r="O362" i="2"/>
  <c r="N362" i="2"/>
  <c r="L362" i="2"/>
  <c r="I362" i="2"/>
  <c r="H362" i="2"/>
  <c r="F362" i="2"/>
  <c r="C362" i="2"/>
  <c r="AD361" i="2"/>
  <c r="AC361" i="2"/>
  <c r="AA361" i="2"/>
  <c r="W361" i="2"/>
  <c r="X361" i="2" s="1"/>
  <c r="U361" i="2"/>
  <c r="R361" i="2"/>
  <c r="O361" i="2"/>
  <c r="N361" i="2"/>
  <c r="L361" i="2"/>
  <c r="I361" i="2"/>
  <c r="H361" i="2"/>
  <c r="F361" i="2"/>
  <c r="C361" i="2"/>
  <c r="AC360" i="2"/>
  <c r="AD360" i="2" s="1"/>
  <c r="AA360" i="2"/>
  <c r="W360" i="2"/>
  <c r="X360" i="2" s="1"/>
  <c r="U360" i="2"/>
  <c r="R360" i="2"/>
  <c r="O360" i="2"/>
  <c r="N360" i="2"/>
  <c r="L360" i="2"/>
  <c r="I360" i="2"/>
  <c r="H360" i="2"/>
  <c r="F360" i="2"/>
  <c r="C360" i="2"/>
  <c r="Z358" i="2"/>
  <c r="AA358" i="2" s="1"/>
  <c r="W358" i="2"/>
  <c r="X358" i="2" s="1"/>
  <c r="U358" i="2"/>
  <c r="T358" i="2"/>
  <c r="R358" i="2"/>
  <c r="Q358" i="2"/>
  <c r="AC358" i="2" s="1"/>
  <c r="AD358" i="2" s="1"/>
  <c r="L358" i="2"/>
  <c r="K358" i="2"/>
  <c r="F358" i="2"/>
  <c r="E358" i="2"/>
  <c r="B358" i="2"/>
  <c r="N358" i="2" s="1"/>
  <c r="O358" i="2" s="1"/>
  <c r="AD357" i="2"/>
  <c r="AC357" i="2"/>
  <c r="AA357" i="2"/>
  <c r="W357" i="2"/>
  <c r="X357" i="2" s="1"/>
  <c r="U357" i="2"/>
  <c r="R357" i="2"/>
  <c r="N357" i="2"/>
  <c r="O357" i="2" s="1"/>
  <c r="L357" i="2"/>
  <c r="I357" i="2"/>
  <c r="H357" i="2"/>
  <c r="F357" i="2"/>
  <c r="C357" i="2"/>
  <c r="AC356" i="2"/>
  <c r="AD356" i="2" s="1"/>
  <c r="AA356" i="2"/>
  <c r="X356" i="2"/>
  <c r="W356" i="2"/>
  <c r="U356" i="2"/>
  <c r="R356" i="2"/>
  <c r="O356" i="2"/>
  <c r="N356" i="2"/>
  <c r="L356" i="2"/>
  <c r="H356" i="2"/>
  <c r="I356" i="2" s="1"/>
  <c r="F356" i="2"/>
  <c r="C356" i="2"/>
  <c r="AD355" i="2"/>
  <c r="AC355" i="2"/>
  <c r="AA355" i="2"/>
  <c r="X355" i="2"/>
  <c r="W355" i="2"/>
  <c r="U355" i="2"/>
  <c r="R355" i="2"/>
  <c r="N355" i="2"/>
  <c r="O355" i="2" s="1"/>
  <c r="L355" i="2"/>
  <c r="H355" i="2"/>
  <c r="I355" i="2" s="1"/>
  <c r="F355" i="2"/>
  <c r="C355" i="2"/>
  <c r="AD354" i="2"/>
  <c r="AC354" i="2"/>
  <c r="AA354" i="2"/>
  <c r="W354" i="2"/>
  <c r="U354" i="2"/>
  <c r="R354" i="2"/>
  <c r="N354" i="2"/>
  <c r="O354" i="2" s="1"/>
  <c r="L354" i="2"/>
  <c r="I354" i="2"/>
  <c r="H354" i="2"/>
  <c r="F354" i="2"/>
  <c r="C354" i="2"/>
  <c r="AC353" i="2"/>
  <c r="AD353" i="2" s="1"/>
  <c r="AA353" i="2"/>
  <c r="W353" i="2"/>
  <c r="X353" i="2" s="1"/>
  <c r="U353" i="2"/>
  <c r="R353" i="2"/>
  <c r="N353" i="2"/>
  <c r="O353" i="2" s="1"/>
  <c r="L353" i="2"/>
  <c r="I353" i="2"/>
  <c r="H353" i="2"/>
  <c r="F353" i="2"/>
  <c r="C353" i="2"/>
  <c r="AC352" i="2"/>
  <c r="AD352" i="2" s="1"/>
  <c r="AA352" i="2"/>
  <c r="X352" i="2"/>
  <c r="W352" i="2"/>
  <c r="U352" i="2"/>
  <c r="R352" i="2"/>
  <c r="O352" i="2"/>
  <c r="N352" i="2"/>
  <c r="L352" i="2"/>
  <c r="H352" i="2"/>
  <c r="I352" i="2" s="1"/>
  <c r="F352" i="2"/>
  <c r="C352" i="2"/>
  <c r="AD351" i="2"/>
  <c r="AC351" i="2"/>
  <c r="AA351" i="2"/>
  <c r="X351" i="2"/>
  <c r="W351" i="2"/>
  <c r="U351" i="2"/>
  <c r="R351" i="2"/>
  <c r="N351" i="2"/>
  <c r="O351" i="2" s="1"/>
  <c r="L351" i="2"/>
  <c r="H351" i="2"/>
  <c r="I351" i="2" s="1"/>
  <c r="F351" i="2"/>
  <c r="C351" i="2"/>
  <c r="AD350" i="2"/>
  <c r="AC350" i="2"/>
  <c r="AA350" i="2"/>
  <c r="W350" i="2"/>
  <c r="U350" i="2"/>
  <c r="R350" i="2"/>
  <c r="O350" i="2"/>
  <c r="N350" i="2"/>
  <c r="L350" i="2"/>
  <c r="I350" i="2"/>
  <c r="H350" i="2"/>
  <c r="F350" i="2"/>
  <c r="C350" i="2"/>
  <c r="AC349" i="2"/>
  <c r="AD349" i="2" s="1"/>
  <c r="AA349" i="2"/>
  <c r="W349" i="2"/>
  <c r="X349" i="2" s="1"/>
  <c r="U349" i="2"/>
  <c r="R349" i="2"/>
  <c r="N349" i="2"/>
  <c r="O349" i="2" s="1"/>
  <c r="L349" i="2"/>
  <c r="I349" i="2"/>
  <c r="H349" i="2"/>
  <c r="F349" i="2"/>
  <c r="C349" i="2"/>
  <c r="AC347" i="2"/>
  <c r="AD347" i="2" s="1"/>
  <c r="AA347" i="2"/>
  <c r="X347" i="2"/>
  <c r="W347" i="2"/>
  <c r="U347" i="2"/>
  <c r="R347" i="2"/>
  <c r="O347" i="2"/>
  <c r="N347" i="2"/>
  <c r="L347" i="2"/>
  <c r="H347" i="2"/>
  <c r="I347" i="2" s="1"/>
  <c r="F347" i="2"/>
  <c r="C347" i="2"/>
  <c r="AC344" i="2"/>
  <c r="AD344" i="2" s="1"/>
  <c r="AA344" i="2"/>
  <c r="Z344" i="2"/>
  <c r="X344" i="2"/>
  <c r="T344" i="2"/>
  <c r="U344" i="2" s="1"/>
  <c r="R344" i="2"/>
  <c r="Q344" i="2"/>
  <c r="W344" i="2" s="1"/>
  <c r="O344" i="2"/>
  <c r="L344" i="2"/>
  <c r="K344" i="2"/>
  <c r="H344" i="2"/>
  <c r="I344" i="2" s="1"/>
  <c r="F344" i="2"/>
  <c r="E344" i="2"/>
  <c r="C344" i="2"/>
  <c r="B344" i="2"/>
  <c r="N344" i="2" s="1"/>
  <c r="Z343" i="2"/>
  <c r="AA343" i="2" s="1"/>
  <c r="W343" i="2"/>
  <c r="X343" i="2" s="1"/>
  <c r="U343" i="2"/>
  <c r="T343" i="2"/>
  <c r="R343" i="2"/>
  <c r="Q343" i="2"/>
  <c r="L343" i="2"/>
  <c r="K343" i="2"/>
  <c r="F343" i="2"/>
  <c r="E343" i="2"/>
  <c r="B343" i="2"/>
  <c r="N343" i="2" s="1"/>
  <c r="O343" i="2" s="1"/>
  <c r="AA342" i="2"/>
  <c r="Z342" i="2"/>
  <c r="T342" i="2"/>
  <c r="U342" i="2" s="1"/>
  <c r="Q342" i="2"/>
  <c r="AC342" i="2" s="1"/>
  <c r="AD342" i="2" s="1"/>
  <c r="L342" i="2"/>
  <c r="K342" i="2"/>
  <c r="F342" i="2"/>
  <c r="E342" i="2"/>
  <c r="H342" i="2" s="1"/>
  <c r="I342" i="2" s="1"/>
  <c r="C342" i="2"/>
  <c r="B342" i="2"/>
  <c r="N342" i="2" s="1"/>
  <c r="O342" i="2" s="1"/>
  <c r="AD341" i="2"/>
  <c r="AC341" i="2"/>
  <c r="AA341" i="2"/>
  <c r="W341" i="2"/>
  <c r="X341" i="2" s="1"/>
  <c r="U341" i="2"/>
  <c r="R341" i="2"/>
  <c r="N341" i="2"/>
  <c r="O341" i="2" s="1"/>
  <c r="L341" i="2"/>
  <c r="H341" i="2"/>
  <c r="I341" i="2" s="1"/>
  <c r="F341" i="2"/>
  <c r="C341" i="2"/>
  <c r="AD340" i="2"/>
  <c r="AC340" i="2"/>
  <c r="AA340" i="2"/>
  <c r="W340" i="2"/>
  <c r="U340" i="2"/>
  <c r="R340" i="2"/>
  <c r="O340" i="2"/>
  <c r="N340" i="2"/>
  <c r="L340" i="2"/>
  <c r="I340" i="2"/>
  <c r="H340" i="2"/>
  <c r="F340" i="2"/>
  <c r="C340" i="2"/>
  <c r="AC339" i="2"/>
  <c r="AD339" i="2" s="1"/>
  <c r="AA339" i="2"/>
  <c r="W339" i="2"/>
  <c r="X339" i="2" s="1"/>
  <c r="U339" i="2"/>
  <c r="R339" i="2"/>
  <c r="O339" i="2"/>
  <c r="N339" i="2"/>
  <c r="L339" i="2"/>
  <c r="I339" i="2"/>
  <c r="H339" i="2"/>
  <c r="F339" i="2"/>
  <c r="C339" i="2"/>
  <c r="AC338" i="2"/>
  <c r="AD338" i="2" s="1"/>
  <c r="AA338" i="2"/>
  <c r="W338" i="2"/>
  <c r="X338" i="2" s="1"/>
  <c r="U338" i="2"/>
  <c r="R338" i="2"/>
  <c r="O338" i="2"/>
  <c r="N338" i="2"/>
  <c r="L338" i="2"/>
  <c r="I338" i="2"/>
  <c r="H338" i="2"/>
  <c r="F338" i="2"/>
  <c r="C338" i="2"/>
  <c r="AD337" i="2"/>
  <c r="AC337" i="2"/>
  <c r="AA337" i="2"/>
  <c r="W337" i="2"/>
  <c r="X337" i="2" s="1"/>
  <c r="U337" i="2"/>
  <c r="R337" i="2"/>
  <c r="N337" i="2"/>
  <c r="O337" i="2" s="1"/>
  <c r="L337" i="2"/>
  <c r="H337" i="2"/>
  <c r="I337" i="2" s="1"/>
  <c r="F337" i="2"/>
  <c r="C337" i="2"/>
  <c r="AD335" i="2"/>
  <c r="AC335" i="2"/>
  <c r="AA335" i="2"/>
  <c r="W335" i="2"/>
  <c r="U335" i="2"/>
  <c r="R335" i="2"/>
  <c r="O335" i="2"/>
  <c r="N335" i="2"/>
  <c r="L335" i="2"/>
  <c r="I335" i="2"/>
  <c r="H335" i="2"/>
  <c r="F335" i="2"/>
  <c r="C335" i="2"/>
  <c r="AD334" i="2"/>
  <c r="AC334" i="2"/>
  <c r="AA334" i="2"/>
  <c r="W334" i="2"/>
  <c r="X334" i="2" s="1"/>
  <c r="U334" i="2"/>
  <c r="R334" i="2"/>
  <c r="O334" i="2"/>
  <c r="N334" i="2"/>
  <c r="L334" i="2"/>
  <c r="I334" i="2"/>
  <c r="H334" i="2"/>
  <c r="F334" i="2"/>
  <c r="C334" i="2"/>
  <c r="AC333" i="2"/>
  <c r="AD333" i="2" s="1"/>
  <c r="AA333" i="2"/>
  <c r="W333" i="2"/>
  <c r="X333" i="2" s="1"/>
  <c r="U333" i="2"/>
  <c r="R333" i="2"/>
  <c r="O333" i="2"/>
  <c r="N333" i="2"/>
  <c r="L333" i="2"/>
  <c r="I333" i="2"/>
  <c r="H333" i="2"/>
  <c r="F333" i="2"/>
  <c r="C333" i="2"/>
  <c r="AD332" i="2"/>
  <c r="AC332" i="2"/>
  <c r="AA332" i="2"/>
  <c r="W332" i="2"/>
  <c r="X332" i="2" s="1"/>
  <c r="U332" i="2"/>
  <c r="R332" i="2"/>
  <c r="N332" i="2"/>
  <c r="O332" i="2" s="1"/>
  <c r="L332" i="2"/>
  <c r="H332" i="2"/>
  <c r="I332" i="2" s="1"/>
  <c r="F332" i="2"/>
  <c r="C332" i="2"/>
  <c r="AD331" i="2"/>
  <c r="AC331" i="2"/>
  <c r="AA331" i="2"/>
  <c r="W331" i="2"/>
  <c r="U331" i="2"/>
  <c r="R331" i="2"/>
  <c r="N331" i="2"/>
  <c r="O331" i="2" s="1"/>
  <c r="L331" i="2"/>
  <c r="I331" i="2"/>
  <c r="H331" i="2"/>
  <c r="F331" i="2"/>
  <c r="C331" i="2"/>
  <c r="AD330" i="2"/>
  <c r="AC330" i="2"/>
  <c r="AA330" i="2"/>
  <c r="W330" i="2"/>
  <c r="X330" i="2" s="1"/>
  <c r="U330" i="2"/>
  <c r="R330" i="2"/>
  <c r="O330" i="2"/>
  <c r="N330" i="2"/>
  <c r="L330" i="2"/>
  <c r="I330" i="2"/>
  <c r="H330" i="2"/>
  <c r="F330" i="2"/>
  <c r="C330" i="2"/>
  <c r="AC329" i="2"/>
  <c r="AD329" i="2" s="1"/>
  <c r="AA329" i="2"/>
  <c r="W329" i="2"/>
  <c r="X329" i="2" s="1"/>
  <c r="U329" i="2"/>
  <c r="R329" i="2"/>
  <c r="O329" i="2"/>
  <c r="N329" i="2"/>
  <c r="L329" i="2"/>
  <c r="I329" i="2"/>
  <c r="H329" i="2"/>
  <c r="F329" i="2"/>
  <c r="C329" i="2"/>
  <c r="AD328" i="2"/>
  <c r="AC328" i="2"/>
  <c r="AA328" i="2"/>
  <c r="X328" i="2"/>
  <c r="W328" i="2"/>
  <c r="U328" i="2"/>
  <c r="R328" i="2"/>
  <c r="N328" i="2"/>
  <c r="O328" i="2" s="1"/>
  <c r="L328" i="2"/>
  <c r="H328" i="2"/>
  <c r="I328" i="2" s="1"/>
  <c r="F328" i="2"/>
  <c r="C328" i="2"/>
  <c r="AA325" i="2"/>
  <c r="Z325" i="2"/>
  <c r="T325" i="2"/>
  <c r="W325" i="2" s="1"/>
  <c r="X325" i="2" s="1"/>
  <c r="R325" i="2"/>
  <c r="Q325" i="2"/>
  <c r="AC325" i="2" s="1"/>
  <c r="AD325" i="2" s="1"/>
  <c r="K325" i="2"/>
  <c r="L325" i="2" s="1"/>
  <c r="I325" i="2"/>
  <c r="H325" i="2"/>
  <c r="F325" i="2"/>
  <c r="E325" i="2"/>
  <c r="C325" i="2"/>
  <c r="B325" i="2"/>
  <c r="N325" i="2" s="1"/>
  <c r="O325" i="2" s="1"/>
  <c r="Z324" i="2"/>
  <c r="AA324" i="2" s="1"/>
  <c r="U324" i="2"/>
  <c r="T324" i="2"/>
  <c r="Q324" i="2"/>
  <c r="AC324" i="2" s="1"/>
  <c r="AD324" i="2" s="1"/>
  <c r="L324" i="2"/>
  <c r="K324" i="2"/>
  <c r="E324" i="2"/>
  <c r="F324" i="2" s="1"/>
  <c r="C324" i="2"/>
  <c r="B324" i="2"/>
  <c r="H324" i="2" s="1"/>
  <c r="I324" i="2" s="1"/>
  <c r="AD323" i="2"/>
  <c r="AC323" i="2"/>
  <c r="AA323" i="2"/>
  <c r="W323" i="2"/>
  <c r="U323" i="2"/>
  <c r="R323" i="2"/>
  <c r="O323" i="2"/>
  <c r="N323" i="2"/>
  <c r="L323" i="2"/>
  <c r="I323" i="2"/>
  <c r="H323" i="2"/>
  <c r="F323" i="2"/>
  <c r="C323" i="2"/>
  <c r="AC322" i="2"/>
  <c r="AD322" i="2" s="1"/>
  <c r="AA322" i="2"/>
  <c r="W322" i="2"/>
  <c r="X322" i="2" s="1"/>
  <c r="U322" i="2"/>
  <c r="R322" i="2"/>
  <c r="O322" i="2"/>
  <c r="N322" i="2"/>
  <c r="L322" i="2"/>
  <c r="I322" i="2"/>
  <c r="H322" i="2"/>
  <c r="F322" i="2"/>
  <c r="C322" i="2"/>
  <c r="AC321" i="2"/>
  <c r="AD321" i="2" s="1"/>
  <c r="AA321" i="2"/>
  <c r="W321" i="2"/>
  <c r="X321" i="2" s="1"/>
  <c r="U321" i="2"/>
  <c r="R321" i="2"/>
  <c r="O321" i="2"/>
  <c r="N321" i="2"/>
  <c r="L321" i="2"/>
  <c r="I321" i="2"/>
  <c r="H321" i="2"/>
  <c r="F321" i="2"/>
  <c r="C321" i="2"/>
  <c r="AD320" i="2"/>
  <c r="AC320" i="2"/>
  <c r="AA320" i="2"/>
  <c r="W320" i="2"/>
  <c r="X320" i="2" s="1"/>
  <c r="U320" i="2"/>
  <c r="R320" i="2"/>
  <c r="N320" i="2"/>
  <c r="O320" i="2" s="1"/>
  <c r="L320" i="2"/>
  <c r="H320" i="2"/>
  <c r="I320" i="2" s="1"/>
  <c r="F320" i="2"/>
  <c r="C320" i="2"/>
  <c r="AD319" i="2"/>
  <c r="AC319" i="2"/>
  <c r="AA319" i="2"/>
  <c r="W319" i="2"/>
  <c r="U319" i="2"/>
  <c r="R319" i="2"/>
  <c r="O319" i="2"/>
  <c r="N319" i="2"/>
  <c r="L319" i="2"/>
  <c r="I319" i="2"/>
  <c r="H319" i="2"/>
  <c r="F319" i="2"/>
  <c r="C319" i="2"/>
  <c r="AD318" i="2"/>
  <c r="AC318" i="2"/>
  <c r="AA318" i="2"/>
  <c r="W318" i="2"/>
  <c r="X318" i="2" s="1"/>
  <c r="U318" i="2"/>
  <c r="R318" i="2"/>
  <c r="O318" i="2"/>
  <c r="N318" i="2"/>
  <c r="L318" i="2"/>
  <c r="I318" i="2"/>
  <c r="H318" i="2"/>
  <c r="F318" i="2"/>
  <c r="C318" i="2"/>
  <c r="AC317" i="2"/>
  <c r="AD317" i="2" s="1"/>
  <c r="AA317" i="2"/>
  <c r="W317" i="2"/>
  <c r="X317" i="2" s="1"/>
  <c r="U317" i="2"/>
  <c r="R317" i="2"/>
  <c r="O317" i="2"/>
  <c r="N317" i="2"/>
  <c r="L317" i="2"/>
  <c r="I317" i="2"/>
  <c r="H317" i="2"/>
  <c r="F317" i="2"/>
  <c r="C317" i="2"/>
  <c r="AD316" i="2"/>
  <c r="AC316" i="2"/>
  <c r="AA316" i="2"/>
  <c r="W316" i="2"/>
  <c r="X316" i="2" s="1"/>
  <c r="U316" i="2"/>
  <c r="R316" i="2"/>
  <c r="N316" i="2"/>
  <c r="O316" i="2" s="1"/>
  <c r="L316" i="2"/>
  <c r="H316" i="2"/>
  <c r="I316" i="2" s="1"/>
  <c r="F316" i="2"/>
  <c r="C316" i="2"/>
  <c r="AD315" i="2"/>
  <c r="AC315" i="2"/>
  <c r="AA315" i="2"/>
  <c r="W315" i="2"/>
  <c r="U315" i="2"/>
  <c r="R315" i="2"/>
  <c r="N315" i="2"/>
  <c r="O315" i="2" s="1"/>
  <c r="L315" i="2"/>
  <c r="I315" i="2"/>
  <c r="H315" i="2"/>
  <c r="F315" i="2"/>
  <c r="C315" i="2"/>
  <c r="AD314" i="2"/>
  <c r="AC314" i="2"/>
  <c r="AA314" i="2"/>
  <c r="W314" i="2"/>
  <c r="X314" i="2" s="1"/>
  <c r="U314" i="2"/>
  <c r="R314" i="2"/>
  <c r="O314" i="2"/>
  <c r="N314" i="2"/>
  <c r="L314" i="2"/>
  <c r="I314" i="2"/>
  <c r="H314" i="2"/>
  <c r="F314" i="2"/>
  <c r="C314" i="2"/>
  <c r="AC313" i="2"/>
  <c r="AD313" i="2" s="1"/>
  <c r="AA313" i="2"/>
  <c r="W313" i="2"/>
  <c r="X313" i="2" s="1"/>
  <c r="U313" i="2"/>
  <c r="R313" i="2"/>
  <c r="O313" i="2"/>
  <c r="N313" i="2"/>
  <c r="L313" i="2"/>
  <c r="I313" i="2"/>
  <c r="H313" i="2"/>
  <c r="F313" i="2"/>
  <c r="C313" i="2"/>
  <c r="AD312" i="2"/>
  <c r="AC312" i="2"/>
  <c r="AA312" i="2"/>
  <c r="X312" i="2"/>
  <c r="W312" i="2"/>
  <c r="U312" i="2"/>
  <c r="R312" i="2"/>
  <c r="N312" i="2"/>
  <c r="O312" i="2" s="1"/>
  <c r="L312" i="2"/>
  <c r="H312" i="2"/>
  <c r="I312" i="2" s="1"/>
  <c r="F312" i="2"/>
  <c r="C312" i="2"/>
  <c r="AD311" i="2"/>
  <c r="AC311" i="2"/>
  <c r="AA311" i="2"/>
  <c r="W311" i="2"/>
  <c r="U311" i="2"/>
  <c r="R311" i="2"/>
  <c r="N311" i="2"/>
  <c r="O311" i="2" s="1"/>
  <c r="L311" i="2"/>
  <c r="I311" i="2"/>
  <c r="H311" i="2"/>
  <c r="F311" i="2"/>
  <c r="C311" i="2"/>
  <c r="AD310" i="2"/>
  <c r="AC310" i="2"/>
  <c r="AA310" i="2"/>
  <c r="W310" i="2"/>
  <c r="X310" i="2" s="1"/>
  <c r="U310" i="2"/>
  <c r="R310" i="2"/>
  <c r="N310" i="2"/>
  <c r="O310" i="2" s="1"/>
  <c r="L310" i="2"/>
  <c r="I310" i="2"/>
  <c r="H310" i="2"/>
  <c r="F310" i="2"/>
  <c r="C310" i="2"/>
  <c r="AC309" i="2"/>
  <c r="AD309" i="2" s="1"/>
  <c r="AA309" i="2"/>
  <c r="W309" i="2"/>
  <c r="X309" i="2" s="1"/>
  <c r="U309" i="2"/>
  <c r="R309" i="2"/>
  <c r="O309" i="2"/>
  <c r="N309" i="2"/>
  <c r="L309" i="2"/>
  <c r="H309" i="2"/>
  <c r="I309" i="2" s="1"/>
  <c r="F309" i="2"/>
  <c r="C309" i="2"/>
  <c r="AD308" i="2"/>
  <c r="AC308" i="2"/>
  <c r="AA308" i="2"/>
  <c r="X308" i="2"/>
  <c r="W308" i="2"/>
  <c r="U308" i="2"/>
  <c r="R308" i="2"/>
  <c r="N308" i="2"/>
  <c r="O308" i="2" s="1"/>
  <c r="L308" i="2"/>
  <c r="H308" i="2"/>
  <c r="I308" i="2" s="1"/>
  <c r="F308" i="2"/>
  <c r="C308" i="2"/>
  <c r="AD307" i="2"/>
  <c r="AC307" i="2"/>
  <c r="AA307" i="2"/>
  <c r="W307" i="2"/>
  <c r="U307" i="2"/>
  <c r="R307" i="2"/>
  <c r="N307" i="2"/>
  <c r="O307" i="2" s="1"/>
  <c r="L307" i="2"/>
  <c r="I307" i="2"/>
  <c r="H307" i="2"/>
  <c r="F307" i="2"/>
  <c r="C307" i="2"/>
  <c r="AD306" i="2"/>
  <c r="AC306" i="2"/>
  <c r="AA306" i="2"/>
  <c r="W306" i="2"/>
  <c r="X306" i="2" s="1"/>
  <c r="U306" i="2"/>
  <c r="R306" i="2"/>
  <c r="N306" i="2"/>
  <c r="O306" i="2" s="1"/>
  <c r="L306" i="2"/>
  <c r="I306" i="2"/>
  <c r="H306" i="2"/>
  <c r="F306" i="2"/>
  <c r="C306" i="2"/>
  <c r="AC305" i="2"/>
  <c r="AD305" i="2" s="1"/>
  <c r="AA305" i="2"/>
  <c r="X305" i="2"/>
  <c r="W305" i="2"/>
  <c r="U305" i="2"/>
  <c r="R305" i="2"/>
  <c r="O305" i="2"/>
  <c r="N305" i="2"/>
  <c r="L305" i="2"/>
  <c r="H305" i="2"/>
  <c r="I305" i="2" s="1"/>
  <c r="F305" i="2"/>
  <c r="C305" i="2"/>
  <c r="AD304" i="2"/>
  <c r="AC304" i="2"/>
  <c r="AA304" i="2"/>
  <c r="X304" i="2"/>
  <c r="W304" i="2"/>
  <c r="U304" i="2"/>
  <c r="R304" i="2"/>
  <c r="N304" i="2"/>
  <c r="O304" i="2" s="1"/>
  <c r="L304" i="2"/>
  <c r="H304" i="2"/>
  <c r="I304" i="2" s="1"/>
  <c r="F304" i="2"/>
  <c r="C304" i="2"/>
  <c r="AD303" i="2"/>
  <c r="AC303" i="2"/>
  <c r="AA303" i="2"/>
  <c r="W303" i="2"/>
  <c r="U303" i="2"/>
  <c r="R303" i="2"/>
  <c r="N303" i="2"/>
  <c r="O303" i="2" s="1"/>
  <c r="L303" i="2"/>
  <c r="I303" i="2"/>
  <c r="H303" i="2"/>
  <c r="F303" i="2"/>
  <c r="C303" i="2"/>
  <c r="AC302" i="2"/>
  <c r="AD302" i="2" s="1"/>
  <c r="AA302" i="2"/>
  <c r="W302" i="2"/>
  <c r="X302" i="2" s="1"/>
  <c r="U302" i="2"/>
  <c r="R302" i="2"/>
  <c r="N302" i="2"/>
  <c r="O302" i="2" s="1"/>
  <c r="L302" i="2"/>
  <c r="I302" i="2"/>
  <c r="H302" i="2"/>
  <c r="F302" i="2"/>
  <c r="C302" i="2"/>
  <c r="AC301" i="2"/>
  <c r="AD301" i="2" s="1"/>
  <c r="AA301" i="2"/>
  <c r="X301" i="2"/>
  <c r="W301" i="2"/>
  <c r="U301" i="2"/>
  <c r="R301" i="2"/>
  <c r="O301" i="2"/>
  <c r="N301" i="2"/>
  <c r="L301" i="2"/>
  <c r="H301" i="2"/>
  <c r="I301" i="2" s="1"/>
  <c r="F301" i="2"/>
  <c r="C301" i="2"/>
  <c r="AD300" i="2"/>
  <c r="AC300" i="2"/>
  <c r="AA300" i="2"/>
  <c r="X300" i="2"/>
  <c r="W300" i="2"/>
  <c r="U300" i="2"/>
  <c r="R300" i="2"/>
  <c r="N300" i="2"/>
  <c r="O300" i="2" s="1"/>
  <c r="L300" i="2"/>
  <c r="H300" i="2"/>
  <c r="I300" i="2" s="1"/>
  <c r="F300" i="2"/>
  <c r="C300" i="2"/>
  <c r="AD299" i="2"/>
  <c r="AC299" i="2"/>
  <c r="AA299" i="2"/>
  <c r="W299" i="2"/>
  <c r="U299" i="2"/>
  <c r="R299" i="2"/>
  <c r="O299" i="2"/>
  <c r="N299" i="2"/>
  <c r="L299" i="2"/>
  <c r="I299" i="2"/>
  <c r="H299" i="2"/>
  <c r="F299" i="2"/>
  <c r="C299" i="2"/>
  <c r="AC298" i="2"/>
  <c r="AD298" i="2" s="1"/>
  <c r="AA298" i="2"/>
  <c r="W298" i="2"/>
  <c r="X298" i="2" s="1"/>
  <c r="U298" i="2"/>
  <c r="R298" i="2"/>
  <c r="N298" i="2"/>
  <c r="O298" i="2" s="1"/>
  <c r="L298" i="2"/>
  <c r="I298" i="2"/>
  <c r="H298" i="2"/>
  <c r="F298" i="2"/>
  <c r="C298" i="2"/>
  <c r="AC297" i="2"/>
  <c r="AD297" i="2" s="1"/>
  <c r="AA297" i="2"/>
  <c r="X297" i="2"/>
  <c r="W297" i="2"/>
  <c r="U297" i="2"/>
  <c r="R297" i="2"/>
  <c r="O297" i="2"/>
  <c r="N297" i="2"/>
  <c r="L297" i="2"/>
  <c r="H297" i="2"/>
  <c r="I297" i="2" s="1"/>
  <c r="F297" i="2"/>
  <c r="C297" i="2"/>
  <c r="Z295" i="2"/>
  <c r="AA295" i="2" s="1"/>
  <c r="X295" i="2"/>
  <c r="W295" i="2"/>
  <c r="U295" i="2"/>
  <c r="T295" i="2"/>
  <c r="R295" i="2"/>
  <c r="Q295" i="2"/>
  <c r="AC295" i="2" s="1"/>
  <c r="AD295" i="2" s="1"/>
  <c r="K295" i="2"/>
  <c r="L295" i="2" s="1"/>
  <c r="F295" i="2"/>
  <c r="E295" i="2"/>
  <c r="B295" i="2"/>
  <c r="N295" i="2" s="1"/>
  <c r="O295" i="2" s="1"/>
  <c r="AD294" i="2"/>
  <c r="AC294" i="2"/>
  <c r="AA294" i="2"/>
  <c r="W294" i="2"/>
  <c r="X294" i="2" s="1"/>
  <c r="U294" i="2"/>
  <c r="R294" i="2"/>
  <c r="O294" i="2"/>
  <c r="N294" i="2"/>
  <c r="L294" i="2"/>
  <c r="I294" i="2"/>
  <c r="H294" i="2"/>
  <c r="F294" i="2"/>
  <c r="C294" i="2"/>
  <c r="AC293" i="2"/>
  <c r="AD293" i="2" s="1"/>
  <c r="AA293" i="2"/>
  <c r="W293" i="2"/>
  <c r="X293" i="2" s="1"/>
  <c r="U293" i="2"/>
  <c r="R293" i="2"/>
  <c r="O293" i="2"/>
  <c r="N293" i="2"/>
  <c r="L293" i="2"/>
  <c r="I293" i="2"/>
  <c r="H293" i="2"/>
  <c r="F293" i="2"/>
  <c r="C293" i="2"/>
  <c r="AD292" i="2"/>
  <c r="AC292" i="2"/>
  <c r="AA292" i="2"/>
  <c r="W292" i="2"/>
  <c r="X292" i="2" s="1"/>
  <c r="U292" i="2"/>
  <c r="R292" i="2"/>
  <c r="N292" i="2"/>
  <c r="O292" i="2" s="1"/>
  <c r="L292" i="2"/>
  <c r="H292" i="2"/>
  <c r="I292" i="2" s="1"/>
  <c r="F292" i="2"/>
  <c r="C292" i="2"/>
  <c r="AD291" i="2"/>
  <c r="AC291" i="2"/>
  <c r="AA291" i="2"/>
  <c r="W291" i="2"/>
  <c r="U291" i="2"/>
  <c r="R291" i="2"/>
  <c r="N291" i="2"/>
  <c r="O291" i="2" s="1"/>
  <c r="L291" i="2"/>
  <c r="I291" i="2"/>
  <c r="H291" i="2"/>
  <c r="F291" i="2"/>
  <c r="C291" i="2"/>
  <c r="AD290" i="2"/>
  <c r="AC290" i="2"/>
  <c r="AA290" i="2"/>
  <c r="W290" i="2"/>
  <c r="X290" i="2" s="1"/>
  <c r="U290" i="2"/>
  <c r="R290" i="2"/>
  <c r="O290" i="2"/>
  <c r="N290" i="2"/>
  <c r="L290" i="2"/>
  <c r="I290" i="2"/>
  <c r="H290" i="2"/>
  <c r="F290" i="2"/>
  <c r="C290" i="2"/>
  <c r="AC289" i="2"/>
  <c r="AD289" i="2" s="1"/>
  <c r="AA289" i="2"/>
  <c r="W289" i="2"/>
  <c r="X289" i="2" s="1"/>
  <c r="U289" i="2"/>
  <c r="R289" i="2"/>
  <c r="O289" i="2"/>
  <c r="N289" i="2"/>
  <c r="L289" i="2"/>
  <c r="I289" i="2"/>
  <c r="H289" i="2"/>
  <c r="F289" i="2"/>
  <c r="C289" i="2"/>
  <c r="AD288" i="2"/>
  <c r="AC288" i="2"/>
  <c r="AA288" i="2"/>
  <c r="X288" i="2"/>
  <c r="W288" i="2"/>
  <c r="U288" i="2"/>
  <c r="R288" i="2"/>
  <c r="N288" i="2"/>
  <c r="O288" i="2" s="1"/>
  <c r="L288" i="2"/>
  <c r="H288" i="2"/>
  <c r="I288" i="2" s="1"/>
  <c r="F288" i="2"/>
  <c r="C288" i="2"/>
  <c r="AD287" i="2"/>
  <c r="AC287" i="2"/>
  <c r="AA287" i="2"/>
  <c r="W287" i="2"/>
  <c r="U287" i="2"/>
  <c r="R287" i="2"/>
  <c r="N287" i="2"/>
  <c r="O287" i="2" s="1"/>
  <c r="L287" i="2"/>
  <c r="I287" i="2"/>
  <c r="H287" i="2"/>
  <c r="F287" i="2"/>
  <c r="C287" i="2"/>
  <c r="AD286" i="2"/>
  <c r="AC286" i="2"/>
  <c r="AA286" i="2"/>
  <c r="W286" i="2"/>
  <c r="X286" i="2" s="1"/>
  <c r="U286" i="2"/>
  <c r="R286" i="2"/>
  <c r="N286" i="2"/>
  <c r="O286" i="2" s="1"/>
  <c r="L286" i="2"/>
  <c r="I286" i="2"/>
  <c r="H286" i="2"/>
  <c r="F286" i="2"/>
  <c r="C286" i="2"/>
  <c r="Z284" i="2"/>
  <c r="AA284" i="2" s="1"/>
  <c r="U284" i="2"/>
  <c r="T284" i="2"/>
  <c r="Q284" i="2"/>
  <c r="L284" i="2"/>
  <c r="K284" i="2"/>
  <c r="I284" i="2"/>
  <c r="E284" i="2"/>
  <c r="F284" i="2" s="1"/>
  <c r="C284" i="2"/>
  <c r="B284" i="2"/>
  <c r="H284" i="2" s="1"/>
  <c r="AD283" i="2"/>
  <c r="AC283" i="2"/>
  <c r="AA283" i="2"/>
  <c r="W283" i="2"/>
  <c r="U283" i="2"/>
  <c r="R283" i="2"/>
  <c r="O283" i="2"/>
  <c r="N283" i="2"/>
  <c r="L283" i="2"/>
  <c r="I283" i="2"/>
  <c r="H283" i="2"/>
  <c r="F283" i="2"/>
  <c r="C283" i="2"/>
  <c r="AC282" i="2"/>
  <c r="AD282" i="2" s="1"/>
  <c r="AA282" i="2"/>
  <c r="W282" i="2"/>
  <c r="X282" i="2" s="1"/>
  <c r="U282" i="2"/>
  <c r="R282" i="2"/>
  <c r="N282" i="2"/>
  <c r="O282" i="2" s="1"/>
  <c r="L282" i="2"/>
  <c r="I282" i="2"/>
  <c r="H282" i="2"/>
  <c r="F282" i="2"/>
  <c r="C282" i="2"/>
  <c r="AC281" i="2"/>
  <c r="AD281" i="2" s="1"/>
  <c r="AA281" i="2"/>
  <c r="X281" i="2"/>
  <c r="W281" i="2"/>
  <c r="U281" i="2"/>
  <c r="R281" i="2"/>
  <c r="O281" i="2"/>
  <c r="N281" i="2"/>
  <c r="L281" i="2"/>
  <c r="H281" i="2"/>
  <c r="I281" i="2" s="1"/>
  <c r="F281" i="2"/>
  <c r="C281" i="2"/>
  <c r="AD280" i="2"/>
  <c r="AC280" i="2"/>
  <c r="AA280" i="2"/>
  <c r="W280" i="2"/>
  <c r="X280" i="2" s="1"/>
  <c r="U280" i="2"/>
  <c r="R280" i="2"/>
  <c r="N280" i="2"/>
  <c r="O280" i="2" s="1"/>
  <c r="L280" i="2"/>
  <c r="H280" i="2"/>
  <c r="I280" i="2" s="1"/>
  <c r="F280" i="2"/>
  <c r="C280" i="2"/>
  <c r="AD279" i="2"/>
  <c r="AC279" i="2"/>
  <c r="AA279" i="2"/>
  <c r="W279" i="2"/>
  <c r="U279" i="2"/>
  <c r="R279" i="2"/>
  <c r="O279" i="2"/>
  <c r="N279" i="2"/>
  <c r="L279" i="2"/>
  <c r="I279" i="2"/>
  <c r="H279" i="2"/>
  <c r="F279" i="2"/>
  <c r="C279" i="2"/>
  <c r="AC278" i="2"/>
  <c r="AD278" i="2" s="1"/>
  <c r="AA278" i="2"/>
  <c r="W278" i="2"/>
  <c r="X278" i="2" s="1"/>
  <c r="U278" i="2"/>
  <c r="R278" i="2"/>
  <c r="O278" i="2"/>
  <c r="N278" i="2"/>
  <c r="L278" i="2"/>
  <c r="I278" i="2"/>
  <c r="H278" i="2"/>
  <c r="F278" i="2"/>
  <c r="C278" i="2"/>
  <c r="AC277" i="2"/>
  <c r="AD277" i="2" s="1"/>
  <c r="AA277" i="2"/>
  <c r="X277" i="2"/>
  <c r="W277" i="2"/>
  <c r="U277" i="2"/>
  <c r="R277" i="2"/>
  <c r="O277" i="2"/>
  <c r="N277" i="2"/>
  <c r="L277" i="2"/>
  <c r="I277" i="2"/>
  <c r="H277" i="2"/>
  <c r="F277" i="2"/>
  <c r="C277" i="2"/>
  <c r="AD276" i="2"/>
  <c r="AC276" i="2"/>
  <c r="AA276" i="2"/>
  <c r="W276" i="2"/>
  <c r="X276" i="2" s="1"/>
  <c r="U276" i="2"/>
  <c r="R276" i="2"/>
  <c r="N276" i="2"/>
  <c r="O276" i="2" s="1"/>
  <c r="L276" i="2"/>
  <c r="H276" i="2"/>
  <c r="I276" i="2" s="1"/>
  <c r="F276" i="2"/>
  <c r="C276" i="2"/>
  <c r="AD275" i="2"/>
  <c r="AC275" i="2"/>
  <c r="AA275" i="2"/>
  <c r="W275" i="2"/>
  <c r="U275" i="2"/>
  <c r="R275" i="2"/>
  <c r="N275" i="2"/>
  <c r="O275" i="2" s="1"/>
  <c r="L275" i="2"/>
  <c r="I275" i="2"/>
  <c r="H275" i="2"/>
  <c r="F275" i="2"/>
  <c r="C275" i="2"/>
  <c r="AC273" i="2"/>
  <c r="AD273" i="2" s="1"/>
  <c r="AA273" i="2"/>
  <c r="Z273" i="2"/>
  <c r="X273" i="2"/>
  <c r="T273" i="2"/>
  <c r="U273" i="2" s="1"/>
  <c r="R273" i="2"/>
  <c r="Q273" i="2"/>
  <c r="W273" i="2" s="1"/>
  <c r="O273" i="2"/>
  <c r="L273" i="2"/>
  <c r="K273" i="2"/>
  <c r="H273" i="2"/>
  <c r="I273" i="2" s="1"/>
  <c r="F273" i="2"/>
  <c r="E273" i="2"/>
  <c r="C273" i="2"/>
  <c r="B273" i="2"/>
  <c r="N273" i="2" s="1"/>
  <c r="AD272" i="2"/>
  <c r="AC272" i="2"/>
  <c r="AA272" i="2"/>
  <c r="X272" i="2"/>
  <c r="W272" i="2"/>
  <c r="U272" i="2"/>
  <c r="R272" i="2"/>
  <c r="N272" i="2"/>
  <c r="O272" i="2" s="1"/>
  <c r="L272" i="2"/>
  <c r="H272" i="2"/>
  <c r="I272" i="2" s="1"/>
  <c r="F272" i="2"/>
  <c r="C272" i="2"/>
  <c r="AD271" i="2"/>
  <c r="AC271" i="2"/>
  <c r="AA271" i="2"/>
  <c r="W271" i="2"/>
  <c r="U271" i="2"/>
  <c r="R271" i="2"/>
  <c r="N271" i="2"/>
  <c r="O271" i="2" s="1"/>
  <c r="L271" i="2"/>
  <c r="I271" i="2"/>
  <c r="H271" i="2"/>
  <c r="F271" i="2"/>
  <c r="C271" i="2"/>
  <c r="AD270" i="2"/>
  <c r="AC270" i="2"/>
  <c r="AA270" i="2"/>
  <c r="W270" i="2"/>
  <c r="X270" i="2" s="1"/>
  <c r="U270" i="2"/>
  <c r="R270" i="2"/>
  <c r="N270" i="2"/>
  <c r="O270" i="2" s="1"/>
  <c r="L270" i="2"/>
  <c r="I270" i="2"/>
  <c r="H270" i="2"/>
  <c r="F270" i="2"/>
  <c r="C270" i="2"/>
  <c r="AC269" i="2"/>
  <c r="AD269" i="2" s="1"/>
  <c r="AA269" i="2"/>
  <c r="W269" i="2"/>
  <c r="X269" i="2" s="1"/>
  <c r="U269" i="2"/>
  <c r="R269" i="2"/>
  <c r="O269" i="2"/>
  <c r="N269" i="2"/>
  <c r="L269" i="2"/>
  <c r="H269" i="2"/>
  <c r="I269" i="2" s="1"/>
  <c r="F269" i="2"/>
  <c r="C269" i="2"/>
  <c r="Z267" i="2"/>
  <c r="AA267" i="2" s="1"/>
  <c r="W267" i="2"/>
  <c r="X267" i="2" s="1"/>
  <c r="U267" i="2"/>
  <c r="T267" i="2"/>
  <c r="R267" i="2"/>
  <c r="Q267" i="2"/>
  <c r="N267" i="2"/>
  <c r="O267" i="2" s="1"/>
  <c r="L267" i="2"/>
  <c r="K267" i="2"/>
  <c r="F267" i="2"/>
  <c r="E267" i="2"/>
  <c r="B267" i="2"/>
  <c r="AC266" i="2"/>
  <c r="AD266" i="2" s="1"/>
  <c r="AA266" i="2"/>
  <c r="W266" i="2"/>
  <c r="X266" i="2" s="1"/>
  <c r="U266" i="2"/>
  <c r="R266" i="2"/>
  <c r="N266" i="2"/>
  <c r="O266" i="2" s="1"/>
  <c r="L266" i="2"/>
  <c r="I266" i="2"/>
  <c r="H266" i="2"/>
  <c r="F266" i="2"/>
  <c r="C266" i="2"/>
  <c r="AC265" i="2"/>
  <c r="AD265" i="2" s="1"/>
  <c r="AA265" i="2"/>
  <c r="X265" i="2"/>
  <c r="W265" i="2"/>
  <c r="U265" i="2"/>
  <c r="R265" i="2"/>
  <c r="O265" i="2"/>
  <c r="N265" i="2"/>
  <c r="L265" i="2"/>
  <c r="H265" i="2"/>
  <c r="I265" i="2" s="1"/>
  <c r="F265" i="2"/>
  <c r="C265" i="2"/>
  <c r="Z263" i="2"/>
  <c r="AA263" i="2" s="1"/>
  <c r="X263" i="2"/>
  <c r="W263" i="2"/>
  <c r="U263" i="2"/>
  <c r="T263" i="2"/>
  <c r="R263" i="2"/>
  <c r="Q263" i="2"/>
  <c r="AC263" i="2" s="1"/>
  <c r="AD263" i="2" s="1"/>
  <c r="K263" i="2"/>
  <c r="L263" i="2" s="1"/>
  <c r="F263" i="2"/>
  <c r="E263" i="2"/>
  <c r="B263" i="2"/>
  <c r="N263" i="2" s="1"/>
  <c r="O263" i="2" s="1"/>
  <c r="AA262" i="2"/>
  <c r="Z262" i="2"/>
  <c r="T262" i="2"/>
  <c r="U262" i="2" s="1"/>
  <c r="Q262" i="2"/>
  <c r="W262" i="2" s="1"/>
  <c r="X262" i="2" s="1"/>
  <c r="O262" i="2"/>
  <c r="L262" i="2"/>
  <c r="K262" i="2"/>
  <c r="H262" i="2"/>
  <c r="I262" i="2" s="1"/>
  <c r="E262" i="2"/>
  <c r="F262" i="2" s="1"/>
  <c r="C262" i="2"/>
  <c r="B262" i="2"/>
  <c r="N262" i="2" s="1"/>
  <c r="AD261" i="2"/>
  <c r="AC261" i="2"/>
  <c r="AA261" i="2"/>
  <c r="X261" i="2"/>
  <c r="W261" i="2"/>
  <c r="U261" i="2"/>
  <c r="R261" i="2"/>
  <c r="N261" i="2"/>
  <c r="O261" i="2" s="1"/>
  <c r="L261" i="2"/>
  <c r="H261" i="2"/>
  <c r="I261" i="2" s="1"/>
  <c r="F261" i="2"/>
  <c r="C261" i="2"/>
  <c r="AD260" i="2"/>
  <c r="AC260" i="2"/>
  <c r="AA260" i="2"/>
  <c r="W260" i="2"/>
  <c r="U260" i="2"/>
  <c r="R260" i="2"/>
  <c r="N260" i="2"/>
  <c r="O260" i="2" s="1"/>
  <c r="L260" i="2"/>
  <c r="I260" i="2"/>
  <c r="H260" i="2"/>
  <c r="F260" i="2"/>
  <c r="C260" i="2"/>
  <c r="AD259" i="2"/>
  <c r="AC259" i="2"/>
  <c r="AA259" i="2"/>
  <c r="W259" i="2"/>
  <c r="X259" i="2" s="1"/>
  <c r="U259" i="2"/>
  <c r="R259" i="2"/>
  <c r="N259" i="2"/>
  <c r="O259" i="2" s="1"/>
  <c r="L259" i="2"/>
  <c r="I259" i="2"/>
  <c r="H259" i="2"/>
  <c r="F259" i="2"/>
  <c r="C259" i="2"/>
  <c r="AC258" i="2"/>
  <c r="AD258" i="2" s="1"/>
  <c r="AA258" i="2"/>
  <c r="X258" i="2"/>
  <c r="W258" i="2"/>
  <c r="U258" i="2"/>
  <c r="R258" i="2"/>
  <c r="O258" i="2"/>
  <c r="N258" i="2"/>
  <c r="L258" i="2"/>
  <c r="H258" i="2"/>
  <c r="I258" i="2" s="1"/>
  <c r="F258" i="2"/>
  <c r="C258" i="2"/>
  <c r="AD257" i="2"/>
  <c r="AC257" i="2"/>
  <c r="AA257" i="2"/>
  <c r="W257" i="2"/>
  <c r="X257" i="2" s="1"/>
  <c r="U257" i="2"/>
  <c r="R257" i="2"/>
  <c r="N257" i="2"/>
  <c r="O257" i="2" s="1"/>
  <c r="L257" i="2"/>
  <c r="H257" i="2"/>
  <c r="I257" i="2" s="1"/>
  <c r="F257" i="2"/>
  <c r="C257" i="2"/>
  <c r="AD256" i="2"/>
  <c r="AC256" i="2"/>
  <c r="AA256" i="2"/>
  <c r="W256" i="2"/>
  <c r="U256" i="2"/>
  <c r="R256" i="2"/>
  <c r="N256" i="2"/>
  <c r="O256" i="2" s="1"/>
  <c r="L256" i="2"/>
  <c r="I256" i="2"/>
  <c r="H256" i="2"/>
  <c r="F256" i="2"/>
  <c r="C256" i="2"/>
  <c r="AC255" i="2"/>
  <c r="AD255" i="2" s="1"/>
  <c r="AA255" i="2"/>
  <c r="W255" i="2"/>
  <c r="X255" i="2" s="1"/>
  <c r="U255" i="2"/>
  <c r="R255" i="2"/>
  <c r="N255" i="2"/>
  <c r="O255" i="2" s="1"/>
  <c r="L255" i="2"/>
  <c r="I255" i="2"/>
  <c r="H255" i="2"/>
  <c r="F255" i="2"/>
  <c r="C255" i="2"/>
  <c r="AC254" i="2"/>
  <c r="AD254" i="2" s="1"/>
  <c r="AA254" i="2"/>
  <c r="X254" i="2"/>
  <c r="W254" i="2"/>
  <c r="U254" i="2"/>
  <c r="R254" i="2"/>
  <c r="O254" i="2"/>
  <c r="N254" i="2"/>
  <c r="L254" i="2"/>
  <c r="H254" i="2"/>
  <c r="I254" i="2" s="1"/>
  <c r="F254" i="2"/>
  <c r="C254" i="2"/>
  <c r="AD253" i="2"/>
  <c r="AC253" i="2"/>
  <c r="AA253" i="2"/>
  <c r="X253" i="2"/>
  <c r="W253" i="2"/>
  <c r="U253" i="2"/>
  <c r="R253" i="2"/>
  <c r="N253" i="2"/>
  <c r="O253" i="2" s="1"/>
  <c r="L253" i="2"/>
  <c r="H253" i="2"/>
  <c r="I253" i="2" s="1"/>
  <c r="F253" i="2"/>
  <c r="C253" i="2"/>
  <c r="AD252" i="2"/>
  <c r="AC252" i="2"/>
  <c r="AA252" i="2"/>
  <c r="W252" i="2"/>
  <c r="U252" i="2"/>
  <c r="R252" i="2"/>
  <c r="O252" i="2"/>
  <c r="N252" i="2"/>
  <c r="L252" i="2"/>
  <c r="I252" i="2"/>
  <c r="H252" i="2"/>
  <c r="F252" i="2"/>
  <c r="C252" i="2"/>
  <c r="AC251" i="2"/>
  <c r="AD251" i="2" s="1"/>
  <c r="AA251" i="2"/>
  <c r="W251" i="2"/>
  <c r="X251" i="2" s="1"/>
  <c r="U251" i="2"/>
  <c r="R251" i="2"/>
  <c r="N251" i="2"/>
  <c r="O251" i="2" s="1"/>
  <c r="L251" i="2"/>
  <c r="I251" i="2"/>
  <c r="H251" i="2"/>
  <c r="F251" i="2"/>
  <c r="C251" i="2"/>
  <c r="AC250" i="2"/>
  <c r="AD250" i="2" s="1"/>
  <c r="AA250" i="2"/>
  <c r="W250" i="2"/>
  <c r="X250" i="2" s="1"/>
  <c r="U250" i="2"/>
  <c r="R250" i="2"/>
  <c r="O250" i="2"/>
  <c r="N250" i="2"/>
  <c r="L250" i="2"/>
  <c r="H250" i="2"/>
  <c r="I250" i="2" s="1"/>
  <c r="F250" i="2"/>
  <c r="C250" i="2"/>
  <c r="AD249" i="2"/>
  <c r="AC249" i="2"/>
  <c r="AA249" i="2"/>
  <c r="W249" i="2"/>
  <c r="X249" i="2" s="1"/>
  <c r="U249" i="2"/>
  <c r="R249" i="2"/>
  <c r="N249" i="2"/>
  <c r="O249" i="2" s="1"/>
  <c r="L249" i="2"/>
  <c r="H249" i="2"/>
  <c r="I249" i="2" s="1"/>
  <c r="F249" i="2"/>
  <c r="C249" i="2"/>
  <c r="AD248" i="2"/>
  <c r="AC248" i="2"/>
  <c r="AA248" i="2"/>
  <c r="W248" i="2"/>
  <c r="U248" i="2"/>
  <c r="R248" i="2"/>
  <c r="O248" i="2"/>
  <c r="N248" i="2"/>
  <c r="L248" i="2"/>
  <c r="I248" i="2"/>
  <c r="H248" i="2"/>
  <c r="F248" i="2"/>
  <c r="C248" i="2"/>
  <c r="AC247" i="2"/>
  <c r="AD247" i="2" s="1"/>
  <c r="AA247" i="2"/>
  <c r="W247" i="2"/>
  <c r="X247" i="2" s="1"/>
  <c r="U247" i="2"/>
  <c r="R247" i="2"/>
  <c r="O247" i="2"/>
  <c r="N247" i="2"/>
  <c r="L247" i="2"/>
  <c r="I247" i="2"/>
  <c r="H247" i="2"/>
  <c r="F247" i="2"/>
  <c r="C247" i="2"/>
  <c r="AC246" i="2"/>
  <c r="AD246" i="2" s="1"/>
  <c r="AA246" i="2"/>
  <c r="X246" i="2"/>
  <c r="W246" i="2"/>
  <c r="U246" i="2"/>
  <c r="R246" i="2"/>
  <c r="O246" i="2"/>
  <c r="N246" i="2"/>
  <c r="L246" i="2"/>
  <c r="I246" i="2"/>
  <c r="H246" i="2"/>
  <c r="F246" i="2"/>
  <c r="C246" i="2"/>
  <c r="AD245" i="2"/>
  <c r="AC245" i="2"/>
  <c r="AA245" i="2"/>
  <c r="W245" i="2"/>
  <c r="X245" i="2" s="1"/>
  <c r="U245" i="2"/>
  <c r="R245" i="2"/>
  <c r="N245" i="2"/>
  <c r="O245" i="2" s="1"/>
  <c r="L245" i="2"/>
  <c r="H245" i="2"/>
  <c r="I245" i="2" s="1"/>
  <c r="F245" i="2"/>
  <c r="C245" i="2"/>
  <c r="AD244" i="2"/>
  <c r="AC244" i="2"/>
  <c r="AA244" i="2"/>
  <c r="W244" i="2"/>
  <c r="U244" i="2"/>
  <c r="R244" i="2"/>
  <c r="N244" i="2"/>
  <c r="O244" i="2" s="1"/>
  <c r="L244" i="2"/>
  <c r="I244" i="2"/>
  <c r="H244" i="2"/>
  <c r="F244" i="2"/>
  <c r="C244" i="2"/>
  <c r="AC243" i="2"/>
  <c r="AD243" i="2" s="1"/>
  <c r="AA243" i="2"/>
  <c r="W243" i="2"/>
  <c r="X243" i="2" s="1"/>
  <c r="U243" i="2"/>
  <c r="R243" i="2"/>
  <c r="O243" i="2"/>
  <c r="N243" i="2"/>
  <c r="L243" i="2"/>
  <c r="I243" i="2"/>
  <c r="H243" i="2"/>
  <c r="F243" i="2"/>
  <c r="C243" i="2"/>
  <c r="AC242" i="2"/>
  <c r="AD242" i="2" s="1"/>
  <c r="AA242" i="2"/>
  <c r="W242" i="2"/>
  <c r="X242" i="2" s="1"/>
  <c r="U242" i="2"/>
  <c r="R242" i="2"/>
  <c r="O242" i="2"/>
  <c r="N242" i="2"/>
  <c r="L242" i="2"/>
  <c r="I242" i="2"/>
  <c r="H242" i="2"/>
  <c r="F242" i="2"/>
  <c r="C242" i="2"/>
  <c r="AD241" i="2"/>
  <c r="AC241" i="2"/>
  <c r="AA241" i="2"/>
  <c r="W241" i="2"/>
  <c r="X241" i="2" s="1"/>
  <c r="U241" i="2"/>
  <c r="R241" i="2"/>
  <c r="N241" i="2"/>
  <c r="O241" i="2" s="1"/>
  <c r="L241" i="2"/>
  <c r="H241" i="2"/>
  <c r="I241" i="2" s="1"/>
  <c r="F241" i="2"/>
  <c r="C241" i="2"/>
  <c r="AD240" i="2"/>
  <c r="AC240" i="2"/>
  <c r="AA240" i="2"/>
  <c r="W240" i="2"/>
  <c r="U240" i="2"/>
  <c r="R240" i="2"/>
  <c r="O240" i="2"/>
  <c r="N240" i="2"/>
  <c r="L240" i="2"/>
  <c r="I240" i="2"/>
  <c r="H240" i="2"/>
  <c r="F240" i="2"/>
  <c r="C240" i="2"/>
  <c r="AD238" i="2"/>
  <c r="AC238" i="2"/>
  <c r="AA238" i="2"/>
  <c r="W238" i="2"/>
  <c r="X238" i="2" s="1"/>
  <c r="U238" i="2"/>
  <c r="R238" i="2"/>
  <c r="N238" i="2"/>
  <c r="O238" i="2" s="1"/>
  <c r="L238" i="2"/>
  <c r="I238" i="2"/>
  <c r="H238" i="2"/>
  <c r="F238" i="2"/>
  <c r="C238" i="2"/>
  <c r="Z236" i="2"/>
  <c r="AA236" i="2" s="1"/>
  <c r="U236" i="2"/>
  <c r="T236" i="2"/>
  <c r="Q236" i="2"/>
  <c r="AC236" i="2" s="1"/>
  <c r="AD236" i="2" s="1"/>
  <c r="L236" i="2"/>
  <c r="K236" i="2"/>
  <c r="E236" i="2"/>
  <c r="F236" i="2" s="1"/>
  <c r="B236" i="2"/>
  <c r="N236" i="2" s="1"/>
  <c r="O236" i="2" s="1"/>
  <c r="AD235" i="2"/>
  <c r="AC235" i="2"/>
  <c r="AA235" i="2"/>
  <c r="W235" i="2"/>
  <c r="U235" i="2"/>
  <c r="R235" i="2"/>
  <c r="N235" i="2"/>
  <c r="O235" i="2" s="1"/>
  <c r="L235" i="2"/>
  <c r="I235" i="2"/>
  <c r="H235" i="2"/>
  <c r="F235" i="2"/>
  <c r="C235" i="2"/>
  <c r="AD234" i="2"/>
  <c r="AC234" i="2"/>
  <c r="AA234" i="2"/>
  <c r="W234" i="2"/>
  <c r="X234" i="2" s="1"/>
  <c r="U234" i="2"/>
  <c r="R234" i="2"/>
  <c r="N234" i="2"/>
  <c r="O234" i="2" s="1"/>
  <c r="L234" i="2"/>
  <c r="I234" i="2"/>
  <c r="H234" i="2"/>
  <c r="F234" i="2"/>
  <c r="C234" i="2"/>
  <c r="AC233" i="2"/>
  <c r="AD233" i="2" s="1"/>
  <c r="AA233" i="2"/>
  <c r="X233" i="2"/>
  <c r="W233" i="2"/>
  <c r="U233" i="2"/>
  <c r="R233" i="2"/>
  <c r="O233" i="2"/>
  <c r="N233" i="2"/>
  <c r="L233" i="2"/>
  <c r="H233" i="2"/>
  <c r="I233" i="2" s="1"/>
  <c r="F233" i="2"/>
  <c r="C233" i="2"/>
  <c r="AD232" i="2"/>
  <c r="AC232" i="2"/>
  <c r="AA232" i="2"/>
  <c r="W232" i="2"/>
  <c r="X232" i="2" s="1"/>
  <c r="U232" i="2"/>
  <c r="R232" i="2"/>
  <c r="N232" i="2"/>
  <c r="O232" i="2" s="1"/>
  <c r="L232" i="2"/>
  <c r="H232" i="2"/>
  <c r="I232" i="2" s="1"/>
  <c r="F232" i="2"/>
  <c r="C232" i="2"/>
  <c r="AD231" i="2"/>
  <c r="AC231" i="2"/>
  <c r="AA231" i="2"/>
  <c r="W231" i="2"/>
  <c r="U231" i="2"/>
  <c r="R231" i="2"/>
  <c r="N231" i="2"/>
  <c r="O231" i="2" s="1"/>
  <c r="L231" i="2"/>
  <c r="I231" i="2"/>
  <c r="H231" i="2"/>
  <c r="F231" i="2"/>
  <c r="C231" i="2"/>
  <c r="AC230" i="2"/>
  <c r="AD230" i="2" s="1"/>
  <c r="AA230" i="2"/>
  <c r="W230" i="2"/>
  <c r="X230" i="2" s="1"/>
  <c r="U230" i="2"/>
  <c r="R230" i="2"/>
  <c r="N230" i="2"/>
  <c r="O230" i="2" s="1"/>
  <c r="L230" i="2"/>
  <c r="I230" i="2"/>
  <c r="H230" i="2"/>
  <c r="F230" i="2"/>
  <c r="C230" i="2"/>
  <c r="AC229" i="2"/>
  <c r="AD229" i="2" s="1"/>
  <c r="AA229" i="2"/>
  <c r="X229" i="2"/>
  <c r="W229" i="2"/>
  <c r="U229" i="2"/>
  <c r="R229" i="2"/>
  <c r="O229" i="2"/>
  <c r="N229" i="2"/>
  <c r="L229" i="2"/>
  <c r="H229" i="2"/>
  <c r="I229" i="2" s="1"/>
  <c r="F229" i="2"/>
  <c r="C229" i="2"/>
  <c r="Z227" i="2"/>
  <c r="AA227" i="2" s="1"/>
  <c r="X227" i="2"/>
  <c r="W227" i="2"/>
  <c r="U227" i="2"/>
  <c r="T227" i="2"/>
  <c r="R227" i="2"/>
  <c r="Q227" i="2"/>
  <c r="K227" i="2"/>
  <c r="N227" i="2" s="1"/>
  <c r="O227" i="2" s="1"/>
  <c r="F227" i="2"/>
  <c r="E227" i="2"/>
  <c r="B227" i="2"/>
  <c r="AC226" i="2"/>
  <c r="AD226" i="2" s="1"/>
  <c r="AA226" i="2"/>
  <c r="W226" i="2"/>
  <c r="X226" i="2" s="1"/>
  <c r="U226" i="2"/>
  <c r="R226" i="2"/>
  <c r="O226" i="2"/>
  <c r="N226" i="2"/>
  <c r="L226" i="2"/>
  <c r="I226" i="2"/>
  <c r="H226" i="2"/>
  <c r="F226" i="2"/>
  <c r="C226" i="2"/>
  <c r="AC225" i="2"/>
  <c r="AD225" i="2" s="1"/>
  <c r="AA225" i="2"/>
  <c r="W225" i="2"/>
  <c r="X225" i="2" s="1"/>
  <c r="U225" i="2"/>
  <c r="R225" i="2"/>
  <c r="O225" i="2"/>
  <c r="N225" i="2"/>
  <c r="L225" i="2"/>
  <c r="I225" i="2"/>
  <c r="H225" i="2"/>
  <c r="F225" i="2"/>
  <c r="C225" i="2"/>
  <c r="AD224" i="2"/>
  <c r="AC224" i="2"/>
  <c r="AA224" i="2"/>
  <c r="W224" i="2"/>
  <c r="X224" i="2" s="1"/>
  <c r="U224" i="2"/>
  <c r="R224" i="2"/>
  <c r="N224" i="2"/>
  <c r="O224" i="2" s="1"/>
  <c r="L224" i="2"/>
  <c r="H224" i="2"/>
  <c r="I224" i="2" s="1"/>
  <c r="F224" i="2"/>
  <c r="C224" i="2"/>
  <c r="AD223" i="2"/>
  <c r="AC223" i="2"/>
  <c r="AA223" i="2"/>
  <c r="W223" i="2"/>
  <c r="U223" i="2"/>
  <c r="R223" i="2"/>
  <c r="O223" i="2"/>
  <c r="N223" i="2"/>
  <c r="L223" i="2"/>
  <c r="I223" i="2"/>
  <c r="H223" i="2"/>
  <c r="F223" i="2"/>
  <c r="C223" i="2"/>
  <c r="AD222" i="2"/>
  <c r="AC222" i="2"/>
  <c r="AA222" i="2"/>
  <c r="W222" i="2"/>
  <c r="X222" i="2" s="1"/>
  <c r="U222" i="2"/>
  <c r="R222" i="2"/>
  <c r="N222" i="2"/>
  <c r="O222" i="2" s="1"/>
  <c r="L222" i="2"/>
  <c r="I222" i="2"/>
  <c r="H222" i="2"/>
  <c r="F222" i="2"/>
  <c r="C222" i="2"/>
  <c r="AC221" i="2"/>
  <c r="AD221" i="2" s="1"/>
  <c r="AA221" i="2"/>
  <c r="W221" i="2"/>
  <c r="X221" i="2" s="1"/>
  <c r="U221" i="2"/>
  <c r="R221" i="2"/>
  <c r="O221" i="2"/>
  <c r="N221" i="2"/>
  <c r="L221" i="2"/>
  <c r="H221" i="2"/>
  <c r="I221" i="2" s="1"/>
  <c r="F221" i="2"/>
  <c r="C221" i="2"/>
  <c r="AD220" i="2"/>
  <c r="AC220" i="2"/>
  <c r="AA220" i="2"/>
  <c r="W220" i="2"/>
  <c r="X220" i="2" s="1"/>
  <c r="U220" i="2"/>
  <c r="R220" i="2"/>
  <c r="N220" i="2"/>
  <c r="O220" i="2" s="1"/>
  <c r="L220" i="2"/>
  <c r="H220" i="2"/>
  <c r="I220" i="2" s="1"/>
  <c r="F220" i="2"/>
  <c r="C220" i="2"/>
  <c r="AD219" i="2"/>
  <c r="AC219" i="2"/>
  <c r="AA219" i="2"/>
  <c r="W219" i="2"/>
  <c r="U219" i="2"/>
  <c r="R219" i="2"/>
  <c r="N219" i="2"/>
  <c r="O219" i="2" s="1"/>
  <c r="L219" i="2"/>
  <c r="I219" i="2"/>
  <c r="H219" i="2"/>
  <c r="F219" i="2"/>
  <c r="C219" i="2"/>
  <c r="AD218" i="2"/>
  <c r="AC218" i="2"/>
  <c r="AA218" i="2"/>
  <c r="Z218" i="2"/>
  <c r="T218" i="2"/>
  <c r="U218" i="2" s="1"/>
  <c r="R218" i="2"/>
  <c r="Q218" i="2"/>
  <c r="O218" i="2"/>
  <c r="L218" i="2"/>
  <c r="K218" i="2"/>
  <c r="E218" i="2"/>
  <c r="H218" i="2" s="1"/>
  <c r="I218" i="2" s="1"/>
  <c r="C218" i="2"/>
  <c r="B218" i="2"/>
  <c r="N218" i="2" s="1"/>
  <c r="AD217" i="2"/>
  <c r="AC217" i="2"/>
  <c r="AA217" i="2"/>
  <c r="W217" i="2"/>
  <c r="X217" i="2" s="1"/>
  <c r="U217" i="2"/>
  <c r="R217" i="2"/>
  <c r="N217" i="2"/>
  <c r="O217" i="2" s="1"/>
  <c r="L217" i="2"/>
  <c r="H217" i="2"/>
  <c r="I217" i="2" s="1"/>
  <c r="F217" i="2"/>
  <c r="C217" i="2"/>
  <c r="AD216" i="2"/>
  <c r="AC216" i="2"/>
  <c r="AA216" i="2"/>
  <c r="W216" i="2"/>
  <c r="U216" i="2"/>
  <c r="R216" i="2"/>
  <c r="N216" i="2"/>
  <c r="O216" i="2" s="1"/>
  <c r="L216" i="2"/>
  <c r="I216" i="2"/>
  <c r="H216" i="2"/>
  <c r="F216" i="2"/>
  <c r="C216" i="2"/>
  <c r="AC215" i="2"/>
  <c r="AD215" i="2" s="1"/>
  <c r="AA215" i="2"/>
  <c r="W215" i="2"/>
  <c r="X215" i="2" s="1"/>
  <c r="U215" i="2"/>
  <c r="R215" i="2"/>
  <c r="N215" i="2"/>
  <c r="O215" i="2" s="1"/>
  <c r="L215" i="2"/>
  <c r="I215" i="2"/>
  <c r="H215" i="2"/>
  <c r="F215" i="2"/>
  <c r="C215" i="2"/>
  <c r="AC214" i="2"/>
  <c r="AD214" i="2" s="1"/>
  <c r="AA214" i="2"/>
  <c r="X214" i="2"/>
  <c r="W214" i="2"/>
  <c r="U214" i="2"/>
  <c r="R214" i="2"/>
  <c r="O214" i="2"/>
  <c r="N214" i="2"/>
  <c r="L214" i="2"/>
  <c r="H214" i="2"/>
  <c r="I214" i="2" s="1"/>
  <c r="F214" i="2"/>
  <c r="C214" i="2"/>
  <c r="AD213" i="2"/>
  <c r="AC213" i="2"/>
  <c r="AA213" i="2"/>
  <c r="X213" i="2"/>
  <c r="W213" i="2"/>
  <c r="U213" i="2"/>
  <c r="R213" i="2"/>
  <c r="N213" i="2"/>
  <c r="O213" i="2" s="1"/>
  <c r="L213" i="2"/>
  <c r="H213" i="2"/>
  <c r="I213" i="2" s="1"/>
  <c r="F213" i="2"/>
  <c r="C213" i="2"/>
  <c r="AD211" i="2"/>
  <c r="AC211" i="2"/>
  <c r="AA211" i="2"/>
  <c r="W211" i="2"/>
  <c r="U211" i="2"/>
  <c r="R211" i="2"/>
  <c r="O211" i="2"/>
  <c r="N211" i="2"/>
  <c r="L211" i="2"/>
  <c r="I211" i="2"/>
  <c r="H211" i="2"/>
  <c r="F211" i="2"/>
  <c r="C211" i="2"/>
  <c r="AC209" i="2"/>
  <c r="AD209" i="2" s="1"/>
  <c r="AA209" i="2"/>
  <c r="Z209" i="2"/>
  <c r="T209" i="2"/>
  <c r="U209" i="2" s="1"/>
  <c r="Q209" i="2"/>
  <c r="W209" i="2" s="1"/>
  <c r="X209" i="2" s="1"/>
  <c r="L209" i="2"/>
  <c r="K209" i="2"/>
  <c r="F209" i="2"/>
  <c r="E209" i="2"/>
  <c r="H209" i="2" s="1"/>
  <c r="I209" i="2" s="1"/>
  <c r="C209" i="2"/>
  <c r="B209" i="2"/>
  <c r="N209" i="2" s="1"/>
  <c r="O209" i="2" s="1"/>
  <c r="AD208" i="2"/>
  <c r="AC208" i="2"/>
  <c r="AA208" i="2"/>
  <c r="W208" i="2"/>
  <c r="X208" i="2" s="1"/>
  <c r="U208" i="2"/>
  <c r="R208" i="2"/>
  <c r="N208" i="2"/>
  <c r="O208" i="2" s="1"/>
  <c r="L208" i="2"/>
  <c r="H208" i="2"/>
  <c r="I208" i="2" s="1"/>
  <c r="F208" i="2"/>
  <c r="C208" i="2"/>
  <c r="AD207" i="2"/>
  <c r="AC207" i="2"/>
  <c r="AA207" i="2"/>
  <c r="W207" i="2"/>
  <c r="U207" i="2"/>
  <c r="R207" i="2"/>
  <c r="O207" i="2"/>
  <c r="N207" i="2"/>
  <c r="L207" i="2"/>
  <c r="I207" i="2"/>
  <c r="H207" i="2"/>
  <c r="F207" i="2"/>
  <c r="C207" i="2"/>
  <c r="AD206" i="2"/>
  <c r="AC206" i="2"/>
  <c r="AA206" i="2"/>
  <c r="W206" i="2"/>
  <c r="X206" i="2" s="1"/>
  <c r="U206" i="2"/>
  <c r="R206" i="2"/>
  <c r="O206" i="2"/>
  <c r="N206" i="2"/>
  <c r="L206" i="2"/>
  <c r="I206" i="2"/>
  <c r="H206" i="2"/>
  <c r="F206" i="2"/>
  <c r="C206" i="2"/>
  <c r="AC205" i="2"/>
  <c r="AD205" i="2" s="1"/>
  <c r="AA205" i="2"/>
  <c r="W205" i="2"/>
  <c r="X205" i="2" s="1"/>
  <c r="U205" i="2"/>
  <c r="R205" i="2"/>
  <c r="O205" i="2"/>
  <c r="N205" i="2"/>
  <c r="L205" i="2"/>
  <c r="I205" i="2"/>
  <c r="H205" i="2"/>
  <c r="F205" i="2"/>
  <c r="C205" i="2"/>
  <c r="AD204" i="2"/>
  <c r="AC204" i="2"/>
  <c r="AA204" i="2"/>
  <c r="W204" i="2"/>
  <c r="X204" i="2" s="1"/>
  <c r="U204" i="2"/>
  <c r="R204" i="2"/>
  <c r="N204" i="2"/>
  <c r="O204" i="2" s="1"/>
  <c r="L204" i="2"/>
  <c r="H204" i="2"/>
  <c r="I204" i="2" s="1"/>
  <c r="F204" i="2"/>
  <c r="C204" i="2"/>
  <c r="AD203" i="2"/>
  <c r="AC203" i="2"/>
  <c r="AA203" i="2"/>
  <c r="W203" i="2"/>
  <c r="U203" i="2"/>
  <c r="R203" i="2"/>
  <c r="N203" i="2"/>
  <c r="O203" i="2" s="1"/>
  <c r="L203" i="2"/>
  <c r="I203" i="2"/>
  <c r="H203" i="2"/>
  <c r="F203" i="2"/>
  <c r="C203" i="2"/>
  <c r="AD202" i="2"/>
  <c r="AC202" i="2"/>
  <c r="AA202" i="2"/>
  <c r="W202" i="2"/>
  <c r="X202" i="2" s="1"/>
  <c r="U202" i="2"/>
  <c r="R202" i="2"/>
  <c r="O202" i="2"/>
  <c r="N202" i="2"/>
  <c r="L202" i="2"/>
  <c r="I202" i="2"/>
  <c r="H202" i="2"/>
  <c r="F202" i="2"/>
  <c r="C202" i="2"/>
  <c r="AC201" i="2"/>
  <c r="AD201" i="2" s="1"/>
  <c r="AA201" i="2"/>
  <c r="W201" i="2"/>
  <c r="X201" i="2" s="1"/>
  <c r="U201" i="2"/>
  <c r="R201" i="2"/>
  <c r="O201" i="2"/>
  <c r="N201" i="2"/>
  <c r="L201" i="2"/>
  <c r="I201" i="2"/>
  <c r="H201" i="2"/>
  <c r="F201" i="2"/>
  <c r="C201" i="2"/>
  <c r="AA197" i="2"/>
  <c r="Z197" i="2"/>
  <c r="T197" i="2"/>
  <c r="U197" i="2" s="1"/>
  <c r="Q197" i="2"/>
  <c r="W197" i="2" s="1"/>
  <c r="X197" i="2" s="1"/>
  <c r="L197" i="2"/>
  <c r="K197" i="2"/>
  <c r="E197" i="2"/>
  <c r="H197" i="2" s="1"/>
  <c r="I197" i="2" s="1"/>
  <c r="C197" i="2"/>
  <c r="B197" i="2"/>
  <c r="N197" i="2" s="1"/>
  <c r="O197" i="2" s="1"/>
  <c r="Z196" i="2"/>
  <c r="AA196" i="2" s="1"/>
  <c r="X196" i="2"/>
  <c r="W196" i="2"/>
  <c r="U196" i="2"/>
  <c r="T196" i="2"/>
  <c r="R196" i="2"/>
  <c r="Q196" i="2"/>
  <c r="AC196" i="2" s="1"/>
  <c r="AD196" i="2" s="1"/>
  <c r="K196" i="2"/>
  <c r="L196" i="2" s="1"/>
  <c r="F196" i="2"/>
  <c r="E196" i="2"/>
  <c r="B196" i="2"/>
  <c r="N196" i="2" s="1"/>
  <c r="O196" i="2" s="1"/>
  <c r="AD195" i="2"/>
  <c r="AC195" i="2"/>
  <c r="AA195" i="2"/>
  <c r="W195" i="2"/>
  <c r="X195" i="2" s="1"/>
  <c r="U195" i="2"/>
  <c r="R195" i="2"/>
  <c r="O195" i="2"/>
  <c r="N195" i="2"/>
  <c r="L195" i="2"/>
  <c r="I195" i="2"/>
  <c r="H195" i="2"/>
  <c r="F195" i="2"/>
  <c r="C195" i="2"/>
  <c r="AC194" i="2"/>
  <c r="AD194" i="2" s="1"/>
  <c r="AA194" i="2"/>
  <c r="W194" i="2"/>
  <c r="X194" i="2" s="1"/>
  <c r="U194" i="2"/>
  <c r="R194" i="2"/>
  <c r="O194" i="2"/>
  <c r="N194" i="2"/>
  <c r="L194" i="2"/>
  <c r="I194" i="2"/>
  <c r="H194" i="2"/>
  <c r="F194" i="2"/>
  <c r="C194" i="2"/>
  <c r="Z193" i="2"/>
  <c r="AA193" i="2" s="1"/>
  <c r="W193" i="2"/>
  <c r="X193" i="2" s="1"/>
  <c r="U193" i="2"/>
  <c r="T193" i="2"/>
  <c r="R193" i="2"/>
  <c r="Q193" i="2"/>
  <c r="AC193" i="2" s="1"/>
  <c r="AD193" i="2" s="1"/>
  <c r="L193" i="2"/>
  <c r="K193" i="2"/>
  <c r="F193" i="2"/>
  <c r="E193" i="2"/>
  <c r="B193" i="2"/>
  <c r="N193" i="2" s="1"/>
  <c r="O193" i="2" s="1"/>
  <c r="AD192" i="2"/>
  <c r="AC192" i="2"/>
  <c r="AA192" i="2"/>
  <c r="W192" i="2"/>
  <c r="X192" i="2" s="1"/>
  <c r="U192" i="2"/>
  <c r="R192" i="2"/>
  <c r="N192" i="2"/>
  <c r="O192" i="2" s="1"/>
  <c r="L192" i="2"/>
  <c r="I192" i="2"/>
  <c r="H192" i="2"/>
  <c r="F192" i="2"/>
  <c r="C192" i="2"/>
  <c r="AC191" i="2"/>
  <c r="AD191" i="2" s="1"/>
  <c r="AA191" i="2"/>
  <c r="X191" i="2"/>
  <c r="W191" i="2"/>
  <c r="U191" i="2"/>
  <c r="R191" i="2"/>
  <c r="O191" i="2"/>
  <c r="N191" i="2"/>
  <c r="L191" i="2"/>
  <c r="H191" i="2"/>
  <c r="I191" i="2" s="1"/>
  <c r="F191" i="2"/>
  <c r="C191" i="2"/>
  <c r="AD190" i="2"/>
  <c r="AC190" i="2"/>
  <c r="AA190" i="2"/>
  <c r="X190" i="2"/>
  <c r="W190" i="2"/>
  <c r="U190" i="2"/>
  <c r="R190" i="2"/>
  <c r="N190" i="2"/>
  <c r="O190" i="2" s="1"/>
  <c r="L190" i="2"/>
  <c r="H190" i="2"/>
  <c r="I190" i="2" s="1"/>
  <c r="F190" i="2"/>
  <c r="C190" i="2"/>
  <c r="AD189" i="2"/>
  <c r="AC189" i="2"/>
  <c r="AA189" i="2"/>
  <c r="W189" i="2"/>
  <c r="U189" i="2"/>
  <c r="R189" i="2"/>
  <c r="N189" i="2"/>
  <c r="O189" i="2" s="1"/>
  <c r="L189" i="2"/>
  <c r="I189" i="2"/>
  <c r="H189" i="2"/>
  <c r="F189" i="2"/>
  <c r="C189" i="2"/>
  <c r="AC188" i="2"/>
  <c r="AD188" i="2" s="1"/>
  <c r="AA188" i="2"/>
  <c r="W188" i="2"/>
  <c r="X188" i="2" s="1"/>
  <c r="U188" i="2"/>
  <c r="R188" i="2"/>
  <c r="N188" i="2"/>
  <c r="O188" i="2" s="1"/>
  <c r="L188" i="2"/>
  <c r="I188" i="2"/>
  <c r="H188" i="2"/>
  <c r="F188" i="2"/>
  <c r="C188" i="2"/>
  <c r="AC187" i="2"/>
  <c r="AD187" i="2" s="1"/>
  <c r="AA187" i="2"/>
  <c r="X187" i="2"/>
  <c r="W187" i="2"/>
  <c r="U187" i="2"/>
  <c r="R187" i="2"/>
  <c r="O187" i="2"/>
  <c r="N187" i="2"/>
  <c r="L187" i="2"/>
  <c r="H187" i="2"/>
  <c r="I187" i="2" s="1"/>
  <c r="F187" i="2"/>
  <c r="C187" i="2"/>
  <c r="AD186" i="2"/>
  <c r="AC186" i="2"/>
  <c r="AA186" i="2"/>
  <c r="X186" i="2"/>
  <c r="W186" i="2"/>
  <c r="U186" i="2"/>
  <c r="R186" i="2"/>
  <c r="N186" i="2"/>
  <c r="O186" i="2" s="1"/>
  <c r="L186" i="2"/>
  <c r="H186" i="2"/>
  <c r="I186" i="2" s="1"/>
  <c r="F186" i="2"/>
  <c r="C186" i="2"/>
  <c r="AD184" i="2"/>
  <c r="AC184" i="2"/>
  <c r="AA184" i="2"/>
  <c r="W184" i="2"/>
  <c r="U184" i="2"/>
  <c r="R184" i="2"/>
  <c r="O184" i="2"/>
  <c r="N184" i="2"/>
  <c r="L184" i="2"/>
  <c r="I184" i="2"/>
  <c r="H184" i="2"/>
  <c r="F184" i="2"/>
  <c r="C184" i="2"/>
  <c r="AC183" i="2"/>
  <c r="AD183" i="2" s="1"/>
  <c r="AA183" i="2"/>
  <c r="W183" i="2"/>
  <c r="X183" i="2" s="1"/>
  <c r="U183" i="2"/>
  <c r="R183" i="2"/>
  <c r="N183" i="2"/>
  <c r="O183" i="2" s="1"/>
  <c r="L183" i="2"/>
  <c r="I183" i="2"/>
  <c r="H183" i="2"/>
  <c r="F183" i="2"/>
  <c r="C183" i="2"/>
  <c r="Z182" i="2"/>
  <c r="AC182" i="2" s="1"/>
  <c r="AD182" i="2" s="1"/>
  <c r="U182" i="2"/>
  <c r="T182" i="2"/>
  <c r="Q182" i="2"/>
  <c r="O182" i="2"/>
  <c r="N182" i="2"/>
  <c r="L182" i="2"/>
  <c r="K182" i="2"/>
  <c r="E182" i="2"/>
  <c r="F182" i="2" s="1"/>
  <c r="C182" i="2"/>
  <c r="B182" i="2"/>
  <c r="AD181" i="2"/>
  <c r="AC181" i="2"/>
  <c r="AA181" i="2"/>
  <c r="W181" i="2"/>
  <c r="U181" i="2"/>
  <c r="R181" i="2"/>
  <c r="O181" i="2"/>
  <c r="N181" i="2"/>
  <c r="L181" i="2"/>
  <c r="I181" i="2"/>
  <c r="H181" i="2"/>
  <c r="F181" i="2"/>
  <c r="C181" i="2"/>
  <c r="AD180" i="2"/>
  <c r="AC180" i="2"/>
  <c r="AA180" i="2"/>
  <c r="W180" i="2"/>
  <c r="X180" i="2" s="1"/>
  <c r="U180" i="2"/>
  <c r="R180" i="2"/>
  <c r="O180" i="2"/>
  <c r="N180" i="2"/>
  <c r="L180" i="2"/>
  <c r="I180" i="2"/>
  <c r="H180" i="2"/>
  <c r="F180" i="2"/>
  <c r="C180" i="2"/>
  <c r="AC179" i="2"/>
  <c r="AD179" i="2" s="1"/>
  <c r="AA179" i="2"/>
  <c r="W179" i="2"/>
  <c r="X179" i="2" s="1"/>
  <c r="U179" i="2"/>
  <c r="R179" i="2"/>
  <c r="O179" i="2"/>
  <c r="N179" i="2"/>
  <c r="L179" i="2"/>
  <c r="I179" i="2"/>
  <c r="H179" i="2"/>
  <c r="F179" i="2"/>
  <c r="C179" i="2"/>
  <c r="AD178" i="2"/>
  <c r="AC178" i="2"/>
  <c r="AA178" i="2"/>
  <c r="W178" i="2"/>
  <c r="X178" i="2" s="1"/>
  <c r="U178" i="2"/>
  <c r="R178" i="2"/>
  <c r="N178" i="2"/>
  <c r="O178" i="2" s="1"/>
  <c r="L178" i="2"/>
  <c r="H178" i="2"/>
  <c r="I178" i="2" s="1"/>
  <c r="F178" i="2"/>
  <c r="C178" i="2"/>
  <c r="AD177" i="2"/>
  <c r="AC177" i="2"/>
  <c r="AA177" i="2"/>
  <c r="W177" i="2"/>
  <c r="U177" i="2"/>
  <c r="R177" i="2"/>
  <c r="N177" i="2"/>
  <c r="O177" i="2" s="1"/>
  <c r="L177" i="2"/>
  <c r="I177" i="2"/>
  <c r="H177" i="2"/>
  <c r="F177" i="2"/>
  <c r="C177" i="2"/>
  <c r="AD175" i="2"/>
  <c r="AC175" i="2"/>
  <c r="AA175" i="2"/>
  <c r="W175" i="2"/>
  <c r="X175" i="2" s="1"/>
  <c r="U175" i="2"/>
  <c r="R175" i="2"/>
  <c r="O175" i="2"/>
  <c r="N175" i="2"/>
  <c r="L175" i="2"/>
  <c r="I175" i="2"/>
  <c r="H175" i="2"/>
  <c r="F175" i="2"/>
  <c r="C175" i="2"/>
  <c r="AD171" i="2"/>
  <c r="AA171" i="2"/>
  <c r="Z171" i="2"/>
  <c r="W171" i="2"/>
  <c r="X171" i="2" s="1"/>
  <c r="U171" i="2"/>
  <c r="T171" i="2"/>
  <c r="R171" i="2"/>
  <c r="Q171" i="2"/>
  <c r="AC171" i="2" s="1"/>
  <c r="N171" i="2"/>
  <c r="O171" i="2" s="1"/>
  <c r="K171" i="2"/>
  <c r="L171" i="2" s="1"/>
  <c r="I171" i="2"/>
  <c r="H171" i="2"/>
  <c r="F171" i="2"/>
  <c r="E171" i="2"/>
  <c r="B171" i="2"/>
  <c r="C171" i="2" s="1"/>
  <c r="AC170" i="2"/>
  <c r="AD170" i="2" s="1"/>
  <c r="Z170" i="2"/>
  <c r="AA170" i="2" s="1"/>
  <c r="T170" i="2"/>
  <c r="U170" i="2" s="1"/>
  <c r="Q170" i="2"/>
  <c r="N170" i="2"/>
  <c r="O170" i="2" s="1"/>
  <c r="L170" i="2"/>
  <c r="K170" i="2"/>
  <c r="E170" i="2"/>
  <c r="F170" i="2" s="1"/>
  <c r="B170" i="2"/>
  <c r="C170" i="2" s="1"/>
  <c r="AD169" i="2"/>
  <c r="AC169" i="2"/>
  <c r="AA169" i="2"/>
  <c r="X169" i="2"/>
  <c r="W169" i="2"/>
  <c r="U169" i="2"/>
  <c r="R169" i="2"/>
  <c r="N169" i="2"/>
  <c r="O169" i="2" s="1"/>
  <c r="L169" i="2"/>
  <c r="I169" i="2"/>
  <c r="H169" i="2"/>
  <c r="F169" i="2"/>
  <c r="C169" i="2"/>
  <c r="AC168" i="2"/>
  <c r="AD168" i="2" s="1"/>
  <c r="AA168" i="2"/>
  <c r="W168" i="2"/>
  <c r="X168" i="2" s="1"/>
  <c r="U168" i="2"/>
  <c r="R168" i="2"/>
  <c r="N168" i="2"/>
  <c r="O168" i="2" s="1"/>
  <c r="L168" i="2"/>
  <c r="I168" i="2"/>
  <c r="H168" i="2"/>
  <c r="F168" i="2"/>
  <c r="C168" i="2"/>
  <c r="AC167" i="2"/>
  <c r="AD167" i="2" s="1"/>
  <c r="AA167" i="2"/>
  <c r="X167" i="2"/>
  <c r="W167" i="2"/>
  <c r="U167" i="2"/>
  <c r="R167" i="2"/>
  <c r="O167" i="2"/>
  <c r="N167" i="2"/>
  <c r="L167" i="2"/>
  <c r="H167" i="2"/>
  <c r="I167" i="2" s="1"/>
  <c r="F167" i="2"/>
  <c r="C167" i="2"/>
  <c r="Z166" i="2"/>
  <c r="AA166" i="2" s="1"/>
  <c r="U166" i="2"/>
  <c r="T166" i="2"/>
  <c r="Q166" i="2"/>
  <c r="R166" i="2" s="1"/>
  <c r="N166" i="2"/>
  <c r="O166" i="2" s="1"/>
  <c r="L166" i="2"/>
  <c r="K166" i="2"/>
  <c r="F166" i="2"/>
  <c r="E166" i="2"/>
  <c r="B166" i="2"/>
  <c r="AD165" i="2"/>
  <c r="AC165" i="2"/>
  <c r="AA165" i="2"/>
  <c r="W165" i="2"/>
  <c r="X165" i="2" s="1"/>
  <c r="U165" i="2"/>
  <c r="R165" i="2"/>
  <c r="N165" i="2"/>
  <c r="O165" i="2" s="1"/>
  <c r="L165" i="2"/>
  <c r="I165" i="2"/>
  <c r="H165" i="2"/>
  <c r="F165" i="2"/>
  <c r="C165" i="2"/>
  <c r="AC164" i="2"/>
  <c r="AD164" i="2" s="1"/>
  <c r="AA164" i="2"/>
  <c r="W164" i="2"/>
  <c r="X164" i="2" s="1"/>
  <c r="U164" i="2"/>
  <c r="R164" i="2"/>
  <c r="O164" i="2"/>
  <c r="N164" i="2"/>
  <c r="L164" i="2"/>
  <c r="H164" i="2"/>
  <c r="I164" i="2" s="1"/>
  <c r="F164" i="2"/>
  <c r="C164" i="2"/>
  <c r="AD163" i="2"/>
  <c r="AC163" i="2"/>
  <c r="AA163" i="2"/>
  <c r="X163" i="2"/>
  <c r="W163" i="2"/>
  <c r="U163" i="2"/>
  <c r="R163" i="2"/>
  <c r="N163" i="2"/>
  <c r="O163" i="2" s="1"/>
  <c r="L163" i="2"/>
  <c r="H163" i="2"/>
  <c r="I163" i="2" s="1"/>
  <c r="F163" i="2"/>
  <c r="C163" i="2"/>
  <c r="AD162" i="2"/>
  <c r="AC162" i="2"/>
  <c r="AA162" i="2"/>
  <c r="X162" i="2"/>
  <c r="W162" i="2"/>
  <c r="U162" i="2"/>
  <c r="R162" i="2"/>
  <c r="O162" i="2"/>
  <c r="N162" i="2"/>
  <c r="L162" i="2"/>
  <c r="I162" i="2"/>
  <c r="H162" i="2"/>
  <c r="F162" i="2"/>
  <c r="C162" i="2"/>
  <c r="AC161" i="2"/>
  <c r="AD161" i="2" s="1"/>
  <c r="AA161" i="2"/>
  <c r="W161" i="2"/>
  <c r="X161" i="2" s="1"/>
  <c r="U161" i="2"/>
  <c r="R161" i="2"/>
  <c r="O161" i="2"/>
  <c r="N161" i="2"/>
  <c r="L161" i="2"/>
  <c r="I161" i="2"/>
  <c r="H161" i="2"/>
  <c r="F161" i="2"/>
  <c r="C161" i="2"/>
  <c r="AC160" i="2"/>
  <c r="AD160" i="2" s="1"/>
  <c r="AA160" i="2"/>
  <c r="X160" i="2"/>
  <c r="W160" i="2"/>
  <c r="U160" i="2"/>
  <c r="R160" i="2"/>
  <c r="O160" i="2"/>
  <c r="N160" i="2"/>
  <c r="L160" i="2"/>
  <c r="I160" i="2"/>
  <c r="H160" i="2"/>
  <c r="F160" i="2"/>
  <c r="C160" i="2"/>
  <c r="Z158" i="2"/>
  <c r="W158" i="2"/>
  <c r="X158" i="2" s="1"/>
  <c r="U158" i="2"/>
  <c r="T158" i="2"/>
  <c r="R158" i="2"/>
  <c r="Q158" i="2"/>
  <c r="L158" i="2"/>
  <c r="K158" i="2"/>
  <c r="F158" i="2"/>
  <c r="E158" i="2"/>
  <c r="B158" i="2"/>
  <c r="N158" i="2" s="1"/>
  <c r="O158" i="2" s="1"/>
  <c r="AC157" i="2"/>
  <c r="AD157" i="2" s="1"/>
  <c r="AA157" i="2"/>
  <c r="W157" i="2"/>
  <c r="X157" i="2" s="1"/>
  <c r="U157" i="2"/>
  <c r="R157" i="2"/>
  <c r="N157" i="2"/>
  <c r="O157" i="2" s="1"/>
  <c r="L157" i="2"/>
  <c r="I157" i="2"/>
  <c r="H157" i="2"/>
  <c r="F157" i="2"/>
  <c r="C157" i="2"/>
  <c r="AC156" i="2"/>
  <c r="AD156" i="2" s="1"/>
  <c r="AA156" i="2"/>
  <c r="X156" i="2"/>
  <c r="W156" i="2"/>
  <c r="U156" i="2"/>
  <c r="R156" i="2"/>
  <c r="O156" i="2"/>
  <c r="N156" i="2"/>
  <c r="L156" i="2"/>
  <c r="H156" i="2"/>
  <c r="I156" i="2" s="1"/>
  <c r="F156" i="2"/>
  <c r="C156" i="2"/>
  <c r="AD155" i="2"/>
  <c r="AC155" i="2"/>
  <c r="AA155" i="2"/>
  <c r="X155" i="2"/>
  <c r="W155" i="2"/>
  <c r="U155" i="2"/>
  <c r="R155" i="2"/>
  <c r="N155" i="2"/>
  <c r="O155" i="2" s="1"/>
  <c r="L155" i="2"/>
  <c r="H155" i="2"/>
  <c r="I155" i="2" s="1"/>
  <c r="F155" i="2"/>
  <c r="C155" i="2"/>
  <c r="AD154" i="2"/>
  <c r="AC154" i="2"/>
  <c r="AA154" i="2"/>
  <c r="X154" i="2"/>
  <c r="W154" i="2"/>
  <c r="U154" i="2"/>
  <c r="R154" i="2"/>
  <c r="O154" i="2"/>
  <c r="N154" i="2"/>
  <c r="L154" i="2"/>
  <c r="H154" i="2"/>
  <c r="I154" i="2" s="1"/>
  <c r="F154" i="2"/>
  <c r="C154" i="2"/>
  <c r="AD153" i="2"/>
  <c r="AC153" i="2"/>
  <c r="AA153" i="2"/>
  <c r="W153" i="2"/>
  <c r="X153" i="2" s="1"/>
  <c r="U153" i="2"/>
  <c r="R153" i="2"/>
  <c r="N153" i="2"/>
  <c r="O153" i="2" s="1"/>
  <c r="L153" i="2"/>
  <c r="I153" i="2"/>
  <c r="H153" i="2"/>
  <c r="F153" i="2"/>
  <c r="C153" i="2"/>
  <c r="AC151" i="2"/>
  <c r="AD151" i="2" s="1"/>
  <c r="AA151" i="2"/>
  <c r="X151" i="2"/>
  <c r="W151" i="2"/>
  <c r="U151" i="2"/>
  <c r="R151" i="2"/>
  <c r="O151" i="2"/>
  <c r="N151" i="2"/>
  <c r="L151" i="2"/>
  <c r="H151" i="2"/>
  <c r="I151" i="2" s="1"/>
  <c r="F151" i="2"/>
  <c r="C151" i="2"/>
  <c r="AC149" i="2"/>
  <c r="AD149" i="2" s="1"/>
  <c r="Z149" i="2"/>
  <c r="AA149" i="2" s="1"/>
  <c r="W149" i="2"/>
  <c r="X149" i="2" s="1"/>
  <c r="U149" i="2"/>
  <c r="T149" i="2"/>
  <c r="R149" i="2"/>
  <c r="Q149" i="2"/>
  <c r="K149" i="2"/>
  <c r="L149" i="2" s="1"/>
  <c r="F149" i="2"/>
  <c r="E149" i="2"/>
  <c r="B149" i="2"/>
  <c r="AC148" i="2"/>
  <c r="AD148" i="2" s="1"/>
  <c r="AA148" i="2"/>
  <c r="Z148" i="2"/>
  <c r="W148" i="2"/>
  <c r="X148" i="2" s="1"/>
  <c r="T148" i="2"/>
  <c r="U148" i="2" s="1"/>
  <c r="R148" i="2"/>
  <c r="Q148" i="2"/>
  <c r="K148" i="2"/>
  <c r="L148" i="2" s="1"/>
  <c r="H148" i="2"/>
  <c r="I148" i="2" s="1"/>
  <c r="E148" i="2"/>
  <c r="F148" i="2" s="1"/>
  <c r="C148" i="2"/>
  <c r="B148" i="2"/>
  <c r="AD147" i="2"/>
  <c r="AC147" i="2"/>
  <c r="AA147" i="2"/>
  <c r="X147" i="2"/>
  <c r="W147" i="2"/>
  <c r="U147" i="2"/>
  <c r="R147" i="2"/>
  <c r="N147" i="2"/>
  <c r="O147" i="2" s="1"/>
  <c r="L147" i="2"/>
  <c r="H147" i="2"/>
  <c r="I147" i="2" s="1"/>
  <c r="F147" i="2"/>
  <c r="C147" i="2"/>
  <c r="AD146" i="2"/>
  <c r="AC146" i="2"/>
  <c r="AA146" i="2"/>
  <c r="X146" i="2"/>
  <c r="W146" i="2"/>
  <c r="U146" i="2"/>
  <c r="R146" i="2"/>
  <c r="O146" i="2"/>
  <c r="N146" i="2"/>
  <c r="L146" i="2"/>
  <c r="I146" i="2"/>
  <c r="H146" i="2"/>
  <c r="F146" i="2"/>
  <c r="C146" i="2"/>
  <c r="AC145" i="2"/>
  <c r="AD145" i="2" s="1"/>
  <c r="AA145" i="2"/>
  <c r="W145" i="2"/>
  <c r="X145" i="2" s="1"/>
  <c r="U145" i="2"/>
  <c r="R145" i="2"/>
  <c r="O145" i="2"/>
  <c r="N145" i="2"/>
  <c r="L145" i="2"/>
  <c r="I145" i="2"/>
  <c r="H145" i="2"/>
  <c r="F145" i="2"/>
  <c r="C145" i="2"/>
  <c r="AC144" i="2"/>
  <c r="AD144" i="2" s="1"/>
  <c r="AA144" i="2"/>
  <c r="W144" i="2"/>
  <c r="X144" i="2" s="1"/>
  <c r="U144" i="2"/>
  <c r="R144" i="2"/>
  <c r="O144" i="2"/>
  <c r="N144" i="2"/>
  <c r="L144" i="2"/>
  <c r="I144" i="2"/>
  <c r="H144" i="2"/>
  <c r="F144" i="2"/>
  <c r="C144" i="2"/>
  <c r="AC143" i="2"/>
  <c r="AD143" i="2" s="1"/>
  <c r="AA143" i="2"/>
  <c r="W143" i="2"/>
  <c r="X143" i="2" s="1"/>
  <c r="U143" i="2"/>
  <c r="R143" i="2"/>
  <c r="N143" i="2"/>
  <c r="O143" i="2" s="1"/>
  <c r="L143" i="2"/>
  <c r="H143" i="2"/>
  <c r="I143" i="2" s="1"/>
  <c r="F143" i="2"/>
  <c r="C143" i="2"/>
  <c r="Z141" i="2"/>
  <c r="AA141" i="2" s="1"/>
  <c r="W141" i="2"/>
  <c r="X141" i="2" s="1"/>
  <c r="U141" i="2"/>
  <c r="T141" i="2"/>
  <c r="R141" i="2"/>
  <c r="Q141" i="2"/>
  <c r="K141" i="2"/>
  <c r="L141" i="2" s="1"/>
  <c r="H141" i="2"/>
  <c r="I141" i="2" s="1"/>
  <c r="F141" i="2"/>
  <c r="E141" i="2"/>
  <c r="B141" i="2"/>
  <c r="N141" i="2" s="1"/>
  <c r="O141" i="2" s="1"/>
  <c r="AC140" i="2"/>
  <c r="AD140" i="2" s="1"/>
  <c r="AA140" i="2"/>
  <c r="X140" i="2"/>
  <c r="W140" i="2"/>
  <c r="U140" i="2"/>
  <c r="R140" i="2"/>
  <c r="O140" i="2"/>
  <c r="N140" i="2"/>
  <c r="L140" i="2"/>
  <c r="H140" i="2"/>
  <c r="I140" i="2" s="1"/>
  <c r="F140" i="2"/>
  <c r="C140" i="2"/>
  <c r="AD139" i="2"/>
  <c r="AC139" i="2"/>
  <c r="AA139" i="2"/>
  <c r="W139" i="2"/>
  <c r="X139" i="2" s="1"/>
  <c r="U139" i="2"/>
  <c r="R139" i="2"/>
  <c r="N139" i="2"/>
  <c r="O139" i="2" s="1"/>
  <c r="L139" i="2"/>
  <c r="H139" i="2"/>
  <c r="I139" i="2" s="1"/>
  <c r="F139" i="2"/>
  <c r="C139" i="2"/>
  <c r="AD138" i="2"/>
  <c r="AC138" i="2"/>
  <c r="AA138" i="2"/>
  <c r="X138" i="2"/>
  <c r="W138" i="2"/>
  <c r="U138" i="2"/>
  <c r="R138" i="2"/>
  <c r="N138" i="2"/>
  <c r="O138" i="2" s="1"/>
  <c r="L138" i="2"/>
  <c r="H138" i="2"/>
  <c r="I138" i="2" s="1"/>
  <c r="F138" i="2"/>
  <c r="C138" i="2"/>
  <c r="AD137" i="2"/>
  <c r="AC137" i="2"/>
  <c r="AA137" i="2"/>
  <c r="W137" i="2"/>
  <c r="X137" i="2" s="1"/>
  <c r="U137" i="2"/>
  <c r="R137" i="2"/>
  <c r="O137" i="2"/>
  <c r="N137" i="2"/>
  <c r="L137" i="2"/>
  <c r="I137" i="2"/>
  <c r="H137" i="2"/>
  <c r="F137" i="2"/>
  <c r="C137" i="2"/>
  <c r="AC136" i="2"/>
  <c r="AD136" i="2" s="1"/>
  <c r="AA136" i="2"/>
  <c r="W136" i="2"/>
  <c r="X136" i="2" s="1"/>
  <c r="U136" i="2"/>
  <c r="R136" i="2"/>
  <c r="O136" i="2"/>
  <c r="N136" i="2"/>
  <c r="L136" i="2"/>
  <c r="I136" i="2"/>
  <c r="H136" i="2"/>
  <c r="F136" i="2"/>
  <c r="C136" i="2"/>
  <c r="AC135" i="2"/>
  <c r="AD135" i="2" s="1"/>
  <c r="AA135" i="2"/>
  <c r="W135" i="2"/>
  <c r="X135" i="2" s="1"/>
  <c r="U135" i="2"/>
  <c r="R135" i="2"/>
  <c r="N135" i="2"/>
  <c r="O135" i="2" s="1"/>
  <c r="L135" i="2"/>
  <c r="H135" i="2"/>
  <c r="I135" i="2" s="1"/>
  <c r="F135" i="2"/>
  <c r="C135" i="2"/>
  <c r="AD134" i="2"/>
  <c r="AC134" i="2"/>
  <c r="AA134" i="2"/>
  <c r="X134" i="2"/>
  <c r="W134" i="2"/>
  <c r="U134" i="2"/>
  <c r="R134" i="2"/>
  <c r="N134" i="2"/>
  <c r="O134" i="2" s="1"/>
  <c r="L134" i="2"/>
  <c r="I134" i="2"/>
  <c r="H134" i="2"/>
  <c r="F134" i="2"/>
  <c r="C134" i="2"/>
  <c r="AD133" i="2"/>
  <c r="AC133" i="2"/>
  <c r="AA133" i="2"/>
  <c r="W133" i="2"/>
  <c r="X133" i="2" s="1"/>
  <c r="U133" i="2"/>
  <c r="R133" i="2"/>
  <c r="N133" i="2"/>
  <c r="O133" i="2" s="1"/>
  <c r="L133" i="2"/>
  <c r="I133" i="2"/>
  <c r="H133" i="2"/>
  <c r="F133" i="2"/>
  <c r="C133" i="2"/>
  <c r="AC132" i="2"/>
  <c r="AD132" i="2" s="1"/>
  <c r="AA132" i="2"/>
  <c r="X132" i="2"/>
  <c r="W132" i="2"/>
  <c r="U132" i="2"/>
  <c r="R132" i="2"/>
  <c r="O132" i="2"/>
  <c r="N132" i="2"/>
  <c r="L132" i="2"/>
  <c r="H132" i="2"/>
  <c r="I132" i="2" s="1"/>
  <c r="F132" i="2"/>
  <c r="C132" i="2"/>
  <c r="AC131" i="2"/>
  <c r="AD131" i="2" s="1"/>
  <c r="AA131" i="2"/>
  <c r="W131" i="2"/>
  <c r="X131" i="2" s="1"/>
  <c r="U131" i="2"/>
  <c r="R131" i="2"/>
  <c r="O131" i="2"/>
  <c r="N131" i="2"/>
  <c r="L131" i="2"/>
  <c r="H131" i="2"/>
  <c r="I131" i="2" s="1"/>
  <c r="F131" i="2"/>
  <c r="C131" i="2"/>
  <c r="AC130" i="2"/>
  <c r="AD130" i="2" s="1"/>
  <c r="AA130" i="2"/>
  <c r="X130" i="2"/>
  <c r="W130" i="2"/>
  <c r="U130" i="2"/>
  <c r="R130" i="2"/>
  <c r="O130" i="2"/>
  <c r="N130" i="2"/>
  <c r="L130" i="2"/>
  <c r="I130" i="2"/>
  <c r="H130" i="2"/>
  <c r="F130" i="2"/>
  <c r="C130" i="2"/>
  <c r="AC129" i="2"/>
  <c r="AD129" i="2" s="1"/>
  <c r="AA129" i="2"/>
  <c r="W129" i="2"/>
  <c r="X129" i="2" s="1"/>
  <c r="U129" i="2"/>
  <c r="R129" i="2"/>
  <c r="N129" i="2"/>
  <c r="O129" i="2" s="1"/>
  <c r="L129" i="2"/>
  <c r="H129" i="2"/>
  <c r="I129" i="2" s="1"/>
  <c r="F129" i="2"/>
  <c r="C129" i="2"/>
  <c r="AC127" i="2"/>
  <c r="AD127" i="2" s="1"/>
  <c r="AA127" i="2"/>
  <c r="W127" i="2"/>
  <c r="X127" i="2" s="1"/>
  <c r="U127" i="2"/>
  <c r="R127" i="2"/>
  <c r="O127" i="2"/>
  <c r="N127" i="2"/>
  <c r="L127" i="2"/>
  <c r="H127" i="2"/>
  <c r="I127" i="2" s="1"/>
  <c r="F127" i="2"/>
  <c r="C127" i="2"/>
  <c r="Z124" i="2"/>
  <c r="AA124" i="2" s="1"/>
  <c r="T124" i="2"/>
  <c r="Q124" i="2"/>
  <c r="K124" i="2"/>
  <c r="L124" i="2" s="1"/>
  <c r="E124" i="2"/>
  <c r="E172" i="2" s="1"/>
  <c r="B124" i="2"/>
  <c r="N124" i="2" s="1"/>
  <c r="O124" i="2" s="1"/>
  <c r="AD123" i="2"/>
  <c r="AC123" i="2"/>
  <c r="AA123" i="2"/>
  <c r="W123" i="2"/>
  <c r="X123" i="2" s="1"/>
  <c r="U123" i="2"/>
  <c r="R123" i="2"/>
  <c r="N123" i="2"/>
  <c r="O123" i="2" s="1"/>
  <c r="L123" i="2"/>
  <c r="I123" i="2"/>
  <c r="H123" i="2"/>
  <c r="F123" i="2"/>
  <c r="C123" i="2"/>
  <c r="Z122" i="2"/>
  <c r="AA122" i="2" s="1"/>
  <c r="T122" i="2"/>
  <c r="U122" i="2" s="1"/>
  <c r="Q122" i="2"/>
  <c r="L122" i="2"/>
  <c r="K122" i="2"/>
  <c r="E122" i="2"/>
  <c r="F122" i="2" s="1"/>
  <c r="C122" i="2"/>
  <c r="B122" i="2"/>
  <c r="H122" i="2" s="1"/>
  <c r="I122" i="2" s="1"/>
  <c r="AC121" i="2"/>
  <c r="AD121" i="2" s="1"/>
  <c r="AA121" i="2"/>
  <c r="X121" i="2"/>
  <c r="W121" i="2"/>
  <c r="U121" i="2"/>
  <c r="R121" i="2"/>
  <c r="O121" i="2"/>
  <c r="N121" i="2"/>
  <c r="L121" i="2"/>
  <c r="H121" i="2"/>
  <c r="I121" i="2" s="1"/>
  <c r="F121" i="2"/>
  <c r="C121" i="2"/>
  <c r="AC120" i="2"/>
  <c r="AD120" i="2" s="1"/>
  <c r="AA120" i="2"/>
  <c r="X120" i="2"/>
  <c r="W120" i="2"/>
  <c r="U120" i="2"/>
  <c r="R120" i="2"/>
  <c r="N120" i="2"/>
  <c r="O120" i="2" s="1"/>
  <c r="L120" i="2"/>
  <c r="H120" i="2"/>
  <c r="I120" i="2" s="1"/>
  <c r="F120" i="2"/>
  <c r="C120" i="2"/>
  <c r="AC119" i="2"/>
  <c r="AD119" i="2" s="1"/>
  <c r="AA119" i="2"/>
  <c r="W119" i="2"/>
  <c r="X119" i="2" s="1"/>
  <c r="U119" i="2"/>
  <c r="R119" i="2"/>
  <c r="O119" i="2"/>
  <c r="N119" i="2"/>
  <c r="L119" i="2"/>
  <c r="H119" i="2"/>
  <c r="I119" i="2" s="1"/>
  <c r="F119" i="2"/>
  <c r="C119" i="2"/>
  <c r="Z118" i="2"/>
  <c r="AA118" i="2" s="1"/>
  <c r="T118" i="2"/>
  <c r="U118" i="2" s="1"/>
  <c r="R118" i="2"/>
  <c r="Q118" i="2"/>
  <c r="K118" i="2"/>
  <c r="L118" i="2" s="1"/>
  <c r="H118" i="2"/>
  <c r="I118" i="2" s="1"/>
  <c r="F118" i="2"/>
  <c r="E118" i="2"/>
  <c r="B118" i="2"/>
  <c r="N118" i="2" s="1"/>
  <c r="O118" i="2" s="1"/>
  <c r="AC117" i="2"/>
  <c r="AD117" i="2" s="1"/>
  <c r="AA117" i="2"/>
  <c r="W117" i="2"/>
  <c r="X117" i="2" s="1"/>
  <c r="U117" i="2"/>
  <c r="R117" i="2"/>
  <c r="O117" i="2"/>
  <c r="N117" i="2"/>
  <c r="L117" i="2"/>
  <c r="H117" i="2"/>
  <c r="I117" i="2" s="1"/>
  <c r="F117" i="2"/>
  <c r="C117" i="2"/>
  <c r="AC116" i="2"/>
  <c r="AD116" i="2" s="1"/>
  <c r="AA116" i="2"/>
  <c r="W116" i="2"/>
  <c r="X116" i="2" s="1"/>
  <c r="U116" i="2"/>
  <c r="R116" i="2"/>
  <c r="O116" i="2"/>
  <c r="N116" i="2"/>
  <c r="L116" i="2"/>
  <c r="H116" i="2"/>
  <c r="I116" i="2" s="1"/>
  <c r="F116" i="2"/>
  <c r="C116" i="2"/>
  <c r="AD115" i="2"/>
  <c r="AC115" i="2"/>
  <c r="AA115" i="2"/>
  <c r="X115" i="2"/>
  <c r="W115" i="2"/>
  <c r="U115" i="2"/>
  <c r="R115" i="2"/>
  <c r="O115" i="2"/>
  <c r="N115" i="2"/>
  <c r="L115" i="2"/>
  <c r="H115" i="2"/>
  <c r="I115" i="2" s="1"/>
  <c r="F115" i="2"/>
  <c r="C115" i="2"/>
  <c r="AD114" i="2"/>
  <c r="AC114" i="2"/>
  <c r="AA114" i="2"/>
  <c r="X114" i="2"/>
  <c r="W114" i="2"/>
  <c r="U114" i="2"/>
  <c r="R114" i="2"/>
  <c r="N114" i="2"/>
  <c r="O114" i="2" s="1"/>
  <c r="L114" i="2"/>
  <c r="H114" i="2"/>
  <c r="I114" i="2" s="1"/>
  <c r="F114" i="2"/>
  <c r="C114" i="2"/>
  <c r="AC113" i="2"/>
  <c r="AD113" i="2" s="1"/>
  <c r="AA113" i="2"/>
  <c r="W113" i="2"/>
  <c r="X113" i="2" s="1"/>
  <c r="U113" i="2"/>
  <c r="R113" i="2"/>
  <c r="O113" i="2"/>
  <c r="N113" i="2"/>
  <c r="L113" i="2"/>
  <c r="H113" i="2"/>
  <c r="I113" i="2" s="1"/>
  <c r="F113" i="2"/>
  <c r="C113" i="2"/>
  <c r="AC112" i="2"/>
  <c r="AD112" i="2" s="1"/>
  <c r="AA112" i="2"/>
  <c r="W112" i="2"/>
  <c r="X112" i="2" s="1"/>
  <c r="U112" i="2"/>
  <c r="R112" i="2"/>
  <c r="O112" i="2"/>
  <c r="N112" i="2"/>
  <c r="L112" i="2"/>
  <c r="H112" i="2"/>
  <c r="I112" i="2" s="1"/>
  <c r="F112" i="2"/>
  <c r="C112" i="2"/>
  <c r="AC111" i="2"/>
  <c r="AD111" i="2" s="1"/>
  <c r="AA111" i="2"/>
  <c r="X111" i="2"/>
  <c r="W111" i="2"/>
  <c r="U111" i="2"/>
  <c r="R111" i="2"/>
  <c r="N111" i="2"/>
  <c r="O111" i="2" s="1"/>
  <c r="L111" i="2"/>
  <c r="H111" i="2"/>
  <c r="I111" i="2" s="1"/>
  <c r="F111" i="2"/>
  <c r="C111" i="2"/>
  <c r="AD110" i="2"/>
  <c r="AC110" i="2"/>
  <c r="AA110" i="2"/>
  <c r="X110" i="2"/>
  <c r="W110" i="2"/>
  <c r="U110" i="2"/>
  <c r="R110" i="2"/>
  <c r="N110" i="2"/>
  <c r="O110" i="2" s="1"/>
  <c r="L110" i="2"/>
  <c r="I110" i="2"/>
  <c r="H110" i="2"/>
  <c r="F110" i="2"/>
  <c r="C110" i="2"/>
  <c r="AC109" i="2"/>
  <c r="AD109" i="2" s="1"/>
  <c r="AA109" i="2"/>
  <c r="X109" i="2"/>
  <c r="W109" i="2"/>
  <c r="U109" i="2"/>
  <c r="R109" i="2"/>
  <c r="O109" i="2"/>
  <c r="N109" i="2"/>
  <c r="L109" i="2"/>
  <c r="I109" i="2"/>
  <c r="H109" i="2"/>
  <c r="F109" i="2"/>
  <c r="C109" i="2"/>
  <c r="AC108" i="2"/>
  <c r="AD108" i="2" s="1"/>
  <c r="AA108" i="2"/>
  <c r="W108" i="2"/>
  <c r="X108" i="2" s="1"/>
  <c r="U108" i="2"/>
  <c r="R108" i="2"/>
  <c r="O108" i="2"/>
  <c r="N108" i="2"/>
  <c r="L108" i="2"/>
  <c r="H108" i="2"/>
  <c r="I108" i="2" s="1"/>
  <c r="F108" i="2"/>
  <c r="C108" i="2"/>
  <c r="AC107" i="2"/>
  <c r="AD107" i="2" s="1"/>
  <c r="AA107" i="2"/>
  <c r="X107" i="2"/>
  <c r="W107" i="2"/>
  <c r="U107" i="2"/>
  <c r="R107" i="2"/>
  <c r="N107" i="2"/>
  <c r="O107" i="2" s="1"/>
  <c r="L107" i="2"/>
  <c r="H107" i="2"/>
  <c r="I107" i="2" s="1"/>
  <c r="F107" i="2"/>
  <c r="C107" i="2"/>
  <c r="AC106" i="2"/>
  <c r="AD106" i="2" s="1"/>
  <c r="AA106" i="2"/>
  <c r="X106" i="2"/>
  <c r="W106" i="2"/>
  <c r="U106" i="2"/>
  <c r="R106" i="2"/>
  <c r="N106" i="2"/>
  <c r="O106" i="2" s="1"/>
  <c r="L106" i="2"/>
  <c r="H106" i="2"/>
  <c r="I106" i="2" s="1"/>
  <c r="F106" i="2"/>
  <c r="C106" i="2"/>
  <c r="AC105" i="2"/>
  <c r="AD105" i="2" s="1"/>
  <c r="AA105" i="2"/>
  <c r="X105" i="2"/>
  <c r="W105" i="2"/>
  <c r="U105" i="2"/>
  <c r="R105" i="2"/>
  <c r="O105" i="2"/>
  <c r="N105" i="2"/>
  <c r="L105" i="2"/>
  <c r="I105" i="2"/>
  <c r="H105" i="2"/>
  <c r="F105" i="2"/>
  <c r="C105" i="2"/>
  <c r="AC104" i="2"/>
  <c r="AD104" i="2" s="1"/>
  <c r="AA104" i="2"/>
  <c r="W104" i="2"/>
  <c r="X104" i="2" s="1"/>
  <c r="U104" i="2"/>
  <c r="R104" i="2"/>
  <c r="O104" i="2"/>
  <c r="N104" i="2"/>
  <c r="L104" i="2"/>
  <c r="H104" i="2"/>
  <c r="I104" i="2" s="1"/>
  <c r="F104" i="2"/>
  <c r="C104" i="2"/>
  <c r="AD103" i="2"/>
  <c r="AC103" i="2"/>
  <c r="AA103" i="2"/>
  <c r="X103" i="2"/>
  <c r="W103" i="2"/>
  <c r="U103" i="2"/>
  <c r="R103" i="2"/>
  <c r="O103" i="2"/>
  <c r="N103" i="2"/>
  <c r="L103" i="2"/>
  <c r="H103" i="2"/>
  <c r="I103" i="2" s="1"/>
  <c r="F103" i="2"/>
  <c r="C103" i="2"/>
  <c r="AC102" i="2"/>
  <c r="AD102" i="2" s="1"/>
  <c r="AA102" i="2"/>
  <c r="X102" i="2"/>
  <c r="W102" i="2"/>
  <c r="U102" i="2"/>
  <c r="R102" i="2"/>
  <c r="N102" i="2"/>
  <c r="O102" i="2" s="1"/>
  <c r="L102" i="2"/>
  <c r="H102" i="2"/>
  <c r="I102" i="2" s="1"/>
  <c r="F102" i="2"/>
  <c r="C102" i="2"/>
  <c r="AC101" i="2"/>
  <c r="AD101" i="2" s="1"/>
  <c r="AA101" i="2"/>
  <c r="W101" i="2"/>
  <c r="X101" i="2" s="1"/>
  <c r="U101" i="2"/>
  <c r="R101" i="2"/>
  <c r="O101" i="2"/>
  <c r="N101" i="2"/>
  <c r="L101" i="2"/>
  <c r="H101" i="2"/>
  <c r="I101" i="2" s="1"/>
  <c r="F101" i="2"/>
  <c r="C101" i="2"/>
  <c r="AC100" i="2"/>
  <c r="AD100" i="2" s="1"/>
  <c r="AA100" i="2"/>
  <c r="W100" i="2"/>
  <c r="X100" i="2" s="1"/>
  <c r="U100" i="2"/>
  <c r="R100" i="2"/>
  <c r="O100" i="2"/>
  <c r="N100" i="2"/>
  <c r="L100" i="2"/>
  <c r="H100" i="2"/>
  <c r="I100" i="2" s="1"/>
  <c r="F100" i="2"/>
  <c r="C100" i="2"/>
  <c r="AD99" i="2"/>
  <c r="AC99" i="2"/>
  <c r="AA99" i="2"/>
  <c r="X99" i="2"/>
  <c r="W99" i="2"/>
  <c r="U99" i="2"/>
  <c r="R99" i="2"/>
  <c r="O99" i="2"/>
  <c r="N99" i="2"/>
  <c r="L99" i="2"/>
  <c r="H99" i="2"/>
  <c r="I99" i="2" s="1"/>
  <c r="F99" i="2"/>
  <c r="C99" i="2"/>
  <c r="AD98" i="2"/>
  <c r="AC98" i="2"/>
  <c r="AA98" i="2"/>
  <c r="X98" i="2"/>
  <c r="W98" i="2"/>
  <c r="U98" i="2"/>
  <c r="R98" i="2"/>
  <c r="N98" i="2"/>
  <c r="O98" i="2" s="1"/>
  <c r="L98" i="2"/>
  <c r="I98" i="2"/>
  <c r="H98" i="2"/>
  <c r="F98" i="2"/>
  <c r="C98" i="2"/>
  <c r="AC97" i="2"/>
  <c r="AD97" i="2" s="1"/>
  <c r="AA97" i="2"/>
  <c r="W97" i="2"/>
  <c r="X97" i="2" s="1"/>
  <c r="U97" i="2"/>
  <c r="R97" i="2"/>
  <c r="O97" i="2"/>
  <c r="N97" i="2"/>
  <c r="L97" i="2"/>
  <c r="H97" i="2"/>
  <c r="I97" i="2" s="1"/>
  <c r="F97" i="2"/>
  <c r="C97" i="2"/>
  <c r="AC96" i="2"/>
  <c r="AD96" i="2" s="1"/>
  <c r="AA96" i="2"/>
  <c r="W96" i="2"/>
  <c r="X96" i="2" s="1"/>
  <c r="U96" i="2"/>
  <c r="R96" i="2"/>
  <c r="O96" i="2"/>
  <c r="N96" i="2"/>
  <c r="L96" i="2"/>
  <c r="H96" i="2"/>
  <c r="I96" i="2" s="1"/>
  <c r="F96" i="2"/>
  <c r="C96" i="2"/>
  <c r="AC95" i="2"/>
  <c r="AD95" i="2" s="1"/>
  <c r="AA95" i="2"/>
  <c r="X95" i="2"/>
  <c r="W95" i="2"/>
  <c r="U95" i="2"/>
  <c r="R95" i="2"/>
  <c r="N95" i="2"/>
  <c r="O95" i="2" s="1"/>
  <c r="L95" i="2"/>
  <c r="H95" i="2"/>
  <c r="I95" i="2" s="1"/>
  <c r="F95" i="2"/>
  <c r="C95" i="2"/>
  <c r="AD94" i="2"/>
  <c r="AC94" i="2"/>
  <c r="AA94" i="2"/>
  <c r="X94" i="2"/>
  <c r="W94" i="2"/>
  <c r="U94" i="2"/>
  <c r="R94" i="2"/>
  <c r="N94" i="2"/>
  <c r="O94" i="2" s="1"/>
  <c r="L94" i="2"/>
  <c r="I94" i="2"/>
  <c r="H94" i="2"/>
  <c r="F94" i="2"/>
  <c r="C94" i="2"/>
  <c r="AC92" i="2"/>
  <c r="AD92" i="2" s="1"/>
  <c r="AA92" i="2"/>
  <c r="X92" i="2"/>
  <c r="W92" i="2"/>
  <c r="U92" i="2"/>
  <c r="R92" i="2"/>
  <c r="O92" i="2"/>
  <c r="N92" i="2"/>
  <c r="L92" i="2"/>
  <c r="I92" i="2"/>
  <c r="H92" i="2"/>
  <c r="F92" i="2"/>
  <c r="C92" i="2"/>
  <c r="AC91" i="2"/>
  <c r="AD91" i="2" s="1"/>
  <c r="AA91" i="2"/>
  <c r="W91" i="2"/>
  <c r="X91" i="2" s="1"/>
  <c r="U91" i="2"/>
  <c r="R91" i="2"/>
  <c r="O91" i="2"/>
  <c r="N91" i="2"/>
  <c r="L91" i="2"/>
  <c r="H91" i="2"/>
  <c r="I91" i="2" s="1"/>
  <c r="F91" i="2"/>
  <c r="C91" i="2"/>
  <c r="AC90" i="2"/>
  <c r="AD90" i="2" s="1"/>
  <c r="AA90" i="2"/>
  <c r="X90" i="2"/>
  <c r="W90" i="2"/>
  <c r="U90" i="2"/>
  <c r="R90" i="2"/>
  <c r="N90" i="2"/>
  <c r="O90" i="2" s="1"/>
  <c r="L90" i="2"/>
  <c r="H90" i="2"/>
  <c r="I90" i="2" s="1"/>
  <c r="F90" i="2"/>
  <c r="C90" i="2"/>
  <c r="AC89" i="2"/>
  <c r="AD89" i="2" s="1"/>
  <c r="AA89" i="2"/>
  <c r="X89" i="2"/>
  <c r="W89" i="2"/>
  <c r="U89" i="2"/>
  <c r="R89" i="2"/>
  <c r="N89" i="2"/>
  <c r="O89" i="2" s="1"/>
  <c r="L89" i="2"/>
  <c r="H89" i="2"/>
  <c r="I89" i="2" s="1"/>
  <c r="F89" i="2"/>
  <c r="C89" i="2"/>
  <c r="AA88" i="2"/>
  <c r="Z88" i="2"/>
  <c r="X88" i="2"/>
  <c r="W88" i="2"/>
  <c r="T88" i="2"/>
  <c r="U88" i="2" s="1"/>
  <c r="Q88" i="2"/>
  <c r="R88" i="2" s="1"/>
  <c r="N88" i="2"/>
  <c r="O88" i="2" s="1"/>
  <c r="L88" i="2"/>
  <c r="K88" i="2"/>
  <c r="E88" i="2"/>
  <c r="F88" i="2" s="1"/>
  <c r="B88" i="2"/>
  <c r="H88" i="2" s="1"/>
  <c r="I88" i="2" s="1"/>
  <c r="AC87" i="2"/>
  <c r="AD87" i="2" s="1"/>
  <c r="AA87" i="2"/>
  <c r="X87" i="2"/>
  <c r="W87" i="2"/>
  <c r="U87" i="2"/>
  <c r="R87" i="2"/>
  <c r="O87" i="2"/>
  <c r="N87" i="2"/>
  <c r="L87" i="2"/>
  <c r="H87" i="2"/>
  <c r="I87" i="2" s="1"/>
  <c r="F87" i="2"/>
  <c r="C87" i="2"/>
  <c r="AD86" i="2"/>
  <c r="AC86" i="2"/>
  <c r="AA86" i="2"/>
  <c r="X86" i="2"/>
  <c r="W86" i="2"/>
  <c r="U86" i="2"/>
  <c r="R86" i="2"/>
  <c r="N86" i="2"/>
  <c r="O86" i="2" s="1"/>
  <c r="L86" i="2"/>
  <c r="H86" i="2"/>
  <c r="I86" i="2" s="1"/>
  <c r="F86" i="2"/>
  <c r="C86" i="2"/>
  <c r="AC85" i="2"/>
  <c r="AD85" i="2" s="1"/>
  <c r="AA85" i="2"/>
  <c r="X85" i="2"/>
  <c r="W85" i="2"/>
  <c r="U85" i="2"/>
  <c r="R85" i="2"/>
  <c r="O85" i="2"/>
  <c r="N85" i="2"/>
  <c r="L85" i="2"/>
  <c r="I85" i="2"/>
  <c r="H85" i="2"/>
  <c r="F85" i="2"/>
  <c r="C85" i="2"/>
  <c r="AC84" i="2"/>
  <c r="AD84" i="2" s="1"/>
  <c r="AA84" i="2"/>
  <c r="W84" i="2"/>
  <c r="X84" i="2" s="1"/>
  <c r="U84" i="2"/>
  <c r="R84" i="2"/>
  <c r="O84" i="2"/>
  <c r="N84" i="2"/>
  <c r="L84" i="2"/>
  <c r="H84" i="2"/>
  <c r="I84" i="2" s="1"/>
  <c r="F84" i="2"/>
  <c r="C84" i="2"/>
  <c r="AD83" i="2"/>
  <c r="AC83" i="2"/>
  <c r="AA83" i="2"/>
  <c r="X83" i="2"/>
  <c r="W83" i="2"/>
  <c r="U83" i="2"/>
  <c r="R83" i="2"/>
  <c r="N83" i="2"/>
  <c r="O83" i="2" s="1"/>
  <c r="L83" i="2"/>
  <c r="H83" i="2"/>
  <c r="I83" i="2" s="1"/>
  <c r="F83" i="2"/>
  <c r="C83" i="2"/>
  <c r="AC82" i="2"/>
  <c r="AD82" i="2" s="1"/>
  <c r="AA82" i="2"/>
  <c r="X82" i="2"/>
  <c r="W82" i="2"/>
  <c r="U82" i="2"/>
  <c r="R82" i="2"/>
  <c r="N82" i="2"/>
  <c r="O82" i="2" s="1"/>
  <c r="L82" i="2"/>
  <c r="H82" i="2"/>
  <c r="I82" i="2" s="1"/>
  <c r="F82" i="2"/>
  <c r="C82" i="2"/>
  <c r="AC81" i="2"/>
  <c r="AD81" i="2" s="1"/>
  <c r="AA81" i="2"/>
  <c r="W81" i="2"/>
  <c r="X81" i="2" s="1"/>
  <c r="U81" i="2"/>
  <c r="R81" i="2"/>
  <c r="O81" i="2"/>
  <c r="N81" i="2"/>
  <c r="L81" i="2"/>
  <c r="I81" i="2"/>
  <c r="H81" i="2"/>
  <c r="F81" i="2"/>
  <c r="C81" i="2"/>
  <c r="AC80" i="2"/>
  <c r="AD80" i="2" s="1"/>
  <c r="AA80" i="2"/>
  <c r="W80" i="2"/>
  <c r="X80" i="2" s="1"/>
  <c r="U80" i="2"/>
  <c r="R80" i="2"/>
  <c r="O80" i="2"/>
  <c r="N80" i="2"/>
  <c r="L80" i="2"/>
  <c r="H80" i="2"/>
  <c r="I80" i="2" s="1"/>
  <c r="F80" i="2"/>
  <c r="C80" i="2"/>
  <c r="AD79" i="2"/>
  <c r="AC79" i="2"/>
  <c r="AA79" i="2"/>
  <c r="X79" i="2"/>
  <c r="W79" i="2"/>
  <c r="U79" i="2"/>
  <c r="R79" i="2"/>
  <c r="O79" i="2"/>
  <c r="N79" i="2"/>
  <c r="L79" i="2"/>
  <c r="H79" i="2"/>
  <c r="I79" i="2" s="1"/>
  <c r="F79" i="2"/>
  <c r="C79" i="2"/>
  <c r="AC78" i="2"/>
  <c r="AD78" i="2" s="1"/>
  <c r="AA78" i="2"/>
  <c r="X78" i="2"/>
  <c r="W78" i="2"/>
  <c r="U78" i="2"/>
  <c r="R78" i="2"/>
  <c r="N78" i="2"/>
  <c r="O78" i="2" s="1"/>
  <c r="L78" i="2"/>
  <c r="I78" i="2"/>
  <c r="H78" i="2"/>
  <c r="F78" i="2"/>
  <c r="C78" i="2"/>
  <c r="AC77" i="2"/>
  <c r="AD77" i="2" s="1"/>
  <c r="AA77" i="2"/>
  <c r="W77" i="2"/>
  <c r="X77" i="2" s="1"/>
  <c r="U77" i="2"/>
  <c r="R77" i="2"/>
  <c r="O77" i="2"/>
  <c r="N77" i="2"/>
  <c r="L77" i="2"/>
  <c r="H77" i="2"/>
  <c r="I77" i="2" s="1"/>
  <c r="F77" i="2"/>
  <c r="C77" i="2"/>
  <c r="AC76" i="2"/>
  <c r="AD76" i="2" s="1"/>
  <c r="AA76" i="2"/>
  <c r="W76" i="2"/>
  <c r="X76" i="2" s="1"/>
  <c r="U76" i="2"/>
  <c r="R76" i="2"/>
  <c r="O76" i="2"/>
  <c r="N76" i="2"/>
  <c r="L76" i="2"/>
  <c r="H76" i="2"/>
  <c r="I76" i="2" s="1"/>
  <c r="F76" i="2"/>
  <c r="C76" i="2"/>
  <c r="AC75" i="2"/>
  <c r="AD75" i="2" s="1"/>
  <c r="AA75" i="2"/>
  <c r="X75" i="2"/>
  <c r="W75" i="2"/>
  <c r="U75" i="2"/>
  <c r="R75" i="2"/>
  <c r="O75" i="2"/>
  <c r="N75" i="2"/>
  <c r="L75" i="2"/>
  <c r="H75" i="2"/>
  <c r="I75" i="2" s="1"/>
  <c r="F75" i="2"/>
  <c r="C75" i="2"/>
  <c r="AD73" i="2"/>
  <c r="AC73" i="2"/>
  <c r="AA73" i="2"/>
  <c r="Z73" i="2"/>
  <c r="T73" i="2"/>
  <c r="U73" i="2" s="1"/>
  <c r="Q73" i="2"/>
  <c r="W73" i="2" s="1"/>
  <c r="X73" i="2" s="1"/>
  <c r="O73" i="2"/>
  <c r="N73" i="2"/>
  <c r="K73" i="2"/>
  <c r="L73" i="2" s="1"/>
  <c r="F73" i="2"/>
  <c r="E73" i="2"/>
  <c r="B73" i="2"/>
  <c r="H73" i="2" s="1"/>
  <c r="I73" i="2" s="1"/>
  <c r="AC72" i="2"/>
  <c r="AD72" i="2" s="1"/>
  <c r="AA72" i="2"/>
  <c r="W72" i="2"/>
  <c r="X72" i="2" s="1"/>
  <c r="U72" i="2"/>
  <c r="R72" i="2"/>
  <c r="O72" i="2"/>
  <c r="N72" i="2"/>
  <c r="L72" i="2"/>
  <c r="H72" i="2"/>
  <c r="I72" i="2" s="1"/>
  <c r="F72" i="2"/>
  <c r="C72" i="2"/>
  <c r="AD71" i="2"/>
  <c r="AC71" i="2"/>
  <c r="AA71" i="2"/>
  <c r="X71" i="2"/>
  <c r="W71" i="2"/>
  <c r="U71" i="2"/>
  <c r="R71" i="2"/>
  <c r="O71" i="2"/>
  <c r="N71" i="2"/>
  <c r="L71" i="2"/>
  <c r="H71" i="2"/>
  <c r="I71" i="2" s="1"/>
  <c r="F71" i="2"/>
  <c r="C71" i="2"/>
  <c r="AC70" i="2"/>
  <c r="AD70" i="2" s="1"/>
  <c r="AA70" i="2"/>
  <c r="X70" i="2"/>
  <c r="W70" i="2"/>
  <c r="U70" i="2"/>
  <c r="R70" i="2"/>
  <c r="N70" i="2"/>
  <c r="O70" i="2" s="1"/>
  <c r="L70" i="2"/>
  <c r="I70" i="2"/>
  <c r="H70" i="2"/>
  <c r="F70" i="2"/>
  <c r="C70" i="2"/>
  <c r="AC69" i="2"/>
  <c r="AD69" i="2" s="1"/>
  <c r="AA69" i="2"/>
  <c r="W69" i="2"/>
  <c r="X69" i="2" s="1"/>
  <c r="U69" i="2"/>
  <c r="R69" i="2"/>
  <c r="O69" i="2"/>
  <c r="N69" i="2"/>
  <c r="L69" i="2"/>
  <c r="H69" i="2"/>
  <c r="I69" i="2" s="1"/>
  <c r="F69" i="2"/>
  <c r="C69" i="2"/>
  <c r="AC68" i="2"/>
  <c r="AD68" i="2" s="1"/>
  <c r="AA68" i="2"/>
  <c r="W68" i="2"/>
  <c r="X68" i="2" s="1"/>
  <c r="U68" i="2"/>
  <c r="R68" i="2"/>
  <c r="O68" i="2"/>
  <c r="N68" i="2"/>
  <c r="L68" i="2"/>
  <c r="H68" i="2"/>
  <c r="I68" i="2" s="1"/>
  <c r="F68" i="2"/>
  <c r="C68" i="2"/>
  <c r="AC67" i="2"/>
  <c r="AD67" i="2" s="1"/>
  <c r="AA67" i="2"/>
  <c r="X67" i="2"/>
  <c r="W67" i="2"/>
  <c r="U67" i="2"/>
  <c r="R67" i="2"/>
  <c r="O67" i="2"/>
  <c r="N67" i="2"/>
  <c r="L67" i="2"/>
  <c r="H67" i="2"/>
  <c r="I67" i="2" s="1"/>
  <c r="F67" i="2"/>
  <c r="C67" i="2"/>
  <c r="AD66" i="2"/>
  <c r="AC66" i="2"/>
  <c r="AA66" i="2"/>
  <c r="X66" i="2"/>
  <c r="W66" i="2"/>
  <c r="U66" i="2"/>
  <c r="R66" i="2"/>
  <c r="N66" i="2"/>
  <c r="O66" i="2" s="1"/>
  <c r="L66" i="2"/>
  <c r="I66" i="2"/>
  <c r="H66" i="2"/>
  <c r="F66" i="2"/>
  <c r="C66" i="2"/>
  <c r="AC65" i="2"/>
  <c r="AD65" i="2" s="1"/>
  <c r="AA65" i="2"/>
  <c r="X65" i="2"/>
  <c r="W65" i="2"/>
  <c r="U65" i="2"/>
  <c r="R65" i="2"/>
  <c r="O65" i="2"/>
  <c r="N65" i="2"/>
  <c r="L65" i="2"/>
  <c r="H65" i="2"/>
  <c r="I65" i="2" s="1"/>
  <c r="F65" i="2"/>
  <c r="C65" i="2"/>
  <c r="AC64" i="2"/>
  <c r="AD64" i="2" s="1"/>
  <c r="AA64" i="2"/>
  <c r="W64" i="2"/>
  <c r="X64" i="2" s="1"/>
  <c r="U64" i="2"/>
  <c r="R64" i="2"/>
  <c r="O64" i="2"/>
  <c r="N64" i="2"/>
  <c r="L64" i="2"/>
  <c r="H64" i="2"/>
  <c r="I64" i="2" s="1"/>
  <c r="F64" i="2"/>
  <c r="C64" i="2"/>
  <c r="AC62" i="2"/>
  <c r="AD62" i="2" s="1"/>
  <c r="Z62" i="2"/>
  <c r="AA62" i="2" s="1"/>
  <c r="U62" i="2"/>
  <c r="T62" i="2"/>
  <c r="R62" i="2"/>
  <c r="Q62" i="2"/>
  <c r="K62" i="2"/>
  <c r="L62" i="2" s="1"/>
  <c r="E62" i="2"/>
  <c r="H62" i="2" s="1"/>
  <c r="I62" i="2" s="1"/>
  <c r="B62" i="2"/>
  <c r="N62" i="2" s="1"/>
  <c r="O62" i="2" s="1"/>
  <c r="AA61" i="2"/>
  <c r="Z61" i="2"/>
  <c r="W61" i="2"/>
  <c r="X61" i="2" s="1"/>
  <c r="T61" i="2"/>
  <c r="U61" i="2" s="1"/>
  <c r="Q61" i="2"/>
  <c r="R61" i="2" s="1"/>
  <c r="O61" i="2"/>
  <c r="N61" i="2"/>
  <c r="L61" i="2"/>
  <c r="K61" i="2"/>
  <c r="E61" i="2"/>
  <c r="F61" i="2" s="1"/>
  <c r="B61" i="2"/>
  <c r="H61" i="2" s="1"/>
  <c r="I61" i="2" s="1"/>
  <c r="AC60" i="2"/>
  <c r="AD60" i="2" s="1"/>
  <c r="AA60" i="2"/>
  <c r="X60" i="2"/>
  <c r="W60" i="2"/>
  <c r="U60" i="2"/>
  <c r="R60" i="2"/>
  <c r="N60" i="2"/>
  <c r="O60" i="2" s="1"/>
  <c r="L60" i="2"/>
  <c r="H60" i="2"/>
  <c r="I60" i="2" s="1"/>
  <c r="F60" i="2"/>
  <c r="C60" i="2"/>
  <c r="AC59" i="2"/>
  <c r="AD59" i="2" s="1"/>
  <c r="AA59" i="2"/>
  <c r="X59" i="2"/>
  <c r="W59" i="2"/>
  <c r="U59" i="2"/>
  <c r="R59" i="2"/>
  <c r="N59" i="2"/>
  <c r="O59" i="2" s="1"/>
  <c r="L59" i="2"/>
  <c r="H59" i="2"/>
  <c r="I59" i="2" s="1"/>
  <c r="F59" i="2"/>
  <c r="C59" i="2"/>
  <c r="AC58" i="2"/>
  <c r="AD58" i="2" s="1"/>
  <c r="AA58" i="2"/>
  <c r="W58" i="2"/>
  <c r="X58" i="2" s="1"/>
  <c r="U58" i="2"/>
  <c r="R58" i="2"/>
  <c r="O58" i="2"/>
  <c r="N58" i="2"/>
  <c r="L58" i="2"/>
  <c r="I58" i="2"/>
  <c r="H58" i="2"/>
  <c r="F58" i="2"/>
  <c r="C58" i="2"/>
  <c r="AC57" i="2"/>
  <c r="AD57" i="2" s="1"/>
  <c r="AA57" i="2"/>
  <c r="W57" i="2"/>
  <c r="X57" i="2" s="1"/>
  <c r="U57" i="2"/>
  <c r="R57" i="2"/>
  <c r="O57" i="2"/>
  <c r="N57" i="2"/>
  <c r="L57" i="2"/>
  <c r="H57" i="2"/>
  <c r="I57" i="2" s="1"/>
  <c r="F57" i="2"/>
  <c r="C57" i="2"/>
  <c r="AD56" i="2"/>
  <c r="AC56" i="2"/>
  <c r="AA56" i="2"/>
  <c r="X56" i="2"/>
  <c r="W56" i="2"/>
  <c r="U56" i="2"/>
  <c r="R56" i="2"/>
  <c r="O56" i="2"/>
  <c r="N56" i="2"/>
  <c r="L56" i="2"/>
  <c r="H56" i="2"/>
  <c r="I56" i="2" s="1"/>
  <c r="F56" i="2"/>
  <c r="C56" i="2"/>
  <c r="AC55" i="2"/>
  <c r="AD55" i="2" s="1"/>
  <c r="AA55" i="2"/>
  <c r="X55" i="2"/>
  <c r="W55" i="2"/>
  <c r="U55" i="2"/>
  <c r="R55" i="2"/>
  <c r="N55" i="2"/>
  <c r="O55" i="2" s="1"/>
  <c r="L55" i="2"/>
  <c r="H55" i="2"/>
  <c r="I55" i="2" s="1"/>
  <c r="F55" i="2"/>
  <c r="C55" i="2"/>
  <c r="AC54" i="2"/>
  <c r="AD54" i="2" s="1"/>
  <c r="AA54" i="2"/>
  <c r="W54" i="2"/>
  <c r="X54" i="2" s="1"/>
  <c r="U54" i="2"/>
  <c r="R54" i="2"/>
  <c r="O54" i="2"/>
  <c r="N54" i="2"/>
  <c r="L54" i="2"/>
  <c r="H54" i="2"/>
  <c r="I54" i="2" s="1"/>
  <c r="F54" i="2"/>
  <c r="C54" i="2"/>
  <c r="AC53" i="2"/>
  <c r="AD53" i="2" s="1"/>
  <c r="AA53" i="2"/>
  <c r="W53" i="2"/>
  <c r="X53" i="2" s="1"/>
  <c r="U53" i="2"/>
  <c r="R53" i="2"/>
  <c r="O53" i="2"/>
  <c r="N53" i="2"/>
  <c r="L53" i="2"/>
  <c r="H53" i="2"/>
  <c r="I53" i="2" s="1"/>
  <c r="F53" i="2"/>
  <c r="C53" i="2"/>
  <c r="AC52" i="2"/>
  <c r="AD52" i="2" s="1"/>
  <c r="AA52" i="2"/>
  <c r="X52" i="2"/>
  <c r="W52" i="2"/>
  <c r="U52" i="2"/>
  <c r="R52" i="2"/>
  <c r="O52" i="2"/>
  <c r="N52" i="2"/>
  <c r="L52" i="2"/>
  <c r="H52" i="2"/>
  <c r="I52" i="2" s="1"/>
  <c r="F52" i="2"/>
  <c r="C52" i="2"/>
  <c r="AD51" i="2"/>
  <c r="AC51" i="2"/>
  <c r="AA51" i="2"/>
  <c r="X51" i="2"/>
  <c r="W51" i="2"/>
  <c r="U51" i="2"/>
  <c r="R51" i="2"/>
  <c r="N51" i="2"/>
  <c r="O51" i="2" s="1"/>
  <c r="L51" i="2"/>
  <c r="I51" i="2"/>
  <c r="H51" i="2"/>
  <c r="F51" i="2"/>
  <c r="C51" i="2"/>
  <c r="AC50" i="2"/>
  <c r="AD50" i="2" s="1"/>
  <c r="AA50" i="2"/>
  <c r="W50" i="2"/>
  <c r="X50" i="2" s="1"/>
  <c r="U50" i="2"/>
  <c r="R50" i="2"/>
  <c r="O50" i="2"/>
  <c r="N50" i="2"/>
  <c r="L50" i="2"/>
  <c r="H50" i="2"/>
  <c r="I50" i="2" s="1"/>
  <c r="F50" i="2"/>
  <c r="C50" i="2"/>
  <c r="AC49" i="2"/>
  <c r="AD49" i="2" s="1"/>
  <c r="AA49" i="2"/>
  <c r="W49" i="2"/>
  <c r="X49" i="2" s="1"/>
  <c r="U49" i="2"/>
  <c r="R49" i="2"/>
  <c r="O49" i="2"/>
  <c r="N49" i="2"/>
  <c r="L49" i="2"/>
  <c r="H49" i="2"/>
  <c r="I49" i="2" s="1"/>
  <c r="F49" i="2"/>
  <c r="C49" i="2"/>
  <c r="AC48" i="2"/>
  <c r="AD48" i="2" s="1"/>
  <c r="AA48" i="2"/>
  <c r="X48" i="2"/>
  <c r="W48" i="2"/>
  <c r="U48" i="2"/>
  <c r="R48" i="2"/>
  <c r="N48" i="2"/>
  <c r="O48" i="2" s="1"/>
  <c r="L48" i="2"/>
  <c r="H48" i="2"/>
  <c r="I48" i="2" s="1"/>
  <c r="F48" i="2"/>
  <c r="C48" i="2"/>
  <c r="AD47" i="2"/>
  <c r="AC47" i="2"/>
  <c r="AA47" i="2"/>
  <c r="X47" i="2"/>
  <c r="W47" i="2"/>
  <c r="U47" i="2"/>
  <c r="R47" i="2"/>
  <c r="N47" i="2"/>
  <c r="O47" i="2" s="1"/>
  <c r="L47" i="2"/>
  <c r="H47" i="2"/>
  <c r="I47" i="2" s="1"/>
  <c r="F47" i="2"/>
  <c r="C47" i="2"/>
  <c r="AC46" i="2"/>
  <c r="AD46" i="2" s="1"/>
  <c r="AA46" i="2"/>
  <c r="X46" i="2"/>
  <c r="W46" i="2"/>
  <c r="U46" i="2"/>
  <c r="R46" i="2"/>
  <c r="O46" i="2"/>
  <c r="N46" i="2"/>
  <c r="L46" i="2"/>
  <c r="I46" i="2"/>
  <c r="H46" i="2"/>
  <c r="F46" i="2"/>
  <c r="C46" i="2"/>
  <c r="AC44" i="2"/>
  <c r="AD44" i="2" s="1"/>
  <c r="AA44" i="2"/>
  <c r="W44" i="2"/>
  <c r="X44" i="2" s="1"/>
  <c r="U44" i="2"/>
  <c r="R44" i="2"/>
  <c r="O44" i="2"/>
  <c r="N44" i="2"/>
  <c r="L44" i="2"/>
  <c r="H44" i="2"/>
  <c r="I44" i="2" s="1"/>
  <c r="F44" i="2"/>
  <c r="C44" i="2"/>
  <c r="AC43" i="2"/>
  <c r="AD43" i="2" s="1"/>
  <c r="AA43" i="2"/>
  <c r="X43" i="2"/>
  <c r="W43" i="2"/>
  <c r="U43" i="2"/>
  <c r="R43" i="2"/>
  <c r="N43" i="2"/>
  <c r="O43" i="2" s="1"/>
  <c r="L43" i="2"/>
  <c r="H43" i="2"/>
  <c r="I43" i="2" s="1"/>
  <c r="F43" i="2"/>
  <c r="C43" i="2"/>
  <c r="AC42" i="2"/>
  <c r="AD42" i="2" s="1"/>
  <c r="AA42" i="2"/>
  <c r="X42" i="2"/>
  <c r="W42" i="2"/>
  <c r="U42" i="2"/>
  <c r="R42" i="2"/>
  <c r="N42" i="2"/>
  <c r="O42" i="2" s="1"/>
  <c r="L42" i="2"/>
  <c r="H42" i="2"/>
  <c r="I42" i="2" s="1"/>
  <c r="F42" i="2"/>
  <c r="C42" i="2"/>
  <c r="AA40" i="2"/>
  <c r="Z40" i="2"/>
  <c r="W40" i="2"/>
  <c r="X40" i="2" s="1"/>
  <c r="T40" i="2"/>
  <c r="U40" i="2" s="1"/>
  <c r="Q40" i="2"/>
  <c r="R40" i="2" s="1"/>
  <c r="O40" i="2"/>
  <c r="N40" i="2"/>
  <c r="L40" i="2"/>
  <c r="K40" i="2"/>
  <c r="E40" i="2"/>
  <c r="F40" i="2" s="1"/>
  <c r="B40" i="2"/>
  <c r="H40" i="2" s="1"/>
  <c r="I40" i="2" s="1"/>
  <c r="AC39" i="2"/>
  <c r="AD39" i="2" s="1"/>
  <c r="AA39" i="2"/>
  <c r="X39" i="2"/>
  <c r="W39" i="2"/>
  <c r="U39" i="2"/>
  <c r="R39" i="2"/>
  <c r="N39" i="2"/>
  <c r="O39" i="2" s="1"/>
  <c r="L39" i="2"/>
  <c r="H39" i="2"/>
  <c r="I39" i="2" s="1"/>
  <c r="F39" i="2"/>
  <c r="C39" i="2"/>
  <c r="AC38" i="2"/>
  <c r="AD38" i="2" s="1"/>
  <c r="AA38" i="2"/>
  <c r="X38" i="2"/>
  <c r="W38" i="2"/>
  <c r="U38" i="2"/>
  <c r="R38" i="2"/>
  <c r="N38" i="2"/>
  <c r="O38" i="2" s="1"/>
  <c r="L38" i="2"/>
  <c r="H38" i="2"/>
  <c r="I38" i="2" s="1"/>
  <c r="F38" i="2"/>
  <c r="C38" i="2"/>
  <c r="AC37" i="2"/>
  <c r="AD37" i="2" s="1"/>
  <c r="AA37" i="2"/>
  <c r="X37" i="2"/>
  <c r="W37" i="2"/>
  <c r="U37" i="2"/>
  <c r="R37" i="2"/>
  <c r="O37" i="2"/>
  <c r="N37" i="2"/>
  <c r="L37" i="2"/>
  <c r="I37" i="2"/>
  <c r="H37" i="2"/>
  <c r="F37" i="2"/>
  <c r="C37" i="2"/>
  <c r="AC36" i="2"/>
  <c r="AD36" i="2" s="1"/>
  <c r="AA36" i="2"/>
  <c r="W36" i="2"/>
  <c r="X36" i="2" s="1"/>
  <c r="U36" i="2"/>
  <c r="R36" i="2"/>
  <c r="O36" i="2"/>
  <c r="N36" i="2"/>
  <c r="L36" i="2"/>
  <c r="H36" i="2"/>
  <c r="I36" i="2" s="1"/>
  <c r="F36" i="2"/>
  <c r="C36" i="2"/>
  <c r="AD35" i="2"/>
  <c r="AC35" i="2"/>
  <c r="AA35" i="2"/>
  <c r="X35" i="2"/>
  <c r="W35" i="2"/>
  <c r="U35" i="2"/>
  <c r="R35" i="2"/>
  <c r="O35" i="2"/>
  <c r="N35" i="2"/>
  <c r="L35" i="2"/>
  <c r="H35" i="2"/>
  <c r="I35" i="2" s="1"/>
  <c r="F35" i="2"/>
  <c r="C35" i="2"/>
  <c r="AC34" i="2"/>
  <c r="AD34" i="2" s="1"/>
  <c r="AA34" i="2"/>
  <c r="X34" i="2"/>
  <c r="W34" i="2"/>
  <c r="U34" i="2"/>
  <c r="R34" i="2"/>
  <c r="N34" i="2"/>
  <c r="O34" i="2" s="1"/>
  <c r="L34" i="2"/>
  <c r="H34" i="2"/>
  <c r="I34" i="2" s="1"/>
  <c r="F34" i="2"/>
  <c r="C34" i="2"/>
  <c r="AC33" i="2"/>
  <c r="AD33" i="2" s="1"/>
  <c r="AA33" i="2"/>
  <c r="W33" i="2"/>
  <c r="X33" i="2" s="1"/>
  <c r="U33" i="2"/>
  <c r="R33" i="2"/>
  <c r="O33" i="2"/>
  <c r="N33" i="2"/>
  <c r="L33" i="2"/>
  <c r="H33" i="2"/>
  <c r="I33" i="2" s="1"/>
  <c r="F33" i="2"/>
  <c r="C33" i="2"/>
  <c r="AC32" i="2"/>
  <c r="AD32" i="2" s="1"/>
  <c r="AA32" i="2"/>
  <c r="W32" i="2"/>
  <c r="X32" i="2" s="1"/>
  <c r="U32" i="2"/>
  <c r="R32" i="2"/>
  <c r="O32" i="2"/>
  <c r="N32" i="2"/>
  <c r="L32" i="2"/>
  <c r="H32" i="2"/>
  <c r="I32" i="2" s="1"/>
  <c r="F32" i="2"/>
  <c r="C32" i="2"/>
  <c r="AD31" i="2"/>
  <c r="AC31" i="2"/>
  <c r="AA31" i="2"/>
  <c r="X31" i="2"/>
  <c r="W31" i="2"/>
  <c r="U31" i="2"/>
  <c r="R31" i="2"/>
  <c r="O31" i="2"/>
  <c r="N31" i="2"/>
  <c r="L31" i="2"/>
  <c r="H31" i="2"/>
  <c r="I31" i="2" s="1"/>
  <c r="F31" i="2"/>
  <c r="C31" i="2"/>
  <c r="AD29" i="2"/>
  <c r="AC29" i="2"/>
  <c r="AA29" i="2"/>
  <c r="Z29" i="2"/>
  <c r="T29" i="2"/>
  <c r="U29" i="2" s="1"/>
  <c r="Q29" i="2"/>
  <c r="W29" i="2" s="1"/>
  <c r="X29" i="2" s="1"/>
  <c r="N29" i="2"/>
  <c r="O29" i="2" s="1"/>
  <c r="K29" i="2"/>
  <c r="L29" i="2" s="1"/>
  <c r="F29" i="2"/>
  <c r="E29" i="2"/>
  <c r="B29" i="2"/>
  <c r="AC28" i="2"/>
  <c r="AD28" i="2" s="1"/>
  <c r="AA28" i="2"/>
  <c r="W28" i="2"/>
  <c r="X28" i="2" s="1"/>
  <c r="U28" i="2"/>
  <c r="R28" i="2"/>
  <c r="O28" i="2"/>
  <c r="N28" i="2"/>
  <c r="L28" i="2"/>
  <c r="H28" i="2"/>
  <c r="I28" i="2" s="1"/>
  <c r="F28" i="2"/>
  <c r="C28" i="2"/>
  <c r="AD27" i="2"/>
  <c r="AC27" i="2"/>
  <c r="AA27" i="2"/>
  <c r="X27" i="2"/>
  <c r="W27" i="2"/>
  <c r="U27" i="2"/>
  <c r="R27" i="2"/>
  <c r="O27" i="2"/>
  <c r="N27" i="2"/>
  <c r="L27" i="2"/>
  <c r="H27" i="2"/>
  <c r="I27" i="2" s="1"/>
  <c r="F27" i="2"/>
  <c r="C27" i="2"/>
  <c r="AC26" i="2"/>
  <c r="AD26" i="2" s="1"/>
  <c r="AA26" i="2"/>
  <c r="X26" i="2"/>
  <c r="W26" i="2"/>
  <c r="U26" i="2"/>
  <c r="R26" i="2"/>
  <c r="N26" i="2"/>
  <c r="O26" i="2" s="1"/>
  <c r="L26" i="2"/>
  <c r="H26" i="2"/>
  <c r="I26" i="2" s="1"/>
  <c r="F26" i="2"/>
  <c r="C26" i="2"/>
  <c r="AC25" i="2"/>
  <c r="AD25" i="2" s="1"/>
  <c r="AA25" i="2"/>
  <c r="W25" i="2"/>
  <c r="X25" i="2" s="1"/>
  <c r="U25" i="2"/>
  <c r="R25" i="2"/>
  <c r="O25" i="2"/>
  <c r="N25" i="2"/>
  <c r="L25" i="2"/>
  <c r="H25" i="2"/>
  <c r="I25" i="2" s="1"/>
  <c r="F25" i="2"/>
  <c r="C25" i="2"/>
  <c r="AC24" i="2"/>
  <c r="AD24" i="2" s="1"/>
  <c r="AA24" i="2"/>
  <c r="W24" i="2"/>
  <c r="X24" i="2" s="1"/>
  <c r="U24" i="2"/>
  <c r="R24" i="2"/>
  <c r="O24" i="2"/>
  <c r="N24" i="2"/>
  <c r="L24" i="2"/>
  <c r="H24" i="2"/>
  <c r="I24" i="2" s="1"/>
  <c r="F24" i="2"/>
  <c r="C24" i="2"/>
  <c r="AD23" i="2"/>
  <c r="AC23" i="2"/>
  <c r="AA23" i="2"/>
  <c r="X23" i="2"/>
  <c r="W23" i="2"/>
  <c r="U23" i="2"/>
  <c r="R23" i="2"/>
  <c r="O23" i="2"/>
  <c r="N23" i="2"/>
  <c r="L23" i="2"/>
  <c r="H23" i="2"/>
  <c r="I23" i="2" s="1"/>
  <c r="F23" i="2"/>
  <c r="C23" i="2"/>
  <c r="AD22" i="2"/>
  <c r="AC22" i="2"/>
  <c r="AA22" i="2"/>
  <c r="X22" i="2"/>
  <c r="W22" i="2"/>
  <c r="U22" i="2"/>
  <c r="R22" i="2"/>
  <c r="N22" i="2"/>
  <c r="O22" i="2" s="1"/>
  <c r="L22" i="2"/>
  <c r="I22" i="2"/>
  <c r="H22" i="2"/>
  <c r="F22" i="2"/>
  <c r="C22" i="2"/>
  <c r="AC21" i="2"/>
  <c r="AD21" i="2" s="1"/>
  <c r="AA21" i="2"/>
  <c r="W21" i="2"/>
  <c r="X21" i="2" s="1"/>
  <c r="U21" i="2"/>
  <c r="R21" i="2"/>
  <c r="O21" i="2"/>
  <c r="N21" i="2"/>
  <c r="L21" i="2"/>
  <c r="H21" i="2"/>
  <c r="I21" i="2" s="1"/>
  <c r="F21" i="2"/>
  <c r="C21" i="2"/>
  <c r="AC19" i="2"/>
  <c r="AD19" i="2" s="1"/>
  <c r="AA19" i="2"/>
  <c r="W19" i="2"/>
  <c r="X19" i="2" s="1"/>
  <c r="U19" i="2"/>
  <c r="R19" i="2"/>
  <c r="O19" i="2"/>
  <c r="N19" i="2"/>
  <c r="L19" i="2"/>
  <c r="H19" i="2"/>
  <c r="I19" i="2" s="1"/>
  <c r="F19" i="2"/>
  <c r="C19" i="2"/>
  <c r="Z18" i="2"/>
  <c r="AA18" i="2" s="1"/>
  <c r="U18" i="2"/>
  <c r="T18" i="2"/>
  <c r="R18" i="2"/>
  <c r="Q18" i="2"/>
  <c r="K18" i="2"/>
  <c r="L18" i="2" s="1"/>
  <c r="E18" i="2"/>
  <c r="F18" i="2" s="1"/>
  <c r="B18" i="2"/>
  <c r="N18" i="2" s="1"/>
  <c r="O18" i="2" s="1"/>
  <c r="AC17" i="2"/>
  <c r="AD17" i="2" s="1"/>
  <c r="AA17" i="2"/>
  <c r="W17" i="2"/>
  <c r="X17" i="2" s="1"/>
  <c r="U17" i="2"/>
  <c r="R17" i="2"/>
  <c r="O17" i="2"/>
  <c r="N17" i="2"/>
  <c r="L17" i="2"/>
  <c r="I17" i="2"/>
  <c r="H17" i="2"/>
  <c r="F17" i="2"/>
  <c r="C17" i="2"/>
  <c r="AC16" i="2"/>
  <c r="AD16" i="2" s="1"/>
  <c r="AA16" i="2"/>
  <c r="W16" i="2"/>
  <c r="X16" i="2" s="1"/>
  <c r="U16" i="2"/>
  <c r="R16" i="2"/>
  <c r="O16" i="2"/>
  <c r="N16" i="2"/>
  <c r="L16" i="2"/>
  <c r="H16" i="2"/>
  <c r="I16" i="2" s="1"/>
  <c r="F16" i="2"/>
  <c r="C16" i="2"/>
  <c r="AD15" i="2"/>
  <c r="AC15" i="2"/>
  <c r="AA15" i="2"/>
  <c r="X15" i="2"/>
  <c r="W15" i="2"/>
  <c r="U15" i="2"/>
  <c r="R15" i="2"/>
  <c r="O15" i="2"/>
  <c r="N15" i="2"/>
  <c r="L15" i="2"/>
  <c r="H15" i="2"/>
  <c r="I15" i="2" s="1"/>
  <c r="F15" i="2"/>
  <c r="C15" i="2"/>
  <c r="AC14" i="2"/>
  <c r="AD14" i="2" s="1"/>
  <c r="AA14" i="2"/>
  <c r="X14" i="2"/>
  <c r="W14" i="2"/>
  <c r="U14" i="2"/>
  <c r="R14" i="2"/>
  <c r="N14" i="2"/>
  <c r="O14" i="2" s="1"/>
  <c r="L14" i="2"/>
  <c r="I14" i="2"/>
  <c r="H14" i="2"/>
  <c r="F14" i="2"/>
  <c r="C14" i="2"/>
  <c r="AC13" i="2"/>
  <c r="AD13" i="2" s="1"/>
  <c r="AA13" i="2"/>
  <c r="W13" i="2"/>
  <c r="X13" i="2" s="1"/>
  <c r="U13" i="2"/>
  <c r="R13" i="2"/>
  <c r="O13" i="2"/>
  <c r="N13" i="2"/>
  <c r="L13" i="2"/>
  <c r="H13" i="2"/>
  <c r="I13" i="2" s="1"/>
  <c r="F13" i="2"/>
  <c r="C13" i="2"/>
  <c r="AC12" i="2"/>
  <c r="AD12" i="2" s="1"/>
  <c r="AA12" i="2"/>
  <c r="W12" i="2"/>
  <c r="X12" i="2" s="1"/>
  <c r="U12" i="2"/>
  <c r="R12" i="2"/>
  <c r="O12" i="2"/>
  <c r="N12" i="2"/>
  <c r="L12" i="2"/>
  <c r="H12" i="2"/>
  <c r="I12" i="2" s="1"/>
  <c r="F12" i="2"/>
  <c r="C12" i="2"/>
  <c r="AC11" i="2"/>
  <c r="AD11" i="2" s="1"/>
  <c r="AA11" i="2"/>
  <c r="X11" i="2"/>
  <c r="W11" i="2"/>
  <c r="U11" i="2"/>
  <c r="R11" i="2"/>
  <c r="O11" i="2"/>
  <c r="N11" i="2"/>
  <c r="L11" i="2"/>
  <c r="H11" i="2"/>
  <c r="I11" i="2" s="1"/>
  <c r="F11" i="2"/>
  <c r="C11" i="2"/>
  <c r="AD10" i="2"/>
  <c r="AC10" i="2"/>
  <c r="AA10" i="2"/>
  <c r="X10" i="2"/>
  <c r="W10" i="2"/>
  <c r="U10" i="2"/>
  <c r="R10" i="2"/>
  <c r="N10" i="2"/>
  <c r="O10" i="2" s="1"/>
  <c r="L10" i="2"/>
  <c r="I10" i="2"/>
  <c r="H10" i="2"/>
  <c r="F10" i="2"/>
  <c r="C10" i="2"/>
  <c r="AC8" i="2"/>
  <c r="AD8" i="2" s="1"/>
  <c r="AA8" i="2"/>
  <c r="X8" i="2"/>
  <c r="W8" i="2"/>
  <c r="U8" i="2"/>
  <c r="R8" i="2"/>
  <c r="O8" i="2"/>
  <c r="N8" i="2"/>
  <c r="L8" i="2"/>
  <c r="H8" i="2"/>
  <c r="I8" i="2" s="1"/>
  <c r="F8" i="2"/>
  <c r="C8" i="2"/>
  <c r="AC444" i="1"/>
  <c r="W444" i="1"/>
  <c r="N444" i="1"/>
  <c r="H444" i="1"/>
  <c r="Z442" i="1"/>
  <c r="AA442" i="1" s="1"/>
  <c r="T442" i="1"/>
  <c r="W442" i="1" s="1"/>
  <c r="X442" i="1" s="1"/>
  <c r="Q442" i="1"/>
  <c r="AC442" i="1" s="1"/>
  <c r="AD442" i="1" s="1"/>
  <c r="L442" i="1"/>
  <c r="K442" i="1"/>
  <c r="I442" i="1"/>
  <c r="H442" i="1"/>
  <c r="E442" i="1"/>
  <c r="F442" i="1" s="1"/>
  <c r="B442" i="1"/>
  <c r="C442" i="1" s="1"/>
  <c r="AC441" i="1"/>
  <c r="AD441" i="1" s="1"/>
  <c r="AA441" i="1"/>
  <c r="Z441" i="1"/>
  <c r="T441" i="1"/>
  <c r="U441" i="1" s="1"/>
  <c r="Q441" i="1"/>
  <c r="W441" i="1" s="1"/>
  <c r="X441" i="1" s="1"/>
  <c r="N441" i="1"/>
  <c r="O441" i="1" s="1"/>
  <c r="K441" i="1"/>
  <c r="L441" i="1" s="1"/>
  <c r="F441" i="1"/>
  <c r="E441" i="1"/>
  <c r="C441" i="1"/>
  <c r="B441" i="1"/>
  <c r="AC440" i="1"/>
  <c r="AD440" i="1" s="1"/>
  <c r="AA440" i="1"/>
  <c r="W440" i="1"/>
  <c r="X440" i="1" s="1"/>
  <c r="U440" i="1"/>
  <c r="R440" i="1"/>
  <c r="O440" i="1"/>
  <c r="N440" i="1"/>
  <c r="L440" i="1"/>
  <c r="H440" i="1"/>
  <c r="I440" i="1" s="1"/>
  <c r="F440" i="1"/>
  <c r="C440" i="1"/>
  <c r="AD439" i="1"/>
  <c r="AC439" i="1"/>
  <c r="AA439" i="1"/>
  <c r="X439" i="1"/>
  <c r="W439" i="1"/>
  <c r="U439" i="1"/>
  <c r="R439" i="1"/>
  <c r="N439" i="1"/>
  <c r="O439" i="1" s="1"/>
  <c r="L439" i="1"/>
  <c r="H439" i="1"/>
  <c r="I439" i="1" s="1"/>
  <c r="F439" i="1"/>
  <c r="C439" i="1"/>
  <c r="AC438" i="1"/>
  <c r="AD438" i="1" s="1"/>
  <c r="AA438" i="1"/>
  <c r="X438" i="1"/>
  <c r="W438" i="1"/>
  <c r="U438" i="1"/>
  <c r="R438" i="1"/>
  <c r="N438" i="1"/>
  <c r="O438" i="1" s="1"/>
  <c r="L438" i="1"/>
  <c r="H438" i="1"/>
  <c r="I438" i="1" s="1"/>
  <c r="F438" i="1"/>
  <c r="C438" i="1"/>
  <c r="AC437" i="1"/>
  <c r="AD437" i="1" s="1"/>
  <c r="AA437" i="1"/>
  <c r="W437" i="1"/>
  <c r="X437" i="1" s="1"/>
  <c r="U437" i="1"/>
  <c r="R437" i="1"/>
  <c r="O437" i="1"/>
  <c r="N437" i="1"/>
  <c r="L437" i="1"/>
  <c r="I437" i="1"/>
  <c r="H437" i="1"/>
  <c r="F437" i="1"/>
  <c r="C437" i="1"/>
  <c r="AC436" i="1"/>
  <c r="AD436" i="1" s="1"/>
  <c r="AA436" i="1"/>
  <c r="W436" i="1"/>
  <c r="X436" i="1" s="1"/>
  <c r="U436" i="1"/>
  <c r="R436" i="1"/>
  <c r="O436" i="1"/>
  <c r="N436" i="1"/>
  <c r="L436" i="1"/>
  <c r="H436" i="1"/>
  <c r="I436" i="1" s="1"/>
  <c r="F436" i="1"/>
  <c r="C436" i="1"/>
  <c r="AD435" i="1"/>
  <c r="AC435" i="1"/>
  <c r="AA435" i="1"/>
  <c r="X435" i="1"/>
  <c r="W435" i="1"/>
  <c r="U435" i="1"/>
  <c r="R435" i="1"/>
  <c r="O435" i="1"/>
  <c r="N435" i="1"/>
  <c r="L435" i="1"/>
  <c r="H435" i="1"/>
  <c r="I435" i="1" s="1"/>
  <c r="F435" i="1"/>
  <c r="C435" i="1"/>
  <c r="AC434" i="1"/>
  <c r="AD434" i="1" s="1"/>
  <c r="AA434" i="1"/>
  <c r="X434" i="1"/>
  <c r="W434" i="1"/>
  <c r="U434" i="1"/>
  <c r="R434" i="1"/>
  <c r="N434" i="1"/>
  <c r="O434" i="1" s="1"/>
  <c r="L434" i="1"/>
  <c r="I434" i="1"/>
  <c r="H434" i="1"/>
  <c r="F434" i="1"/>
  <c r="C434" i="1"/>
  <c r="AC433" i="1"/>
  <c r="AD433" i="1" s="1"/>
  <c r="AA433" i="1"/>
  <c r="W433" i="1"/>
  <c r="X433" i="1" s="1"/>
  <c r="U433" i="1"/>
  <c r="R433" i="1"/>
  <c r="O433" i="1"/>
  <c r="N433" i="1"/>
  <c r="L433" i="1"/>
  <c r="H433" i="1"/>
  <c r="I433" i="1" s="1"/>
  <c r="F433" i="1"/>
  <c r="C433" i="1"/>
  <c r="AC432" i="1"/>
  <c r="AD432" i="1" s="1"/>
  <c r="AA432" i="1"/>
  <c r="W432" i="1"/>
  <c r="X432" i="1" s="1"/>
  <c r="U432" i="1"/>
  <c r="R432" i="1"/>
  <c r="O432" i="1"/>
  <c r="N432" i="1"/>
  <c r="L432" i="1"/>
  <c r="H432" i="1"/>
  <c r="I432" i="1" s="1"/>
  <c r="F432" i="1"/>
  <c r="C432" i="1"/>
  <c r="Z429" i="1"/>
  <c r="AA429" i="1" s="1"/>
  <c r="T429" i="1"/>
  <c r="U429" i="1" s="1"/>
  <c r="R429" i="1"/>
  <c r="Q429" i="1"/>
  <c r="K429" i="1"/>
  <c r="L429" i="1" s="1"/>
  <c r="E429" i="1"/>
  <c r="H429" i="1" s="1"/>
  <c r="I429" i="1" s="1"/>
  <c r="B429" i="1"/>
  <c r="N429" i="1" s="1"/>
  <c r="O429" i="1" s="1"/>
  <c r="AA428" i="1"/>
  <c r="Z428" i="1"/>
  <c r="X428" i="1"/>
  <c r="W428" i="1"/>
  <c r="T428" i="1"/>
  <c r="U428" i="1" s="1"/>
  <c r="Q428" i="1"/>
  <c r="R428" i="1" s="1"/>
  <c r="N428" i="1"/>
  <c r="O428" i="1" s="1"/>
  <c r="L428" i="1"/>
  <c r="K428" i="1"/>
  <c r="E428" i="1"/>
  <c r="F428" i="1" s="1"/>
  <c r="B428" i="1"/>
  <c r="H428" i="1" s="1"/>
  <c r="I428" i="1" s="1"/>
  <c r="AC427" i="1"/>
  <c r="AD427" i="1" s="1"/>
  <c r="AA427" i="1"/>
  <c r="X427" i="1"/>
  <c r="W427" i="1"/>
  <c r="U427" i="1"/>
  <c r="R427" i="1"/>
  <c r="N427" i="1"/>
  <c r="O427" i="1" s="1"/>
  <c r="L427" i="1"/>
  <c r="H427" i="1"/>
  <c r="I427" i="1" s="1"/>
  <c r="F427" i="1"/>
  <c r="C427" i="1"/>
  <c r="AD426" i="1"/>
  <c r="AC426" i="1"/>
  <c r="AA426" i="1"/>
  <c r="X426" i="1"/>
  <c r="W426" i="1"/>
  <c r="U426" i="1"/>
  <c r="R426" i="1"/>
  <c r="N426" i="1"/>
  <c r="O426" i="1" s="1"/>
  <c r="L426" i="1"/>
  <c r="H426" i="1"/>
  <c r="I426" i="1" s="1"/>
  <c r="F426" i="1"/>
  <c r="C426" i="1"/>
  <c r="AC425" i="1"/>
  <c r="AD425" i="1" s="1"/>
  <c r="AA425" i="1"/>
  <c r="X425" i="1"/>
  <c r="W425" i="1"/>
  <c r="U425" i="1"/>
  <c r="R425" i="1"/>
  <c r="O425" i="1"/>
  <c r="N425" i="1"/>
  <c r="L425" i="1"/>
  <c r="I425" i="1"/>
  <c r="H425" i="1"/>
  <c r="F425" i="1"/>
  <c r="C425" i="1"/>
  <c r="AC424" i="1"/>
  <c r="AD424" i="1" s="1"/>
  <c r="AA424" i="1"/>
  <c r="W424" i="1"/>
  <c r="X424" i="1" s="1"/>
  <c r="U424" i="1"/>
  <c r="R424" i="1"/>
  <c r="O424" i="1"/>
  <c r="N424" i="1"/>
  <c r="L424" i="1"/>
  <c r="H424" i="1"/>
  <c r="I424" i="1" s="1"/>
  <c r="F424" i="1"/>
  <c r="C424" i="1"/>
  <c r="AD423" i="1"/>
  <c r="AC423" i="1"/>
  <c r="AA423" i="1"/>
  <c r="X423" i="1"/>
  <c r="W423" i="1"/>
  <c r="U423" i="1"/>
  <c r="R423" i="1"/>
  <c r="N423" i="1"/>
  <c r="O423" i="1" s="1"/>
  <c r="L423" i="1"/>
  <c r="H423" i="1"/>
  <c r="I423" i="1" s="1"/>
  <c r="F423" i="1"/>
  <c r="C423" i="1"/>
  <c r="AC422" i="1"/>
  <c r="AD422" i="1" s="1"/>
  <c r="AA422" i="1"/>
  <c r="X422" i="1"/>
  <c r="W422" i="1"/>
  <c r="U422" i="1"/>
  <c r="R422" i="1"/>
  <c r="N422" i="1"/>
  <c r="O422" i="1" s="1"/>
  <c r="L422" i="1"/>
  <c r="H422" i="1"/>
  <c r="I422" i="1" s="1"/>
  <c r="F422" i="1"/>
  <c r="C422" i="1"/>
  <c r="AC421" i="1"/>
  <c r="AD421" i="1" s="1"/>
  <c r="AA421" i="1"/>
  <c r="W421" i="1"/>
  <c r="X421" i="1" s="1"/>
  <c r="U421" i="1"/>
  <c r="R421" i="1"/>
  <c r="O421" i="1"/>
  <c r="N421" i="1"/>
  <c r="L421" i="1"/>
  <c r="I421" i="1"/>
  <c r="H421" i="1"/>
  <c r="F421" i="1"/>
  <c r="C421" i="1"/>
  <c r="AC420" i="1"/>
  <c r="AD420" i="1" s="1"/>
  <c r="AA420" i="1"/>
  <c r="W420" i="1"/>
  <c r="X420" i="1" s="1"/>
  <c r="U420" i="1"/>
  <c r="R420" i="1"/>
  <c r="O420" i="1"/>
  <c r="N420" i="1"/>
  <c r="L420" i="1"/>
  <c r="H420" i="1"/>
  <c r="I420" i="1" s="1"/>
  <c r="F420" i="1"/>
  <c r="C420" i="1"/>
  <c r="AD419" i="1"/>
  <c r="AC419" i="1"/>
  <c r="AA419" i="1"/>
  <c r="X419" i="1"/>
  <c r="W419" i="1"/>
  <c r="U419" i="1"/>
  <c r="R419" i="1"/>
  <c r="O419" i="1"/>
  <c r="N419" i="1"/>
  <c r="L419" i="1"/>
  <c r="H419" i="1"/>
  <c r="I419" i="1" s="1"/>
  <c r="F419" i="1"/>
  <c r="C419" i="1"/>
  <c r="AC418" i="1"/>
  <c r="AD418" i="1" s="1"/>
  <c r="AA418" i="1"/>
  <c r="X418" i="1"/>
  <c r="W418" i="1"/>
  <c r="U418" i="1"/>
  <c r="R418" i="1"/>
  <c r="N418" i="1"/>
  <c r="O418" i="1" s="1"/>
  <c r="L418" i="1"/>
  <c r="H418" i="1"/>
  <c r="I418" i="1" s="1"/>
  <c r="F418" i="1"/>
  <c r="C418" i="1"/>
  <c r="AC417" i="1"/>
  <c r="AD417" i="1" s="1"/>
  <c r="AA417" i="1"/>
  <c r="W417" i="1"/>
  <c r="X417" i="1" s="1"/>
  <c r="U417" i="1"/>
  <c r="R417" i="1"/>
  <c r="O417" i="1"/>
  <c r="N417" i="1"/>
  <c r="L417" i="1"/>
  <c r="H417" i="1"/>
  <c r="I417" i="1" s="1"/>
  <c r="F417" i="1"/>
  <c r="C417" i="1"/>
  <c r="AC416" i="1"/>
  <c r="AD416" i="1" s="1"/>
  <c r="AA416" i="1"/>
  <c r="W416" i="1"/>
  <c r="X416" i="1" s="1"/>
  <c r="U416" i="1"/>
  <c r="R416" i="1"/>
  <c r="O416" i="1"/>
  <c r="N416" i="1"/>
  <c r="L416" i="1"/>
  <c r="H416" i="1"/>
  <c r="I416" i="1" s="1"/>
  <c r="F416" i="1"/>
  <c r="C416" i="1"/>
  <c r="AC415" i="1"/>
  <c r="AD415" i="1" s="1"/>
  <c r="AA415" i="1"/>
  <c r="X415" i="1"/>
  <c r="W415" i="1"/>
  <c r="U415" i="1"/>
  <c r="R415" i="1"/>
  <c r="O415" i="1"/>
  <c r="N415" i="1"/>
  <c r="L415" i="1"/>
  <c r="H415" i="1"/>
  <c r="I415" i="1" s="1"/>
  <c r="F415" i="1"/>
  <c r="C415" i="1"/>
  <c r="AD414" i="1"/>
  <c r="AC414" i="1"/>
  <c r="AA414" i="1"/>
  <c r="X414" i="1"/>
  <c r="W414" i="1"/>
  <c r="U414" i="1"/>
  <c r="R414" i="1"/>
  <c r="N414" i="1"/>
  <c r="O414" i="1" s="1"/>
  <c r="L414" i="1"/>
  <c r="I414" i="1"/>
  <c r="H414" i="1"/>
  <c r="F414" i="1"/>
  <c r="C414" i="1"/>
  <c r="AC413" i="1"/>
  <c r="AD413" i="1" s="1"/>
  <c r="AA413" i="1"/>
  <c r="W413" i="1"/>
  <c r="X413" i="1" s="1"/>
  <c r="U413" i="1"/>
  <c r="R413" i="1"/>
  <c r="O413" i="1"/>
  <c r="N413" i="1"/>
  <c r="L413" i="1"/>
  <c r="H413" i="1"/>
  <c r="I413" i="1" s="1"/>
  <c r="F413" i="1"/>
  <c r="C413" i="1"/>
  <c r="AC412" i="1"/>
  <c r="AD412" i="1" s="1"/>
  <c r="AA412" i="1"/>
  <c r="W412" i="1"/>
  <c r="X412" i="1" s="1"/>
  <c r="U412" i="1"/>
  <c r="R412" i="1"/>
  <c r="O412" i="1"/>
  <c r="N412" i="1"/>
  <c r="L412" i="1"/>
  <c r="H412" i="1"/>
  <c r="I412" i="1" s="1"/>
  <c r="F412" i="1"/>
  <c r="C412" i="1"/>
  <c r="AC411" i="1"/>
  <c r="AD411" i="1" s="1"/>
  <c r="AA411" i="1"/>
  <c r="X411" i="1"/>
  <c r="W411" i="1"/>
  <c r="U411" i="1"/>
  <c r="R411" i="1"/>
  <c r="N411" i="1"/>
  <c r="O411" i="1" s="1"/>
  <c r="L411" i="1"/>
  <c r="H411" i="1"/>
  <c r="I411" i="1" s="1"/>
  <c r="F411" i="1"/>
  <c r="C411" i="1"/>
  <c r="AD410" i="1"/>
  <c r="AC410" i="1"/>
  <c r="AA410" i="1"/>
  <c r="X410" i="1"/>
  <c r="W410" i="1"/>
  <c r="U410" i="1"/>
  <c r="R410" i="1"/>
  <c r="N410" i="1"/>
  <c r="O410" i="1" s="1"/>
  <c r="L410" i="1"/>
  <c r="H410" i="1"/>
  <c r="I410" i="1" s="1"/>
  <c r="F410" i="1"/>
  <c r="C410" i="1"/>
  <c r="AC409" i="1"/>
  <c r="AD409" i="1" s="1"/>
  <c r="AA409" i="1"/>
  <c r="X409" i="1"/>
  <c r="W409" i="1"/>
  <c r="U409" i="1"/>
  <c r="R409" i="1"/>
  <c r="O409" i="1"/>
  <c r="N409" i="1"/>
  <c r="L409" i="1"/>
  <c r="I409" i="1"/>
  <c r="H409" i="1"/>
  <c r="F409" i="1"/>
  <c r="C409" i="1"/>
  <c r="AC408" i="1"/>
  <c r="AD408" i="1" s="1"/>
  <c r="AA408" i="1"/>
  <c r="W408" i="1"/>
  <c r="X408" i="1" s="1"/>
  <c r="U408" i="1"/>
  <c r="R408" i="1"/>
  <c r="O408" i="1"/>
  <c r="N408" i="1"/>
  <c r="L408" i="1"/>
  <c r="H408" i="1"/>
  <c r="I408" i="1" s="1"/>
  <c r="F408" i="1"/>
  <c r="C408" i="1"/>
  <c r="AC407" i="1"/>
  <c r="AD407" i="1" s="1"/>
  <c r="AA407" i="1"/>
  <c r="X407" i="1"/>
  <c r="W407" i="1"/>
  <c r="U407" i="1"/>
  <c r="R407" i="1"/>
  <c r="N407" i="1"/>
  <c r="O407" i="1" s="1"/>
  <c r="L407" i="1"/>
  <c r="H407" i="1"/>
  <c r="I407" i="1" s="1"/>
  <c r="F407" i="1"/>
  <c r="C407" i="1"/>
  <c r="Z403" i="1"/>
  <c r="AA403" i="1" s="1"/>
  <c r="X403" i="1"/>
  <c r="W403" i="1"/>
  <c r="T403" i="1"/>
  <c r="U403" i="1" s="1"/>
  <c r="Q403" i="1"/>
  <c r="AC403" i="1" s="1"/>
  <c r="AD403" i="1" s="1"/>
  <c r="K403" i="1"/>
  <c r="L403" i="1" s="1"/>
  <c r="I403" i="1"/>
  <c r="H403" i="1"/>
  <c r="E403" i="1"/>
  <c r="F403" i="1" s="1"/>
  <c r="B403" i="1"/>
  <c r="C403" i="1" s="1"/>
  <c r="AC402" i="1"/>
  <c r="AD402" i="1" s="1"/>
  <c r="AA402" i="1"/>
  <c r="X402" i="1"/>
  <c r="W402" i="1"/>
  <c r="U402" i="1"/>
  <c r="R402" i="1"/>
  <c r="N402" i="1"/>
  <c r="O402" i="1" s="1"/>
  <c r="L402" i="1"/>
  <c r="H402" i="1"/>
  <c r="I402" i="1" s="1"/>
  <c r="F402" i="1"/>
  <c r="C402" i="1"/>
  <c r="AC401" i="1"/>
  <c r="AD401" i="1" s="1"/>
  <c r="AA401" i="1"/>
  <c r="W401" i="1"/>
  <c r="X401" i="1" s="1"/>
  <c r="U401" i="1"/>
  <c r="R401" i="1"/>
  <c r="O401" i="1"/>
  <c r="N401" i="1"/>
  <c r="L401" i="1"/>
  <c r="I401" i="1"/>
  <c r="H401" i="1"/>
  <c r="F401" i="1"/>
  <c r="C401" i="1"/>
  <c r="AC400" i="1"/>
  <c r="AD400" i="1" s="1"/>
  <c r="AA400" i="1"/>
  <c r="W400" i="1"/>
  <c r="X400" i="1" s="1"/>
  <c r="U400" i="1"/>
  <c r="R400" i="1"/>
  <c r="O400" i="1"/>
  <c r="N400" i="1"/>
  <c r="L400" i="1"/>
  <c r="H400" i="1"/>
  <c r="I400" i="1" s="1"/>
  <c r="F400" i="1"/>
  <c r="C400" i="1"/>
  <c r="AD399" i="1"/>
  <c r="AC399" i="1"/>
  <c r="AA399" i="1"/>
  <c r="X399" i="1"/>
  <c r="W399" i="1"/>
  <c r="U399" i="1"/>
  <c r="R399" i="1"/>
  <c r="O399" i="1"/>
  <c r="N399" i="1"/>
  <c r="L399" i="1"/>
  <c r="H399" i="1"/>
  <c r="I399" i="1" s="1"/>
  <c r="F399" i="1"/>
  <c r="C399" i="1"/>
  <c r="AC398" i="1"/>
  <c r="AD398" i="1" s="1"/>
  <c r="AA398" i="1"/>
  <c r="X398" i="1"/>
  <c r="W398" i="1"/>
  <c r="U398" i="1"/>
  <c r="R398" i="1"/>
  <c r="N398" i="1"/>
  <c r="O398" i="1" s="1"/>
  <c r="L398" i="1"/>
  <c r="H398" i="1"/>
  <c r="I398" i="1" s="1"/>
  <c r="F398" i="1"/>
  <c r="C398" i="1"/>
  <c r="AC397" i="1"/>
  <c r="AD397" i="1" s="1"/>
  <c r="AA397" i="1"/>
  <c r="W397" i="1"/>
  <c r="X397" i="1" s="1"/>
  <c r="U397" i="1"/>
  <c r="R397" i="1"/>
  <c r="O397" i="1"/>
  <c r="N397" i="1"/>
  <c r="L397" i="1"/>
  <c r="H397" i="1"/>
  <c r="I397" i="1" s="1"/>
  <c r="F397" i="1"/>
  <c r="C397" i="1"/>
  <c r="Z396" i="1"/>
  <c r="AA396" i="1" s="1"/>
  <c r="X396" i="1"/>
  <c r="W396" i="1"/>
  <c r="T396" i="1"/>
  <c r="U396" i="1" s="1"/>
  <c r="Q396" i="1"/>
  <c r="AC396" i="1" s="1"/>
  <c r="AD396" i="1" s="1"/>
  <c r="K396" i="1"/>
  <c r="L396" i="1" s="1"/>
  <c r="I396" i="1"/>
  <c r="H396" i="1"/>
  <c r="E396" i="1"/>
  <c r="F396" i="1" s="1"/>
  <c r="B396" i="1"/>
  <c r="C396" i="1" s="1"/>
  <c r="AC395" i="1"/>
  <c r="AD395" i="1" s="1"/>
  <c r="AA395" i="1"/>
  <c r="X395" i="1"/>
  <c r="W395" i="1"/>
  <c r="U395" i="1"/>
  <c r="R395" i="1"/>
  <c r="N395" i="1"/>
  <c r="O395" i="1" s="1"/>
  <c r="L395" i="1"/>
  <c r="H395" i="1"/>
  <c r="I395" i="1" s="1"/>
  <c r="F395" i="1"/>
  <c r="C395" i="1"/>
  <c r="AC394" i="1"/>
  <c r="AD394" i="1" s="1"/>
  <c r="AA394" i="1"/>
  <c r="W394" i="1"/>
  <c r="X394" i="1" s="1"/>
  <c r="U394" i="1"/>
  <c r="R394" i="1"/>
  <c r="O394" i="1"/>
  <c r="N394" i="1"/>
  <c r="L394" i="1"/>
  <c r="I394" i="1"/>
  <c r="H394" i="1"/>
  <c r="F394" i="1"/>
  <c r="C394" i="1"/>
  <c r="Z393" i="1"/>
  <c r="AA393" i="1" s="1"/>
  <c r="W393" i="1"/>
  <c r="X393" i="1" s="1"/>
  <c r="U393" i="1"/>
  <c r="T393" i="1"/>
  <c r="Q393" i="1"/>
  <c r="AC393" i="1" s="1"/>
  <c r="AD393" i="1" s="1"/>
  <c r="K393" i="1"/>
  <c r="L393" i="1" s="1"/>
  <c r="H393" i="1"/>
  <c r="I393" i="1" s="1"/>
  <c r="E393" i="1"/>
  <c r="F393" i="1" s="1"/>
  <c r="B393" i="1"/>
  <c r="C393" i="1" s="1"/>
  <c r="AD392" i="1"/>
  <c r="AC392" i="1"/>
  <c r="AA392" i="1"/>
  <c r="X392" i="1"/>
  <c r="W392" i="1"/>
  <c r="U392" i="1"/>
  <c r="R392" i="1"/>
  <c r="N392" i="1"/>
  <c r="O392" i="1" s="1"/>
  <c r="L392" i="1"/>
  <c r="H392" i="1"/>
  <c r="I392" i="1" s="1"/>
  <c r="F392" i="1"/>
  <c r="C392" i="1"/>
  <c r="AC391" i="1"/>
  <c r="AD391" i="1" s="1"/>
  <c r="AA391" i="1"/>
  <c r="X391" i="1"/>
  <c r="W391" i="1"/>
  <c r="U391" i="1"/>
  <c r="R391" i="1"/>
  <c r="O391" i="1"/>
  <c r="N391" i="1"/>
  <c r="L391" i="1"/>
  <c r="I391" i="1"/>
  <c r="H391" i="1"/>
  <c r="F391" i="1"/>
  <c r="C391" i="1"/>
  <c r="AC390" i="1"/>
  <c r="AD390" i="1" s="1"/>
  <c r="AA390" i="1"/>
  <c r="W390" i="1"/>
  <c r="X390" i="1" s="1"/>
  <c r="U390" i="1"/>
  <c r="R390" i="1"/>
  <c r="O390" i="1"/>
  <c r="N390" i="1"/>
  <c r="L390" i="1"/>
  <c r="H390" i="1"/>
  <c r="I390" i="1" s="1"/>
  <c r="F390" i="1"/>
  <c r="C390" i="1"/>
  <c r="AC389" i="1"/>
  <c r="AD389" i="1" s="1"/>
  <c r="AA389" i="1"/>
  <c r="X389" i="1"/>
  <c r="W389" i="1"/>
  <c r="U389" i="1"/>
  <c r="R389" i="1"/>
  <c r="N389" i="1"/>
  <c r="O389" i="1" s="1"/>
  <c r="L389" i="1"/>
  <c r="H389" i="1"/>
  <c r="I389" i="1" s="1"/>
  <c r="F389" i="1"/>
  <c r="C389" i="1"/>
  <c r="AC388" i="1"/>
  <c r="AD388" i="1" s="1"/>
  <c r="AA388" i="1"/>
  <c r="X388" i="1"/>
  <c r="W388" i="1"/>
  <c r="U388" i="1"/>
  <c r="R388" i="1"/>
  <c r="N388" i="1"/>
  <c r="O388" i="1" s="1"/>
  <c r="L388" i="1"/>
  <c r="H388" i="1"/>
  <c r="I388" i="1" s="1"/>
  <c r="F388" i="1"/>
  <c r="C388" i="1"/>
  <c r="AC386" i="1"/>
  <c r="AD386" i="1" s="1"/>
  <c r="AA386" i="1"/>
  <c r="W386" i="1"/>
  <c r="X386" i="1" s="1"/>
  <c r="U386" i="1"/>
  <c r="R386" i="1"/>
  <c r="O386" i="1"/>
  <c r="N386" i="1"/>
  <c r="L386" i="1"/>
  <c r="I386" i="1"/>
  <c r="H386" i="1"/>
  <c r="F386" i="1"/>
  <c r="C386" i="1"/>
  <c r="AC385" i="1"/>
  <c r="AD385" i="1" s="1"/>
  <c r="AA385" i="1"/>
  <c r="W385" i="1"/>
  <c r="X385" i="1" s="1"/>
  <c r="U385" i="1"/>
  <c r="R385" i="1"/>
  <c r="O385" i="1"/>
  <c r="N385" i="1"/>
  <c r="L385" i="1"/>
  <c r="H385" i="1"/>
  <c r="I385" i="1" s="1"/>
  <c r="F385" i="1"/>
  <c r="C385" i="1"/>
  <c r="AD383" i="1"/>
  <c r="AC383" i="1"/>
  <c r="AA383" i="1"/>
  <c r="X383" i="1"/>
  <c r="W383" i="1"/>
  <c r="U383" i="1"/>
  <c r="R383" i="1"/>
  <c r="O383" i="1"/>
  <c r="N383" i="1"/>
  <c r="L383" i="1"/>
  <c r="H383" i="1"/>
  <c r="I383" i="1" s="1"/>
  <c r="F383" i="1"/>
  <c r="C383" i="1"/>
  <c r="AC382" i="1"/>
  <c r="AD382" i="1" s="1"/>
  <c r="AA382" i="1"/>
  <c r="X382" i="1"/>
  <c r="W382" i="1"/>
  <c r="U382" i="1"/>
  <c r="R382" i="1"/>
  <c r="N382" i="1"/>
  <c r="O382" i="1" s="1"/>
  <c r="L382" i="1"/>
  <c r="H382" i="1"/>
  <c r="I382" i="1" s="1"/>
  <c r="F382" i="1"/>
  <c r="C382" i="1"/>
  <c r="AC381" i="1"/>
  <c r="AD381" i="1" s="1"/>
  <c r="AA381" i="1"/>
  <c r="W381" i="1"/>
  <c r="X381" i="1" s="1"/>
  <c r="U381" i="1"/>
  <c r="R381" i="1"/>
  <c r="O381" i="1"/>
  <c r="N381" i="1"/>
  <c r="L381" i="1"/>
  <c r="H381" i="1"/>
  <c r="I381" i="1" s="1"/>
  <c r="F381" i="1"/>
  <c r="C381" i="1"/>
  <c r="AC380" i="1"/>
  <c r="AD380" i="1" s="1"/>
  <c r="AA380" i="1"/>
  <c r="W380" i="1"/>
  <c r="X380" i="1" s="1"/>
  <c r="U380" i="1"/>
  <c r="R380" i="1"/>
  <c r="O380" i="1"/>
  <c r="N380" i="1"/>
  <c r="L380" i="1"/>
  <c r="H380" i="1"/>
  <c r="I380" i="1" s="1"/>
  <c r="F380" i="1"/>
  <c r="C380" i="1"/>
  <c r="AC379" i="1"/>
  <c r="AD379" i="1" s="1"/>
  <c r="AA379" i="1"/>
  <c r="X379" i="1"/>
  <c r="W379" i="1"/>
  <c r="U379" i="1"/>
  <c r="R379" i="1"/>
  <c r="O379" i="1"/>
  <c r="N379" i="1"/>
  <c r="L379" i="1"/>
  <c r="H379" i="1"/>
  <c r="I379" i="1" s="1"/>
  <c r="F379" i="1"/>
  <c r="C379" i="1"/>
  <c r="AD378" i="1"/>
  <c r="AC378" i="1"/>
  <c r="AA378" i="1"/>
  <c r="X378" i="1"/>
  <c r="W378" i="1"/>
  <c r="U378" i="1"/>
  <c r="R378" i="1"/>
  <c r="N378" i="1"/>
  <c r="O378" i="1" s="1"/>
  <c r="L378" i="1"/>
  <c r="I378" i="1"/>
  <c r="H378" i="1"/>
  <c r="F378" i="1"/>
  <c r="C378" i="1"/>
  <c r="AC377" i="1"/>
  <c r="AD377" i="1" s="1"/>
  <c r="AA377" i="1"/>
  <c r="W377" i="1"/>
  <c r="X377" i="1" s="1"/>
  <c r="U377" i="1"/>
  <c r="R377" i="1"/>
  <c r="O377" i="1"/>
  <c r="N377" i="1"/>
  <c r="L377" i="1"/>
  <c r="H377" i="1"/>
  <c r="I377" i="1" s="1"/>
  <c r="F377" i="1"/>
  <c r="C377" i="1"/>
  <c r="AC376" i="1"/>
  <c r="AD376" i="1" s="1"/>
  <c r="AA376" i="1"/>
  <c r="W376" i="1"/>
  <c r="X376" i="1" s="1"/>
  <c r="U376" i="1"/>
  <c r="R376" i="1"/>
  <c r="O376" i="1"/>
  <c r="N376" i="1"/>
  <c r="L376" i="1"/>
  <c r="H376" i="1"/>
  <c r="I376" i="1" s="1"/>
  <c r="F376" i="1"/>
  <c r="C376" i="1"/>
  <c r="AC375" i="1"/>
  <c r="AD375" i="1" s="1"/>
  <c r="AA375" i="1"/>
  <c r="X375" i="1"/>
  <c r="W375" i="1"/>
  <c r="U375" i="1"/>
  <c r="R375" i="1"/>
  <c r="N375" i="1"/>
  <c r="O375" i="1" s="1"/>
  <c r="L375" i="1"/>
  <c r="H375" i="1"/>
  <c r="I375" i="1" s="1"/>
  <c r="F375" i="1"/>
  <c r="C375" i="1"/>
  <c r="AD374" i="1"/>
  <c r="AC374" i="1"/>
  <c r="AA374" i="1"/>
  <c r="X374" i="1"/>
  <c r="W374" i="1"/>
  <c r="U374" i="1"/>
  <c r="R374" i="1"/>
  <c r="N374" i="1"/>
  <c r="O374" i="1" s="1"/>
  <c r="L374" i="1"/>
  <c r="H374" i="1"/>
  <c r="I374" i="1" s="1"/>
  <c r="F374" i="1"/>
  <c r="C374" i="1"/>
  <c r="AC373" i="1"/>
  <c r="AD373" i="1" s="1"/>
  <c r="AA373" i="1"/>
  <c r="X373" i="1"/>
  <c r="W373" i="1"/>
  <c r="U373" i="1"/>
  <c r="R373" i="1"/>
  <c r="O373" i="1"/>
  <c r="N373" i="1"/>
  <c r="L373" i="1"/>
  <c r="I373" i="1"/>
  <c r="H373" i="1"/>
  <c r="F373" i="1"/>
  <c r="C373" i="1"/>
  <c r="AC372" i="1"/>
  <c r="AD372" i="1" s="1"/>
  <c r="AA372" i="1"/>
  <c r="W372" i="1"/>
  <c r="X372" i="1" s="1"/>
  <c r="U372" i="1"/>
  <c r="R372" i="1"/>
  <c r="O372" i="1"/>
  <c r="N372" i="1"/>
  <c r="L372" i="1"/>
  <c r="H372" i="1"/>
  <c r="I372" i="1" s="1"/>
  <c r="F372" i="1"/>
  <c r="C372" i="1"/>
  <c r="AC371" i="1"/>
  <c r="AD371" i="1" s="1"/>
  <c r="AA371" i="1"/>
  <c r="X371" i="1"/>
  <c r="W371" i="1"/>
  <c r="U371" i="1"/>
  <c r="R371" i="1"/>
  <c r="N371" i="1"/>
  <c r="O371" i="1" s="1"/>
  <c r="L371" i="1"/>
  <c r="H371" i="1"/>
  <c r="I371" i="1" s="1"/>
  <c r="F371" i="1"/>
  <c r="C371" i="1"/>
  <c r="AC370" i="1"/>
  <c r="AD370" i="1" s="1"/>
  <c r="AA370" i="1"/>
  <c r="X370" i="1"/>
  <c r="W370" i="1"/>
  <c r="U370" i="1"/>
  <c r="R370" i="1"/>
  <c r="N370" i="1"/>
  <c r="O370" i="1" s="1"/>
  <c r="L370" i="1"/>
  <c r="H370" i="1"/>
  <c r="I370" i="1" s="1"/>
  <c r="F370" i="1"/>
  <c r="C370" i="1"/>
  <c r="AC369" i="1"/>
  <c r="AD369" i="1" s="1"/>
  <c r="AA369" i="1"/>
  <c r="W369" i="1"/>
  <c r="X369" i="1" s="1"/>
  <c r="U369" i="1"/>
  <c r="R369" i="1"/>
  <c r="O369" i="1"/>
  <c r="N369" i="1"/>
  <c r="L369" i="1"/>
  <c r="I369" i="1"/>
  <c r="H369" i="1"/>
  <c r="F369" i="1"/>
  <c r="C369" i="1"/>
  <c r="Z368" i="1"/>
  <c r="AA368" i="1" s="1"/>
  <c r="W368" i="1"/>
  <c r="X368" i="1" s="1"/>
  <c r="U368" i="1"/>
  <c r="T368" i="1"/>
  <c r="Q368" i="1"/>
  <c r="AC368" i="1" s="1"/>
  <c r="AD368" i="1" s="1"/>
  <c r="K368" i="1"/>
  <c r="L368" i="1" s="1"/>
  <c r="H368" i="1"/>
  <c r="I368" i="1" s="1"/>
  <c r="E368" i="1"/>
  <c r="F368" i="1" s="1"/>
  <c r="B368" i="1"/>
  <c r="C368" i="1" s="1"/>
  <c r="AD367" i="1"/>
  <c r="AC367" i="1"/>
  <c r="AA367" i="1"/>
  <c r="X367" i="1"/>
  <c r="W367" i="1"/>
  <c r="U367" i="1"/>
  <c r="R367" i="1"/>
  <c r="N367" i="1"/>
  <c r="O367" i="1" s="1"/>
  <c r="L367" i="1"/>
  <c r="H367" i="1"/>
  <c r="I367" i="1" s="1"/>
  <c r="F367" i="1"/>
  <c r="C367" i="1"/>
  <c r="AC366" i="1"/>
  <c r="AD366" i="1" s="1"/>
  <c r="AA366" i="1"/>
  <c r="X366" i="1"/>
  <c r="W366" i="1"/>
  <c r="U366" i="1"/>
  <c r="R366" i="1"/>
  <c r="O366" i="1"/>
  <c r="N366" i="1"/>
  <c r="L366" i="1"/>
  <c r="I366" i="1"/>
  <c r="H366" i="1"/>
  <c r="F366" i="1"/>
  <c r="C366" i="1"/>
  <c r="AC365" i="1"/>
  <c r="AD365" i="1" s="1"/>
  <c r="AA365" i="1"/>
  <c r="W365" i="1"/>
  <c r="X365" i="1" s="1"/>
  <c r="U365" i="1"/>
  <c r="R365" i="1"/>
  <c r="O365" i="1"/>
  <c r="N365" i="1"/>
  <c r="L365" i="1"/>
  <c r="H365" i="1"/>
  <c r="I365" i="1" s="1"/>
  <c r="F365" i="1"/>
  <c r="C365" i="1"/>
  <c r="AC364" i="1"/>
  <c r="AD364" i="1" s="1"/>
  <c r="AA364" i="1"/>
  <c r="X364" i="1"/>
  <c r="W364" i="1"/>
  <c r="U364" i="1"/>
  <c r="R364" i="1"/>
  <c r="N364" i="1"/>
  <c r="O364" i="1" s="1"/>
  <c r="L364" i="1"/>
  <c r="H364" i="1"/>
  <c r="I364" i="1" s="1"/>
  <c r="F364" i="1"/>
  <c r="C364" i="1"/>
  <c r="AC363" i="1"/>
  <c r="AD363" i="1" s="1"/>
  <c r="AA363" i="1"/>
  <c r="X363" i="1"/>
  <c r="W363" i="1"/>
  <c r="U363" i="1"/>
  <c r="R363" i="1"/>
  <c r="N363" i="1"/>
  <c r="O363" i="1" s="1"/>
  <c r="L363" i="1"/>
  <c r="H363" i="1"/>
  <c r="I363" i="1" s="1"/>
  <c r="F363" i="1"/>
  <c r="C363" i="1"/>
  <c r="AC362" i="1"/>
  <c r="AD362" i="1" s="1"/>
  <c r="AA362" i="1"/>
  <c r="W362" i="1"/>
  <c r="X362" i="1" s="1"/>
  <c r="U362" i="1"/>
  <c r="R362" i="1"/>
  <c r="O362" i="1"/>
  <c r="N362" i="1"/>
  <c r="L362" i="1"/>
  <c r="I362" i="1"/>
  <c r="H362" i="1"/>
  <c r="F362" i="1"/>
  <c r="C362" i="1"/>
  <c r="AC361" i="1"/>
  <c r="AD361" i="1" s="1"/>
  <c r="AA361" i="1"/>
  <c r="W361" i="1"/>
  <c r="X361" i="1" s="1"/>
  <c r="U361" i="1"/>
  <c r="R361" i="1"/>
  <c r="O361" i="1"/>
  <c r="N361" i="1"/>
  <c r="L361" i="1"/>
  <c r="H361" i="1"/>
  <c r="I361" i="1" s="1"/>
  <c r="F361" i="1"/>
  <c r="C361" i="1"/>
  <c r="AD360" i="1"/>
  <c r="AC360" i="1"/>
  <c r="AA360" i="1"/>
  <c r="X360" i="1"/>
  <c r="W360" i="1"/>
  <c r="U360" i="1"/>
  <c r="R360" i="1"/>
  <c r="O360" i="1"/>
  <c r="N360" i="1"/>
  <c r="L360" i="1"/>
  <c r="H360" i="1"/>
  <c r="I360" i="1" s="1"/>
  <c r="F360" i="1"/>
  <c r="C360" i="1"/>
  <c r="AC358" i="1"/>
  <c r="AD358" i="1" s="1"/>
  <c r="AA358" i="1"/>
  <c r="Z358" i="1"/>
  <c r="T358" i="1"/>
  <c r="U358" i="1" s="1"/>
  <c r="Q358" i="1"/>
  <c r="W358" i="1" s="1"/>
  <c r="X358" i="1" s="1"/>
  <c r="N358" i="1"/>
  <c r="O358" i="1" s="1"/>
  <c r="K358" i="1"/>
  <c r="L358" i="1" s="1"/>
  <c r="F358" i="1"/>
  <c r="E358" i="1"/>
  <c r="C358" i="1"/>
  <c r="B358" i="1"/>
  <c r="AC357" i="1"/>
  <c r="AD357" i="1" s="1"/>
  <c r="AA357" i="1"/>
  <c r="W357" i="1"/>
  <c r="X357" i="1" s="1"/>
  <c r="U357" i="1"/>
  <c r="R357" i="1"/>
  <c r="O357" i="1"/>
  <c r="N357" i="1"/>
  <c r="L357" i="1"/>
  <c r="H357" i="1"/>
  <c r="I357" i="1" s="1"/>
  <c r="F357" i="1"/>
  <c r="C357" i="1"/>
  <c r="AC356" i="1"/>
  <c r="AD356" i="1" s="1"/>
  <c r="AA356" i="1"/>
  <c r="X356" i="1"/>
  <c r="W356" i="1"/>
  <c r="U356" i="1"/>
  <c r="R356" i="1"/>
  <c r="N356" i="1"/>
  <c r="O356" i="1" s="1"/>
  <c r="L356" i="1"/>
  <c r="H356" i="1"/>
  <c r="I356" i="1" s="1"/>
  <c r="F356" i="1"/>
  <c r="C356" i="1"/>
  <c r="AC355" i="1"/>
  <c r="AD355" i="1" s="1"/>
  <c r="AA355" i="1"/>
  <c r="X355" i="1"/>
  <c r="W355" i="1"/>
  <c r="U355" i="1"/>
  <c r="R355" i="1"/>
  <c r="N355" i="1"/>
  <c r="O355" i="1" s="1"/>
  <c r="L355" i="1"/>
  <c r="H355" i="1"/>
  <c r="I355" i="1" s="1"/>
  <c r="F355" i="1"/>
  <c r="C355" i="1"/>
  <c r="AC354" i="1"/>
  <c r="AD354" i="1" s="1"/>
  <c r="AA354" i="1"/>
  <c r="W354" i="1"/>
  <c r="X354" i="1" s="1"/>
  <c r="U354" i="1"/>
  <c r="R354" i="1"/>
  <c r="O354" i="1"/>
  <c r="N354" i="1"/>
  <c r="L354" i="1"/>
  <c r="I354" i="1"/>
  <c r="H354" i="1"/>
  <c r="F354" i="1"/>
  <c r="C354" i="1"/>
  <c r="AC353" i="1"/>
  <c r="AD353" i="1" s="1"/>
  <c r="AA353" i="1"/>
  <c r="W353" i="1"/>
  <c r="X353" i="1" s="1"/>
  <c r="U353" i="1"/>
  <c r="R353" i="1"/>
  <c r="O353" i="1"/>
  <c r="N353" i="1"/>
  <c r="L353" i="1"/>
  <c r="H353" i="1"/>
  <c r="I353" i="1" s="1"/>
  <c r="F353" i="1"/>
  <c r="C353" i="1"/>
  <c r="AD352" i="1"/>
  <c r="AC352" i="1"/>
  <c r="AA352" i="1"/>
  <c r="X352" i="1"/>
  <c r="W352" i="1"/>
  <c r="U352" i="1"/>
  <c r="R352" i="1"/>
  <c r="O352" i="1"/>
  <c r="N352" i="1"/>
  <c r="L352" i="1"/>
  <c r="H352" i="1"/>
  <c r="I352" i="1" s="1"/>
  <c r="F352" i="1"/>
  <c r="C352" i="1"/>
  <c r="AC351" i="1"/>
  <c r="AD351" i="1" s="1"/>
  <c r="AA351" i="1"/>
  <c r="X351" i="1"/>
  <c r="W351" i="1"/>
  <c r="U351" i="1"/>
  <c r="R351" i="1"/>
  <c r="N351" i="1"/>
  <c r="O351" i="1" s="1"/>
  <c r="L351" i="1"/>
  <c r="H351" i="1"/>
  <c r="I351" i="1" s="1"/>
  <c r="F351" i="1"/>
  <c r="C351" i="1"/>
  <c r="AC350" i="1"/>
  <c r="AD350" i="1" s="1"/>
  <c r="AA350" i="1"/>
  <c r="W350" i="1"/>
  <c r="X350" i="1" s="1"/>
  <c r="U350" i="1"/>
  <c r="R350" i="1"/>
  <c r="O350" i="1"/>
  <c r="N350" i="1"/>
  <c r="L350" i="1"/>
  <c r="H350" i="1"/>
  <c r="I350" i="1" s="1"/>
  <c r="F350" i="1"/>
  <c r="C350" i="1"/>
  <c r="AC349" i="1"/>
  <c r="AD349" i="1" s="1"/>
  <c r="AA349" i="1"/>
  <c r="W349" i="1"/>
  <c r="X349" i="1" s="1"/>
  <c r="U349" i="1"/>
  <c r="R349" i="1"/>
  <c r="O349" i="1"/>
  <c r="N349" i="1"/>
  <c r="L349" i="1"/>
  <c r="H349" i="1"/>
  <c r="I349" i="1" s="1"/>
  <c r="F349" i="1"/>
  <c r="C349" i="1"/>
  <c r="AC347" i="1"/>
  <c r="AD347" i="1" s="1"/>
  <c r="AA347" i="1"/>
  <c r="X347" i="1"/>
  <c r="W347" i="1"/>
  <c r="U347" i="1"/>
  <c r="R347" i="1"/>
  <c r="O347" i="1"/>
  <c r="N347" i="1"/>
  <c r="L347" i="1"/>
  <c r="H347" i="1"/>
  <c r="I347" i="1" s="1"/>
  <c r="F347" i="1"/>
  <c r="C347" i="1"/>
  <c r="Z344" i="1"/>
  <c r="AA344" i="1" s="1"/>
  <c r="T344" i="1"/>
  <c r="W344" i="1" s="1"/>
  <c r="X344" i="1" s="1"/>
  <c r="Q344" i="1"/>
  <c r="AC344" i="1" s="1"/>
  <c r="AD344" i="1" s="1"/>
  <c r="L344" i="1"/>
  <c r="K344" i="1"/>
  <c r="H344" i="1"/>
  <c r="I344" i="1" s="1"/>
  <c r="E344" i="1"/>
  <c r="F344" i="1" s="1"/>
  <c r="B344" i="1"/>
  <c r="C344" i="1" s="1"/>
  <c r="AD343" i="1"/>
  <c r="AC343" i="1"/>
  <c r="AA343" i="1"/>
  <c r="Z343" i="1"/>
  <c r="T343" i="1"/>
  <c r="U343" i="1" s="1"/>
  <c r="Q343" i="1"/>
  <c r="W343" i="1" s="1"/>
  <c r="X343" i="1" s="1"/>
  <c r="N343" i="1"/>
  <c r="O343" i="1" s="1"/>
  <c r="K343" i="1"/>
  <c r="L343" i="1" s="1"/>
  <c r="F343" i="1"/>
  <c r="E343" i="1"/>
  <c r="B343" i="1"/>
  <c r="H343" i="1" s="1"/>
  <c r="I343" i="1" s="1"/>
  <c r="Z342" i="1"/>
  <c r="AA342" i="1" s="1"/>
  <c r="W342" i="1"/>
  <c r="X342" i="1" s="1"/>
  <c r="U342" i="1"/>
  <c r="T342" i="1"/>
  <c r="Q342" i="1"/>
  <c r="AC342" i="1" s="1"/>
  <c r="AD342" i="1" s="1"/>
  <c r="K342" i="1"/>
  <c r="L342" i="1" s="1"/>
  <c r="H342" i="1"/>
  <c r="I342" i="1" s="1"/>
  <c r="E342" i="1"/>
  <c r="F342" i="1" s="1"/>
  <c r="B342" i="1"/>
  <c r="C342" i="1" s="1"/>
  <c r="AD341" i="1"/>
  <c r="AC341" i="1"/>
  <c r="AA341" i="1"/>
  <c r="X341" i="1"/>
  <c r="W341" i="1"/>
  <c r="U341" i="1"/>
  <c r="R341" i="1"/>
  <c r="N341" i="1"/>
  <c r="O341" i="1" s="1"/>
  <c r="L341" i="1"/>
  <c r="H341" i="1"/>
  <c r="I341" i="1" s="1"/>
  <c r="F341" i="1"/>
  <c r="C341" i="1"/>
  <c r="AC340" i="1"/>
  <c r="AD340" i="1" s="1"/>
  <c r="AA340" i="1"/>
  <c r="X340" i="1"/>
  <c r="W340" i="1"/>
  <c r="U340" i="1"/>
  <c r="R340" i="1"/>
  <c r="O340" i="1"/>
  <c r="N340" i="1"/>
  <c r="L340" i="1"/>
  <c r="I340" i="1"/>
  <c r="H340" i="1"/>
  <c r="F340" i="1"/>
  <c r="C340" i="1"/>
  <c r="AC339" i="1"/>
  <c r="AD339" i="1" s="1"/>
  <c r="AA339" i="1"/>
  <c r="W339" i="1"/>
  <c r="X339" i="1" s="1"/>
  <c r="U339" i="1"/>
  <c r="R339" i="1"/>
  <c r="O339" i="1"/>
  <c r="N339" i="1"/>
  <c r="L339" i="1"/>
  <c r="H339" i="1"/>
  <c r="I339" i="1" s="1"/>
  <c r="F339" i="1"/>
  <c r="C339" i="1"/>
  <c r="AC338" i="1"/>
  <c r="AD338" i="1" s="1"/>
  <c r="AA338" i="1"/>
  <c r="X338" i="1"/>
  <c r="W338" i="1"/>
  <c r="U338" i="1"/>
  <c r="R338" i="1"/>
  <c r="N338" i="1"/>
  <c r="O338" i="1" s="1"/>
  <c r="L338" i="1"/>
  <c r="H338" i="1"/>
  <c r="I338" i="1" s="1"/>
  <c r="F338" i="1"/>
  <c r="C338" i="1"/>
  <c r="AC337" i="1"/>
  <c r="AD337" i="1" s="1"/>
  <c r="AA337" i="1"/>
  <c r="X337" i="1"/>
  <c r="W337" i="1"/>
  <c r="U337" i="1"/>
  <c r="R337" i="1"/>
  <c r="N337" i="1"/>
  <c r="O337" i="1" s="1"/>
  <c r="L337" i="1"/>
  <c r="H337" i="1"/>
  <c r="I337" i="1" s="1"/>
  <c r="F337" i="1"/>
  <c r="C337" i="1"/>
  <c r="AC335" i="1"/>
  <c r="AD335" i="1" s="1"/>
  <c r="AA335" i="1"/>
  <c r="W335" i="1"/>
  <c r="X335" i="1" s="1"/>
  <c r="U335" i="1"/>
  <c r="R335" i="1"/>
  <c r="O335" i="1"/>
  <c r="N335" i="1"/>
  <c r="L335" i="1"/>
  <c r="I335" i="1"/>
  <c r="H335" i="1"/>
  <c r="F335" i="1"/>
  <c r="C335" i="1"/>
  <c r="AC334" i="1"/>
  <c r="AD334" i="1" s="1"/>
  <c r="AA334" i="1"/>
  <c r="W334" i="1"/>
  <c r="X334" i="1" s="1"/>
  <c r="U334" i="1"/>
  <c r="R334" i="1"/>
  <c r="O334" i="1"/>
  <c r="N334" i="1"/>
  <c r="L334" i="1"/>
  <c r="H334" i="1"/>
  <c r="I334" i="1" s="1"/>
  <c r="F334" i="1"/>
  <c r="C334" i="1"/>
  <c r="AD333" i="1"/>
  <c r="AC333" i="1"/>
  <c r="AA333" i="1"/>
  <c r="X333" i="1"/>
  <c r="W333" i="1"/>
  <c r="U333" i="1"/>
  <c r="R333" i="1"/>
  <c r="O333" i="1"/>
  <c r="N333" i="1"/>
  <c r="L333" i="1"/>
  <c r="H333" i="1"/>
  <c r="I333" i="1" s="1"/>
  <c r="F333" i="1"/>
  <c r="C333" i="1"/>
  <c r="AC332" i="1"/>
  <c r="AD332" i="1" s="1"/>
  <c r="AA332" i="1"/>
  <c r="X332" i="1"/>
  <c r="W332" i="1"/>
  <c r="U332" i="1"/>
  <c r="R332" i="1"/>
  <c r="N332" i="1"/>
  <c r="O332" i="1" s="1"/>
  <c r="L332" i="1"/>
  <c r="H332" i="1"/>
  <c r="I332" i="1" s="1"/>
  <c r="F332" i="1"/>
  <c r="C332" i="1"/>
  <c r="AC331" i="1"/>
  <c r="AD331" i="1" s="1"/>
  <c r="AA331" i="1"/>
  <c r="W331" i="1"/>
  <c r="X331" i="1" s="1"/>
  <c r="U331" i="1"/>
  <c r="R331" i="1"/>
  <c r="O331" i="1"/>
  <c r="N331" i="1"/>
  <c r="L331" i="1"/>
  <c r="H331" i="1"/>
  <c r="I331" i="1" s="1"/>
  <c r="F331" i="1"/>
  <c r="C331" i="1"/>
  <c r="AC330" i="1"/>
  <c r="AD330" i="1" s="1"/>
  <c r="AA330" i="1"/>
  <c r="W330" i="1"/>
  <c r="X330" i="1" s="1"/>
  <c r="U330" i="1"/>
  <c r="R330" i="1"/>
  <c r="O330" i="1"/>
  <c r="N330" i="1"/>
  <c r="L330" i="1"/>
  <c r="H330" i="1"/>
  <c r="I330" i="1" s="1"/>
  <c r="F330" i="1"/>
  <c r="C330" i="1"/>
  <c r="AC329" i="1"/>
  <c r="AD329" i="1" s="1"/>
  <c r="AA329" i="1"/>
  <c r="X329" i="1"/>
  <c r="W329" i="1"/>
  <c r="U329" i="1"/>
  <c r="R329" i="1"/>
  <c r="O329" i="1"/>
  <c r="N329" i="1"/>
  <c r="L329" i="1"/>
  <c r="H329" i="1"/>
  <c r="I329" i="1" s="1"/>
  <c r="F329" i="1"/>
  <c r="C329" i="1"/>
  <c r="AD328" i="1"/>
  <c r="AC328" i="1"/>
  <c r="AA328" i="1"/>
  <c r="X328" i="1"/>
  <c r="W328" i="1"/>
  <c r="U328" i="1"/>
  <c r="R328" i="1"/>
  <c r="N328" i="1"/>
  <c r="O328" i="1" s="1"/>
  <c r="L328" i="1"/>
  <c r="I328" i="1"/>
  <c r="H328" i="1"/>
  <c r="F328" i="1"/>
  <c r="C328" i="1"/>
  <c r="Z325" i="1"/>
  <c r="AA325" i="1" s="1"/>
  <c r="W325" i="1"/>
  <c r="X325" i="1" s="1"/>
  <c r="T325" i="1"/>
  <c r="U325" i="1" s="1"/>
  <c r="Q325" i="1"/>
  <c r="R325" i="1" s="1"/>
  <c r="K325" i="1"/>
  <c r="L325" i="1" s="1"/>
  <c r="E325" i="1"/>
  <c r="F325" i="1" s="1"/>
  <c r="C325" i="1"/>
  <c r="B325" i="1"/>
  <c r="H325" i="1" s="1"/>
  <c r="I325" i="1" s="1"/>
  <c r="Z324" i="1"/>
  <c r="AA324" i="1" s="1"/>
  <c r="T324" i="1"/>
  <c r="U324" i="1" s="1"/>
  <c r="Q324" i="1"/>
  <c r="W324" i="1" s="1"/>
  <c r="X324" i="1" s="1"/>
  <c r="K324" i="1"/>
  <c r="L324" i="1" s="1"/>
  <c r="E324" i="1"/>
  <c r="H324" i="1" s="1"/>
  <c r="I324" i="1" s="1"/>
  <c r="B324" i="1"/>
  <c r="N324" i="1" s="1"/>
  <c r="O324" i="1" s="1"/>
  <c r="AC323" i="1"/>
  <c r="AD323" i="1" s="1"/>
  <c r="AA323" i="1"/>
  <c r="X323" i="1"/>
  <c r="W323" i="1"/>
  <c r="U323" i="1"/>
  <c r="R323" i="1"/>
  <c r="O323" i="1"/>
  <c r="N323" i="1"/>
  <c r="L323" i="1"/>
  <c r="I323" i="1"/>
  <c r="H323" i="1"/>
  <c r="F323" i="1"/>
  <c r="C323" i="1"/>
  <c r="AC322" i="1"/>
  <c r="AD322" i="1" s="1"/>
  <c r="AA322" i="1"/>
  <c r="W322" i="1"/>
  <c r="X322" i="1" s="1"/>
  <c r="U322" i="1"/>
  <c r="R322" i="1"/>
  <c r="O322" i="1"/>
  <c r="N322" i="1"/>
  <c r="L322" i="1"/>
  <c r="H322" i="1"/>
  <c r="I322" i="1" s="1"/>
  <c r="F322" i="1"/>
  <c r="C322" i="1"/>
  <c r="AC321" i="1"/>
  <c r="AD321" i="1" s="1"/>
  <c r="AA321" i="1"/>
  <c r="X321" i="1"/>
  <c r="W321" i="1"/>
  <c r="U321" i="1"/>
  <c r="R321" i="1"/>
  <c r="N321" i="1"/>
  <c r="O321" i="1" s="1"/>
  <c r="L321" i="1"/>
  <c r="H321" i="1"/>
  <c r="I321" i="1" s="1"/>
  <c r="F321" i="1"/>
  <c r="C321" i="1"/>
  <c r="AC320" i="1"/>
  <c r="AD320" i="1" s="1"/>
  <c r="AA320" i="1"/>
  <c r="X320" i="1"/>
  <c r="W320" i="1"/>
  <c r="U320" i="1"/>
  <c r="R320" i="1"/>
  <c r="N320" i="1"/>
  <c r="O320" i="1" s="1"/>
  <c r="L320" i="1"/>
  <c r="H320" i="1"/>
  <c r="I320" i="1" s="1"/>
  <c r="F320" i="1"/>
  <c r="C320" i="1"/>
  <c r="AC319" i="1"/>
  <c r="AD319" i="1" s="1"/>
  <c r="AA319" i="1"/>
  <c r="W319" i="1"/>
  <c r="X319" i="1" s="1"/>
  <c r="U319" i="1"/>
  <c r="R319" i="1"/>
  <c r="O319" i="1"/>
  <c r="N319" i="1"/>
  <c r="L319" i="1"/>
  <c r="I319" i="1"/>
  <c r="H319" i="1"/>
  <c r="F319" i="1"/>
  <c r="C319" i="1"/>
  <c r="AC318" i="1"/>
  <c r="AD318" i="1" s="1"/>
  <c r="AA318" i="1"/>
  <c r="W318" i="1"/>
  <c r="X318" i="1" s="1"/>
  <c r="U318" i="1"/>
  <c r="R318" i="1"/>
  <c r="O318" i="1"/>
  <c r="N318" i="1"/>
  <c r="L318" i="1"/>
  <c r="H318" i="1"/>
  <c r="I318" i="1" s="1"/>
  <c r="F318" i="1"/>
  <c r="C318" i="1"/>
  <c r="AD317" i="1"/>
  <c r="AC317" i="1"/>
  <c r="AA317" i="1"/>
  <c r="X317" i="1"/>
  <c r="W317" i="1"/>
  <c r="U317" i="1"/>
  <c r="R317" i="1"/>
  <c r="O317" i="1"/>
  <c r="N317" i="1"/>
  <c r="L317" i="1"/>
  <c r="H317" i="1"/>
  <c r="I317" i="1" s="1"/>
  <c r="F317" i="1"/>
  <c r="C317" i="1"/>
  <c r="AC316" i="1"/>
  <c r="AD316" i="1" s="1"/>
  <c r="AA316" i="1"/>
  <c r="X316" i="1"/>
  <c r="W316" i="1"/>
  <c r="U316" i="1"/>
  <c r="R316" i="1"/>
  <c r="N316" i="1"/>
  <c r="O316" i="1" s="1"/>
  <c r="L316" i="1"/>
  <c r="H316" i="1"/>
  <c r="I316" i="1" s="1"/>
  <c r="F316" i="1"/>
  <c r="C316" i="1"/>
  <c r="AC315" i="1"/>
  <c r="AD315" i="1" s="1"/>
  <c r="AA315" i="1"/>
  <c r="W315" i="1"/>
  <c r="X315" i="1" s="1"/>
  <c r="U315" i="1"/>
  <c r="R315" i="1"/>
  <c r="O315" i="1"/>
  <c r="N315" i="1"/>
  <c r="L315" i="1"/>
  <c r="H315" i="1"/>
  <c r="I315" i="1" s="1"/>
  <c r="F315" i="1"/>
  <c r="C315" i="1"/>
  <c r="AC314" i="1"/>
  <c r="AD314" i="1" s="1"/>
  <c r="AA314" i="1"/>
  <c r="W314" i="1"/>
  <c r="X314" i="1" s="1"/>
  <c r="U314" i="1"/>
  <c r="R314" i="1"/>
  <c r="O314" i="1"/>
  <c r="N314" i="1"/>
  <c r="L314" i="1"/>
  <c r="H314" i="1"/>
  <c r="I314" i="1" s="1"/>
  <c r="F314" i="1"/>
  <c r="C314" i="1"/>
  <c r="AC313" i="1"/>
  <c r="AD313" i="1" s="1"/>
  <c r="AA313" i="1"/>
  <c r="X313" i="1"/>
  <c r="W313" i="1"/>
  <c r="U313" i="1"/>
  <c r="R313" i="1"/>
  <c r="O313" i="1"/>
  <c r="N313" i="1"/>
  <c r="L313" i="1"/>
  <c r="H313" i="1"/>
  <c r="I313" i="1" s="1"/>
  <c r="F313" i="1"/>
  <c r="C313" i="1"/>
  <c r="AD312" i="1"/>
  <c r="AC312" i="1"/>
  <c r="AA312" i="1"/>
  <c r="X312" i="1"/>
  <c r="W312" i="1"/>
  <c r="U312" i="1"/>
  <c r="R312" i="1"/>
  <c r="N312" i="1"/>
  <c r="O312" i="1" s="1"/>
  <c r="L312" i="1"/>
  <c r="I312" i="1"/>
  <c r="H312" i="1"/>
  <c r="F312" i="1"/>
  <c r="C312" i="1"/>
  <c r="AC311" i="1"/>
  <c r="AD311" i="1" s="1"/>
  <c r="AA311" i="1"/>
  <c r="W311" i="1"/>
  <c r="X311" i="1" s="1"/>
  <c r="U311" i="1"/>
  <c r="R311" i="1"/>
  <c r="O311" i="1"/>
  <c r="N311" i="1"/>
  <c r="L311" i="1"/>
  <c r="H311" i="1"/>
  <c r="I311" i="1" s="1"/>
  <c r="F311" i="1"/>
  <c r="C311" i="1"/>
  <c r="AC310" i="1"/>
  <c r="AD310" i="1" s="1"/>
  <c r="AA310" i="1"/>
  <c r="W310" i="1"/>
  <c r="X310" i="1" s="1"/>
  <c r="U310" i="1"/>
  <c r="R310" i="1"/>
  <c r="O310" i="1"/>
  <c r="N310" i="1"/>
  <c r="L310" i="1"/>
  <c r="H310" i="1"/>
  <c r="I310" i="1" s="1"/>
  <c r="F310" i="1"/>
  <c r="C310" i="1"/>
  <c r="AC309" i="1"/>
  <c r="AD309" i="1" s="1"/>
  <c r="AA309" i="1"/>
  <c r="X309" i="1"/>
  <c r="W309" i="1"/>
  <c r="U309" i="1"/>
  <c r="R309" i="1"/>
  <c r="N309" i="1"/>
  <c r="O309" i="1" s="1"/>
  <c r="L309" i="1"/>
  <c r="H309" i="1"/>
  <c r="I309" i="1" s="1"/>
  <c r="F309" i="1"/>
  <c r="C309" i="1"/>
  <c r="AD308" i="1"/>
  <c r="AC308" i="1"/>
  <c r="AA308" i="1"/>
  <c r="X308" i="1"/>
  <c r="W308" i="1"/>
  <c r="U308" i="1"/>
  <c r="R308" i="1"/>
  <c r="N308" i="1"/>
  <c r="O308" i="1" s="1"/>
  <c r="L308" i="1"/>
  <c r="H308" i="1"/>
  <c r="I308" i="1" s="1"/>
  <c r="F308" i="1"/>
  <c r="C308" i="1"/>
  <c r="AC307" i="1"/>
  <c r="AD307" i="1" s="1"/>
  <c r="AA307" i="1"/>
  <c r="X307" i="1"/>
  <c r="W307" i="1"/>
  <c r="U307" i="1"/>
  <c r="R307" i="1"/>
  <c r="O307" i="1"/>
  <c r="N307" i="1"/>
  <c r="L307" i="1"/>
  <c r="I307" i="1"/>
  <c r="H307" i="1"/>
  <c r="F307" i="1"/>
  <c r="C307" i="1"/>
  <c r="AC306" i="1"/>
  <c r="AD306" i="1" s="1"/>
  <c r="AA306" i="1"/>
  <c r="W306" i="1"/>
  <c r="X306" i="1" s="1"/>
  <c r="U306" i="1"/>
  <c r="R306" i="1"/>
  <c r="O306" i="1"/>
  <c r="N306" i="1"/>
  <c r="L306" i="1"/>
  <c r="H306" i="1"/>
  <c r="I306" i="1" s="1"/>
  <c r="F306" i="1"/>
  <c r="C306" i="1"/>
  <c r="AC305" i="1"/>
  <c r="AD305" i="1" s="1"/>
  <c r="AA305" i="1"/>
  <c r="X305" i="1"/>
  <c r="W305" i="1"/>
  <c r="U305" i="1"/>
  <c r="R305" i="1"/>
  <c r="N305" i="1"/>
  <c r="O305" i="1" s="1"/>
  <c r="L305" i="1"/>
  <c r="H305" i="1"/>
  <c r="I305" i="1" s="1"/>
  <c r="F305" i="1"/>
  <c r="C305" i="1"/>
  <c r="AC304" i="1"/>
  <c r="AD304" i="1" s="1"/>
  <c r="AA304" i="1"/>
  <c r="X304" i="1"/>
  <c r="W304" i="1"/>
  <c r="U304" i="1"/>
  <c r="R304" i="1"/>
  <c r="N304" i="1"/>
  <c r="O304" i="1" s="1"/>
  <c r="L304" i="1"/>
  <c r="H304" i="1"/>
  <c r="I304" i="1" s="1"/>
  <c r="F304" i="1"/>
  <c r="C304" i="1"/>
  <c r="AC303" i="1"/>
  <c r="AD303" i="1" s="1"/>
  <c r="AA303" i="1"/>
  <c r="W303" i="1"/>
  <c r="X303" i="1" s="1"/>
  <c r="U303" i="1"/>
  <c r="R303" i="1"/>
  <c r="O303" i="1"/>
  <c r="N303" i="1"/>
  <c r="L303" i="1"/>
  <c r="I303" i="1"/>
  <c r="H303" i="1"/>
  <c r="F303" i="1"/>
  <c r="C303" i="1"/>
  <c r="AC302" i="1"/>
  <c r="AD302" i="1" s="1"/>
  <c r="AA302" i="1"/>
  <c r="W302" i="1"/>
  <c r="X302" i="1" s="1"/>
  <c r="U302" i="1"/>
  <c r="R302" i="1"/>
  <c r="O302" i="1"/>
  <c r="N302" i="1"/>
  <c r="L302" i="1"/>
  <c r="H302" i="1"/>
  <c r="I302" i="1" s="1"/>
  <c r="F302" i="1"/>
  <c r="C302" i="1"/>
  <c r="AD301" i="1"/>
  <c r="AC301" i="1"/>
  <c r="AA301" i="1"/>
  <c r="X301" i="1"/>
  <c r="W301" i="1"/>
  <c r="U301" i="1"/>
  <c r="R301" i="1"/>
  <c r="O301" i="1"/>
  <c r="N301" i="1"/>
  <c r="L301" i="1"/>
  <c r="H301" i="1"/>
  <c r="I301" i="1" s="1"/>
  <c r="F301" i="1"/>
  <c r="C301" i="1"/>
  <c r="AC300" i="1"/>
  <c r="AD300" i="1" s="1"/>
  <c r="AA300" i="1"/>
  <c r="X300" i="1"/>
  <c r="W300" i="1"/>
  <c r="U300" i="1"/>
  <c r="R300" i="1"/>
  <c r="N300" i="1"/>
  <c r="O300" i="1" s="1"/>
  <c r="L300" i="1"/>
  <c r="H300" i="1"/>
  <c r="I300" i="1" s="1"/>
  <c r="F300" i="1"/>
  <c r="C300" i="1"/>
  <c r="AC299" i="1"/>
  <c r="AD299" i="1" s="1"/>
  <c r="AA299" i="1"/>
  <c r="W299" i="1"/>
  <c r="X299" i="1" s="1"/>
  <c r="U299" i="1"/>
  <c r="R299" i="1"/>
  <c r="O299" i="1"/>
  <c r="N299" i="1"/>
  <c r="L299" i="1"/>
  <c r="H299" i="1"/>
  <c r="I299" i="1" s="1"/>
  <c r="F299" i="1"/>
  <c r="C299" i="1"/>
  <c r="AC298" i="1"/>
  <c r="AD298" i="1" s="1"/>
  <c r="AA298" i="1"/>
  <c r="W298" i="1"/>
  <c r="X298" i="1" s="1"/>
  <c r="U298" i="1"/>
  <c r="R298" i="1"/>
  <c r="O298" i="1"/>
  <c r="N298" i="1"/>
  <c r="L298" i="1"/>
  <c r="H298" i="1"/>
  <c r="I298" i="1" s="1"/>
  <c r="F298" i="1"/>
  <c r="C298" i="1"/>
  <c r="AC297" i="1"/>
  <c r="AD297" i="1" s="1"/>
  <c r="AA297" i="1"/>
  <c r="X297" i="1"/>
  <c r="W297" i="1"/>
  <c r="U297" i="1"/>
  <c r="R297" i="1"/>
  <c r="O297" i="1"/>
  <c r="N297" i="1"/>
  <c r="L297" i="1"/>
  <c r="H297" i="1"/>
  <c r="I297" i="1" s="1"/>
  <c r="F297" i="1"/>
  <c r="C297" i="1"/>
  <c r="AD295" i="1"/>
  <c r="AC295" i="1"/>
  <c r="AA295" i="1"/>
  <c r="Z295" i="1"/>
  <c r="T295" i="1"/>
  <c r="U295" i="1" s="1"/>
  <c r="Q295" i="1"/>
  <c r="W295" i="1" s="1"/>
  <c r="X295" i="1" s="1"/>
  <c r="N295" i="1"/>
  <c r="O295" i="1" s="1"/>
  <c r="K295" i="1"/>
  <c r="L295" i="1" s="1"/>
  <c r="F295" i="1"/>
  <c r="E295" i="1"/>
  <c r="B295" i="1"/>
  <c r="H295" i="1" s="1"/>
  <c r="I295" i="1" s="1"/>
  <c r="AC294" i="1"/>
  <c r="AD294" i="1" s="1"/>
  <c r="AA294" i="1"/>
  <c r="W294" i="1"/>
  <c r="X294" i="1" s="1"/>
  <c r="U294" i="1"/>
  <c r="R294" i="1"/>
  <c r="O294" i="1"/>
  <c r="N294" i="1"/>
  <c r="L294" i="1"/>
  <c r="H294" i="1"/>
  <c r="I294" i="1" s="1"/>
  <c r="F294" i="1"/>
  <c r="C294" i="1"/>
  <c r="AD293" i="1"/>
  <c r="AC293" i="1"/>
  <c r="AA293" i="1"/>
  <c r="X293" i="1"/>
  <c r="W293" i="1"/>
  <c r="U293" i="1"/>
  <c r="R293" i="1"/>
  <c r="O293" i="1"/>
  <c r="N293" i="1"/>
  <c r="L293" i="1"/>
  <c r="H293" i="1"/>
  <c r="I293" i="1" s="1"/>
  <c r="F293" i="1"/>
  <c r="C293" i="1"/>
  <c r="AC292" i="1"/>
  <c r="AD292" i="1" s="1"/>
  <c r="AA292" i="1"/>
  <c r="X292" i="1"/>
  <c r="W292" i="1"/>
  <c r="U292" i="1"/>
  <c r="R292" i="1"/>
  <c r="N292" i="1"/>
  <c r="O292" i="1" s="1"/>
  <c r="L292" i="1"/>
  <c r="H292" i="1"/>
  <c r="I292" i="1" s="1"/>
  <c r="F292" i="1"/>
  <c r="C292" i="1"/>
  <c r="AC291" i="1"/>
  <c r="AD291" i="1" s="1"/>
  <c r="AA291" i="1"/>
  <c r="W291" i="1"/>
  <c r="X291" i="1" s="1"/>
  <c r="U291" i="1"/>
  <c r="R291" i="1"/>
  <c r="O291" i="1"/>
  <c r="N291" i="1"/>
  <c r="L291" i="1"/>
  <c r="H291" i="1"/>
  <c r="I291" i="1" s="1"/>
  <c r="F291" i="1"/>
  <c r="C291" i="1"/>
  <c r="AC290" i="1"/>
  <c r="AD290" i="1" s="1"/>
  <c r="AA290" i="1"/>
  <c r="W290" i="1"/>
  <c r="X290" i="1" s="1"/>
  <c r="U290" i="1"/>
  <c r="R290" i="1"/>
  <c r="O290" i="1"/>
  <c r="N290" i="1"/>
  <c r="L290" i="1"/>
  <c r="H290" i="1"/>
  <c r="I290" i="1" s="1"/>
  <c r="F290" i="1"/>
  <c r="C290" i="1"/>
  <c r="AC289" i="1"/>
  <c r="AD289" i="1" s="1"/>
  <c r="AA289" i="1"/>
  <c r="X289" i="1"/>
  <c r="W289" i="1"/>
  <c r="U289" i="1"/>
  <c r="R289" i="1"/>
  <c r="O289" i="1"/>
  <c r="N289" i="1"/>
  <c r="L289" i="1"/>
  <c r="H289" i="1"/>
  <c r="I289" i="1" s="1"/>
  <c r="F289" i="1"/>
  <c r="C289" i="1"/>
  <c r="AD288" i="1"/>
  <c r="AC288" i="1"/>
  <c r="AA288" i="1"/>
  <c r="X288" i="1"/>
  <c r="W288" i="1"/>
  <c r="U288" i="1"/>
  <c r="R288" i="1"/>
  <c r="N288" i="1"/>
  <c r="O288" i="1" s="1"/>
  <c r="L288" i="1"/>
  <c r="I288" i="1"/>
  <c r="H288" i="1"/>
  <c r="F288" i="1"/>
  <c r="C288" i="1"/>
  <c r="AC287" i="1"/>
  <c r="AD287" i="1" s="1"/>
  <c r="AA287" i="1"/>
  <c r="W287" i="1"/>
  <c r="X287" i="1" s="1"/>
  <c r="U287" i="1"/>
  <c r="R287" i="1"/>
  <c r="O287" i="1"/>
  <c r="N287" i="1"/>
  <c r="L287" i="1"/>
  <c r="H287" i="1"/>
  <c r="I287" i="1" s="1"/>
  <c r="F287" i="1"/>
  <c r="C287" i="1"/>
  <c r="AC286" i="1"/>
  <c r="AD286" i="1" s="1"/>
  <c r="AA286" i="1"/>
  <c r="W286" i="1"/>
  <c r="X286" i="1" s="1"/>
  <c r="U286" i="1"/>
  <c r="R286" i="1"/>
  <c r="O286" i="1"/>
  <c r="N286" i="1"/>
  <c r="L286" i="1"/>
  <c r="H286" i="1"/>
  <c r="I286" i="1" s="1"/>
  <c r="F286" i="1"/>
  <c r="C286" i="1"/>
  <c r="AC284" i="1"/>
  <c r="AD284" i="1" s="1"/>
  <c r="Z284" i="1"/>
  <c r="AA284" i="1" s="1"/>
  <c r="U284" i="1"/>
  <c r="T284" i="1"/>
  <c r="R284" i="1"/>
  <c r="Q284" i="1"/>
  <c r="K284" i="1"/>
  <c r="L284" i="1" s="1"/>
  <c r="E284" i="1"/>
  <c r="H284" i="1" s="1"/>
  <c r="I284" i="1" s="1"/>
  <c r="B284" i="1"/>
  <c r="N284" i="1" s="1"/>
  <c r="O284" i="1" s="1"/>
  <c r="AC283" i="1"/>
  <c r="AD283" i="1" s="1"/>
  <c r="AA283" i="1"/>
  <c r="W283" i="1"/>
  <c r="X283" i="1" s="1"/>
  <c r="U283" i="1"/>
  <c r="R283" i="1"/>
  <c r="O283" i="1"/>
  <c r="N283" i="1"/>
  <c r="L283" i="1"/>
  <c r="H283" i="1"/>
  <c r="I283" i="1" s="1"/>
  <c r="F283" i="1"/>
  <c r="C283" i="1"/>
  <c r="AC282" i="1"/>
  <c r="AD282" i="1" s="1"/>
  <c r="AA282" i="1"/>
  <c r="W282" i="1"/>
  <c r="X282" i="1" s="1"/>
  <c r="U282" i="1"/>
  <c r="R282" i="1"/>
  <c r="O282" i="1"/>
  <c r="N282" i="1"/>
  <c r="L282" i="1"/>
  <c r="H282" i="1"/>
  <c r="I282" i="1" s="1"/>
  <c r="F282" i="1"/>
  <c r="C282" i="1"/>
  <c r="AD281" i="1"/>
  <c r="AC281" i="1"/>
  <c r="AA281" i="1"/>
  <c r="X281" i="1"/>
  <c r="W281" i="1"/>
  <c r="U281" i="1"/>
  <c r="R281" i="1"/>
  <c r="O281" i="1"/>
  <c r="N281" i="1"/>
  <c r="L281" i="1"/>
  <c r="H281" i="1"/>
  <c r="I281" i="1" s="1"/>
  <c r="F281" i="1"/>
  <c r="C281" i="1"/>
  <c r="AC280" i="1"/>
  <c r="AD280" i="1" s="1"/>
  <c r="AA280" i="1"/>
  <c r="X280" i="1"/>
  <c r="W280" i="1"/>
  <c r="U280" i="1"/>
  <c r="R280" i="1"/>
  <c r="N280" i="1"/>
  <c r="O280" i="1" s="1"/>
  <c r="L280" i="1"/>
  <c r="I280" i="1"/>
  <c r="H280" i="1"/>
  <c r="F280" i="1"/>
  <c r="C280" i="1"/>
  <c r="AC279" i="1"/>
  <c r="AD279" i="1" s="1"/>
  <c r="AA279" i="1"/>
  <c r="W279" i="1"/>
  <c r="X279" i="1" s="1"/>
  <c r="U279" i="1"/>
  <c r="R279" i="1"/>
  <c r="O279" i="1"/>
  <c r="N279" i="1"/>
  <c r="L279" i="1"/>
  <c r="H279" i="1"/>
  <c r="I279" i="1" s="1"/>
  <c r="F279" i="1"/>
  <c r="C279" i="1"/>
  <c r="AC278" i="1"/>
  <c r="AD278" i="1" s="1"/>
  <c r="AA278" i="1"/>
  <c r="W278" i="1"/>
  <c r="X278" i="1" s="1"/>
  <c r="U278" i="1"/>
  <c r="R278" i="1"/>
  <c r="O278" i="1"/>
  <c r="N278" i="1"/>
  <c r="L278" i="1"/>
  <c r="H278" i="1"/>
  <c r="I278" i="1" s="1"/>
  <c r="F278" i="1"/>
  <c r="C278" i="1"/>
  <c r="AC277" i="1"/>
  <c r="AD277" i="1" s="1"/>
  <c r="AA277" i="1"/>
  <c r="X277" i="1"/>
  <c r="W277" i="1"/>
  <c r="U277" i="1"/>
  <c r="R277" i="1"/>
  <c r="N277" i="1"/>
  <c r="O277" i="1" s="1"/>
  <c r="L277" i="1"/>
  <c r="H277" i="1"/>
  <c r="I277" i="1" s="1"/>
  <c r="F277" i="1"/>
  <c r="C277" i="1"/>
  <c r="AD276" i="1"/>
  <c r="AC276" i="1"/>
  <c r="AA276" i="1"/>
  <c r="X276" i="1"/>
  <c r="W276" i="1"/>
  <c r="U276" i="1"/>
  <c r="R276" i="1"/>
  <c r="N276" i="1"/>
  <c r="O276" i="1" s="1"/>
  <c r="L276" i="1"/>
  <c r="I276" i="1"/>
  <c r="H276" i="1"/>
  <c r="F276" i="1"/>
  <c r="C276" i="1"/>
  <c r="AC275" i="1"/>
  <c r="AD275" i="1" s="1"/>
  <c r="AA275" i="1"/>
  <c r="X275" i="1"/>
  <c r="W275" i="1"/>
  <c r="U275" i="1"/>
  <c r="R275" i="1"/>
  <c r="O275" i="1"/>
  <c r="N275" i="1"/>
  <c r="L275" i="1"/>
  <c r="H275" i="1"/>
  <c r="I275" i="1" s="1"/>
  <c r="F275" i="1"/>
  <c r="C275" i="1"/>
  <c r="Z273" i="1"/>
  <c r="AA273" i="1" s="1"/>
  <c r="T273" i="1"/>
  <c r="U273" i="1" s="1"/>
  <c r="Q273" i="1"/>
  <c r="AC273" i="1" s="1"/>
  <c r="AD273" i="1" s="1"/>
  <c r="L273" i="1"/>
  <c r="K273" i="1"/>
  <c r="H273" i="1"/>
  <c r="I273" i="1" s="1"/>
  <c r="E273" i="1"/>
  <c r="F273" i="1" s="1"/>
  <c r="B273" i="1"/>
  <c r="C273" i="1" s="1"/>
  <c r="AC272" i="1"/>
  <c r="AD272" i="1" s="1"/>
  <c r="AA272" i="1"/>
  <c r="X272" i="1"/>
  <c r="W272" i="1"/>
  <c r="U272" i="1"/>
  <c r="R272" i="1"/>
  <c r="N272" i="1"/>
  <c r="O272" i="1" s="1"/>
  <c r="L272" i="1"/>
  <c r="I272" i="1"/>
  <c r="H272" i="1"/>
  <c r="F272" i="1"/>
  <c r="C272" i="1"/>
  <c r="AC271" i="1"/>
  <c r="AD271" i="1" s="1"/>
  <c r="AA271" i="1"/>
  <c r="W271" i="1"/>
  <c r="X271" i="1" s="1"/>
  <c r="U271" i="1"/>
  <c r="R271" i="1"/>
  <c r="O271" i="1"/>
  <c r="N271" i="1"/>
  <c r="L271" i="1"/>
  <c r="H271" i="1"/>
  <c r="I271" i="1" s="1"/>
  <c r="F271" i="1"/>
  <c r="C271" i="1"/>
  <c r="AC270" i="1"/>
  <c r="AD270" i="1" s="1"/>
  <c r="AA270" i="1"/>
  <c r="W270" i="1"/>
  <c r="X270" i="1" s="1"/>
  <c r="U270" i="1"/>
  <c r="R270" i="1"/>
  <c r="O270" i="1"/>
  <c r="N270" i="1"/>
  <c r="L270" i="1"/>
  <c r="H270" i="1"/>
  <c r="I270" i="1" s="1"/>
  <c r="F270" i="1"/>
  <c r="C270" i="1"/>
  <c r="AC269" i="1"/>
  <c r="AD269" i="1" s="1"/>
  <c r="AA269" i="1"/>
  <c r="X269" i="1"/>
  <c r="W269" i="1"/>
  <c r="U269" i="1"/>
  <c r="R269" i="1"/>
  <c r="N269" i="1"/>
  <c r="O269" i="1" s="1"/>
  <c r="L269" i="1"/>
  <c r="H269" i="1"/>
  <c r="I269" i="1" s="1"/>
  <c r="F269" i="1"/>
  <c r="C269" i="1"/>
  <c r="Z267" i="1"/>
  <c r="AA267" i="1" s="1"/>
  <c r="T267" i="1"/>
  <c r="U267" i="1" s="1"/>
  <c r="Q267" i="1"/>
  <c r="W267" i="1" s="1"/>
  <c r="X267" i="1" s="1"/>
  <c r="O267" i="1"/>
  <c r="N267" i="1"/>
  <c r="K267" i="1"/>
  <c r="L267" i="1" s="1"/>
  <c r="E267" i="1"/>
  <c r="F267" i="1" s="1"/>
  <c r="B267" i="1"/>
  <c r="H267" i="1" s="1"/>
  <c r="I267" i="1" s="1"/>
  <c r="AC266" i="1"/>
  <c r="AD266" i="1" s="1"/>
  <c r="AA266" i="1"/>
  <c r="W266" i="1"/>
  <c r="X266" i="1" s="1"/>
  <c r="U266" i="1"/>
  <c r="R266" i="1"/>
  <c r="O266" i="1"/>
  <c r="N266" i="1"/>
  <c r="L266" i="1"/>
  <c r="H266" i="1"/>
  <c r="I266" i="1" s="1"/>
  <c r="F266" i="1"/>
  <c r="C266" i="1"/>
  <c r="AD265" i="1"/>
  <c r="AC265" i="1"/>
  <c r="AA265" i="1"/>
  <c r="X265" i="1"/>
  <c r="W265" i="1"/>
  <c r="U265" i="1"/>
  <c r="R265" i="1"/>
  <c r="O265" i="1"/>
  <c r="N265" i="1"/>
  <c r="L265" i="1"/>
  <c r="H265" i="1"/>
  <c r="I265" i="1" s="1"/>
  <c r="F265" i="1"/>
  <c r="C265" i="1"/>
  <c r="AC263" i="1"/>
  <c r="AD263" i="1" s="1"/>
  <c r="AA263" i="1"/>
  <c r="Z263" i="1"/>
  <c r="T263" i="1"/>
  <c r="U263" i="1" s="1"/>
  <c r="Q263" i="1"/>
  <c r="W263" i="1" s="1"/>
  <c r="X263" i="1" s="1"/>
  <c r="N263" i="1"/>
  <c r="O263" i="1" s="1"/>
  <c r="K263" i="1"/>
  <c r="L263" i="1" s="1"/>
  <c r="F263" i="1"/>
  <c r="E263" i="1"/>
  <c r="B263" i="1"/>
  <c r="Z262" i="1"/>
  <c r="AA262" i="1" s="1"/>
  <c r="W262" i="1"/>
  <c r="X262" i="1" s="1"/>
  <c r="U262" i="1"/>
  <c r="T262" i="1"/>
  <c r="Q262" i="1"/>
  <c r="AC262" i="1" s="1"/>
  <c r="AD262" i="1" s="1"/>
  <c r="K262" i="1"/>
  <c r="L262" i="1" s="1"/>
  <c r="H262" i="1"/>
  <c r="I262" i="1" s="1"/>
  <c r="E262" i="1"/>
  <c r="F262" i="1" s="1"/>
  <c r="B262" i="1"/>
  <c r="C262" i="1" s="1"/>
  <c r="AD261" i="1"/>
  <c r="AC261" i="1"/>
  <c r="AA261" i="1"/>
  <c r="X261" i="1"/>
  <c r="W261" i="1"/>
  <c r="U261" i="1"/>
  <c r="R261" i="1"/>
  <c r="N261" i="1"/>
  <c r="O261" i="1" s="1"/>
  <c r="L261" i="1"/>
  <c r="I261" i="1"/>
  <c r="H261" i="1"/>
  <c r="F261" i="1"/>
  <c r="C261" i="1"/>
  <c r="AC260" i="1"/>
  <c r="AD260" i="1" s="1"/>
  <c r="AA260" i="1"/>
  <c r="X260" i="1"/>
  <c r="W260" i="1"/>
  <c r="U260" i="1"/>
  <c r="R260" i="1"/>
  <c r="O260" i="1"/>
  <c r="N260" i="1"/>
  <c r="L260" i="1"/>
  <c r="H260" i="1"/>
  <c r="I260" i="1" s="1"/>
  <c r="F260" i="1"/>
  <c r="C260" i="1"/>
  <c r="AC259" i="1"/>
  <c r="AD259" i="1" s="1"/>
  <c r="AA259" i="1"/>
  <c r="W259" i="1"/>
  <c r="X259" i="1" s="1"/>
  <c r="U259" i="1"/>
  <c r="R259" i="1"/>
  <c r="O259" i="1"/>
  <c r="N259" i="1"/>
  <c r="L259" i="1"/>
  <c r="H259" i="1"/>
  <c r="I259" i="1" s="1"/>
  <c r="F259" i="1"/>
  <c r="C259" i="1"/>
  <c r="AC258" i="1"/>
  <c r="AD258" i="1" s="1"/>
  <c r="AA258" i="1"/>
  <c r="X258" i="1"/>
  <c r="W258" i="1"/>
  <c r="U258" i="1"/>
  <c r="R258" i="1"/>
  <c r="N258" i="1"/>
  <c r="O258" i="1" s="1"/>
  <c r="L258" i="1"/>
  <c r="H258" i="1"/>
  <c r="I258" i="1" s="1"/>
  <c r="F258" i="1"/>
  <c r="C258" i="1"/>
  <c r="AC257" i="1"/>
  <c r="AD257" i="1" s="1"/>
  <c r="AA257" i="1"/>
  <c r="X257" i="1"/>
  <c r="W257" i="1"/>
  <c r="U257" i="1"/>
  <c r="R257" i="1"/>
  <c r="N257" i="1"/>
  <c r="O257" i="1" s="1"/>
  <c r="L257" i="1"/>
  <c r="H257" i="1"/>
  <c r="I257" i="1" s="1"/>
  <c r="F257" i="1"/>
  <c r="C257" i="1"/>
  <c r="AC256" i="1"/>
  <c r="AD256" i="1" s="1"/>
  <c r="AA256" i="1"/>
  <c r="X256" i="1"/>
  <c r="W256" i="1"/>
  <c r="U256" i="1"/>
  <c r="R256" i="1"/>
  <c r="O256" i="1"/>
  <c r="N256" i="1"/>
  <c r="L256" i="1"/>
  <c r="I256" i="1"/>
  <c r="H256" i="1"/>
  <c r="F256" i="1"/>
  <c r="C256" i="1"/>
  <c r="AC255" i="1"/>
  <c r="AD255" i="1" s="1"/>
  <c r="AA255" i="1"/>
  <c r="W255" i="1"/>
  <c r="X255" i="1" s="1"/>
  <c r="U255" i="1"/>
  <c r="R255" i="1"/>
  <c r="O255" i="1"/>
  <c r="N255" i="1"/>
  <c r="L255" i="1"/>
  <c r="H255" i="1"/>
  <c r="I255" i="1" s="1"/>
  <c r="F255" i="1"/>
  <c r="C255" i="1"/>
  <c r="AD254" i="1"/>
  <c r="AC254" i="1"/>
  <c r="AA254" i="1"/>
  <c r="X254" i="1"/>
  <c r="W254" i="1"/>
  <c r="U254" i="1"/>
  <c r="R254" i="1"/>
  <c r="N254" i="1"/>
  <c r="O254" i="1" s="1"/>
  <c r="L254" i="1"/>
  <c r="H254" i="1"/>
  <c r="I254" i="1" s="1"/>
  <c r="F254" i="1"/>
  <c r="C254" i="1"/>
  <c r="AC253" i="1"/>
  <c r="AD253" i="1" s="1"/>
  <c r="AA253" i="1"/>
  <c r="X253" i="1"/>
  <c r="W253" i="1"/>
  <c r="U253" i="1"/>
  <c r="R253" i="1"/>
  <c r="N253" i="1"/>
  <c r="O253" i="1" s="1"/>
  <c r="L253" i="1"/>
  <c r="H253" i="1"/>
  <c r="I253" i="1" s="1"/>
  <c r="F253" i="1"/>
  <c r="C253" i="1"/>
  <c r="AC252" i="1"/>
  <c r="AD252" i="1" s="1"/>
  <c r="AA252" i="1"/>
  <c r="W252" i="1"/>
  <c r="X252" i="1" s="1"/>
  <c r="U252" i="1"/>
  <c r="R252" i="1"/>
  <c r="O252" i="1"/>
  <c r="N252" i="1"/>
  <c r="L252" i="1"/>
  <c r="H252" i="1"/>
  <c r="I252" i="1" s="1"/>
  <c r="F252" i="1"/>
  <c r="C252" i="1"/>
  <c r="AC251" i="1"/>
  <c r="AD251" i="1" s="1"/>
  <c r="AA251" i="1"/>
  <c r="W251" i="1"/>
  <c r="X251" i="1" s="1"/>
  <c r="U251" i="1"/>
  <c r="R251" i="1"/>
  <c r="O251" i="1"/>
  <c r="N251" i="1"/>
  <c r="L251" i="1"/>
  <c r="H251" i="1"/>
  <c r="I251" i="1" s="1"/>
  <c r="F251" i="1"/>
  <c r="C251" i="1"/>
  <c r="AD250" i="1"/>
  <c r="AC250" i="1"/>
  <c r="AA250" i="1"/>
  <c r="X250" i="1"/>
  <c r="W250" i="1"/>
  <c r="U250" i="1"/>
  <c r="R250" i="1"/>
  <c r="O250" i="1"/>
  <c r="N250" i="1"/>
  <c r="L250" i="1"/>
  <c r="H250" i="1"/>
  <c r="I250" i="1" s="1"/>
  <c r="F250" i="1"/>
  <c r="C250" i="1"/>
  <c r="AC249" i="1"/>
  <c r="AD249" i="1" s="1"/>
  <c r="AA249" i="1"/>
  <c r="X249" i="1"/>
  <c r="W249" i="1"/>
  <c r="U249" i="1"/>
  <c r="R249" i="1"/>
  <c r="N249" i="1"/>
  <c r="O249" i="1" s="1"/>
  <c r="L249" i="1"/>
  <c r="I249" i="1"/>
  <c r="H249" i="1"/>
  <c r="F249" i="1"/>
  <c r="C249" i="1"/>
  <c r="AC248" i="1"/>
  <c r="AD248" i="1" s="1"/>
  <c r="AA248" i="1"/>
  <c r="W248" i="1"/>
  <c r="X248" i="1" s="1"/>
  <c r="U248" i="1"/>
  <c r="R248" i="1"/>
  <c r="O248" i="1"/>
  <c r="N248" i="1"/>
  <c r="L248" i="1"/>
  <c r="H248" i="1"/>
  <c r="I248" i="1" s="1"/>
  <c r="F248" i="1"/>
  <c r="C248" i="1"/>
  <c r="AC247" i="1"/>
  <c r="AD247" i="1" s="1"/>
  <c r="AA247" i="1"/>
  <c r="W247" i="1"/>
  <c r="X247" i="1" s="1"/>
  <c r="U247" i="1"/>
  <c r="R247" i="1"/>
  <c r="O247" i="1"/>
  <c r="N247" i="1"/>
  <c r="L247" i="1"/>
  <c r="H247" i="1"/>
  <c r="I247" i="1" s="1"/>
  <c r="F247" i="1"/>
  <c r="C247" i="1"/>
  <c r="AC246" i="1"/>
  <c r="AD246" i="1" s="1"/>
  <c r="AA246" i="1"/>
  <c r="X246" i="1"/>
  <c r="W246" i="1"/>
  <c r="U246" i="1"/>
  <c r="R246" i="1"/>
  <c r="N246" i="1"/>
  <c r="O246" i="1" s="1"/>
  <c r="L246" i="1"/>
  <c r="H246" i="1"/>
  <c r="I246" i="1" s="1"/>
  <c r="F246" i="1"/>
  <c r="C246" i="1"/>
  <c r="AD245" i="1"/>
  <c r="AC245" i="1"/>
  <c r="AA245" i="1"/>
  <c r="X245" i="1"/>
  <c r="W245" i="1"/>
  <c r="U245" i="1"/>
  <c r="R245" i="1"/>
  <c r="N245" i="1"/>
  <c r="O245" i="1" s="1"/>
  <c r="L245" i="1"/>
  <c r="I245" i="1"/>
  <c r="H245" i="1"/>
  <c r="F245" i="1"/>
  <c r="C245" i="1"/>
  <c r="AC244" i="1"/>
  <c r="AD244" i="1" s="1"/>
  <c r="AA244" i="1"/>
  <c r="X244" i="1"/>
  <c r="W244" i="1"/>
  <c r="U244" i="1"/>
  <c r="R244" i="1"/>
  <c r="O244" i="1"/>
  <c r="N244" i="1"/>
  <c r="L244" i="1"/>
  <c r="H244" i="1"/>
  <c r="I244" i="1" s="1"/>
  <c r="F244" i="1"/>
  <c r="C244" i="1"/>
  <c r="AC243" i="1"/>
  <c r="AD243" i="1" s="1"/>
  <c r="AA243" i="1"/>
  <c r="W243" i="1"/>
  <c r="X243" i="1" s="1"/>
  <c r="U243" i="1"/>
  <c r="R243" i="1"/>
  <c r="O243" i="1"/>
  <c r="N243" i="1"/>
  <c r="L243" i="1"/>
  <c r="I243" i="1"/>
  <c r="H243" i="1"/>
  <c r="F243" i="1"/>
  <c r="C243" i="1"/>
  <c r="AC242" i="1"/>
  <c r="AD242" i="1" s="1"/>
  <c r="AA242" i="1"/>
  <c r="X242" i="1"/>
  <c r="W242" i="1"/>
  <c r="U242" i="1"/>
  <c r="R242" i="1"/>
  <c r="N242" i="1"/>
  <c r="O242" i="1" s="1"/>
  <c r="L242" i="1"/>
  <c r="H242" i="1"/>
  <c r="I242" i="1" s="1"/>
  <c r="F242" i="1"/>
  <c r="C242" i="1"/>
  <c r="AC241" i="1"/>
  <c r="AD241" i="1" s="1"/>
  <c r="AA241" i="1"/>
  <c r="X241" i="1"/>
  <c r="W241" i="1"/>
  <c r="U241" i="1"/>
  <c r="R241" i="1"/>
  <c r="N241" i="1"/>
  <c r="O241" i="1" s="1"/>
  <c r="L241" i="1"/>
  <c r="H241" i="1"/>
  <c r="I241" i="1" s="1"/>
  <c r="F241" i="1"/>
  <c r="C241" i="1"/>
  <c r="AC240" i="1"/>
  <c r="AD240" i="1" s="1"/>
  <c r="AA240" i="1"/>
  <c r="W240" i="1"/>
  <c r="X240" i="1" s="1"/>
  <c r="U240" i="1"/>
  <c r="R240" i="1"/>
  <c r="O240" i="1"/>
  <c r="N240" i="1"/>
  <c r="L240" i="1"/>
  <c r="I240" i="1"/>
  <c r="H240" i="1"/>
  <c r="F240" i="1"/>
  <c r="C240" i="1"/>
  <c r="AC238" i="1"/>
  <c r="AD238" i="1" s="1"/>
  <c r="AA238" i="1"/>
  <c r="W238" i="1"/>
  <c r="X238" i="1" s="1"/>
  <c r="U238" i="1"/>
  <c r="R238" i="1"/>
  <c r="O238" i="1"/>
  <c r="N238" i="1"/>
  <c r="L238" i="1"/>
  <c r="H238" i="1"/>
  <c r="I238" i="1" s="1"/>
  <c r="F238" i="1"/>
  <c r="C238" i="1"/>
  <c r="Z236" i="1"/>
  <c r="AA236" i="1" s="1"/>
  <c r="T236" i="1"/>
  <c r="U236" i="1" s="1"/>
  <c r="Q236" i="1"/>
  <c r="W236" i="1" s="1"/>
  <c r="X236" i="1" s="1"/>
  <c r="K236" i="1"/>
  <c r="L236" i="1" s="1"/>
  <c r="I236" i="1"/>
  <c r="H236" i="1"/>
  <c r="E236" i="1"/>
  <c r="F236" i="1" s="1"/>
  <c r="B236" i="1"/>
  <c r="N236" i="1" s="1"/>
  <c r="O236" i="1" s="1"/>
  <c r="AC235" i="1"/>
  <c r="AD235" i="1" s="1"/>
  <c r="AA235" i="1"/>
  <c r="X235" i="1"/>
  <c r="W235" i="1"/>
  <c r="U235" i="1"/>
  <c r="R235" i="1"/>
  <c r="O235" i="1"/>
  <c r="N235" i="1"/>
  <c r="L235" i="1"/>
  <c r="H235" i="1"/>
  <c r="I235" i="1" s="1"/>
  <c r="F235" i="1"/>
  <c r="C235" i="1"/>
  <c r="AC234" i="1"/>
  <c r="AD234" i="1" s="1"/>
  <c r="AA234" i="1"/>
  <c r="W234" i="1"/>
  <c r="X234" i="1" s="1"/>
  <c r="U234" i="1"/>
  <c r="R234" i="1"/>
  <c r="O234" i="1"/>
  <c r="N234" i="1"/>
  <c r="L234" i="1"/>
  <c r="H234" i="1"/>
  <c r="I234" i="1" s="1"/>
  <c r="F234" i="1"/>
  <c r="C234" i="1"/>
  <c r="AC233" i="1"/>
  <c r="AD233" i="1" s="1"/>
  <c r="AA233" i="1"/>
  <c r="X233" i="1"/>
  <c r="W233" i="1"/>
  <c r="U233" i="1"/>
  <c r="R233" i="1"/>
  <c r="N233" i="1"/>
  <c r="O233" i="1" s="1"/>
  <c r="L233" i="1"/>
  <c r="H233" i="1"/>
  <c r="I233" i="1" s="1"/>
  <c r="F233" i="1"/>
  <c r="C233" i="1"/>
  <c r="AC232" i="1"/>
  <c r="AD232" i="1" s="1"/>
  <c r="AA232" i="1"/>
  <c r="X232" i="1"/>
  <c r="W232" i="1"/>
  <c r="U232" i="1"/>
  <c r="R232" i="1"/>
  <c r="N232" i="1"/>
  <c r="O232" i="1" s="1"/>
  <c r="L232" i="1"/>
  <c r="H232" i="1"/>
  <c r="I232" i="1" s="1"/>
  <c r="F232" i="1"/>
  <c r="C232" i="1"/>
  <c r="AD231" i="1"/>
  <c r="AC231" i="1"/>
  <c r="AA231" i="1"/>
  <c r="W231" i="1"/>
  <c r="X231" i="1" s="1"/>
  <c r="U231" i="1"/>
  <c r="R231" i="1"/>
  <c r="O231" i="1"/>
  <c r="N231" i="1"/>
  <c r="L231" i="1"/>
  <c r="I231" i="1"/>
  <c r="H231" i="1"/>
  <c r="F231" i="1"/>
  <c r="C231" i="1"/>
  <c r="AC230" i="1"/>
  <c r="AD230" i="1" s="1"/>
  <c r="AA230" i="1"/>
  <c r="W230" i="1"/>
  <c r="X230" i="1" s="1"/>
  <c r="U230" i="1"/>
  <c r="R230" i="1"/>
  <c r="O230" i="1"/>
  <c r="N230" i="1"/>
  <c r="L230" i="1"/>
  <c r="I230" i="1"/>
  <c r="H230" i="1"/>
  <c r="F230" i="1"/>
  <c r="C230" i="1"/>
  <c r="AD229" i="1"/>
  <c r="AC229" i="1"/>
  <c r="AA229" i="1"/>
  <c r="X229" i="1"/>
  <c r="W229" i="1"/>
  <c r="U229" i="1"/>
  <c r="R229" i="1"/>
  <c r="O229" i="1"/>
  <c r="N229" i="1"/>
  <c r="L229" i="1"/>
  <c r="H229" i="1"/>
  <c r="I229" i="1" s="1"/>
  <c r="F229" i="1"/>
  <c r="C229" i="1"/>
  <c r="AC227" i="1"/>
  <c r="AD227" i="1" s="1"/>
  <c r="AA227" i="1"/>
  <c r="Z227" i="1"/>
  <c r="T227" i="1"/>
  <c r="U227" i="1" s="1"/>
  <c r="Q227" i="1"/>
  <c r="W227" i="1" s="1"/>
  <c r="X227" i="1" s="1"/>
  <c r="N227" i="1"/>
  <c r="O227" i="1" s="1"/>
  <c r="K227" i="1"/>
  <c r="L227" i="1" s="1"/>
  <c r="F227" i="1"/>
  <c r="E227" i="1"/>
  <c r="B227" i="1"/>
  <c r="AC226" i="1"/>
  <c r="AD226" i="1" s="1"/>
  <c r="AA226" i="1"/>
  <c r="W226" i="1"/>
  <c r="X226" i="1" s="1"/>
  <c r="U226" i="1"/>
  <c r="R226" i="1"/>
  <c r="O226" i="1"/>
  <c r="N226" i="1"/>
  <c r="L226" i="1"/>
  <c r="H226" i="1"/>
  <c r="I226" i="1" s="1"/>
  <c r="F226" i="1"/>
  <c r="C226" i="1"/>
  <c r="AD225" i="1"/>
  <c r="AC225" i="1"/>
  <c r="AA225" i="1"/>
  <c r="X225" i="1"/>
  <c r="W225" i="1"/>
  <c r="U225" i="1"/>
  <c r="R225" i="1"/>
  <c r="N225" i="1"/>
  <c r="O225" i="1" s="1"/>
  <c r="L225" i="1"/>
  <c r="H225" i="1"/>
  <c r="I225" i="1" s="1"/>
  <c r="F225" i="1"/>
  <c r="C225" i="1"/>
  <c r="AC224" i="1"/>
  <c r="AD224" i="1" s="1"/>
  <c r="AA224" i="1"/>
  <c r="X224" i="1"/>
  <c r="W224" i="1"/>
  <c r="U224" i="1"/>
  <c r="R224" i="1"/>
  <c r="N224" i="1"/>
  <c r="O224" i="1" s="1"/>
  <c r="L224" i="1"/>
  <c r="H224" i="1"/>
  <c r="I224" i="1" s="1"/>
  <c r="F224" i="1"/>
  <c r="C224" i="1"/>
  <c r="AC223" i="1"/>
  <c r="AD223" i="1" s="1"/>
  <c r="AA223" i="1"/>
  <c r="W223" i="1"/>
  <c r="X223" i="1" s="1"/>
  <c r="U223" i="1"/>
  <c r="R223" i="1"/>
  <c r="O223" i="1"/>
  <c r="N223" i="1"/>
  <c r="L223" i="1"/>
  <c r="H223" i="1"/>
  <c r="I223" i="1" s="1"/>
  <c r="F223" i="1"/>
  <c r="C223" i="1"/>
  <c r="AC222" i="1"/>
  <c r="AD222" i="1" s="1"/>
  <c r="AA222" i="1"/>
  <c r="W222" i="1"/>
  <c r="X222" i="1" s="1"/>
  <c r="U222" i="1"/>
  <c r="R222" i="1"/>
  <c r="O222" i="1"/>
  <c r="N222" i="1"/>
  <c r="L222" i="1"/>
  <c r="H222" i="1"/>
  <c r="I222" i="1" s="1"/>
  <c r="F222" i="1"/>
  <c r="C222" i="1"/>
  <c r="AD221" i="1"/>
  <c r="AC221" i="1"/>
  <c r="AA221" i="1"/>
  <c r="X221" i="1"/>
  <c r="W221" i="1"/>
  <c r="U221" i="1"/>
  <c r="R221" i="1"/>
  <c r="O221" i="1"/>
  <c r="N221" i="1"/>
  <c r="L221" i="1"/>
  <c r="H221" i="1"/>
  <c r="I221" i="1" s="1"/>
  <c r="F221" i="1"/>
  <c r="C221" i="1"/>
  <c r="AC220" i="1"/>
  <c r="AD220" i="1" s="1"/>
  <c r="AA220" i="1"/>
  <c r="X220" i="1"/>
  <c r="W220" i="1"/>
  <c r="U220" i="1"/>
  <c r="R220" i="1"/>
  <c r="N220" i="1"/>
  <c r="O220" i="1" s="1"/>
  <c r="L220" i="1"/>
  <c r="I220" i="1"/>
  <c r="H220" i="1"/>
  <c r="F220" i="1"/>
  <c r="C220" i="1"/>
  <c r="AC219" i="1"/>
  <c r="AD219" i="1" s="1"/>
  <c r="AA219" i="1"/>
  <c r="W219" i="1"/>
  <c r="X219" i="1" s="1"/>
  <c r="U219" i="1"/>
  <c r="R219" i="1"/>
  <c r="O219" i="1"/>
  <c r="N219" i="1"/>
  <c r="L219" i="1"/>
  <c r="H219" i="1"/>
  <c r="I219" i="1" s="1"/>
  <c r="F219" i="1"/>
  <c r="C219" i="1"/>
  <c r="Z218" i="1"/>
  <c r="AA218" i="1" s="1"/>
  <c r="T218" i="1"/>
  <c r="W218" i="1" s="1"/>
  <c r="X218" i="1" s="1"/>
  <c r="Q218" i="1"/>
  <c r="AC218" i="1" s="1"/>
  <c r="AD218" i="1" s="1"/>
  <c r="K218" i="1"/>
  <c r="L218" i="1" s="1"/>
  <c r="I218" i="1"/>
  <c r="H218" i="1"/>
  <c r="E218" i="1"/>
  <c r="F218" i="1" s="1"/>
  <c r="B218" i="1"/>
  <c r="C218" i="1" s="1"/>
  <c r="AC217" i="1"/>
  <c r="AD217" i="1" s="1"/>
  <c r="AA217" i="1"/>
  <c r="X217" i="1"/>
  <c r="W217" i="1"/>
  <c r="U217" i="1"/>
  <c r="R217" i="1"/>
  <c r="N217" i="1"/>
  <c r="O217" i="1" s="1"/>
  <c r="L217" i="1"/>
  <c r="H217" i="1"/>
  <c r="I217" i="1" s="1"/>
  <c r="F217" i="1"/>
  <c r="C217" i="1"/>
  <c r="AC216" i="1"/>
  <c r="AD216" i="1" s="1"/>
  <c r="AA216" i="1"/>
  <c r="W216" i="1"/>
  <c r="X216" i="1" s="1"/>
  <c r="U216" i="1"/>
  <c r="R216" i="1"/>
  <c r="O216" i="1"/>
  <c r="N216" i="1"/>
  <c r="L216" i="1"/>
  <c r="H216" i="1"/>
  <c r="I216" i="1" s="1"/>
  <c r="F216" i="1"/>
  <c r="C216" i="1"/>
  <c r="AC215" i="1"/>
  <c r="AD215" i="1" s="1"/>
  <c r="AA215" i="1"/>
  <c r="W215" i="1"/>
  <c r="X215" i="1" s="1"/>
  <c r="U215" i="1"/>
  <c r="R215" i="1"/>
  <c r="O215" i="1"/>
  <c r="N215" i="1"/>
  <c r="L215" i="1"/>
  <c r="I215" i="1"/>
  <c r="H215" i="1"/>
  <c r="F215" i="1"/>
  <c r="C215" i="1"/>
  <c r="AC214" i="1"/>
  <c r="AD214" i="1" s="1"/>
  <c r="AA214" i="1"/>
  <c r="X214" i="1"/>
  <c r="W214" i="1"/>
  <c r="U214" i="1"/>
  <c r="R214" i="1"/>
  <c r="O214" i="1"/>
  <c r="N214" i="1"/>
  <c r="L214" i="1"/>
  <c r="H214" i="1"/>
  <c r="I214" i="1" s="1"/>
  <c r="F214" i="1"/>
  <c r="C214" i="1"/>
  <c r="AD213" i="1"/>
  <c r="AC213" i="1"/>
  <c r="AA213" i="1"/>
  <c r="X213" i="1"/>
  <c r="W213" i="1"/>
  <c r="U213" i="1"/>
  <c r="R213" i="1"/>
  <c r="N213" i="1"/>
  <c r="O213" i="1" s="1"/>
  <c r="L213" i="1"/>
  <c r="I213" i="1"/>
  <c r="H213" i="1"/>
  <c r="F213" i="1"/>
  <c r="C213" i="1"/>
  <c r="AC211" i="1"/>
  <c r="AD211" i="1" s="1"/>
  <c r="AA211" i="1"/>
  <c r="W211" i="1"/>
  <c r="X211" i="1" s="1"/>
  <c r="U211" i="1"/>
  <c r="R211" i="1"/>
  <c r="O211" i="1"/>
  <c r="N211" i="1"/>
  <c r="L211" i="1"/>
  <c r="H211" i="1"/>
  <c r="I211" i="1" s="1"/>
  <c r="F211" i="1"/>
  <c r="C211" i="1"/>
  <c r="Z209" i="1"/>
  <c r="AA209" i="1" s="1"/>
  <c r="T209" i="1"/>
  <c r="W209" i="1" s="1"/>
  <c r="X209" i="1" s="1"/>
  <c r="Q209" i="1"/>
  <c r="AC209" i="1" s="1"/>
  <c r="AD209" i="1" s="1"/>
  <c r="L209" i="1"/>
  <c r="K209" i="1"/>
  <c r="I209" i="1"/>
  <c r="H209" i="1"/>
  <c r="E209" i="1"/>
  <c r="F209" i="1" s="1"/>
  <c r="B209" i="1"/>
  <c r="C209" i="1" s="1"/>
  <c r="AC208" i="1"/>
  <c r="AD208" i="1" s="1"/>
  <c r="AA208" i="1"/>
  <c r="X208" i="1"/>
  <c r="W208" i="1"/>
  <c r="U208" i="1"/>
  <c r="R208" i="1"/>
  <c r="N208" i="1"/>
  <c r="O208" i="1" s="1"/>
  <c r="L208" i="1"/>
  <c r="H208" i="1"/>
  <c r="I208" i="1" s="1"/>
  <c r="F208" i="1"/>
  <c r="C208" i="1"/>
  <c r="AC207" i="1"/>
  <c r="AD207" i="1" s="1"/>
  <c r="AA207" i="1"/>
  <c r="W207" i="1"/>
  <c r="X207" i="1" s="1"/>
  <c r="U207" i="1"/>
  <c r="R207" i="1"/>
  <c r="O207" i="1"/>
  <c r="N207" i="1"/>
  <c r="L207" i="1"/>
  <c r="H207" i="1"/>
  <c r="I207" i="1" s="1"/>
  <c r="F207" i="1"/>
  <c r="C207" i="1"/>
  <c r="AC206" i="1"/>
  <c r="AD206" i="1" s="1"/>
  <c r="AA206" i="1"/>
  <c r="W206" i="1"/>
  <c r="X206" i="1" s="1"/>
  <c r="U206" i="1"/>
  <c r="R206" i="1"/>
  <c r="O206" i="1"/>
  <c r="N206" i="1"/>
  <c r="L206" i="1"/>
  <c r="I206" i="1"/>
  <c r="H206" i="1"/>
  <c r="F206" i="1"/>
  <c r="C206" i="1"/>
  <c r="AC205" i="1"/>
  <c r="AD205" i="1" s="1"/>
  <c r="AA205" i="1"/>
  <c r="X205" i="1"/>
  <c r="W205" i="1"/>
  <c r="U205" i="1"/>
  <c r="R205" i="1"/>
  <c r="N205" i="1"/>
  <c r="O205" i="1" s="1"/>
  <c r="L205" i="1"/>
  <c r="H205" i="1"/>
  <c r="I205" i="1" s="1"/>
  <c r="F205" i="1"/>
  <c r="C205" i="1"/>
  <c r="AD204" i="1"/>
  <c r="AC204" i="1"/>
  <c r="AA204" i="1"/>
  <c r="X204" i="1"/>
  <c r="W204" i="1"/>
  <c r="U204" i="1"/>
  <c r="R204" i="1"/>
  <c r="N204" i="1"/>
  <c r="O204" i="1" s="1"/>
  <c r="L204" i="1"/>
  <c r="I204" i="1"/>
  <c r="H204" i="1"/>
  <c r="F204" i="1"/>
  <c r="C204" i="1"/>
  <c r="AD203" i="1"/>
  <c r="AC203" i="1"/>
  <c r="AA203" i="1"/>
  <c r="X203" i="1"/>
  <c r="W203" i="1"/>
  <c r="U203" i="1"/>
  <c r="R203" i="1"/>
  <c r="O203" i="1"/>
  <c r="N203" i="1"/>
  <c r="L203" i="1"/>
  <c r="I203" i="1"/>
  <c r="H203" i="1"/>
  <c r="F203" i="1"/>
  <c r="C203" i="1"/>
  <c r="AC202" i="1"/>
  <c r="AD202" i="1" s="1"/>
  <c r="AA202" i="1"/>
  <c r="W202" i="1"/>
  <c r="X202" i="1" s="1"/>
  <c r="U202" i="1"/>
  <c r="R202" i="1"/>
  <c r="O202" i="1"/>
  <c r="N202" i="1"/>
  <c r="L202" i="1"/>
  <c r="H202" i="1"/>
  <c r="I202" i="1" s="1"/>
  <c r="F202" i="1"/>
  <c r="C202" i="1"/>
  <c r="AC201" i="1"/>
  <c r="AD201" i="1" s="1"/>
  <c r="AA201" i="1"/>
  <c r="X201" i="1"/>
  <c r="W201" i="1"/>
  <c r="U201" i="1"/>
  <c r="R201" i="1"/>
  <c r="N201" i="1"/>
  <c r="O201" i="1" s="1"/>
  <c r="L201" i="1"/>
  <c r="H201" i="1"/>
  <c r="I201" i="1" s="1"/>
  <c r="F201" i="1"/>
  <c r="C201" i="1"/>
  <c r="Z197" i="1"/>
  <c r="AA197" i="1" s="1"/>
  <c r="X197" i="1"/>
  <c r="W197" i="1"/>
  <c r="T197" i="1"/>
  <c r="U197" i="1" s="1"/>
  <c r="Q197" i="1"/>
  <c r="AC197" i="1" s="1"/>
  <c r="AD197" i="1" s="1"/>
  <c r="K197" i="1"/>
  <c r="L197" i="1" s="1"/>
  <c r="I197" i="1"/>
  <c r="H197" i="1"/>
  <c r="E197" i="1"/>
  <c r="F197" i="1" s="1"/>
  <c r="B197" i="1"/>
  <c r="C197" i="1" s="1"/>
  <c r="Z196" i="1"/>
  <c r="AA196" i="1" s="1"/>
  <c r="T196" i="1"/>
  <c r="U196" i="1" s="1"/>
  <c r="R196" i="1"/>
  <c r="Q196" i="1"/>
  <c r="W196" i="1" s="1"/>
  <c r="X196" i="1" s="1"/>
  <c r="K196" i="1"/>
  <c r="L196" i="1" s="1"/>
  <c r="E196" i="1"/>
  <c r="F196" i="1" s="1"/>
  <c r="C196" i="1"/>
  <c r="B196" i="1"/>
  <c r="AC195" i="1"/>
  <c r="AD195" i="1" s="1"/>
  <c r="AA195" i="1"/>
  <c r="W195" i="1"/>
  <c r="X195" i="1" s="1"/>
  <c r="U195" i="1"/>
  <c r="R195" i="1"/>
  <c r="O195" i="1"/>
  <c r="N195" i="1"/>
  <c r="L195" i="1"/>
  <c r="H195" i="1"/>
  <c r="I195" i="1" s="1"/>
  <c r="F195" i="1"/>
  <c r="C195" i="1"/>
  <c r="AC194" i="1"/>
  <c r="AD194" i="1" s="1"/>
  <c r="AA194" i="1"/>
  <c r="X194" i="1"/>
  <c r="W194" i="1"/>
  <c r="U194" i="1"/>
  <c r="R194" i="1"/>
  <c r="N194" i="1"/>
  <c r="O194" i="1" s="1"/>
  <c r="L194" i="1"/>
  <c r="H194" i="1"/>
  <c r="I194" i="1" s="1"/>
  <c r="F194" i="1"/>
  <c r="C194" i="1"/>
  <c r="Z193" i="1"/>
  <c r="AA193" i="1" s="1"/>
  <c r="T193" i="1"/>
  <c r="U193" i="1" s="1"/>
  <c r="Q193" i="1"/>
  <c r="W193" i="1" s="1"/>
  <c r="X193" i="1" s="1"/>
  <c r="K193" i="1"/>
  <c r="L193" i="1" s="1"/>
  <c r="E193" i="1"/>
  <c r="F193" i="1" s="1"/>
  <c r="B193" i="1"/>
  <c r="H193" i="1" s="1"/>
  <c r="I193" i="1" s="1"/>
  <c r="AC192" i="1"/>
  <c r="AD192" i="1" s="1"/>
  <c r="AA192" i="1"/>
  <c r="W192" i="1"/>
  <c r="X192" i="1" s="1"/>
  <c r="U192" i="1"/>
  <c r="R192" i="1"/>
  <c r="O192" i="1"/>
  <c r="N192" i="1"/>
  <c r="L192" i="1"/>
  <c r="H192" i="1"/>
  <c r="I192" i="1" s="1"/>
  <c r="F192" i="1"/>
  <c r="C192" i="1"/>
  <c r="AC191" i="1"/>
  <c r="AD191" i="1" s="1"/>
  <c r="AA191" i="1"/>
  <c r="X191" i="1"/>
  <c r="W191" i="1"/>
  <c r="U191" i="1"/>
  <c r="R191" i="1"/>
  <c r="O191" i="1"/>
  <c r="N191" i="1"/>
  <c r="L191" i="1"/>
  <c r="H191" i="1"/>
  <c r="I191" i="1" s="1"/>
  <c r="F191" i="1"/>
  <c r="C191" i="1"/>
  <c r="AD190" i="1"/>
  <c r="AC190" i="1"/>
  <c r="AA190" i="1"/>
  <c r="X190" i="1"/>
  <c r="W190" i="1"/>
  <c r="U190" i="1"/>
  <c r="R190" i="1"/>
  <c r="N190" i="1"/>
  <c r="O190" i="1" s="1"/>
  <c r="L190" i="1"/>
  <c r="I190" i="1"/>
  <c r="H190" i="1"/>
  <c r="F190" i="1"/>
  <c r="C190" i="1"/>
  <c r="AC189" i="1"/>
  <c r="AD189" i="1" s="1"/>
  <c r="AA189" i="1"/>
  <c r="W189" i="1"/>
  <c r="X189" i="1" s="1"/>
  <c r="U189" i="1"/>
  <c r="R189" i="1"/>
  <c r="O189" i="1"/>
  <c r="N189" i="1"/>
  <c r="L189" i="1"/>
  <c r="H189" i="1"/>
  <c r="I189" i="1" s="1"/>
  <c r="F189" i="1"/>
  <c r="C189" i="1"/>
  <c r="AC188" i="1"/>
  <c r="AD188" i="1" s="1"/>
  <c r="AA188" i="1"/>
  <c r="W188" i="1"/>
  <c r="X188" i="1" s="1"/>
  <c r="U188" i="1"/>
  <c r="R188" i="1"/>
  <c r="O188" i="1"/>
  <c r="N188" i="1"/>
  <c r="L188" i="1"/>
  <c r="H188" i="1"/>
  <c r="I188" i="1" s="1"/>
  <c r="F188" i="1"/>
  <c r="C188" i="1"/>
  <c r="AC187" i="1"/>
  <c r="AD187" i="1" s="1"/>
  <c r="AA187" i="1"/>
  <c r="X187" i="1"/>
  <c r="W187" i="1"/>
  <c r="U187" i="1"/>
  <c r="R187" i="1"/>
  <c r="N187" i="1"/>
  <c r="O187" i="1" s="1"/>
  <c r="L187" i="1"/>
  <c r="H187" i="1"/>
  <c r="I187" i="1" s="1"/>
  <c r="F187" i="1"/>
  <c r="C187" i="1"/>
  <c r="AD186" i="1"/>
  <c r="AC186" i="1"/>
  <c r="AA186" i="1"/>
  <c r="X186" i="1"/>
  <c r="W186" i="1"/>
  <c r="U186" i="1"/>
  <c r="R186" i="1"/>
  <c r="N186" i="1"/>
  <c r="O186" i="1" s="1"/>
  <c r="L186" i="1"/>
  <c r="H186" i="1"/>
  <c r="I186" i="1" s="1"/>
  <c r="F186" i="1"/>
  <c r="C186" i="1"/>
  <c r="AC184" i="1"/>
  <c r="AD184" i="1" s="1"/>
  <c r="AA184" i="1"/>
  <c r="X184" i="1"/>
  <c r="W184" i="1"/>
  <c r="U184" i="1"/>
  <c r="R184" i="1"/>
  <c r="O184" i="1"/>
  <c r="N184" i="1"/>
  <c r="L184" i="1"/>
  <c r="I184" i="1"/>
  <c r="H184" i="1"/>
  <c r="F184" i="1"/>
  <c r="C184" i="1"/>
  <c r="AC183" i="1"/>
  <c r="AD183" i="1" s="1"/>
  <c r="AA183" i="1"/>
  <c r="W183" i="1"/>
  <c r="X183" i="1" s="1"/>
  <c r="U183" i="1"/>
  <c r="R183" i="1"/>
  <c r="O183" i="1"/>
  <c r="N183" i="1"/>
  <c r="L183" i="1"/>
  <c r="I183" i="1"/>
  <c r="H183" i="1"/>
  <c r="F183" i="1"/>
  <c r="C183" i="1"/>
  <c r="AD182" i="1"/>
  <c r="AC182" i="1"/>
  <c r="Z182" i="1"/>
  <c r="AA182" i="1" s="1"/>
  <c r="T182" i="1"/>
  <c r="U182" i="1" s="1"/>
  <c r="Q182" i="1"/>
  <c r="W182" i="1" s="1"/>
  <c r="X182" i="1" s="1"/>
  <c r="N182" i="1"/>
  <c r="O182" i="1" s="1"/>
  <c r="L182" i="1"/>
  <c r="K182" i="1"/>
  <c r="E182" i="1"/>
  <c r="F182" i="1" s="1"/>
  <c r="B182" i="1"/>
  <c r="C182" i="1" s="1"/>
  <c r="AC181" i="1"/>
  <c r="AD181" i="1" s="1"/>
  <c r="AA181" i="1"/>
  <c r="X181" i="1"/>
  <c r="W181" i="1"/>
  <c r="U181" i="1"/>
  <c r="R181" i="1"/>
  <c r="O181" i="1"/>
  <c r="N181" i="1"/>
  <c r="L181" i="1"/>
  <c r="I181" i="1"/>
  <c r="H181" i="1"/>
  <c r="F181" i="1"/>
  <c r="C181" i="1"/>
  <c r="AC180" i="1"/>
  <c r="AD180" i="1" s="1"/>
  <c r="AA180" i="1"/>
  <c r="W180" i="1"/>
  <c r="X180" i="1" s="1"/>
  <c r="U180" i="1"/>
  <c r="R180" i="1"/>
  <c r="O180" i="1"/>
  <c r="N180" i="1"/>
  <c r="L180" i="1"/>
  <c r="I180" i="1"/>
  <c r="H180" i="1"/>
  <c r="F180" i="1"/>
  <c r="C180" i="1"/>
  <c r="AD179" i="1"/>
  <c r="AC179" i="1"/>
  <c r="AA179" i="1"/>
  <c r="X179" i="1"/>
  <c r="W179" i="1"/>
  <c r="U179" i="1"/>
  <c r="R179" i="1"/>
  <c r="N179" i="1"/>
  <c r="O179" i="1" s="1"/>
  <c r="L179" i="1"/>
  <c r="H179" i="1"/>
  <c r="I179" i="1" s="1"/>
  <c r="F179" i="1"/>
  <c r="C179" i="1"/>
  <c r="AC178" i="1"/>
  <c r="AD178" i="1" s="1"/>
  <c r="AA178" i="1"/>
  <c r="X178" i="1"/>
  <c r="W178" i="1"/>
  <c r="U178" i="1"/>
  <c r="R178" i="1"/>
  <c r="N178" i="1"/>
  <c r="O178" i="1" s="1"/>
  <c r="L178" i="1"/>
  <c r="H178" i="1"/>
  <c r="I178" i="1" s="1"/>
  <c r="F178" i="1"/>
  <c r="C178" i="1"/>
  <c r="AC177" i="1"/>
  <c r="AD177" i="1" s="1"/>
  <c r="AA177" i="1"/>
  <c r="W177" i="1"/>
  <c r="X177" i="1" s="1"/>
  <c r="U177" i="1"/>
  <c r="R177" i="1"/>
  <c r="O177" i="1"/>
  <c r="N177" i="1"/>
  <c r="L177" i="1"/>
  <c r="H177" i="1"/>
  <c r="I177" i="1" s="1"/>
  <c r="F177" i="1"/>
  <c r="C177" i="1"/>
  <c r="AC175" i="1"/>
  <c r="AD175" i="1" s="1"/>
  <c r="AA175" i="1"/>
  <c r="W175" i="1"/>
  <c r="X175" i="1" s="1"/>
  <c r="U175" i="1"/>
  <c r="R175" i="1"/>
  <c r="O175" i="1"/>
  <c r="N175" i="1"/>
  <c r="L175" i="1"/>
  <c r="H175" i="1"/>
  <c r="I175" i="1" s="1"/>
  <c r="F175" i="1"/>
  <c r="C175" i="1"/>
  <c r="B172" i="1"/>
  <c r="AA171" i="1"/>
  <c r="Z171" i="1"/>
  <c r="T171" i="1"/>
  <c r="U171" i="1" s="1"/>
  <c r="Q171" i="1"/>
  <c r="R171" i="1" s="1"/>
  <c r="K171" i="1"/>
  <c r="L171" i="1" s="1"/>
  <c r="E171" i="1"/>
  <c r="H171" i="1" s="1"/>
  <c r="I171" i="1" s="1"/>
  <c r="C171" i="1"/>
  <c r="B171" i="1"/>
  <c r="N171" i="1" s="1"/>
  <c r="O171" i="1" s="1"/>
  <c r="Z170" i="1"/>
  <c r="AA170" i="1" s="1"/>
  <c r="W170" i="1"/>
  <c r="X170" i="1" s="1"/>
  <c r="U170" i="1"/>
  <c r="T170" i="1"/>
  <c r="Q170" i="1"/>
  <c r="R170" i="1" s="1"/>
  <c r="K170" i="1"/>
  <c r="L170" i="1" s="1"/>
  <c r="E170" i="1"/>
  <c r="F170" i="1" s="1"/>
  <c r="B170" i="1"/>
  <c r="N170" i="1" s="1"/>
  <c r="O170" i="1" s="1"/>
  <c r="AC169" i="1"/>
  <c r="AD169" i="1" s="1"/>
  <c r="AA169" i="1"/>
  <c r="X169" i="1"/>
  <c r="W169" i="1"/>
  <c r="U169" i="1"/>
  <c r="R169" i="1"/>
  <c r="N169" i="1"/>
  <c r="O169" i="1" s="1"/>
  <c r="L169" i="1"/>
  <c r="I169" i="1"/>
  <c r="H169" i="1"/>
  <c r="F169" i="1"/>
  <c r="C169" i="1"/>
  <c r="AC168" i="1"/>
  <c r="AD168" i="1" s="1"/>
  <c r="AA168" i="1"/>
  <c r="X168" i="1"/>
  <c r="W168" i="1"/>
  <c r="U168" i="1"/>
  <c r="R168" i="1"/>
  <c r="N168" i="1"/>
  <c r="O168" i="1" s="1"/>
  <c r="L168" i="1"/>
  <c r="H168" i="1"/>
  <c r="I168" i="1" s="1"/>
  <c r="F168" i="1"/>
  <c r="C168" i="1"/>
  <c r="AC167" i="1"/>
  <c r="AD167" i="1" s="1"/>
  <c r="AA167" i="1"/>
  <c r="W167" i="1"/>
  <c r="X167" i="1" s="1"/>
  <c r="U167" i="1"/>
  <c r="R167" i="1"/>
  <c r="O167" i="1"/>
  <c r="N167" i="1"/>
  <c r="L167" i="1"/>
  <c r="H167" i="1"/>
  <c r="I167" i="1" s="1"/>
  <c r="F167" i="1"/>
  <c r="C167" i="1"/>
  <c r="Z166" i="1"/>
  <c r="AA166" i="1" s="1"/>
  <c r="T166" i="1"/>
  <c r="W166" i="1" s="1"/>
  <c r="X166" i="1" s="1"/>
  <c r="R166" i="1"/>
  <c r="Q166" i="1"/>
  <c r="AC166" i="1" s="1"/>
  <c r="AD166" i="1" s="1"/>
  <c r="K166" i="1"/>
  <c r="L166" i="1" s="1"/>
  <c r="H166" i="1"/>
  <c r="I166" i="1" s="1"/>
  <c r="F166" i="1"/>
  <c r="E166" i="1"/>
  <c r="B166" i="1"/>
  <c r="C166" i="1" s="1"/>
  <c r="AC165" i="1"/>
  <c r="AD165" i="1" s="1"/>
  <c r="AA165" i="1"/>
  <c r="X165" i="1"/>
  <c r="W165" i="1"/>
  <c r="U165" i="1"/>
  <c r="R165" i="1"/>
  <c r="N165" i="1"/>
  <c r="O165" i="1" s="1"/>
  <c r="L165" i="1"/>
  <c r="H165" i="1"/>
  <c r="I165" i="1" s="1"/>
  <c r="F165" i="1"/>
  <c r="C165" i="1"/>
  <c r="AC164" i="1"/>
  <c r="AD164" i="1" s="1"/>
  <c r="AA164" i="1"/>
  <c r="W164" i="1"/>
  <c r="X164" i="1" s="1"/>
  <c r="U164" i="1"/>
  <c r="R164" i="1"/>
  <c r="O164" i="1"/>
  <c r="N164" i="1"/>
  <c r="L164" i="1"/>
  <c r="H164" i="1"/>
  <c r="I164" i="1" s="1"/>
  <c r="F164" i="1"/>
  <c r="C164" i="1"/>
  <c r="AD163" i="1"/>
  <c r="AC163" i="1"/>
  <c r="AA163" i="1"/>
  <c r="W163" i="1"/>
  <c r="X163" i="1" s="1"/>
  <c r="U163" i="1"/>
  <c r="R163" i="1"/>
  <c r="O163" i="1"/>
  <c r="N163" i="1"/>
  <c r="L163" i="1"/>
  <c r="H163" i="1"/>
  <c r="I163" i="1" s="1"/>
  <c r="F163" i="1"/>
  <c r="C163" i="1"/>
  <c r="AC162" i="1"/>
  <c r="AD162" i="1" s="1"/>
  <c r="AA162" i="1"/>
  <c r="X162" i="1"/>
  <c r="W162" i="1"/>
  <c r="U162" i="1"/>
  <c r="R162" i="1"/>
  <c r="N162" i="1"/>
  <c r="O162" i="1" s="1"/>
  <c r="L162" i="1"/>
  <c r="I162" i="1"/>
  <c r="H162" i="1"/>
  <c r="F162" i="1"/>
  <c r="C162" i="1"/>
  <c r="AC161" i="1"/>
  <c r="AD161" i="1" s="1"/>
  <c r="AA161" i="1"/>
  <c r="X161" i="1"/>
  <c r="W161" i="1"/>
  <c r="U161" i="1"/>
  <c r="R161" i="1"/>
  <c r="N161" i="1"/>
  <c r="O161" i="1" s="1"/>
  <c r="L161" i="1"/>
  <c r="H161" i="1"/>
  <c r="I161" i="1" s="1"/>
  <c r="F161" i="1"/>
  <c r="C161" i="1"/>
  <c r="AC160" i="1"/>
  <c r="AD160" i="1" s="1"/>
  <c r="AA160" i="1"/>
  <c r="W160" i="1"/>
  <c r="X160" i="1" s="1"/>
  <c r="U160" i="1"/>
  <c r="R160" i="1"/>
  <c r="O160" i="1"/>
  <c r="N160" i="1"/>
  <c r="L160" i="1"/>
  <c r="H160" i="1"/>
  <c r="I160" i="1" s="1"/>
  <c r="F160" i="1"/>
  <c r="C160" i="1"/>
  <c r="Z158" i="1"/>
  <c r="AA158" i="1" s="1"/>
  <c r="T158" i="1"/>
  <c r="W158" i="1" s="1"/>
  <c r="X158" i="1" s="1"/>
  <c r="R158" i="1"/>
  <c r="Q158" i="1"/>
  <c r="AC158" i="1" s="1"/>
  <c r="AD158" i="1" s="1"/>
  <c r="K158" i="1"/>
  <c r="L158" i="1" s="1"/>
  <c r="H158" i="1"/>
  <c r="I158" i="1" s="1"/>
  <c r="F158" i="1"/>
  <c r="E158" i="1"/>
  <c r="B158" i="1"/>
  <c r="C158" i="1" s="1"/>
  <c r="AC157" i="1"/>
  <c r="AD157" i="1" s="1"/>
  <c r="AA157" i="1"/>
  <c r="X157" i="1"/>
  <c r="W157" i="1"/>
  <c r="U157" i="1"/>
  <c r="R157" i="1"/>
  <c r="N157" i="1"/>
  <c r="O157" i="1" s="1"/>
  <c r="L157" i="1"/>
  <c r="H157" i="1"/>
  <c r="I157" i="1" s="1"/>
  <c r="F157" i="1"/>
  <c r="C157" i="1"/>
  <c r="AC156" i="1"/>
  <c r="AD156" i="1" s="1"/>
  <c r="AA156" i="1"/>
  <c r="W156" i="1"/>
  <c r="X156" i="1" s="1"/>
  <c r="U156" i="1"/>
  <c r="R156" i="1"/>
  <c r="O156" i="1"/>
  <c r="N156" i="1"/>
  <c r="L156" i="1"/>
  <c r="H156" i="1"/>
  <c r="I156" i="1" s="1"/>
  <c r="F156" i="1"/>
  <c r="C156" i="1"/>
  <c r="AD155" i="1"/>
  <c r="AC155" i="1"/>
  <c r="AA155" i="1"/>
  <c r="W155" i="1"/>
  <c r="X155" i="1" s="1"/>
  <c r="U155" i="1"/>
  <c r="R155" i="1"/>
  <c r="O155" i="1"/>
  <c r="N155" i="1"/>
  <c r="L155" i="1"/>
  <c r="H155" i="1"/>
  <c r="I155" i="1" s="1"/>
  <c r="F155" i="1"/>
  <c r="C155" i="1"/>
  <c r="AC154" i="1"/>
  <c r="AD154" i="1" s="1"/>
  <c r="AA154" i="1"/>
  <c r="X154" i="1"/>
  <c r="W154" i="1"/>
  <c r="U154" i="1"/>
  <c r="R154" i="1"/>
  <c r="N154" i="1"/>
  <c r="O154" i="1" s="1"/>
  <c r="L154" i="1"/>
  <c r="I154" i="1"/>
  <c r="H154" i="1"/>
  <c r="F154" i="1"/>
  <c r="C154" i="1"/>
  <c r="AC153" i="1"/>
  <c r="AD153" i="1" s="1"/>
  <c r="AA153" i="1"/>
  <c r="X153" i="1"/>
  <c r="W153" i="1"/>
  <c r="U153" i="1"/>
  <c r="R153" i="1"/>
  <c r="N153" i="1"/>
  <c r="O153" i="1" s="1"/>
  <c r="L153" i="1"/>
  <c r="H153" i="1"/>
  <c r="I153" i="1" s="1"/>
  <c r="F153" i="1"/>
  <c r="C153" i="1"/>
  <c r="AC151" i="1"/>
  <c r="AD151" i="1" s="1"/>
  <c r="AA151" i="1"/>
  <c r="W151" i="1"/>
  <c r="X151" i="1" s="1"/>
  <c r="U151" i="1"/>
  <c r="R151" i="1"/>
  <c r="O151" i="1"/>
  <c r="N151" i="1"/>
  <c r="L151" i="1"/>
  <c r="H151" i="1"/>
  <c r="I151" i="1" s="1"/>
  <c r="F151" i="1"/>
  <c r="C151" i="1"/>
  <c r="Z149" i="1"/>
  <c r="AA149" i="1" s="1"/>
  <c r="T149" i="1"/>
  <c r="W149" i="1" s="1"/>
  <c r="X149" i="1" s="1"/>
  <c r="R149" i="1"/>
  <c r="Q149" i="1"/>
  <c r="AC149" i="1" s="1"/>
  <c r="AD149" i="1" s="1"/>
  <c r="K149" i="1"/>
  <c r="L149" i="1" s="1"/>
  <c r="H149" i="1"/>
  <c r="I149" i="1" s="1"/>
  <c r="F149" i="1"/>
  <c r="E149" i="1"/>
  <c r="B149" i="1"/>
  <c r="C149" i="1" s="1"/>
  <c r="Z148" i="1"/>
  <c r="AA148" i="1" s="1"/>
  <c r="T148" i="1"/>
  <c r="U148" i="1" s="1"/>
  <c r="Q148" i="1"/>
  <c r="AC148" i="1" s="1"/>
  <c r="AD148" i="1" s="1"/>
  <c r="L148" i="1"/>
  <c r="K148" i="1"/>
  <c r="E148" i="1"/>
  <c r="F148" i="1" s="1"/>
  <c r="B148" i="1"/>
  <c r="H148" i="1" s="1"/>
  <c r="I148" i="1" s="1"/>
  <c r="AD147" i="1"/>
  <c r="AC147" i="1"/>
  <c r="AA147" i="1"/>
  <c r="W147" i="1"/>
  <c r="X147" i="1" s="1"/>
  <c r="U147" i="1"/>
  <c r="R147" i="1"/>
  <c r="O147" i="1"/>
  <c r="N147" i="1"/>
  <c r="L147" i="1"/>
  <c r="H147" i="1"/>
  <c r="I147" i="1" s="1"/>
  <c r="F147" i="1"/>
  <c r="C147" i="1"/>
  <c r="AC146" i="1"/>
  <c r="AD146" i="1" s="1"/>
  <c r="AA146" i="1"/>
  <c r="X146" i="1"/>
  <c r="W146" i="1"/>
  <c r="U146" i="1"/>
  <c r="R146" i="1"/>
  <c r="N146" i="1"/>
  <c r="O146" i="1" s="1"/>
  <c r="L146" i="1"/>
  <c r="I146" i="1"/>
  <c r="H146" i="1"/>
  <c r="F146" i="1"/>
  <c r="C146" i="1"/>
  <c r="AC145" i="1"/>
  <c r="AD145" i="1" s="1"/>
  <c r="AA145" i="1"/>
  <c r="X145" i="1"/>
  <c r="W145" i="1"/>
  <c r="U145" i="1"/>
  <c r="R145" i="1"/>
  <c r="N145" i="1"/>
  <c r="O145" i="1" s="1"/>
  <c r="L145" i="1"/>
  <c r="H145" i="1"/>
  <c r="I145" i="1" s="1"/>
  <c r="F145" i="1"/>
  <c r="C145" i="1"/>
  <c r="AC144" i="1"/>
  <c r="AD144" i="1" s="1"/>
  <c r="AA144" i="1"/>
  <c r="W144" i="1"/>
  <c r="X144" i="1" s="1"/>
  <c r="U144" i="1"/>
  <c r="R144" i="1"/>
  <c r="O144" i="1"/>
  <c r="N144" i="1"/>
  <c r="L144" i="1"/>
  <c r="H144" i="1"/>
  <c r="I144" i="1" s="1"/>
  <c r="F144" i="1"/>
  <c r="C144" i="1"/>
  <c r="AD143" i="1"/>
  <c r="AC143" i="1"/>
  <c r="AA143" i="1"/>
  <c r="W143" i="1"/>
  <c r="X143" i="1" s="1"/>
  <c r="U143" i="1"/>
  <c r="R143" i="1"/>
  <c r="O143" i="1"/>
  <c r="N143" i="1"/>
  <c r="L143" i="1"/>
  <c r="H143" i="1"/>
  <c r="I143" i="1" s="1"/>
  <c r="F143" i="1"/>
  <c r="C143" i="1"/>
  <c r="AA141" i="1"/>
  <c r="Z141" i="1"/>
  <c r="T141" i="1"/>
  <c r="U141" i="1" s="1"/>
  <c r="Q141" i="1"/>
  <c r="W141" i="1" s="1"/>
  <c r="X141" i="1" s="1"/>
  <c r="K141" i="1"/>
  <c r="L141" i="1" s="1"/>
  <c r="E141" i="1"/>
  <c r="H141" i="1" s="1"/>
  <c r="I141" i="1" s="1"/>
  <c r="C141" i="1"/>
  <c r="B141" i="1"/>
  <c r="N141" i="1" s="1"/>
  <c r="O141" i="1" s="1"/>
  <c r="AC140" i="1"/>
  <c r="AD140" i="1" s="1"/>
  <c r="AA140" i="1"/>
  <c r="W140" i="1"/>
  <c r="X140" i="1" s="1"/>
  <c r="U140" i="1"/>
  <c r="R140" i="1"/>
  <c r="O140" i="1"/>
  <c r="N140" i="1"/>
  <c r="L140" i="1"/>
  <c r="H140" i="1"/>
  <c r="I140" i="1" s="1"/>
  <c r="F140" i="1"/>
  <c r="C140" i="1"/>
  <c r="AD139" i="1"/>
  <c r="AC139" i="1"/>
  <c r="AA139" i="1"/>
  <c r="W139" i="1"/>
  <c r="X139" i="1" s="1"/>
  <c r="U139" i="1"/>
  <c r="R139" i="1"/>
  <c r="O139" i="1"/>
  <c r="N139" i="1"/>
  <c r="L139" i="1"/>
  <c r="H139" i="1"/>
  <c r="I139" i="1" s="1"/>
  <c r="F139" i="1"/>
  <c r="C139" i="1"/>
  <c r="AC138" i="1"/>
  <c r="AD138" i="1" s="1"/>
  <c r="AA138" i="1"/>
  <c r="X138" i="1"/>
  <c r="W138" i="1"/>
  <c r="U138" i="1"/>
  <c r="R138" i="1"/>
  <c r="N138" i="1"/>
  <c r="O138" i="1" s="1"/>
  <c r="L138" i="1"/>
  <c r="I138" i="1"/>
  <c r="H138" i="1"/>
  <c r="F138" i="1"/>
  <c r="C138" i="1"/>
  <c r="AC137" i="1"/>
  <c r="AD137" i="1" s="1"/>
  <c r="AA137" i="1"/>
  <c r="X137" i="1"/>
  <c r="W137" i="1"/>
  <c r="U137" i="1"/>
  <c r="R137" i="1"/>
  <c r="N137" i="1"/>
  <c r="O137" i="1" s="1"/>
  <c r="L137" i="1"/>
  <c r="H137" i="1"/>
  <c r="I137" i="1" s="1"/>
  <c r="F137" i="1"/>
  <c r="C137" i="1"/>
  <c r="AC136" i="1"/>
  <c r="AD136" i="1" s="1"/>
  <c r="AA136" i="1"/>
  <c r="W136" i="1"/>
  <c r="X136" i="1" s="1"/>
  <c r="U136" i="1"/>
  <c r="R136" i="1"/>
  <c r="O136" i="1"/>
  <c r="N136" i="1"/>
  <c r="L136" i="1"/>
  <c r="H136" i="1"/>
  <c r="I136" i="1" s="1"/>
  <c r="F136" i="1"/>
  <c r="C136" i="1"/>
  <c r="AD135" i="1"/>
  <c r="AC135" i="1"/>
  <c r="AA135" i="1"/>
  <c r="W135" i="1"/>
  <c r="X135" i="1" s="1"/>
  <c r="U135" i="1"/>
  <c r="R135" i="1"/>
  <c r="O135" i="1"/>
  <c r="N135" i="1"/>
  <c r="L135" i="1"/>
  <c r="H135" i="1"/>
  <c r="I135" i="1" s="1"/>
  <c r="F135" i="1"/>
  <c r="C135" i="1"/>
  <c r="AC134" i="1"/>
  <c r="AD134" i="1" s="1"/>
  <c r="AA134" i="1"/>
  <c r="X134" i="1"/>
  <c r="W134" i="1"/>
  <c r="U134" i="1"/>
  <c r="R134" i="1"/>
  <c r="N134" i="1"/>
  <c r="O134" i="1" s="1"/>
  <c r="L134" i="1"/>
  <c r="I134" i="1"/>
  <c r="H134" i="1"/>
  <c r="F134" i="1"/>
  <c r="C134" i="1"/>
  <c r="AC133" i="1"/>
  <c r="AD133" i="1" s="1"/>
  <c r="AA133" i="1"/>
  <c r="X133" i="1"/>
  <c r="W133" i="1"/>
  <c r="U133" i="1"/>
  <c r="R133" i="1"/>
  <c r="N133" i="1"/>
  <c r="O133" i="1" s="1"/>
  <c r="L133" i="1"/>
  <c r="H133" i="1"/>
  <c r="I133" i="1" s="1"/>
  <c r="F133" i="1"/>
  <c r="C133" i="1"/>
  <c r="AC132" i="1"/>
  <c r="AD132" i="1" s="1"/>
  <c r="AA132" i="1"/>
  <c r="W132" i="1"/>
  <c r="X132" i="1" s="1"/>
  <c r="U132" i="1"/>
  <c r="R132" i="1"/>
  <c r="O132" i="1"/>
  <c r="N132" i="1"/>
  <c r="L132" i="1"/>
  <c r="H132" i="1"/>
  <c r="I132" i="1" s="1"/>
  <c r="F132" i="1"/>
  <c r="C132" i="1"/>
  <c r="AD131" i="1"/>
  <c r="AC131" i="1"/>
  <c r="AA131" i="1"/>
  <c r="W131" i="1"/>
  <c r="X131" i="1" s="1"/>
  <c r="U131" i="1"/>
  <c r="R131" i="1"/>
  <c r="O131" i="1"/>
  <c r="N131" i="1"/>
  <c r="L131" i="1"/>
  <c r="H131" i="1"/>
  <c r="I131" i="1" s="1"/>
  <c r="F131" i="1"/>
  <c r="C131" i="1"/>
  <c r="AC130" i="1"/>
  <c r="AD130" i="1" s="1"/>
  <c r="AA130" i="1"/>
  <c r="X130" i="1"/>
  <c r="W130" i="1"/>
  <c r="U130" i="1"/>
  <c r="R130" i="1"/>
  <c r="N130" i="1"/>
  <c r="O130" i="1" s="1"/>
  <c r="L130" i="1"/>
  <c r="I130" i="1"/>
  <c r="H130" i="1"/>
  <c r="F130" i="1"/>
  <c r="C130" i="1"/>
  <c r="AC129" i="1"/>
  <c r="AD129" i="1" s="1"/>
  <c r="AA129" i="1"/>
  <c r="X129" i="1"/>
  <c r="W129" i="1"/>
  <c r="U129" i="1"/>
  <c r="R129" i="1"/>
  <c r="N129" i="1"/>
  <c r="O129" i="1" s="1"/>
  <c r="L129" i="1"/>
  <c r="H129" i="1"/>
  <c r="I129" i="1" s="1"/>
  <c r="F129" i="1"/>
  <c r="C129" i="1"/>
  <c r="AC127" i="1"/>
  <c r="AD127" i="1" s="1"/>
  <c r="AA127" i="1"/>
  <c r="W127" i="1"/>
  <c r="X127" i="1" s="1"/>
  <c r="U127" i="1"/>
  <c r="R127" i="1"/>
  <c r="O127" i="1"/>
  <c r="N127" i="1"/>
  <c r="L127" i="1"/>
  <c r="H127" i="1"/>
  <c r="I127" i="1" s="1"/>
  <c r="F127" i="1"/>
  <c r="C127" i="1"/>
  <c r="Z124" i="1"/>
  <c r="AA124" i="1" s="1"/>
  <c r="T124" i="1"/>
  <c r="T172" i="1" s="1"/>
  <c r="R124" i="1"/>
  <c r="Q124" i="1"/>
  <c r="AC124" i="1" s="1"/>
  <c r="AD124" i="1" s="1"/>
  <c r="K124" i="1"/>
  <c r="K172" i="1" s="1"/>
  <c r="H124" i="1"/>
  <c r="I124" i="1" s="1"/>
  <c r="F124" i="1"/>
  <c r="E124" i="1"/>
  <c r="E172" i="1" s="1"/>
  <c r="B124" i="1"/>
  <c r="C124" i="1" s="1"/>
  <c r="AC123" i="1"/>
  <c r="AD123" i="1" s="1"/>
  <c r="AA123" i="1"/>
  <c r="X123" i="1"/>
  <c r="W123" i="1"/>
  <c r="U123" i="1"/>
  <c r="R123" i="1"/>
  <c r="O123" i="1"/>
  <c r="N123" i="1"/>
  <c r="L123" i="1"/>
  <c r="H123" i="1"/>
  <c r="I123" i="1" s="1"/>
  <c r="F123" i="1"/>
  <c r="C123" i="1"/>
  <c r="Z122" i="1"/>
  <c r="AA122" i="1" s="1"/>
  <c r="W122" i="1"/>
  <c r="X122" i="1" s="1"/>
  <c r="U122" i="1"/>
  <c r="T122" i="1"/>
  <c r="Q122" i="1"/>
  <c r="R122" i="1" s="1"/>
  <c r="K122" i="1"/>
  <c r="L122" i="1" s="1"/>
  <c r="E122" i="1"/>
  <c r="F122" i="1" s="1"/>
  <c r="B122" i="1"/>
  <c r="N122" i="1" s="1"/>
  <c r="O122" i="1" s="1"/>
  <c r="AC121" i="1"/>
  <c r="AD121" i="1" s="1"/>
  <c r="AA121" i="1"/>
  <c r="X121" i="1"/>
  <c r="W121" i="1"/>
  <c r="U121" i="1"/>
  <c r="R121" i="1"/>
  <c r="N121" i="1"/>
  <c r="O121" i="1" s="1"/>
  <c r="L121" i="1"/>
  <c r="I121" i="1"/>
  <c r="H121" i="1"/>
  <c r="F121" i="1"/>
  <c r="C121" i="1"/>
  <c r="AC120" i="1"/>
  <c r="AD120" i="1" s="1"/>
  <c r="AA120" i="1"/>
  <c r="X120" i="1"/>
  <c r="W120" i="1"/>
  <c r="U120" i="1"/>
  <c r="R120" i="1"/>
  <c r="O120" i="1"/>
  <c r="N120" i="1"/>
  <c r="L120" i="1"/>
  <c r="H120" i="1"/>
  <c r="I120" i="1" s="1"/>
  <c r="F120" i="1"/>
  <c r="C120" i="1"/>
  <c r="AC119" i="1"/>
  <c r="AD119" i="1" s="1"/>
  <c r="AA119" i="1"/>
  <c r="W119" i="1"/>
  <c r="X119" i="1" s="1"/>
  <c r="U119" i="1"/>
  <c r="R119" i="1"/>
  <c r="O119" i="1"/>
  <c r="N119" i="1"/>
  <c r="L119" i="1"/>
  <c r="H119" i="1"/>
  <c r="I119" i="1" s="1"/>
  <c r="F119" i="1"/>
  <c r="C119" i="1"/>
  <c r="Z118" i="1"/>
  <c r="AA118" i="1" s="1"/>
  <c r="T118" i="1"/>
  <c r="W118" i="1" s="1"/>
  <c r="X118" i="1" s="1"/>
  <c r="R118" i="1"/>
  <c r="Q118" i="1"/>
  <c r="AC118" i="1" s="1"/>
  <c r="AD118" i="1" s="1"/>
  <c r="K118" i="1"/>
  <c r="L118" i="1" s="1"/>
  <c r="H118" i="1"/>
  <c r="I118" i="1" s="1"/>
  <c r="F118" i="1"/>
  <c r="E118" i="1"/>
  <c r="B118" i="1"/>
  <c r="C118" i="1" s="1"/>
  <c r="AC117" i="1"/>
  <c r="AD117" i="1" s="1"/>
  <c r="AA117" i="1"/>
  <c r="X117" i="1"/>
  <c r="W117" i="1"/>
  <c r="U117" i="1"/>
  <c r="R117" i="1"/>
  <c r="O117" i="1"/>
  <c r="N117" i="1"/>
  <c r="L117" i="1"/>
  <c r="H117" i="1"/>
  <c r="I117" i="1" s="1"/>
  <c r="F117" i="1"/>
  <c r="C117" i="1"/>
  <c r="AC116" i="1"/>
  <c r="AD116" i="1" s="1"/>
  <c r="AA116" i="1"/>
  <c r="W116" i="1"/>
  <c r="X116" i="1" s="1"/>
  <c r="U116" i="1"/>
  <c r="R116" i="1"/>
  <c r="O116" i="1"/>
  <c r="N116" i="1"/>
  <c r="L116" i="1"/>
  <c r="H116" i="1"/>
  <c r="I116" i="1" s="1"/>
  <c r="F116" i="1"/>
  <c r="C116" i="1"/>
  <c r="AD115" i="1"/>
  <c r="AC115" i="1"/>
  <c r="AA115" i="1"/>
  <c r="X115" i="1"/>
  <c r="W115" i="1"/>
  <c r="U115" i="1"/>
  <c r="R115" i="1"/>
  <c r="O115" i="1"/>
  <c r="N115" i="1"/>
  <c r="L115" i="1"/>
  <c r="H115" i="1"/>
  <c r="I115" i="1" s="1"/>
  <c r="F115" i="1"/>
  <c r="C115" i="1"/>
  <c r="AC114" i="1"/>
  <c r="AD114" i="1" s="1"/>
  <c r="AA114" i="1"/>
  <c r="X114" i="1"/>
  <c r="W114" i="1"/>
  <c r="U114" i="1"/>
  <c r="R114" i="1"/>
  <c r="N114" i="1"/>
  <c r="O114" i="1" s="1"/>
  <c r="L114" i="1"/>
  <c r="I114" i="1"/>
  <c r="H114" i="1"/>
  <c r="F114" i="1"/>
  <c r="C114" i="1"/>
  <c r="AC113" i="1"/>
  <c r="AD113" i="1" s="1"/>
  <c r="AA113" i="1"/>
  <c r="X113" i="1"/>
  <c r="W113" i="1"/>
  <c r="U113" i="1"/>
  <c r="R113" i="1"/>
  <c r="O113" i="1"/>
  <c r="N113" i="1"/>
  <c r="L113" i="1"/>
  <c r="H113" i="1"/>
  <c r="I113" i="1" s="1"/>
  <c r="F113" i="1"/>
  <c r="C113" i="1"/>
  <c r="AC112" i="1"/>
  <c r="AD112" i="1" s="1"/>
  <c r="AA112" i="1"/>
  <c r="W112" i="1"/>
  <c r="X112" i="1" s="1"/>
  <c r="U112" i="1"/>
  <c r="R112" i="1"/>
  <c r="O112" i="1"/>
  <c r="N112" i="1"/>
  <c r="L112" i="1"/>
  <c r="H112" i="1"/>
  <c r="I112" i="1" s="1"/>
  <c r="F112" i="1"/>
  <c r="C112" i="1"/>
  <c r="AD111" i="1"/>
  <c r="AC111" i="1"/>
  <c r="AA111" i="1"/>
  <c r="X111" i="1"/>
  <c r="W111" i="1"/>
  <c r="U111" i="1"/>
  <c r="R111" i="1"/>
  <c r="O111" i="1"/>
  <c r="N111" i="1"/>
  <c r="L111" i="1"/>
  <c r="H111" i="1"/>
  <c r="I111" i="1" s="1"/>
  <c r="F111" i="1"/>
  <c r="C111" i="1"/>
  <c r="AC110" i="1"/>
  <c r="AD110" i="1" s="1"/>
  <c r="AA110" i="1"/>
  <c r="X110" i="1"/>
  <c r="W110" i="1"/>
  <c r="U110" i="1"/>
  <c r="R110" i="1"/>
  <c r="N110" i="1"/>
  <c r="O110" i="1" s="1"/>
  <c r="L110" i="1"/>
  <c r="I110" i="1"/>
  <c r="H110" i="1"/>
  <c r="F110" i="1"/>
  <c r="C110" i="1"/>
  <c r="AC109" i="1"/>
  <c r="AD109" i="1" s="1"/>
  <c r="AA109" i="1"/>
  <c r="X109" i="1"/>
  <c r="W109" i="1"/>
  <c r="U109" i="1"/>
  <c r="R109" i="1"/>
  <c r="O109" i="1"/>
  <c r="N109" i="1"/>
  <c r="L109" i="1"/>
  <c r="H109" i="1"/>
  <c r="I109" i="1" s="1"/>
  <c r="F109" i="1"/>
  <c r="C109" i="1"/>
  <c r="AC108" i="1"/>
  <c r="AD108" i="1" s="1"/>
  <c r="AA108" i="1"/>
  <c r="W108" i="1"/>
  <c r="X108" i="1" s="1"/>
  <c r="U108" i="1"/>
  <c r="R108" i="1"/>
  <c r="O108" i="1"/>
  <c r="N108" i="1"/>
  <c r="L108" i="1"/>
  <c r="H108" i="1"/>
  <c r="I108" i="1" s="1"/>
  <c r="F108" i="1"/>
  <c r="C108" i="1"/>
  <c r="AD107" i="1"/>
  <c r="AC107" i="1"/>
  <c r="AA107" i="1"/>
  <c r="X107" i="1"/>
  <c r="W107" i="1"/>
  <c r="U107" i="1"/>
  <c r="R107" i="1"/>
  <c r="O107" i="1"/>
  <c r="N107" i="1"/>
  <c r="L107" i="1"/>
  <c r="H107" i="1"/>
  <c r="I107" i="1" s="1"/>
  <c r="F107" i="1"/>
  <c r="C107" i="1"/>
  <c r="AC106" i="1"/>
  <c r="AD106" i="1" s="1"/>
  <c r="AA106" i="1"/>
  <c r="X106" i="1"/>
  <c r="W106" i="1"/>
  <c r="U106" i="1"/>
  <c r="R106" i="1"/>
  <c r="N106" i="1"/>
  <c r="O106" i="1" s="1"/>
  <c r="L106" i="1"/>
  <c r="I106" i="1"/>
  <c r="H106" i="1"/>
  <c r="F106" i="1"/>
  <c r="C106" i="1"/>
  <c r="AC105" i="1"/>
  <c r="AD105" i="1" s="1"/>
  <c r="AA105" i="1"/>
  <c r="X105" i="1"/>
  <c r="W105" i="1"/>
  <c r="U105" i="1"/>
  <c r="R105" i="1"/>
  <c r="O105" i="1"/>
  <c r="N105" i="1"/>
  <c r="L105" i="1"/>
  <c r="H105" i="1"/>
  <c r="I105" i="1" s="1"/>
  <c r="F105" i="1"/>
  <c r="C105" i="1"/>
  <c r="AC104" i="1"/>
  <c r="AD104" i="1" s="1"/>
  <c r="AA104" i="1"/>
  <c r="W104" i="1"/>
  <c r="X104" i="1" s="1"/>
  <c r="U104" i="1"/>
  <c r="R104" i="1"/>
  <c r="O104" i="1"/>
  <c r="N104" i="1"/>
  <c r="L104" i="1"/>
  <c r="H104" i="1"/>
  <c r="I104" i="1" s="1"/>
  <c r="F104" i="1"/>
  <c r="C104" i="1"/>
  <c r="AD103" i="1"/>
  <c r="AC103" i="1"/>
  <c r="AA103" i="1"/>
  <c r="X103" i="1"/>
  <c r="W103" i="1"/>
  <c r="U103" i="1"/>
  <c r="R103" i="1"/>
  <c r="O103" i="1"/>
  <c r="N103" i="1"/>
  <c r="L103" i="1"/>
  <c r="H103" i="1"/>
  <c r="I103" i="1" s="1"/>
  <c r="F103" i="1"/>
  <c r="C103" i="1"/>
  <c r="AC102" i="1"/>
  <c r="AD102" i="1" s="1"/>
  <c r="AA102" i="1"/>
  <c r="X102" i="1"/>
  <c r="W102" i="1"/>
  <c r="U102" i="1"/>
  <c r="R102" i="1"/>
  <c r="N102" i="1"/>
  <c r="O102" i="1" s="1"/>
  <c r="L102" i="1"/>
  <c r="I102" i="1"/>
  <c r="H102" i="1"/>
  <c r="F102" i="1"/>
  <c r="C102" i="1"/>
  <c r="AC101" i="1"/>
  <c r="AD101" i="1" s="1"/>
  <c r="AA101" i="1"/>
  <c r="X101" i="1"/>
  <c r="W101" i="1"/>
  <c r="U101" i="1"/>
  <c r="R101" i="1"/>
  <c r="O101" i="1"/>
  <c r="N101" i="1"/>
  <c r="L101" i="1"/>
  <c r="H101" i="1"/>
  <c r="I101" i="1" s="1"/>
  <c r="F101" i="1"/>
  <c r="C101" i="1"/>
  <c r="AC100" i="1"/>
  <c r="AD100" i="1" s="1"/>
  <c r="AA100" i="1"/>
  <c r="W100" i="1"/>
  <c r="X100" i="1" s="1"/>
  <c r="U100" i="1"/>
  <c r="R100" i="1"/>
  <c r="O100" i="1"/>
  <c r="N100" i="1"/>
  <c r="L100" i="1"/>
  <c r="H100" i="1"/>
  <c r="I100" i="1" s="1"/>
  <c r="F100" i="1"/>
  <c r="C100" i="1"/>
  <c r="AD99" i="1"/>
  <c r="AC99" i="1"/>
  <c r="AA99" i="1"/>
  <c r="X99" i="1"/>
  <c r="W99" i="1"/>
  <c r="U99" i="1"/>
  <c r="R99" i="1"/>
  <c r="O99" i="1"/>
  <c r="N99" i="1"/>
  <c r="L99" i="1"/>
  <c r="H99" i="1"/>
  <c r="I99" i="1" s="1"/>
  <c r="F99" i="1"/>
  <c r="C99" i="1"/>
  <c r="AC98" i="1"/>
  <c r="AD98" i="1" s="1"/>
  <c r="AA98" i="1"/>
  <c r="X98" i="1"/>
  <c r="W98" i="1"/>
  <c r="U98" i="1"/>
  <c r="R98" i="1"/>
  <c r="N98" i="1"/>
  <c r="O98" i="1" s="1"/>
  <c r="L98" i="1"/>
  <c r="I98" i="1"/>
  <c r="H98" i="1"/>
  <c r="F98" i="1"/>
  <c r="C98" i="1"/>
  <c r="AC97" i="1"/>
  <c r="AD97" i="1" s="1"/>
  <c r="AA97" i="1"/>
  <c r="X97" i="1"/>
  <c r="W97" i="1"/>
  <c r="U97" i="1"/>
  <c r="R97" i="1"/>
  <c r="O97" i="1"/>
  <c r="N97" i="1"/>
  <c r="L97" i="1"/>
  <c r="H97" i="1"/>
  <c r="I97" i="1" s="1"/>
  <c r="F97" i="1"/>
  <c r="C97" i="1"/>
  <c r="AC96" i="1"/>
  <c r="AD96" i="1" s="1"/>
  <c r="AA96" i="1"/>
  <c r="W96" i="1"/>
  <c r="X96" i="1" s="1"/>
  <c r="U96" i="1"/>
  <c r="R96" i="1"/>
  <c r="O96" i="1"/>
  <c r="N96" i="1"/>
  <c r="L96" i="1"/>
  <c r="H96" i="1"/>
  <c r="I96" i="1" s="1"/>
  <c r="F96" i="1"/>
  <c r="C96" i="1"/>
  <c r="AD95" i="1"/>
  <c r="AC95" i="1"/>
  <c r="AA95" i="1"/>
  <c r="X95" i="1"/>
  <c r="W95" i="1"/>
  <c r="U95" i="1"/>
  <c r="R95" i="1"/>
  <c r="O95" i="1"/>
  <c r="N95" i="1"/>
  <c r="L95" i="1"/>
  <c r="H95" i="1"/>
  <c r="I95" i="1" s="1"/>
  <c r="F95" i="1"/>
  <c r="C95" i="1"/>
  <c r="AC94" i="1"/>
  <c r="AD94" i="1" s="1"/>
  <c r="AA94" i="1"/>
  <c r="X94" i="1"/>
  <c r="W94" i="1"/>
  <c r="U94" i="1"/>
  <c r="R94" i="1"/>
  <c r="N94" i="1"/>
  <c r="O94" i="1" s="1"/>
  <c r="L94" i="1"/>
  <c r="I94" i="1"/>
  <c r="H94" i="1"/>
  <c r="F94" i="1"/>
  <c r="C94" i="1"/>
  <c r="AC92" i="1"/>
  <c r="AD92" i="1" s="1"/>
  <c r="AA92" i="1"/>
  <c r="X92" i="1"/>
  <c r="W92" i="1"/>
  <c r="U92" i="1"/>
  <c r="R92" i="1"/>
  <c r="O92" i="1"/>
  <c r="N92" i="1"/>
  <c r="L92" i="1"/>
  <c r="H92" i="1"/>
  <c r="I92" i="1" s="1"/>
  <c r="F92" i="1"/>
  <c r="C92" i="1"/>
  <c r="AC91" i="1"/>
  <c r="AD91" i="1" s="1"/>
  <c r="AA91" i="1"/>
  <c r="W91" i="1"/>
  <c r="X91" i="1" s="1"/>
  <c r="U91" i="1"/>
  <c r="R91" i="1"/>
  <c r="O91" i="1"/>
  <c r="N91" i="1"/>
  <c r="L91" i="1"/>
  <c r="H91" i="1"/>
  <c r="I91" i="1" s="1"/>
  <c r="F91" i="1"/>
  <c r="C91" i="1"/>
  <c r="AD90" i="1"/>
  <c r="AC90" i="1"/>
  <c r="AA90" i="1"/>
  <c r="X90" i="1"/>
  <c r="W90" i="1"/>
  <c r="U90" i="1"/>
  <c r="R90" i="1"/>
  <c r="O90" i="1"/>
  <c r="N90" i="1"/>
  <c r="L90" i="1"/>
  <c r="H90" i="1"/>
  <c r="I90" i="1" s="1"/>
  <c r="F90" i="1"/>
  <c r="C90" i="1"/>
  <c r="AC89" i="1"/>
  <c r="AD89" i="1" s="1"/>
  <c r="AA89" i="1"/>
  <c r="X89" i="1"/>
  <c r="W89" i="1"/>
  <c r="U89" i="1"/>
  <c r="R89" i="1"/>
  <c r="N89" i="1"/>
  <c r="O89" i="1" s="1"/>
  <c r="L89" i="1"/>
  <c r="I89" i="1"/>
  <c r="H89" i="1"/>
  <c r="F89" i="1"/>
  <c r="C89" i="1"/>
  <c r="Z88" i="1"/>
  <c r="AA88" i="1" s="1"/>
  <c r="T88" i="1"/>
  <c r="U88" i="1" s="1"/>
  <c r="Q88" i="1"/>
  <c r="AC88" i="1" s="1"/>
  <c r="AD88" i="1" s="1"/>
  <c r="L88" i="1"/>
  <c r="K88" i="1"/>
  <c r="E88" i="1"/>
  <c r="F88" i="1" s="1"/>
  <c r="B88" i="1"/>
  <c r="C88" i="1" s="1"/>
  <c r="AD87" i="1"/>
  <c r="AC87" i="1"/>
  <c r="AA87" i="1"/>
  <c r="X87" i="1"/>
  <c r="W87" i="1"/>
  <c r="U87" i="1"/>
  <c r="R87" i="1"/>
  <c r="O87" i="1"/>
  <c r="N87" i="1"/>
  <c r="L87" i="1"/>
  <c r="H87" i="1"/>
  <c r="I87" i="1" s="1"/>
  <c r="F87" i="1"/>
  <c r="C87" i="1"/>
  <c r="AC86" i="1"/>
  <c r="AD86" i="1" s="1"/>
  <c r="AA86" i="1"/>
  <c r="X86" i="1"/>
  <c r="W86" i="1"/>
  <c r="U86" i="1"/>
  <c r="R86" i="1"/>
  <c r="N86" i="1"/>
  <c r="O86" i="1" s="1"/>
  <c r="L86" i="1"/>
  <c r="I86" i="1"/>
  <c r="H86" i="1"/>
  <c r="F86" i="1"/>
  <c r="C86" i="1"/>
  <c r="AC85" i="1"/>
  <c r="AD85" i="1" s="1"/>
  <c r="AA85" i="1"/>
  <c r="X85" i="1"/>
  <c r="W85" i="1"/>
  <c r="U85" i="1"/>
  <c r="R85" i="1"/>
  <c r="O85" i="1"/>
  <c r="N85" i="1"/>
  <c r="L85" i="1"/>
  <c r="H85" i="1"/>
  <c r="I85" i="1" s="1"/>
  <c r="F85" i="1"/>
  <c r="C85" i="1"/>
  <c r="AC84" i="1"/>
  <c r="AD84" i="1" s="1"/>
  <c r="AA84" i="1"/>
  <c r="W84" i="1"/>
  <c r="X84" i="1" s="1"/>
  <c r="U84" i="1"/>
  <c r="R84" i="1"/>
  <c r="O84" i="1"/>
  <c r="N84" i="1"/>
  <c r="L84" i="1"/>
  <c r="H84" i="1"/>
  <c r="I84" i="1" s="1"/>
  <c r="F84" i="1"/>
  <c r="C84" i="1"/>
  <c r="AD83" i="1"/>
  <c r="AC83" i="1"/>
  <c r="AA83" i="1"/>
  <c r="X83" i="1"/>
  <c r="W83" i="1"/>
  <c r="U83" i="1"/>
  <c r="R83" i="1"/>
  <c r="O83" i="1"/>
  <c r="N83" i="1"/>
  <c r="L83" i="1"/>
  <c r="H83" i="1"/>
  <c r="I83" i="1" s="1"/>
  <c r="F83" i="1"/>
  <c r="C83" i="1"/>
  <c r="AC82" i="1"/>
  <c r="AD82" i="1" s="1"/>
  <c r="AA82" i="1"/>
  <c r="X82" i="1"/>
  <c r="W82" i="1"/>
  <c r="U82" i="1"/>
  <c r="R82" i="1"/>
  <c r="N82" i="1"/>
  <c r="O82" i="1" s="1"/>
  <c r="L82" i="1"/>
  <c r="I82" i="1"/>
  <c r="H82" i="1"/>
  <c r="F82" i="1"/>
  <c r="C82" i="1"/>
  <c r="AC81" i="1"/>
  <c r="AD81" i="1" s="1"/>
  <c r="AA81" i="1"/>
  <c r="X81" i="1"/>
  <c r="W81" i="1"/>
  <c r="U81" i="1"/>
  <c r="R81" i="1"/>
  <c r="O81" i="1"/>
  <c r="N81" i="1"/>
  <c r="L81" i="1"/>
  <c r="H81" i="1"/>
  <c r="I81" i="1" s="1"/>
  <c r="F81" i="1"/>
  <c r="C81" i="1"/>
  <c r="AC80" i="1"/>
  <c r="AD80" i="1" s="1"/>
  <c r="AA80" i="1"/>
  <c r="W80" i="1"/>
  <c r="X80" i="1" s="1"/>
  <c r="U80" i="1"/>
  <c r="R80" i="1"/>
  <c r="O80" i="1"/>
  <c r="N80" i="1"/>
  <c r="L80" i="1"/>
  <c r="H80" i="1"/>
  <c r="I80" i="1" s="1"/>
  <c r="F80" i="1"/>
  <c r="C80" i="1"/>
  <c r="AD79" i="1"/>
  <c r="AC79" i="1"/>
  <c r="AA79" i="1"/>
  <c r="X79" i="1"/>
  <c r="W79" i="1"/>
  <c r="U79" i="1"/>
  <c r="R79" i="1"/>
  <c r="O79" i="1"/>
  <c r="N79" i="1"/>
  <c r="L79" i="1"/>
  <c r="H79" i="1"/>
  <c r="I79" i="1" s="1"/>
  <c r="F79" i="1"/>
  <c r="C79" i="1"/>
  <c r="AC78" i="1"/>
  <c r="AD78" i="1" s="1"/>
  <c r="AA78" i="1"/>
  <c r="X78" i="1"/>
  <c r="W78" i="1"/>
  <c r="U78" i="1"/>
  <c r="R78" i="1"/>
  <c r="N78" i="1"/>
  <c r="O78" i="1" s="1"/>
  <c r="L78" i="1"/>
  <c r="I78" i="1"/>
  <c r="H78" i="1"/>
  <c r="F78" i="1"/>
  <c r="C78" i="1"/>
  <c r="AC77" i="1"/>
  <c r="AD77" i="1" s="1"/>
  <c r="AA77" i="1"/>
  <c r="X77" i="1"/>
  <c r="W77" i="1"/>
  <c r="U77" i="1"/>
  <c r="R77" i="1"/>
  <c r="O77" i="1"/>
  <c r="N77" i="1"/>
  <c r="L77" i="1"/>
  <c r="H77" i="1"/>
  <c r="I77" i="1" s="1"/>
  <c r="F77" i="1"/>
  <c r="C77" i="1"/>
  <c r="AC76" i="1"/>
  <c r="AD76" i="1" s="1"/>
  <c r="AA76" i="1"/>
  <c r="W76" i="1"/>
  <c r="X76" i="1" s="1"/>
  <c r="U76" i="1"/>
  <c r="R76" i="1"/>
  <c r="O76" i="1"/>
  <c r="N76" i="1"/>
  <c r="L76" i="1"/>
  <c r="H76" i="1"/>
  <c r="I76" i="1" s="1"/>
  <c r="F76" i="1"/>
  <c r="C76" i="1"/>
  <c r="AD75" i="1"/>
  <c r="AC75" i="1"/>
  <c r="AA75" i="1"/>
  <c r="X75" i="1"/>
  <c r="W75" i="1"/>
  <c r="U75" i="1"/>
  <c r="R75" i="1"/>
  <c r="O75" i="1"/>
  <c r="N75" i="1"/>
  <c r="L75" i="1"/>
  <c r="H75" i="1"/>
  <c r="I75" i="1" s="1"/>
  <c r="F75" i="1"/>
  <c r="C75" i="1"/>
  <c r="AA73" i="1"/>
  <c r="Z73" i="1"/>
  <c r="T73" i="1"/>
  <c r="U73" i="1" s="1"/>
  <c r="Q73" i="1"/>
  <c r="W73" i="1" s="1"/>
  <c r="X73" i="1" s="1"/>
  <c r="K73" i="1"/>
  <c r="L73" i="1" s="1"/>
  <c r="E73" i="1"/>
  <c r="H73" i="1" s="1"/>
  <c r="I73" i="1" s="1"/>
  <c r="C73" i="1"/>
  <c r="B73" i="1"/>
  <c r="N73" i="1" s="1"/>
  <c r="O73" i="1" s="1"/>
  <c r="AC72" i="1"/>
  <c r="AD72" i="1" s="1"/>
  <c r="AA72" i="1"/>
  <c r="W72" i="1"/>
  <c r="X72" i="1" s="1"/>
  <c r="U72" i="1"/>
  <c r="R72" i="1"/>
  <c r="O72" i="1"/>
  <c r="N72" i="1"/>
  <c r="L72" i="1"/>
  <c r="H72" i="1"/>
  <c r="I72" i="1" s="1"/>
  <c r="F72" i="1"/>
  <c r="C72" i="1"/>
  <c r="AD71" i="1"/>
  <c r="AC71" i="1"/>
  <c r="AA71" i="1"/>
  <c r="X71" i="1"/>
  <c r="W71" i="1"/>
  <c r="U71" i="1"/>
  <c r="R71" i="1"/>
  <c r="O71" i="1"/>
  <c r="N71" i="1"/>
  <c r="L71" i="1"/>
  <c r="H71" i="1"/>
  <c r="I71" i="1" s="1"/>
  <c r="F71" i="1"/>
  <c r="C71" i="1"/>
  <c r="AC70" i="1"/>
  <c r="AD70" i="1" s="1"/>
  <c r="AA70" i="1"/>
  <c r="X70" i="1"/>
  <c r="W70" i="1"/>
  <c r="U70" i="1"/>
  <c r="R70" i="1"/>
  <c r="N70" i="1"/>
  <c r="O70" i="1" s="1"/>
  <c r="L70" i="1"/>
  <c r="I70" i="1"/>
  <c r="H70" i="1"/>
  <c r="F70" i="1"/>
  <c r="C70" i="1"/>
  <c r="AC69" i="1"/>
  <c r="AD69" i="1" s="1"/>
  <c r="AA69" i="1"/>
  <c r="X69" i="1"/>
  <c r="W69" i="1"/>
  <c r="U69" i="1"/>
  <c r="R69" i="1"/>
  <c r="O69" i="1"/>
  <c r="N69" i="1"/>
  <c r="L69" i="1"/>
  <c r="H69" i="1"/>
  <c r="I69" i="1" s="1"/>
  <c r="F69" i="1"/>
  <c r="C69" i="1"/>
  <c r="AC68" i="1"/>
  <c r="AD68" i="1" s="1"/>
  <c r="AA68" i="1"/>
  <c r="W68" i="1"/>
  <c r="X68" i="1" s="1"/>
  <c r="U68" i="1"/>
  <c r="R68" i="1"/>
  <c r="O68" i="1"/>
  <c r="N68" i="1"/>
  <c r="L68" i="1"/>
  <c r="H68" i="1"/>
  <c r="I68" i="1" s="1"/>
  <c r="F68" i="1"/>
  <c r="C68" i="1"/>
  <c r="AD67" i="1"/>
  <c r="AC67" i="1"/>
  <c r="AA67" i="1"/>
  <c r="X67" i="1"/>
  <c r="W67" i="1"/>
  <c r="U67" i="1"/>
  <c r="R67" i="1"/>
  <c r="O67" i="1"/>
  <c r="N67" i="1"/>
  <c r="L67" i="1"/>
  <c r="H67" i="1"/>
  <c r="I67" i="1" s="1"/>
  <c r="F67" i="1"/>
  <c r="C67" i="1"/>
  <c r="AC66" i="1"/>
  <c r="AD66" i="1" s="1"/>
  <c r="AA66" i="1"/>
  <c r="X66" i="1"/>
  <c r="W66" i="1"/>
  <c r="U66" i="1"/>
  <c r="R66" i="1"/>
  <c r="N66" i="1"/>
  <c r="O66" i="1" s="1"/>
  <c r="L66" i="1"/>
  <c r="I66" i="1"/>
  <c r="H66" i="1"/>
  <c r="F66" i="1"/>
  <c r="C66" i="1"/>
  <c r="AC65" i="1"/>
  <c r="AD65" i="1" s="1"/>
  <c r="AA65" i="1"/>
  <c r="X65" i="1"/>
  <c r="W65" i="1"/>
  <c r="U65" i="1"/>
  <c r="R65" i="1"/>
  <c r="O65" i="1"/>
  <c r="N65" i="1"/>
  <c r="L65" i="1"/>
  <c r="H65" i="1"/>
  <c r="I65" i="1" s="1"/>
  <c r="F65" i="1"/>
  <c r="C65" i="1"/>
  <c r="AC64" i="1"/>
  <c r="AD64" i="1" s="1"/>
  <c r="AA64" i="1"/>
  <c r="W64" i="1"/>
  <c r="X64" i="1" s="1"/>
  <c r="U64" i="1"/>
  <c r="R64" i="1"/>
  <c r="O64" i="1"/>
  <c r="N64" i="1"/>
  <c r="L64" i="1"/>
  <c r="H64" i="1"/>
  <c r="I64" i="1" s="1"/>
  <c r="F64" i="1"/>
  <c r="C64" i="1"/>
  <c r="Z62" i="1"/>
  <c r="AA62" i="1" s="1"/>
  <c r="T62" i="1"/>
  <c r="W62" i="1" s="1"/>
  <c r="X62" i="1" s="1"/>
  <c r="R62" i="1"/>
  <c r="Q62" i="1"/>
  <c r="AC62" i="1" s="1"/>
  <c r="AD62" i="1" s="1"/>
  <c r="K62" i="1"/>
  <c r="L62" i="1" s="1"/>
  <c r="H62" i="1"/>
  <c r="I62" i="1" s="1"/>
  <c r="F62" i="1"/>
  <c r="E62" i="1"/>
  <c r="B62" i="1"/>
  <c r="C62" i="1" s="1"/>
  <c r="Z61" i="1"/>
  <c r="AA61" i="1" s="1"/>
  <c r="T61" i="1"/>
  <c r="U61" i="1" s="1"/>
  <c r="Q61" i="1"/>
  <c r="AC61" i="1" s="1"/>
  <c r="AD61" i="1" s="1"/>
  <c r="N61" i="1"/>
  <c r="O61" i="1" s="1"/>
  <c r="L61" i="1"/>
  <c r="K61" i="1"/>
  <c r="E61" i="1"/>
  <c r="F61" i="1" s="1"/>
  <c r="B61" i="1"/>
  <c r="C61" i="1" s="1"/>
  <c r="AD60" i="1"/>
  <c r="AC60" i="1"/>
  <c r="AA60" i="1"/>
  <c r="X60" i="1"/>
  <c r="W60" i="1"/>
  <c r="U60" i="1"/>
  <c r="R60" i="1"/>
  <c r="O60" i="1"/>
  <c r="N60" i="1"/>
  <c r="L60" i="1"/>
  <c r="H60" i="1"/>
  <c r="I60" i="1" s="1"/>
  <c r="F60" i="1"/>
  <c r="C60" i="1"/>
  <c r="AC59" i="1"/>
  <c r="AD59" i="1" s="1"/>
  <c r="AA59" i="1"/>
  <c r="X59" i="1"/>
  <c r="W59" i="1"/>
  <c r="U59" i="1"/>
  <c r="R59" i="1"/>
  <c r="N59" i="1"/>
  <c r="O59" i="1" s="1"/>
  <c r="L59" i="1"/>
  <c r="I59" i="1"/>
  <c r="H59" i="1"/>
  <c r="F59" i="1"/>
  <c r="C59" i="1"/>
  <c r="AC58" i="1"/>
  <c r="AD58" i="1" s="1"/>
  <c r="AA58" i="1"/>
  <c r="X58" i="1"/>
  <c r="W58" i="1"/>
  <c r="U58" i="1"/>
  <c r="R58" i="1"/>
  <c r="O58" i="1"/>
  <c r="N58" i="1"/>
  <c r="L58" i="1"/>
  <c r="H58" i="1"/>
  <c r="I58" i="1" s="1"/>
  <c r="F58" i="1"/>
  <c r="C58" i="1"/>
  <c r="AC57" i="1"/>
  <c r="AD57" i="1" s="1"/>
  <c r="AA57" i="1"/>
  <c r="W57" i="1"/>
  <c r="X57" i="1" s="1"/>
  <c r="U57" i="1"/>
  <c r="R57" i="1"/>
  <c r="O57" i="1"/>
  <c r="N57" i="1"/>
  <c r="L57" i="1"/>
  <c r="H57" i="1"/>
  <c r="I57" i="1" s="1"/>
  <c r="F57" i="1"/>
  <c r="C57" i="1"/>
  <c r="AD56" i="1"/>
  <c r="AC56" i="1"/>
  <c r="AA56" i="1"/>
  <c r="X56" i="1"/>
  <c r="W56" i="1"/>
  <c r="U56" i="1"/>
  <c r="R56" i="1"/>
  <c r="O56" i="1"/>
  <c r="N56" i="1"/>
  <c r="L56" i="1"/>
  <c r="H56" i="1"/>
  <c r="I56" i="1" s="1"/>
  <c r="F56" i="1"/>
  <c r="C56" i="1"/>
  <c r="AC55" i="1"/>
  <c r="AD55" i="1" s="1"/>
  <c r="AA55" i="1"/>
  <c r="X55" i="1"/>
  <c r="W55" i="1"/>
  <c r="U55" i="1"/>
  <c r="R55" i="1"/>
  <c r="N55" i="1"/>
  <c r="O55" i="1" s="1"/>
  <c r="L55" i="1"/>
  <c r="I55" i="1"/>
  <c r="H55" i="1"/>
  <c r="F55" i="1"/>
  <c r="C55" i="1"/>
  <c r="AC54" i="1"/>
  <c r="AD54" i="1" s="1"/>
  <c r="AA54" i="1"/>
  <c r="X54" i="1"/>
  <c r="W54" i="1"/>
  <c r="U54" i="1"/>
  <c r="R54" i="1"/>
  <c r="O54" i="1"/>
  <c r="N54" i="1"/>
  <c r="L54" i="1"/>
  <c r="H54" i="1"/>
  <c r="I54" i="1" s="1"/>
  <c r="F54" i="1"/>
  <c r="C54" i="1"/>
  <c r="AC53" i="1"/>
  <c r="AD53" i="1" s="1"/>
  <c r="AA53" i="1"/>
  <c r="W53" i="1"/>
  <c r="X53" i="1" s="1"/>
  <c r="U53" i="1"/>
  <c r="R53" i="1"/>
  <c r="O53" i="1"/>
  <c r="N53" i="1"/>
  <c r="L53" i="1"/>
  <c r="H53" i="1"/>
  <c r="I53" i="1" s="1"/>
  <c r="F53" i="1"/>
  <c r="C53" i="1"/>
  <c r="AD52" i="1"/>
  <c r="AC52" i="1"/>
  <c r="AA52" i="1"/>
  <c r="X52" i="1"/>
  <c r="W52" i="1"/>
  <c r="U52" i="1"/>
  <c r="R52" i="1"/>
  <c r="O52" i="1"/>
  <c r="N52" i="1"/>
  <c r="L52" i="1"/>
  <c r="H52" i="1"/>
  <c r="I52" i="1" s="1"/>
  <c r="F52" i="1"/>
  <c r="C52" i="1"/>
  <c r="AC51" i="1"/>
  <c r="AD51" i="1" s="1"/>
  <c r="AA51" i="1"/>
  <c r="X51" i="1"/>
  <c r="W51" i="1"/>
  <c r="U51" i="1"/>
  <c r="R51" i="1"/>
  <c r="N51" i="1"/>
  <c r="O51" i="1" s="1"/>
  <c r="L51" i="1"/>
  <c r="I51" i="1"/>
  <c r="H51" i="1"/>
  <c r="F51" i="1"/>
  <c r="C51" i="1"/>
  <c r="AC50" i="1"/>
  <c r="AD50" i="1" s="1"/>
  <c r="AA50" i="1"/>
  <c r="X50" i="1"/>
  <c r="W50" i="1"/>
  <c r="U50" i="1"/>
  <c r="R50" i="1"/>
  <c r="O50" i="1"/>
  <c r="N50" i="1"/>
  <c r="L50" i="1"/>
  <c r="H50" i="1"/>
  <c r="I50" i="1" s="1"/>
  <c r="F50" i="1"/>
  <c r="C50" i="1"/>
  <c r="AC49" i="1"/>
  <c r="AD49" i="1" s="1"/>
  <c r="AA49" i="1"/>
  <c r="W49" i="1"/>
  <c r="X49" i="1" s="1"/>
  <c r="U49" i="1"/>
  <c r="R49" i="1"/>
  <c r="O49" i="1"/>
  <c r="N49" i="1"/>
  <c r="L49" i="1"/>
  <c r="H49" i="1"/>
  <c r="I49" i="1" s="1"/>
  <c r="F49" i="1"/>
  <c r="C49" i="1"/>
  <c r="AD48" i="1"/>
  <c r="AC48" i="1"/>
  <c r="AA48" i="1"/>
  <c r="X48" i="1"/>
  <c r="W48" i="1"/>
  <c r="U48" i="1"/>
  <c r="R48" i="1"/>
  <c r="O48" i="1"/>
  <c r="N48" i="1"/>
  <c r="L48" i="1"/>
  <c r="H48" i="1"/>
  <c r="I48" i="1" s="1"/>
  <c r="F48" i="1"/>
  <c r="C48" i="1"/>
  <c r="AC47" i="1"/>
  <c r="AD47" i="1" s="1"/>
  <c r="AA47" i="1"/>
  <c r="X47" i="1"/>
  <c r="W47" i="1"/>
  <c r="U47" i="1"/>
  <c r="R47" i="1"/>
  <c r="N47" i="1"/>
  <c r="O47" i="1" s="1"/>
  <c r="L47" i="1"/>
  <c r="I47" i="1"/>
  <c r="H47" i="1"/>
  <c r="F47" i="1"/>
  <c r="C47" i="1"/>
  <c r="AC46" i="1"/>
  <c r="AD46" i="1" s="1"/>
  <c r="AA46" i="1"/>
  <c r="X46" i="1"/>
  <c r="W46" i="1"/>
  <c r="U46" i="1"/>
  <c r="R46" i="1"/>
  <c r="O46" i="1"/>
  <c r="N46" i="1"/>
  <c r="L46" i="1"/>
  <c r="H46" i="1"/>
  <c r="I46" i="1" s="1"/>
  <c r="F46" i="1"/>
  <c r="C46" i="1"/>
  <c r="AC44" i="1"/>
  <c r="AD44" i="1" s="1"/>
  <c r="AA44" i="1"/>
  <c r="W44" i="1"/>
  <c r="X44" i="1" s="1"/>
  <c r="U44" i="1"/>
  <c r="R44" i="1"/>
  <c r="O44" i="1"/>
  <c r="N44" i="1"/>
  <c r="L44" i="1"/>
  <c r="H44" i="1"/>
  <c r="I44" i="1" s="1"/>
  <c r="F44" i="1"/>
  <c r="C44" i="1"/>
  <c r="AD43" i="1"/>
  <c r="AC43" i="1"/>
  <c r="AA43" i="1"/>
  <c r="X43" i="1"/>
  <c r="W43" i="1"/>
  <c r="U43" i="1"/>
  <c r="R43" i="1"/>
  <c r="O43" i="1"/>
  <c r="N43" i="1"/>
  <c r="L43" i="1"/>
  <c r="H43" i="1"/>
  <c r="I43" i="1" s="1"/>
  <c r="F43" i="1"/>
  <c r="C43" i="1"/>
  <c r="AC42" i="1"/>
  <c r="AD42" i="1" s="1"/>
  <c r="AA42" i="1"/>
  <c r="X42" i="1"/>
  <c r="W42" i="1"/>
  <c r="U42" i="1"/>
  <c r="R42" i="1"/>
  <c r="N42" i="1"/>
  <c r="O42" i="1" s="1"/>
  <c r="L42" i="1"/>
  <c r="I42" i="1"/>
  <c r="H42" i="1"/>
  <c r="F42" i="1"/>
  <c r="C42" i="1"/>
  <c r="Z40" i="1"/>
  <c r="AA40" i="1" s="1"/>
  <c r="T40" i="1"/>
  <c r="U40" i="1" s="1"/>
  <c r="Q40" i="1"/>
  <c r="AC40" i="1" s="1"/>
  <c r="AD40" i="1" s="1"/>
  <c r="L40" i="1"/>
  <c r="K40" i="1"/>
  <c r="E40" i="1"/>
  <c r="F40" i="1" s="1"/>
  <c r="B40" i="1"/>
  <c r="H40" i="1" s="1"/>
  <c r="I40" i="1" s="1"/>
  <c r="AD39" i="1"/>
  <c r="AC39" i="1"/>
  <c r="AA39" i="1"/>
  <c r="X39" i="1"/>
  <c r="W39" i="1"/>
  <c r="U39" i="1"/>
  <c r="R39" i="1"/>
  <c r="O39" i="1"/>
  <c r="N39" i="1"/>
  <c r="L39" i="1"/>
  <c r="H39" i="1"/>
  <c r="I39" i="1" s="1"/>
  <c r="F39" i="1"/>
  <c r="C39" i="1"/>
  <c r="AC38" i="1"/>
  <c r="AD38" i="1" s="1"/>
  <c r="AA38" i="1"/>
  <c r="X38" i="1"/>
  <c r="W38" i="1"/>
  <c r="U38" i="1"/>
  <c r="R38" i="1"/>
  <c r="N38" i="1"/>
  <c r="O38" i="1" s="1"/>
  <c r="L38" i="1"/>
  <c r="I38" i="1"/>
  <c r="H38" i="1"/>
  <c r="F38" i="1"/>
  <c r="C38" i="1"/>
  <c r="AC37" i="1"/>
  <c r="AD37" i="1" s="1"/>
  <c r="AA37" i="1"/>
  <c r="X37" i="1"/>
  <c r="W37" i="1"/>
  <c r="U37" i="1"/>
  <c r="R37" i="1"/>
  <c r="O37" i="1"/>
  <c r="N37" i="1"/>
  <c r="L37" i="1"/>
  <c r="H37" i="1"/>
  <c r="I37" i="1" s="1"/>
  <c r="F37" i="1"/>
  <c r="C37" i="1"/>
  <c r="AC36" i="1"/>
  <c r="AD36" i="1" s="1"/>
  <c r="AA36" i="1"/>
  <c r="W36" i="1"/>
  <c r="X36" i="1" s="1"/>
  <c r="U36" i="1"/>
  <c r="R36" i="1"/>
  <c r="O36" i="1"/>
  <c r="N36" i="1"/>
  <c r="L36" i="1"/>
  <c r="H36" i="1"/>
  <c r="I36" i="1" s="1"/>
  <c r="F36" i="1"/>
  <c r="C36" i="1"/>
  <c r="AD35" i="1"/>
  <c r="AC35" i="1"/>
  <c r="AA35" i="1"/>
  <c r="X35" i="1"/>
  <c r="W35" i="1"/>
  <c r="U35" i="1"/>
  <c r="R35" i="1"/>
  <c r="O35" i="1"/>
  <c r="N35" i="1"/>
  <c r="L35" i="1"/>
  <c r="H35" i="1"/>
  <c r="I35" i="1" s="1"/>
  <c r="F35" i="1"/>
  <c r="C35" i="1"/>
  <c r="AC34" i="1"/>
  <c r="AD34" i="1" s="1"/>
  <c r="AA34" i="1"/>
  <c r="W34" i="1"/>
  <c r="X34" i="1" s="1"/>
  <c r="U34" i="1"/>
  <c r="R34" i="1"/>
  <c r="N34" i="1"/>
  <c r="O34" i="1" s="1"/>
  <c r="L34" i="1"/>
  <c r="I34" i="1"/>
  <c r="H34" i="1"/>
  <c r="F34" i="1"/>
  <c r="C34" i="1"/>
  <c r="AC33" i="1"/>
  <c r="AD33" i="1" s="1"/>
  <c r="AA33" i="1"/>
  <c r="X33" i="1"/>
  <c r="W33" i="1"/>
  <c r="U33" i="1"/>
  <c r="R33" i="1"/>
  <c r="O33" i="1"/>
  <c r="N33" i="1"/>
  <c r="L33" i="1"/>
  <c r="H33" i="1"/>
  <c r="I33" i="1" s="1"/>
  <c r="F33" i="1"/>
  <c r="C33" i="1"/>
  <c r="AD32" i="1"/>
  <c r="AC32" i="1"/>
  <c r="AA32" i="1"/>
  <c r="W32" i="1"/>
  <c r="X32" i="1" s="1"/>
  <c r="U32" i="1"/>
  <c r="R32" i="1"/>
  <c r="N32" i="1"/>
  <c r="O32" i="1" s="1"/>
  <c r="L32" i="1"/>
  <c r="H32" i="1"/>
  <c r="I32" i="1" s="1"/>
  <c r="F32" i="1"/>
  <c r="C32" i="1"/>
  <c r="AD31" i="1"/>
  <c r="AC31" i="1"/>
  <c r="AA31" i="1"/>
  <c r="X31" i="1"/>
  <c r="W31" i="1"/>
  <c r="U31" i="1"/>
  <c r="R31" i="1"/>
  <c r="O31" i="1"/>
  <c r="N31" i="1"/>
  <c r="L31" i="1"/>
  <c r="I31" i="1"/>
  <c r="H31" i="1"/>
  <c r="F31" i="1"/>
  <c r="C31" i="1"/>
  <c r="AA29" i="1"/>
  <c r="Z29" i="1"/>
  <c r="T29" i="1"/>
  <c r="U29" i="1" s="1"/>
  <c r="Q29" i="1"/>
  <c r="W29" i="1" s="1"/>
  <c r="X29" i="1" s="1"/>
  <c r="L29" i="1"/>
  <c r="K29" i="1"/>
  <c r="E29" i="1"/>
  <c r="H29" i="1" s="1"/>
  <c r="I29" i="1" s="1"/>
  <c r="C29" i="1"/>
  <c r="B29" i="1"/>
  <c r="N29" i="1" s="1"/>
  <c r="O29" i="1" s="1"/>
  <c r="AD28" i="1"/>
  <c r="AC28" i="1"/>
  <c r="AA28" i="1"/>
  <c r="W28" i="1"/>
  <c r="X28" i="1" s="1"/>
  <c r="U28" i="1"/>
  <c r="R28" i="1"/>
  <c r="N28" i="1"/>
  <c r="O28" i="1" s="1"/>
  <c r="L28" i="1"/>
  <c r="H28" i="1"/>
  <c r="I28" i="1" s="1"/>
  <c r="F28" i="1"/>
  <c r="C28" i="1"/>
  <c r="AD27" i="1"/>
  <c r="AC27" i="1"/>
  <c r="AA27" i="1"/>
  <c r="X27" i="1"/>
  <c r="W27" i="1"/>
  <c r="U27" i="1"/>
  <c r="R27" i="1"/>
  <c r="O27" i="1"/>
  <c r="N27" i="1"/>
  <c r="L27" i="1"/>
  <c r="I27" i="1"/>
  <c r="H27" i="1"/>
  <c r="F27" i="1"/>
  <c r="C27" i="1"/>
  <c r="AC26" i="1"/>
  <c r="AD26" i="1" s="1"/>
  <c r="AA26" i="1"/>
  <c r="W26" i="1"/>
  <c r="X26" i="1" s="1"/>
  <c r="U26" i="1"/>
  <c r="R26" i="1"/>
  <c r="N26" i="1"/>
  <c r="O26" i="1" s="1"/>
  <c r="L26" i="1"/>
  <c r="I26" i="1"/>
  <c r="H26" i="1"/>
  <c r="F26" i="1"/>
  <c r="C26" i="1"/>
  <c r="AC25" i="1"/>
  <c r="AD25" i="1" s="1"/>
  <c r="AA25" i="1"/>
  <c r="X25" i="1"/>
  <c r="W25" i="1"/>
  <c r="U25" i="1"/>
  <c r="R25" i="1"/>
  <c r="O25" i="1"/>
  <c r="N25" i="1"/>
  <c r="L25" i="1"/>
  <c r="H25" i="1"/>
  <c r="I25" i="1" s="1"/>
  <c r="F25" i="1"/>
  <c r="C25" i="1"/>
  <c r="AD24" i="1"/>
  <c r="AC24" i="1"/>
  <c r="AA24" i="1"/>
  <c r="W24" i="1"/>
  <c r="X24" i="1" s="1"/>
  <c r="U24" i="1"/>
  <c r="R24" i="1"/>
  <c r="N24" i="1"/>
  <c r="O24" i="1" s="1"/>
  <c r="L24" i="1"/>
  <c r="H24" i="1"/>
  <c r="I24" i="1" s="1"/>
  <c r="F24" i="1"/>
  <c r="C24" i="1"/>
  <c r="AD23" i="1"/>
  <c r="AC23" i="1"/>
  <c r="AA23" i="1"/>
  <c r="X23" i="1"/>
  <c r="W23" i="1"/>
  <c r="U23" i="1"/>
  <c r="R23" i="1"/>
  <c r="O23" i="1"/>
  <c r="N23" i="1"/>
  <c r="L23" i="1"/>
  <c r="I23" i="1"/>
  <c r="H23" i="1"/>
  <c r="F23" i="1"/>
  <c r="C23" i="1"/>
  <c r="AC22" i="1"/>
  <c r="AD22" i="1" s="1"/>
  <c r="AA22" i="1"/>
  <c r="W22" i="1"/>
  <c r="X22" i="1" s="1"/>
  <c r="U22" i="1"/>
  <c r="R22" i="1"/>
  <c r="N22" i="1"/>
  <c r="O22" i="1" s="1"/>
  <c r="L22" i="1"/>
  <c r="I22" i="1"/>
  <c r="H22" i="1"/>
  <c r="F22" i="1"/>
  <c r="C22" i="1"/>
  <c r="AC21" i="1"/>
  <c r="AD21" i="1" s="1"/>
  <c r="AA21" i="1"/>
  <c r="X21" i="1"/>
  <c r="W21" i="1"/>
  <c r="U21" i="1"/>
  <c r="R21" i="1"/>
  <c r="O21" i="1"/>
  <c r="N21" i="1"/>
  <c r="L21" i="1"/>
  <c r="H21" i="1"/>
  <c r="I21" i="1" s="1"/>
  <c r="F21" i="1"/>
  <c r="C21" i="1"/>
  <c r="AD19" i="1"/>
  <c r="AC19" i="1"/>
  <c r="AA19" i="1"/>
  <c r="W19" i="1"/>
  <c r="X19" i="1" s="1"/>
  <c r="U19" i="1"/>
  <c r="R19" i="1"/>
  <c r="N19" i="1"/>
  <c r="O19" i="1" s="1"/>
  <c r="L19" i="1"/>
  <c r="H19" i="1"/>
  <c r="I19" i="1" s="1"/>
  <c r="F19" i="1"/>
  <c r="C19" i="1"/>
  <c r="AA18" i="1"/>
  <c r="Z18" i="1"/>
  <c r="T18" i="1"/>
  <c r="W18" i="1" s="1"/>
  <c r="X18" i="1" s="1"/>
  <c r="R18" i="1"/>
  <c r="Q18" i="1"/>
  <c r="AC18" i="1" s="1"/>
  <c r="AD18" i="1" s="1"/>
  <c r="K18" i="1"/>
  <c r="L18" i="1" s="1"/>
  <c r="H18" i="1"/>
  <c r="I18" i="1" s="1"/>
  <c r="F18" i="1"/>
  <c r="E18" i="1"/>
  <c r="C18" i="1"/>
  <c r="B18" i="1"/>
  <c r="N18" i="1" s="1"/>
  <c r="O18" i="1" s="1"/>
  <c r="AC17" i="1"/>
  <c r="AD17" i="1" s="1"/>
  <c r="AA17" i="1"/>
  <c r="X17" i="1"/>
  <c r="W17" i="1"/>
  <c r="U17" i="1"/>
  <c r="R17" i="1"/>
  <c r="O17" i="1"/>
  <c r="N17" i="1"/>
  <c r="L17" i="1"/>
  <c r="H17" i="1"/>
  <c r="I17" i="1" s="1"/>
  <c r="F17" i="1"/>
  <c r="C17" i="1"/>
  <c r="AD16" i="1"/>
  <c r="AC16" i="1"/>
  <c r="AA16" i="1"/>
  <c r="W16" i="1"/>
  <c r="X16" i="1" s="1"/>
  <c r="U16" i="1"/>
  <c r="R16" i="1"/>
  <c r="N16" i="1"/>
  <c r="O16" i="1" s="1"/>
  <c r="L16" i="1"/>
  <c r="H16" i="1"/>
  <c r="I16" i="1" s="1"/>
  <c r="F16" i="1"/>
  <c r="C16" i="1"/>
  <c r="AD15" i="1"/>
  <c r="AC15" i="1"/>
  <c r="AA15" i="1"/>
  <c r="X15" i="1"/>
  <c r="W15" i="1"/>
  <c r="U15" i="1"/>
  <c r="R15" i="1"/>
  <c r="O15" i="1"/>
  <c r="N15" i="1"/>
  <c r="L15" i="1"/>
  <c r="I15" i="1"/>
  <c r="H15" i="1"/>
  <c r="F15" i="1"/>
  <c r="C15" i="1"/>
  <c r="AC14" i="1"/>
  <c r="AD14" i="1" s="1"/>
  <c r="AA14" i="1"/>
  <c r="W14" i="1"/>
  <c r="X14" i="1" s="1"/>
  <c r="U14" i="1"/>
  <c r="R14" i="1"/>
  <c r="N14" i="1"/>
  <c r="O14" i="1" s="1"/>
  <c r="L14" i="1"/>
  <c r="I14" i="1"/>
  <c r="H14" i="1"/>
  <c r="F14" i="1"/>
  <c r="C14" i="1"/>
  <c r="AC13" i="1"/>
  <c r="AD13" i="1" s="1"/>
  <c r="AA13" i="1"/>
  <c r="X13" i="1"/>
  <c r="W13" i="1"/>
  <c r="U13" i="1"/>
  <c r="R13" i="1"/>
  <c r="O13" i="1"/>
  <c r="N13" i="1"/>
  <c r="L13" i="1"/>
  <c r="H13" i="1"/>
  <c r="I13" i="1" s="1"/>
  <c r="F13" i="1"/>
  <c r="C13" i="1"/>
  <c r="AD12" i="1"/>
  <c r="AC12" i="1"/>
  <c r="AA12" i="1"/>
  <c r="W12" i="1"/>
  <c r="X12" i="1" s="1"/>
  <c r="U12" i="1"/>
  <c r="R12" i="1"/>
  <c r="N12" i="1"/>
  <c r="O12" i="1" s="1"/>
  <c r="L12" i="1"/>
  <c r="H12" i="1"/>
  <c r="I12" i="1" s="1"/>
  <c r="F12" i="1"/>
  <c r="C12" i="1"/>
  <c r="AD11" i="1"/>
  <c r="AC11" i="1"/>
  <c r="AA11" i="1"/>
  <c r="X11" i="1"/>
  <c r="W11" i="1"/>
  <c r="U11" i="1"/>
  <c r="R11" i="1"/>
  <c r="O11" i="1"/>
  <c r="N11" i="1"/>
  <c r="L11" i="1"/>
  <c r="I11" i="1"/>
  <c r="H11" i="1"/>
  <c r="F11" i="1"/>
  <c r="C11" i="1"/>
  <c r="AC10" i="1"/>
  <c r="AD10" i="1" s="1"/>
  <c r="AA10" i="1"/>
  <c r="W10" i="1"/>
  <c r="X10" i="1" s="1"/>
  <c r="U10" i="1"/>
  <c r="R10" i="1"/>
  <c r="N10" i="1"/>
  <c r="O10" i="1" s="1"/>
  <c r="L10" i="1"/>
  <c r="I10" i="1"/>
  <c r="H10" i="1"/>
  <c r="F10" i="1"/>
  <c r="C10" i="1"/>
  <c r="AC8" i="1"/>
  <c r="AD8" i="1" s="1"/>
  <c r="AA8" i="1"/>
  <c r="X8" i="1"/>
  <c r="W8" i="1"/>
  <c r="U8" i="1"/>
  <c r="R8" i="1"/>
  <c r="O8" i="1"/>
  <c r="N8" i="1"/>
  <c r="L8" i="1"/>
  <c r="H8" i="1"/>
  <c r="I8" i="1" s="1"/>
  <c r="F8" i="1"/>
  <c r="C8" i="1"/>
  <c r="H172" i="1" l="1"/>
  <c r="I172" i="1" s="1"/>
  <c r="T198" i="1"/>
  <c r="U172" i="1"/>
  <c r="F172" i="1"/>
  <c r="E198" i="1"/>
  <c r="W40" i="1"/>
  <c r="X40" i="1" s="1"/>
  <c r="W61" i="1"/>
  <c r="X61" i="1" s="1"/>
  <c r="W88" i="1"/>
  <c r="X88" i="1" s="1"/>
  <c r="H122" i="1"/>
  <c r="I122" i="1" s="1"/>
  <c r="W148" i="1"/>
  <c r="X148" i="1" s="1"/>
  <c r="H170" i="1"/>
  <c r="I170" i="1" s="1"/>
  <c r="N193" i="1"/>
  <c r="O193" i="1" s="1"/>
  <c r="AC236" i="1"/>
  <c r="AD236" i="1" s="1"/>
  <c r="AC267" i="1"/>
  <c r="AD267" i="1" s="1"/>
  <c r="W18" i="2"/>
  <c r="X18" i="2" s="1"/>
  <c r="N122" i="2"/>
  <c r="O122" i="2" s="1"/>
  <c r="AA158" i="2"/>
  <c r="AC158" i="2"/>
  <c r="AD158" i="2" s="1"/>
  <c r="AC29" i="1"/>
  <c r="AD29" i="1" s="1"/>
  <c r="F29" i="1"/>
  <c r="F73" i="1"/>
  <c r="U124" i="1"/>
  <c r="U158" i="1"/>
  <c r="U344" i="1"/>
  <c r="N172" i="1"/>
  <c r="O172" i="1" s="1"/>
  <c r="H196" i="1"/>
  <c r="I196" i="1" s="1"/>
  <c r="W429" i="1"/>
  <c r="X429" i="1" s="1"/>
  <c r="W124" i="2"/>
  <c r="X124" i="2" s="1"/>
  <c r="Q172" i="2"/>
  <c r="AC141" i="1"/>
  <c r="AD141" i="1" s="1"/>
  <c r="R122" i="2"/>
  <c r="W122" i="2"/>
  <c r="X122" i="2" s="1"/>
  <c r="R124" i="2"/>
  <c r="N88" i="1"/>
  <c r="O88" i="1" s="1"/>
  <c r="N148" i="1"/>
  <c r="O148" i="1" s="1"/>
  <c r="AC171" i="1"/>
  <c r="AD171" i="1" s="1"/>
  <c r="F62" i="2"/>
  <c r="T172" i="2"/>
  <c r="U124" i="2"/>
  <c r="AC73" i="1"/>
  <c r="AD73" i="1" s="1"/>
  <c r="R73" i="1"/>
  <c r="U118" i="1"/>
  <c r="F141" i="1"/>
  <c r="F284" i="1"/>
  <c r="C124" i="2"/>
  <c r="B172" i="2"/>
  <c r="H124" i="2"/>
  <c r="I124" i="2" s="1"/>
  <c r="Q172" i="1"/>
  <c r="U18" i="1"/>
  <c r="F171" i="1"/>
  <c r="R40" i="1"/>
  <c r="R61" i="1"/>
  <c r="R88" i="1"/>
  <c r="C122" i="1"/>
  <c r="L124" i="1"/>
  <c r="R148" i="1"/>
  <c r="C170" i="1"/>
  <c r="R182" i="1"/>
  <c r="AC196" i="1"/>
  <c r="AD196" i="1" s="1"/>
  <c r="U209" i="1"/>
  <c r="C267" i="1"/>
  <c r="W273" i="1"/>
  <c r="X273" i="1" s="1"/>
  <c r="R295" i="1"/>
  <c r="R343" i="1"/>
  <c r="F429" i="1"/>
  <c r="U442" i="1"/>
  <c r="H18" i="2"/>
  <c r="I18" i="2" s="1"/>
  <c r="AC18" i="2"/>
  <c r="AD18" i="2" s="1"/>
  <c r="C61" i="2"/>
  <c r="R73" i="2"/>
  <c r="E198" i="2"/>
  <c r="F172" i="2"/>
  <c r="AC124" i="2"/>
  <c r="AD124" i="2" s="1"/>
  <c r="N40" i="1"/>
  <c r="O40" i="1" s="1"/>
  <c r="R29" i="1"/>
  <c r="C40" i="1"/>
  <c r="U62" i="1"/>
  <c r="R141" i="1"/>
  <c r="C148" i="1"/>
  <c r="U149" i="1"/>
  <c r="B198" i="1"/>
  <c r="R324" i="1"/>
  <c r="W124" i="1"/>
  <c r="X124" i="1" s="1"/>
  <c r="C172" i="1"/>
  <c r="R267" i="1"/>
  <c r="H61" i="1"/>
  <c r="I61" i="1" s="1"/>
  <c r="N62" i="1"/>
  <c r="O62" i="1" s="1"/>
  <c r="H88" i="1"/>
  <c r="I88" i="1" s="1"/>
  <c r="N118" i="1"/>
  <c r="O118" i="1" s="1"/>
  <c r="AC122" i="1"/>
  <c r="AD122" i="1" s="1"/>
  <c r="N124" i="1"/>
  <c r="O124" i="1" s="1"/>
  <c r="N149" i="1"/>
  <c r="O149" i="1" s="1"/>
  <c r="N158" i="1"/>
  <c r="O158" i="1" s="1"/>
  <c r="N166" i="1"/>
  <c r="O166" i="1" s="1"/>
  <c r="AC170" i="1"/>
  <c r="AD170" i="1" s="1"/>
  <c r="W171" i="1"/>
  <c r="X171" i="1" s="1"/>
  <c r="Z172" i="1"/>
  <c r="N196" i="1"/>
  <c r="O196" i="1" s="1"/>
  <c r="U218" i="1"/>
  <c r="H227" i="1"/>
  <c r="I227" i="1" s="1"/>
  <c r="R227" i="1"/>
  <c r="H263" i="1"/>
  <c r="I263" i="1" s="1"/>
  <c r="R263" i="1"/>
  <c r="C295" i="1"/>
  <c r="F324" i="1"/>
  <c r="N325" i="1"/>
  <c r="O325" i="1" s="1"/>
  <c r="C343" i="1"/>
  <c r="AC429" i="1"/>
  <c r="AD429" i="1" s="1"/>
  <c r="H29" i="2"/>
  <c r="I29" i="2" s="1"/>
  <c r="R29" i="2"/>
  <c r="C40" i="2"/>
  <c r="C73" i="2"/>
  <c r="AC122" i="2"/>
  <c r="AD122" i="2" s="1"/>
  <c r="F124" i="2"/>
  <c r="C149" i="2"/>
  <c r="H149" i="2"/>
  <c r="I149" i="2" s="1"/>
  <c r="N149" i="2"/>
  <c r="O149" i="2" s="1"/>
  <c r="U166" i="1"/>
  <c r="R193" i="1"/>
  <c r="K198" i="1"/>
  <c r="L172" i="1"/>
  <c r="C193" i="1"/>
  <c r="R236" i="1"/>
  <c r="H182" i="1"/>
  <c r="I182" i="1" s="1"/>
  <c r="AC193" i="1"/>
  <c r="AD193" i="1" s="1"/>
  <c r="C227" i="1"/>
  <c r="C263" i="1"/>
  <c r="W284" i="1"/>
  <c r="X284" i="1" s="1"/>
  <c r="AC324" i="1"/>
  <c r="AD324" i="1" s="1"/>
  <c r="H358" i="1"/>
  <c r="I358" i="1" s="1"/>
  <c r="R358" i="1"/>
  <c r="C428" i="1"/>
  <c r="H441" i="1"/>
  <c r="I441" i="1" s="1"/>
  <c r="R441" i="1"/>
  <c r="C29" i="2"/>
  <c r="W62" i="2"/>
  <c r="X62" i="2" s="1"/>
  <c r="C88" i="2"/>
  <c r="W118" i="2"/>
  <c r="X118" i="2" s="1"/>
  <c r="AC118" i="2"/>
  <c r="AD118" i="2" s="1"/>
  <c r="R197" i="1"/>
  <c r="R209" i="1"/>
  <c r="R218" i="1"/>
  <c r="C236" i="1"/>
  <c r="R262" i="1"/>
  <c r="R273" i="1"/>
  <c r="C284" i="1"/>
  <c r="C324" i="1"/>
  <c r="R342" i="1"/>
  <c r="R344" i="1"/>
  <c r="R368" i="1"/>
  <c r="R393" i="1"/>
  <c r="R396" i="1"/>
  <c r="R403" i="1"/>
  <c r="C429" i="1"/>
  <c r="R442" i="1"/>
  <c r="C18" i="2"/>
  <c r="C62" i="2"/>
  <c r="C118" i="2"/>
  <c r="C141" i="2"/>
  <c r="AC141" i="2"/>
  <c r="AD141" i="2" s="1"/>
  <c r="N148" i="2"/>
  <c r="O148" i="2" s="1"/>
  <c r="W166" i="2"/>
  <c r="X166" i="2" s="1"/>
  <c r="H170" i="2"/>
  <c r="I170" i="2" s="1"/>
  <c r="Z172" i="2"/>
  <c r="H182" i="2"/>
  <c r="I182" i="2" s="1"/>
  <c r="R182" i="2"/>
  <c r="W182" i="2"/>
  <c r="X182" i="2" s="1"/>
  <c r="AC197" i="2"/>
  <c r="AD197" i="2" s="1"/>
  <c r="W218" i="2"/>
  <c r="X218" i="2" s="1"/>
  <c r="C236" i="2"/>
  <c r="R342" i="2"/>
  <c r="R368" i="2"/>
  <c r="W393" i="2"/>
  <c r="X393" i="2" s="1"/>
  <c r="X441" i="2"/>
  <c r="N442" i="2"/>
  <c r="O442" i="2" s="1"/>
  <c r="AD419" i="2"/>
  <c r="AD415" i="2"/>
  <c r="AD411" i="2"/>
  <c r="AD407" i="2"/>
  <c r="AD432" i="2"/>
  <c r="AD424" i="2"/>
  <c r="AD400" i="2"/>
  <c r="AD388" i="2"/>
  <c r="AD427" i="2"/>
  <c r="AC262" i="2"/>
  <c r="AD262" i="2" s="1"/>
  <c r="R284" i="2"/>
  <c r="W284" i="2"/>
  <c r="X284" i="2" s="1"/>
  <c r="N324" i="2"/>
  <c r="O324" i="2" s="1"/>
  <c r="C193" i="2"/>
  <c r="H193" i="2"/>
  <c r="I193" i="2" s="1"/>
  <c r="C358" i="2"/>
  <c r="H358" i="2"/>
  <c r="I358" i="2" s="1"/>
  <c r="W396" i="2"/>
  <c r="X396" i="2" s="1"/>
  <c r="AC396" i="2"/>
  <c r="AD396" i="2" s="1"/>
  <c r="N428" i="2"/>
  <c r="O428" i="2" s="1"/>
  <c r="AC441" i="2"/>
  <c r="AD441" i="2" s="1"/>
  <c r="AA441" i="2"/>
  <c r="AC166" i="2"/>
  <c r="AD166" i="2" s="1"/>
  <c r="C196" i="2"/>
  <c r="H196" i="2"/>
  <c r="I196" i="2" s="1"/>
  <c r="R197" i="2"/>
  <c r="F218" i="2"/>
  <c r="L227" i="2"/>
  <c r="C263" i="2"/>
  <c r="H263" i="2"/>
  <c r="I263" i="2" s="1"/>
  <c r="AC267" i="2"/>
  <c r="AD267" i="2" s="1"/>
  <c r="C295" i="2"/>
  <c r="H295" i="2"/>
  <c r="I295" i="2" s="1"/>
  <c r="R324" i="2"/>
  <c r="W324" i="2"/>
  <c r="X324" i="2" s="1"/>
  <c r="AC393" i="2"/>
  <c r="AD393" i="2" s="1"/>
  <c r="U429" i="2"/>
  <c r="W429" i="2"/>
  <c r="X429" i="2" s="1"/>
  <c r="H441" i="2"/>
  <c r="I441" i="2" s="1"/>
  <c r="AC40" i="3"/>
  <c r="AD40" i="3" s="1"/>
  <c r="R262" i="2"/>
  <c r="C267" i="2"/>
  <c r="H267" i="2"/>
  <c r="I267" i="2" s="1"/>
  <c r="C396" i="2"/>
  <c r="N396" i="2"/>
  <c r="O396" i="2" s="1"/>
  <c r="N197" i="1"/>
  <c r="O197" i="1" s="1"/>
  <c r="N209" i="1"/>
  <c r="O209" i="1" s="1"/>
  <c r="N218" i="1"/>
  <c r="O218" i="1" s="1"/>
  <c r="N262" i="1"/>
  <c r="O262" i="1" s="1"/>
  <c r="N273" i="1"/>
  <c r="O273" i="1" s="1"/>
  <c r="AC325" i="1"/>
  <c r="AD325" i="1" s="1"/>
  <c r="N342" i="1"/>
  <c r="O342" i="1" s="1"/>
  <c r="N344" i="1"/>
  <c r="O344" i="1" s="1"/>
  <c r="N368" i="1"/>
  <c r="O368" i="1" s="1"/>
  <c r="N393" i="1"/>
  <c r="O393" i="1" s="1"/>
  <c r="N396" i="1"/>
  <c r="O396" i="1" s="1"/>
  <c r="N403" i="1"/>
  <c r="O403" i="1" s="1"/>
  <c r="AC428" i="1"/>
  <c r="AD428" i="1" s="1"/>
  <c r="N442" i="1"/>
  <c r="O442" i="1" s="1"/>
  <c r="AC40" i="2"/>
  <c r="AD40" i="2" s="1"/>
  <c r="AC61" i="2"/>
  <c r="AD61" i="2" s="1"/>
  <c r="AC88" i="2"/>
  <c r="AD88" i="2" s="1"/>
  <c r="C166" i="2"/>
  <c r="H166" i="2"/>
  <c r="I166" i="2" s="1"/>
  <c r="AA182" i="2"/>
  <c r="F197" i="2"/>
  <c r="R209" i="2"/>
  <c r="AC227" i="2"/>
  <c r="AD227" i="2" s="1"/>
  <c r="U325" i="2"/>
  <c r="AC403" i="2"/>
  <c r="AD403" i="2" s="1"/>
  <c r="H429" i="2"/>
  <c r="I429" i="2" s="1"/>
  <c r="H442" i="2"/>
  <c r="I442" i="2" s="1"/>
  <c r="F442" i="2"/>
  <c r="H18" i="3"/>
  <c r="I18" i="3" s="1"/>
  <c r="F18" i="3"/>
  <c r="L29" i="3"/>
  <c r="R170" i="2"/>
  <c r="W170" i="2"/>
  <c r="X170" i="2" s="1"/>
  <c r="C227" i="2"/>
  <c r="H227" i="2"/>
  <c r="I227" i="2" s="1"/>
  <c r="AC343" i="2"/>
  <c r="AD343" i="2" s="1"/>
  <c r="L403" i="2"/>
  <c r="N441" i="2"/>
  <c r="O441" i="2" s="1"/>
  <c r="R29" i="3"/>
  <c r="W29" i="3"/>
  <c r="X29" i="3" s="1"/>
  <c r="AC29" i="3"/>
  <c r="AD29" i="3" s="1"/>
  <c r="K172" i="2"/>
  <c r="C158" i="2"/>
  <c r="H158" i="2"/>
  <c r="I158" i="2" s="1"/>
  <c r="H236" i="2"/>
  <c r="I236" i="2" s="1"/>
  <c r="R236" i="2"/>
  <c r="W236" i="2"/>
  <c r="X236" i="2" s="1"/>
  <c r="N284" i="2"/>
  <c r="O284" i="2" s="1"/>
  <c r="AC284" i="2"/>
  <c r="AD284" i="2" s="1"/>
  <c r="W342" i="2"/>
  <c r="X342" i="2" s="1"/>
  <c r="C343" i="2"/>
  <c r="H343" i="2"/>
  <c r="I343" i="2" s="1"/>
  <c r="W368" i="2"/>
  <c r="X368" i="2" s="1"/>
  <c r="H396" i="2"/>
  <c r="I396" i="2" s="1"/>
  <c r="X433" i="2"/>
  <c r="X440" i="2"/>
  <c r="X435" i="2"/>
  <c r="X421" i="2"/>
  <c r="X390" i="2"/>
  <c r="X386" i="2"/>
  <c r="X381" i="2"/>
  <c r="X377" i="2"/>
  <c r="X373" i="2"/>
  <c r="X369" i="2"/>
  <c r="X366" i="2"/>
  <c r="X362" i="2"/>
  <c r="X354" i="2"/>
  <c r="X350" i="2"/>
  <c r="X340" i="2"/>
  <c r="X335" i="2"/>
  <c r="X331" i="2"/>
  <c r="X323" i="2"/>
  <c r="X319" i="2"/>
  <c r="X315" i="2"/>
  <c r="X311" i="2"/>
  <c r="X307" i="2"/>
  <c r="X303" i="2"/>
  <c r="X299" i="2"/>
  <c r="X291" i="2"/>
  <c r="X287" i="2"/>
  <c r="X283" i="2"/>
  <c r="X279" i="2"/>
  <c r="X275" i="2"/>
  <c r="X271" i="2"/>
  <c r="X260" i="2"/>
  <c r="X256" i="2"/>
  <c r="X252" i="2"/>
  <c r="X248" i="2"/>
  <c r="X244" i="2"/>
  <c r="X240" i="2"/>
  <c r="X235" i="2"/>
  <c r="X231" i="2"/>
  <c r="X223" i="2"/>
  <c r="X219" i="2"/>
  <c r="X216" i="2"/>
  <c r="X211" i="2"/>
  <c r="X207" i="2"/>
  <c r="X203" i="2"/>
  <c r="X189" i="2"/>
  <c r="X184" i="2"/>
  <c r="X181" i="2"/>
  <c r="X177" i="2"/>
  <c r="X426" i="2"/>
  <c r="X419" i="2"/>
  <c r="X409" i="2"/>
  <c r="X413" i="2"/>
  <c r="L18" i="3"/>
  <c r="R40" i="3"/>
  <c r="W40" i="3"/>
  <c r="X40" i="3" s="1"/>
  <c r="AD386" i="2"/>
  <c r="H393" i="2"/>
  <c r="I393" i="2" s="1"/>
  <c r="C403" i="2"/>
  <c r="H403" i="2"/>
  <c r="I403" i="2" s="1"/>
  <c r="AD421" i="2"/>
  <c r="AD423" i="2"/>
  <c r="W428" i="2"/>
  <c r="X428" i="2" s="1"/>
  <c r="H62" i="3"/>
  <c r="I62" i="3" s="1"/>
  <c r="W124" i="3"/>
  <c r="X124" i="3" s="1"/>
  <c r="Q172" i="3"/>
  <c r="AC124" i="3"/>
  <c r="AD124" i="3" s="1"/>
  <c r="R124" i="3"/>
  <c r="E172" i="3"/>
  <c r="W88" i="3"/>
  <c r="X88" i="3" s="1"/>
  <c r="U88" i="3"/>
  <c r="H149" i="3"/>
  <c r="I149" i="3" s="1"/>
  <c r="N149" i="3"/>
  <c r="O149" i="3" s="1"/>
  <c r="AA218" i="3"/>
  <c r="AC218" i="3"/>
  <c r="AD218" i="3" s="1"/>
  <c r="H262" i="3"/>
  <c r="I262" i="3" s="1"/>
  <c r="F262" i="3"/>
  <c r="L273" i="3"/>
  <c r="N273" i="3"/>
  <c r="O273" i="3" s="1"/>
  <c r="H141" i="3"/>
  <c r="I141" i="3" s="1"/>
  <c r="N141" i="3"/>
  <c r="O141" i="3" s="1"/>
  <c r="AC158" i="3"/>
  <c r="AD158" i="3" s="1"/>
  <c r="AA158" i="3"/>
  <c r="H196" i="3"/>
  <c r="I196" i="3" s="1"/>
  <c r="C196" i="3"/>
  <c r="AC263" i="3"/>
  <c r="AD263" i="3" s="1"/>
  <c r="AA263" i="3"/>
  <c r="AA73" i="3"/>
  <c r="C141" i="3"/>
  <c r="U171" i="3"/>
  <c r="L209" i="3"/>
  <c r="F263" i="3"/>
  <c r="H263" i="3"/>
  <c r="I263" i="3" s="1"/>
  <c r="W267" i="3"/>
  <c r="X267" i="3" s="1"/>
  <c r="U61" i="3"/>
  <c r="N118" i="3"/>
  <c r="O118" i="3" s="1"/>
  <c r="C118" i="3"/>
  <c r="AA124" i="3"/>
  <c r="AD417" i="2"/>
  <c r="AC429" i="2"/>
  <c r="AD429" i="2" s="1"/>
  <c r="X438" i="2"/>
  <c r="AC442" i="2"/>
  <c r="AD442" i="2" s="1"/>
  <c r="L88" i="3"/>
  <c r="H170" i="3"/>
  <c r="I170" i="3" s="1"/>
  <c r="F170" i="3"/>
  <c r="N171" i="3"/>
  <c r="O171" i="3" s="1"/>
  <c r="H171" i="3"/>
  <c r="I171" i="3" s="1"/>
  <c r="AD391" i="2"/>
  <c r="AD397" i="2"/>
  <c r="X423" i="2"/>
  <c r="AD436" i="2"/>
  <c r="AC18" i="3"/>
  <c r="AD18" i="3" s="1"/>
  <c r="W18" i="3"/>
  <c r="X18" i="3" s="1"/>
  <c r="W62" i="3"/>
  <c r="X62" i="3" s="1"/>
  <c r="AC62" i="3"/>
  <c r="AD62" i="3" s="1"/>
  <c r="AC118" i="3"/>
  <c r="AD118" i="3" s="1"/>
  <c r="AA118" i="3"/>
  <c r="L172" i="3"/>
  <c r="K198" i="3"/>
  <c r="W148" i="3"/>
  <c r="X148" i="3" s="1"/>
  <c r="U148" i="3"/>
  <c r="W149" i="3"/>
  <c r="X149" i="3" s="1"/>
  <c r="AC149" i="3"/>
  <c r="AD149" i="3" s="1"/>
  <c r="R182" i="3"/>
  <c r="W182" i="3"/>
  <c r="X182" i="3" s="1"/>
  <c r="N196" i="3"/>
  <c r="O196" i="3" s="1"/>
  <c r="Z198" i="3"/>
  <c r="L170" i="3"/>
  <c r="N170" i="3"/>
  <c r="O170" i="3" s="1"/>
  <c r="R236" i="3"/>
  <c r="W236" i="3"/>
  <c r="X236" i="3" s="1"/>
  <c r="N295" i="3"/>
  <c r="O295" i="3" s="1"/>
  <c r="H358" i="3"/>
  <c r="I358" i="3" s="1"/>
  <c r="N358" i="3"/>
  <c r="O358" i="3" s="1"/>
  <c r="W368" i="3"/>
  <c r="X368" i="3" s="1"/>
  <c r="AC368" i="3"/>
  <c r="AD368" i="3" s="1"/>
  <c r="W393" i="3"/>
  <c r="X393" i="3" s="1"/>
  <c r="AC393" i="3"/>
  <c r="AD393" i="3" s="1"/>
  <c r="W396" i="3"/>
  <c r="X396" i="3" s="1"/>
  <c r="AC396" i="3"/>
  <c r="AD396" i="3" s="1"/>
  <c r="W403" i="3"/>
  <c r="X403" i="3" s="1"/>
  <c r="AC403" i="3"/>
  <c r="AD403" i="3" s="1"/>
  <c r="AD426" i="2"/>
  <c r="N62" i="3"/>
  <c r="O62" i="3" s="1"/>
  <c r="W118" i="3"/>
  <c r="X118" i="3" s="1"/>
  <c r="N122" i="3"/>
  <c r="O122" i="3" s="1"/>
  <c r="H158" i="3"/>
  <c r="I158" i="3" s="1"/>
  <c r="B172" i="3"/>
  <c r="T172" i="3"/>
  <c r="AC193" i="3"/>
  <c r="AD193" i="3" s="1"/>
  <c r="C209" i="3"/>
  <c r="H209" i="3"/>
  <c r="I209" i="3" s="1"/>
  <c r="R227" i="3"/>
  <c r="W227" i="3"/>
  <c r="X227" i="3" s="1"/>
  <c r="F284" i="3"/>
  <c r="AA284" i="3"/>
  <c r="AA324" i="3"/>
  <c r="R325" i="3"/>
  <c r="W325" i="3"/>
  <c r="X325" i="3" s="1"/>
  <c r="C358" i="3"/>
  <c r="R368" i="3"/>
  <c r="R393" i="3"/>
  <c r="R396" i="3"/>
  <c r="R403" i="3"/>
  <c r="AD434" i="2"/>
  <c r="R118" i="3"/>
  <c r="AA262" i="3"/>
  <c r="AC262" i="3"/>
  <c r="AD262" i="3" s="1"/>
  <c r="L284" i="3"/>
  <c r="N284" i="3"/>
  <c r="O284" i="3" s="1"/>
  <c r="W344" i="3"/>
  <c r="X344" i="3" s="1"/>
  <c r="AC344" i="3"/>
  <c r="AD344" i="3" s="1"/>
  <c r="R344" i="3"/>
  <c r="C368" i="3"/>
  <c r="H368" i="3"/>
  <c r="I368" i="3" s="1"/>
  <c r="C393" i="3"/>
  <c r="H393" i="3"/>
  <c r="I393" i="3" s="1"/>
  <c r="C396" i="3"/>
  <c r="H396" i="3"/>
  <c r="I396" i="3" s="1"/>
  <c r="N396" i="3"/>
  <c r="O396" i="3" s="1"/>
  <c r="C403" i="3"/>
  <c r="H403" i="3"/>
  <c r="I403" i="3" s="1"/>
  <c r="N403" i="3"/>
  <c r="O403" i="3" s="1"/>
  <c r="C343" i="3"/>
  <c r="H343" i="3"/>
  <c r="I343" i="3" s="1"/>
  <c r="H73" i="3"/>
  <c r="I73" i="3" s="1"/>
  <c r="AC88" i="3"/>
  <c r="AD88" i="3" s="1"/>
  <c r="N182" i="3"/>
  <c r="O182" i="3" s="1"/>
  <c r="R209" i="3"/>
  <c r="W209" i="3"/>
  <c r="X209" i="3" s="1"/>
  <c r="N236" i="3"/>
  <c r="O236" i="3" s="1"/>
  <c r="C273" i="3"/>
  <c r="H273" i="3"/>
  <c r="I273" i="3" s="1"/>
  <c r="R196" i="3"/>
  <c r="W196" i="3"/>
  <c r="X196" i="3" s="1"/>
  <c r="R267" i="3"/>
  <c r="AC267" i="3"/>
  <c r="AD267" i="3" s="1"/>
  <c r="C344" i="3"/>
  <c r="H344" i="3"/>
  <c r="I344" i="3" s="1"/>
  <c r="N344" i="3"/>
  <c r="O344" i="3" s="1"/>
  <c r="N368" i="3"/>
  <c r="O368" i="3" s="1"/>
  <c r="N393" i="3"/>
  <c r="O393" i="3" s="1"/>
  <c r="I183" i="3"/>
  <c r="I220" i="3"/>
  <c r="I238" i="3"/>
  <c r="I252" i="3"/>
  <c r="I255" i="3"/>
  <c r="I258" i="3"/>
  <c r="I277" i="3"/>
  <c r="I289" i="3"/>
  <c r="I302" i="3"/>
  <c r="I309" i="3"/>
  <c r="I318" i="3"/>
  <c r="H324" i="3"/>
  <c r="I324" i="3" s="1"/>
  <c r="I330" i="3"/>
  <c r="I338" i="3"/>
  <c r="I347" i="3"/>
  <c r="I357" i="3"/>
  <c r="I361" i="3"/>
  <c r="I375" i="3"/>
  <c r="I385" i="3"/>
  <c r="I400" i="3"/>
  <c r="I407" i="3"/>
  <c r="I416" i="3"/>
  <c r="I423" i="3"/>
  <c r="AC428" i="3"/>
  <c r="AD428" i="3" s="1"/>
  <c r="AD438" i="3"/>
  <c r="AD434" i="3"/>
  <c r="W18" i="4"/>
  <c r="X18" i="4" s="1"/>
  <c r="H88" i="4"/>
  <c r="I88" i="4" s="1"/>
  <c r="N88" i="4"/>
  <c r="O88" i="4" s="1"/>
  <c r="N118" i="4"/>
  <c r="O118" i="4" s="1"/>
  <c r="I270" i="3"/>
  <c r="I282" i="3"/>
  <c r="I291" i="3"/>
  <c r="I304" i="3"/>
  <c r="I311" i="3"/>
  <c r="I320" i="3"/>
  <c r="I332" i="3"/>
  <c r="I340" i="3"/>
  <c r="I350" i="3"/>
  <c r="I363" i="3"/>
  <c r="I370" i="3"/>
  <c r="I377" i="3"/>
  <c r="I388" i="3"/>
  <c r="I395" i="3"/>
  <c r="I402" i="3"/>
  <c r="I409" i="3"/>
  <c r="I418" i="3"/>
  <c r="I425" i="3"/>
  <c r="H429" i="3"/>
  <c r="I429" i="3" s="1"/>
  <c r="N441" i="3"/>
  <c r="O441" i="3" s="1"/>
  <c r="N442" i="3"/>
  <c r="O442" i="3" s="1"/>
  <c r="N29" i="4"/>
  <c r="O29" i="4" s="1"/>
  <c r="W61" i="4"/>
  <c r="X61" i="4" s="1"/>
  <c r="C61" i="4"/>
  <c r="H61" i="4"/>
  <c r="I61" i="4" s="1"/>
  <c r="E172" i="4"/>
  <c r="F124" i="4"/>
  <c r="AC209" i="4"/>
  <c r="AD209" i="4" s="1"/>
  <c r="AA209" i="4"/>
  <c r="C441" i="3"/>
  <c r="R442" i="3"/>
  <c r="C29" i="4"/>
  <c r="AC88" i="4"/>
  <c r="AD88" i="4" s="1"/>
  <c r="H124" i="4"/>
  <c r="I124" i="4" s="1"/>
  <c r="F141" i="4"/>
  <c r="W263" i="4"/>
  <c r="X263" i="4" s="1"/>
  <c r="U263" i="4"/>
  <c r="W118" i="4"/>
  <c r="X118" i="4" s="1"/>
  <c r="W166" i="4"/>
  <c r="X166" i="4" s="1"/>
  <c r="U166" i="4"/>
  <c r="W428" i="3"/>
  <c r="X428" i="3" s="1"/>
  <c r="H442" i="3"/>
  <c r="I442" i="3" s="1"/>
  <c r="I437" i="3"/>
  <c r="I433" i="3"/>
  <c r="W73" i="4"/>
  <c r="X73" i="4" s="1"/>
  <c r="AC73" i="4"/>
  <c r="AD73" i="4" s="1"/>
  <c r="L172" i="4"/>
  <c r="K198" i="4"/>
  <c r="AA124" i="4"/>
  <c r="Z172" i="4"/>
  <c r="W158" i="4"/>
  <c r="X158" i="4" s="1"/>
  <c r="AC141" i="3"/>
  <c r="AD141" i="3" s="1"/>
  <c r="N148" i="3"/>
  <c r="O148" i="3" s="1"/>
  <c r="I230" i="3"/>
  <c r="I243" i="3"/>
  <c r="I271" i="3"/>
  <c r="I275" i="3"/>
  <c r="I283" i="3"/>
  <c r="I294" i="3"/>
  <c r="I298" i="3"/>
  <c r="I314" i="3"/>
  <c r="I353" i="3"/>
  <c r="I380" i="3"/>
  <c r="I412" i="3"/>
  <c r="H428" i="3"/>
  <c r="I428" i="3" s="1"/>
  <c r="N429" i="3"/>
  <c r="O429" i="3" s="1"/>
  <c r="W441" i="3"/>
  <c r="X441" i="3" s="1"/>
  <c r="C18" i="4"/>
  <c r="W29" i="4"/>
  <c r="X29" i="4" s="1"/>
  <c r="N40" i="4"/>
  <c r="O40" i="4" s="1"/>
  <c r="C40" i="4"/>
  <c r="AA61" i="4"/>
  <c r="AC62" i="4"/>
  <c r="AD62" i="4" s="1"/>
  <c r="R73" i="4"/>
  <c r="N122" i="4"/>
  <c r="O122" i="4" s="1"/>
  <c r="C122" i="4"/>
  <c r="U122" i="4"/>
  <c r="L124" i="4"/>
  <c r="R141" i="4"/>
  <c r="U149" i="4"/>
  <c r="I206" i="3"/>
  <c r="N262" i="3"/>
  <c r="O262" i="3" s="1"/>
  <c r="I266" i="3"/>
  <c r="I287" i="3"/>
  <c r="I307" i="3"/>
  <c r="I323" i="3"/>
  <c r="I335" i="3"/>
  <c r="R342" i="3"/>
  <c r="W343" i="3"/>
  <c r="X343" i="3" s="1"/>
  <c r="I366" i="3"/>
  <c r="I373" i="3"/>
  <c r="I391" i="3"/>
  <c r="I421" i="3"/>
  <c r="I440" i="3"/>
  <c r="AC442" i="3"/>
  <c r="AD442" i="3" s="1"/>
  <c r="W40" i="4"/>
  <c r="X40" i="4" s="1"/>
  <c r="N61" i="4"/>
  <c r="O61" i="4" s="1"/>
  <c r="W88" i="4"/>
  <c r="X88" i="4" s="1"/>
  <c r="AC118" i="4"/>
  <c r="AD118" i="4" s="1"/>
  <c r="AC124" i="4"/>
  <c r="AD124" i="4" s="1"/>
  <c r="H148" i="4"/>
  <c r="I148" i="4" s="1"/>
  <c r="R148" i="4"/>
  <c r="C358" i="7"/>
  <c r="H358" i="7"/>
  <c r="I358" i="7" s="1"/>
  <c r="N358" i="7"/>
  <c r="O358" i="7" s="1"/>
  <c r="H118" i="4"/>
  <c r="I118" i="4" s="1"/>
  <c r="T172" i="4"/>
  <c r="N170" i="4"/>
  <c r="O170" i="4" s="1"/>
  <c r="H197" i="4"/>
  <c r="I197" i="4" s="1"/>
  <c r="AC273" i="4"/>
  <c r="AD273" i="4" s="1"/>
  <c r="N342" i="4"/>
  <c r="O342" i="4" s="1"/>
  <c r="AC342" i="4"/>
  <c r="AD342" i="4" s="1"/>
  <c r="N368" i="4"/>
  <c r="O368" i="4" s="1"/>
  <c r="AD397" i="4"/>
  <c r="AD434" i="4"/>
  <c r="N172" i="5"/>
  <c r="O172" i="5" s="1"/>
  <c r="H236" i="5"/>
  <c r="I236" i="5" s="1"/>
  <c r="N236" i="5"/>
  <c r="O236" i="5" s="1"/>
  <c r="C236" i="5"/>
  <c r="H172" i="4"/>
  <c r="I172" i="4" s="1"/>
  <c r="B198" i="4"/>
  <c r="N324" i="4"/>
  <c r="O324" i="4" s="1"/>
  <c r="R171" i="4"/>
  <c r="C172" i="4"/>
  <c r="N182" i="4"/>
  <c r="O182" i="4" s="1"/>
  <c r="U193" i="4"/>
  <c r="C218" i="4"/>
  <c r="R218" i="4"/>
  <c r="N236" i="4"/>
  <c r="O236" i="4" s="1"/>
  <c r="H273" i="4"/>
  <c r="I273" i="4" s="1"/>
  <c r="W325" i="4"/>
  <c r="X325" i="4" s="1"/>
  <c r="C344" i="4"/>
  <c r="R344" i="4"/>
  <c r="R358" i="4"/>
  <c r="C273" i="4"/>
  <c r="R273" i="4"/>
  <c r="R325" i="4"/>
  <c r="C342" i="4"/>
  <c r="C368" i="4"/>
  <c r="L393" i="4"/>
  <c r="N122" i="5"/>
  <c r="O122" i="5" s="1"/>
  <c r="L122" i="5"/>
  <c r="K172" i="5"/>
  <c r="L124" i="5"/>
  <c r="F171" i="4"/>
  <c r="U343" i="4"/>
  <c r="W172" i="5"/>
  <c r="X172" i="5" s="1"/>
  <c r="AC295" i="3"/>
  <c r="AD295" i="3" s="1"/>
  <c r="N325" i="3"/>
  <c r="O325" i="3" s="1"/>
  <c r="AC343" i="3"/>
  <c r="AD343" i="3" s="1"/>
  <c r="AC358" i="3"/>
  <c r="AD358" i="3" s="1"/>
  <c r="N428" i="3"/>
  <c r="O428" i="3" s="1"/>
  <c r="N62" i="4"/>
  <c r="O62" i="4" s="1"/>
  <c r="N124" i="4"/>
  <c r="O124" i="4" s="1"/>
  <c r="C182" i="4"/>
  <c r="AA197" i="4"/>
  <c r="C236" i="4"/>
  <c r="L284" i="4"/>
  <c r="F325" i="4"/>
  <c r="F358" i="4"/>
  <c r="H61" i="5"/>
  <c r="I61" i="5" s="1"/>
  <c r="N61" i="5"/>
  <c r="O61" i="5" s="1"/>
  <c r="C61" i="5"/>
  <c r="H148" i="5"/>
  <c r="I148" i="5" s="1"/>
  <c r="N148" i="5"/>
  <c r="O148" i="5" s="1"/>
  <c r="C148" i="5"/>
  <c r="N170" i="5"/>
  <c r="O170" i="5" s="1"/>
  <c r="L170" i="5"/>
  <c r="Q172" i="4"/>
  <c r="N172" i="4"/>
  <c r="O172" i="4" s="1"/>
  <c r="AC358" i="4"/>
  <c r="AD358" i="4" s="1"/>
  <c r="AC393" i="4"/>
  <c r="AD393" i="4" s="1"/>
  <c r="AD438" i="4"/>
  <c r="AD422" i="4"/>
  <c r="AD414" i="4"/>
  <c r="AD399" i="4"/>
  <c r="AD383" i="4"/>
  <c r="AD375" i="4"/>
  <c r="AD360" i="4"/>
  <c r="AD436" i="4"/>
  <c r="AD420" i="4"/>
  <c r="AD412" i="4"/>
  <c r="AD439" i="4"/>
  <c r="AD423" i="4"/>
  <c r="AD415" i="4"/>
  <c r="AD407" i="4"/>
  <c r="AD437" i="4"/>
  <c r="AD421" i="4"/>
  <c r="AD413" i="4"/>
  <c r="AD440" i="4"/>
  <c r="AD432" i="4"/>
  <c r="AD424" i="4"/>
  <c r="AD416" i="4"/>
  <c r="AD408" i="4"/>
  <c r="AC428" i="4"/>
  <c r="AD428" i="4" s="1"/>
  <c r="AC73" i="5"/>
  <c r="AD73" i="5" s="1"/>
  <c r="F172" i="5"/>
  <c r="AC197" i="5"/>
  <c r="AD197" i="5" s="1"/>
  <c r="AC209" i="5"/>
  <c r="AD209" i="5" s="1"/>
  <c r="H218" i="5"/>
  <c r="I218" i="5" s="1"/>
  <c r="AC218" i="5"/>
  <c r="AD218" i="5" s="1"/>
  <c r="C342" i="5"/>
  <c r="N342" i="5"/>
  <c r="O342" i="5" s="1"/>
  <c r="H342" i="5"/>
  <c r="I342" i="5" s="1"/>
  <c r="AA345" i="5"/>
  <c r="C428" i="4"/>
  <c r="N62" i="5"/>
  <c r="O62" i="5" s="1"/>
  <c r="N118" i="5"/>
  <c r="O118" i="5" s="1"/>
  <c r="N124" i="5"/>
  <c r="O124" i="5" s="1"/>
  <c r="N149" i="5"/>
  <c r="O149" i="5" s="1"/>
  <c r="N158" i="5"/>
  <c r="O158" i="5" s="1"/>
  <c r="N166" i="5"/>
  <c r="O166" i="5" s="1"/>
  <c r="N343" i="5"/>
  <c r="O343" i="5" s="1"/>
  <c r="H343" i="5"/>
  <c r="I343" i="5" s="1"/>
  <c r="C343" i="5"/>
  <c r="AA393" i="5"/>
  <c r="AC393" i="5"/>
  <c r="AD393" i="5" s="1"/>
  <c r="AA403" i="5"/>
  <c r="AC403" i="5"/>
  <c r="AD403" i="5" s="1"/>
  <c r="R428" i="4"/>
  <c r="N429" i="4"/>
  <c r="O429" i="4" s="1"/>
  <c r="AA40" i="5"/>
  <c r="R73" i="5"/>
  <c r="AA88" i="5"/>
  <c r="AC172" i="5"/>
  <c r="AD172" i="5" s="1"/>
  <c r="Q198" i="5"/>
  <c r="N182" i="5"/>
  <c r="O182" i="5" s="1"/>
  <c r="U196" i="5"/>
  <c r="R197" i="5"/>
  <c r="R209" i="5"/>
  <c r="R218" i="5"/>
  <c r="AC284" i="5"/>
  <c r="AD284" i="5" s="1"/>
  <c r="W284" i="5"/>
  <c r="X284" i="5" s="1"/>
  <c r="R284" i="5"/>
  <c r="N62" i="6"/>
  <c r="O62" i="6" s="1"/>
  <c r="L62" i="6"/>
  <c r="R73" i="6"/>
  <c r="AC73" i="6"/>
  <c r="AD73" i="6" s="1"/>
  <c r="W73" i="6"/>
  <c r="X73" i="6" s="1"/>
  <c r="H148" i="6"/>
  <c r="I148" i="6" s="1"/>
  <c r="F148" i="6"/>
  <c r="N172" i="6"/>
  <c r="O172" i="6" s="1"/>
  <c r="B198" i="6"/>
  <c r="C172" i="6"/>
  <c r="R441" i="4"/>
  <c r="F73" i="5"/>
  <c r="C122" i="5"/>
  <c r="AC122" i="5"/>
  <c r="AD122" i="5" s="1"/>
  <c r="E404" i="5"/>
  <c r="F345" i="5"/>
  <c r="C170" i="5"/>
  <c r="AC170" i="5"/>
  <c r="AD170" i="5" s="1"/>
  <c r="F198" i="5"/>
  <c r="H262" i="5"/>
  <c r="I262" i="5" s="1"/>
  <c r="C262" i="5"/>
  <c r="F325" i="5"/>
  <c r="H325" i="5"/>
  <c r="I325" i="5" s="1"/>
  <c r="N149" i="4"/>
  <c r="O149" i="4" s="1"/>
  <c r="N158" i="4"/>
  <c r="O158" i="4" s="1"/>
  <c r="N166" i="4"/>
  <c r="O166" i="4" s="1"/>
  <c r="AC170" i="4"/>
  <c r="AD170" i="4" s="1"/>
  <c r="AC182" i="4"/>
  <c r="AD182" i="4" s="1"/>
  <c r="N193" i="4"/>
  <c r="O193" i="4" s="1"/>
  <c r="N196" i="4"/>
  <c r="O196" i="4" s="1"/>
  <c r="N227" i="4"/>
  <c r="O227" i="4" s="1"/>
  <c r="AC236" i="4"/>
  <c r="AD236" i="4" s="1"/>
  <c r="N263" i="4"/>
  <c r="O263" i="4" s="1"/>
  <c r="N267" i="4"/>
  <c r="O267" i="4" s="1"/>
  <c r="AC284" i="4"/>
  <c r="AD284" i="4" s="1"/>
  <c r="N295" i="4"/>
  <c r="O295" i="4" s="1"/>
  <c r="AC324" i="4"/>
  <c r="AD324" i="4" s="1"/>
  <c r="N343" i="4"/>
  <c r="O343" i="4" s="1"/>
  <c r="F441" i="4"/>
  <c r="C442" i="4"/>
  <c r="AC442" i="4"/>
  <c r="AD442" i="4" s="1"/>
  <c r="C40" i="5"/>
  <c r="C88" i="5"/>
  <c r="T172" i="5"/>
  <c r="C182" i="5"/>
  <c r="AC182" i="5"/>
  <c r="AD182" i="5" s="1"/>
  <c r="W263" i="5"/>
  <c r="X263" i="5" s="1"/>
  <c r="AA344" i="5"/>
  <c r="AC344" i="5"/>
  <c r="AD344" i="5" s="1"/>
  <c r="I375" i="4"/>
  <c r="I383" i="4"/>
  <c r="N396" i="4"/>
  <c r="O396" i="4" s="1"/>
  <c r="I399" i="4"/>
  <c r="N403" i="4"/>
  <c r="O403" i="4" s="1"/>
  <c r="I414" i="4"/>
  <c r="I422" i="4"/>
  <c r="N18" i="5"/>
  <c r="O18" i="5" s="1"/>
  <c r="W29" i="5"/>
  <c r="X29" i="5" s="1"/>
  <c r="R40" i="5"/>
  <c r="U62" i="5"/>
  <c r="R88" i="5"/>
  <c r="U118" i="5"/>
  <c r="U124" i="5"/>
  <c r="W141" i="5"/>
  <c r="X141" i="5" s="1"/>
  <c r="U149" i="5"/>
  <c r="W171" i="5"/>
  <c r="X171" i="5" s="1"/>
  <c r="C295" i="5"/>
  <c r="N295" i="5"/>
  <c r="O295" i="5" s="1"/>
  <c r="H295" i="5"/>
  <c r="I295" i="5" s="1"/>
  <c r="R325" i="5"/>
  <c r="AC325" i="5"/>
  <c r="AD325" i="5" s="1"/>
  <c r="W325" i="5"/>
  <c r="X325" i="5" s="1"/>
  <c r="W342" i="5"/>
  <c r="X342" i="5" s="1"/>
  <c r="R342" i="5"/>
  <c r="AA404" i="5"/>
  <c r="W124" i="5"/>
  <c r="X124" i="5" s="1"/>
  <c r="R141" i="5"/>
  <c r="R171" i="5"/>
  <c r="B198" i="5"/>
  <c r="H172" i="5"/>
  <c r="I172" i="5" s="1"/>
  <c r="R172" i="5"/>
  <c r="N196" i="5"/>
  <c r="O196" i="5" s="1"/>
  <c r="AA198" i="5"/>
  <c r="H284" i="5"/>
  <c r="I284" i="5" s="1"/>
  <c r="C284" i="5"/>
  <c r="AC124" i="5"/>
  <c r="AD124" i="5" s="1"/>
  <c r="AD280" i="5"/>
  <c r="AD287" i="5"/>
  <c r="W324" i="5"/>
  <c r="X324" i="5" s="1"/>
  <c r="AD331" i="5"/>
  <c r="AD340" i="5"/>
  <c r="AC343" i="5"/>
  <c r="AD343" i="5" s="1"/>
  <c r="W344" i="5"/>
  <c r="X344" i="5" s="1"/>
  <c r="AD354" i="5"/>
  <c r="N358" i="5"/>
  <c r="O358" i="5" s="1"/>
  <c r="W393" i="5"/>
  <c r="X393" i="5" s="1"/>
  <c r="AC396" i="5"/>
  <c r="AD396" i="5" s="1"/>
  <c r="W403" i="5"/>
  <c r="X403" i="5" s="1"/>
  <c r="I413" i="5"/>
  <c r="AD413" i="5"/>
  <c r="AD421" i="5"/>
  <c r="AD426" i="5"/>
  <c r="AD434" i="5"/>
  <c r="H61" i="6"/>
  <c r="I61" i="6" s="1"/>
  <c r="U158" i="6"/>
  <c r="W158" i="6"/>
  <c r="X158" i="6" s="1"/>
  <c r="N273" i="5"/>
  <c r="O273" i="5" s="1"/>
  <c r="AC273" i="5"/>
  <c r="AD273" i="5" s="1"/>
  <c r="N368" i="5"/>
  <c r="O368" i="5" s="1"/>
  <c r="N396" i="5"/>
  <c r="O396" i="5" s="1"/>
  <c r="H428" i="5"/>
  <c r="I428" i="5" s="1"/>
  <c r="N40" i="6"/>
  <c r="O40" i="6" s="1"/>
  <c r="C40" i="6"/>
  <c r="N193" i="6"/>
  <c r="O193" i="6" s="1"/>
  <c r="H193" i="6"/>
  <c r="I193" i="6" s="1"/>
  <c r="C193" i="6"/>
  <c r="F344" i="5"/>
  <c r="AC358" i="5"/>
  <c r="AD358" i="5" s="1"/>
  <c r="W368" i="5"/>
  <c r="X368" i="5" s="1"/>
  <c r="F393" i="5"/>
  <c r="AC441" i="5"/>
  <c r="AD441" i="5" s="1"/>
  <c r="W442" i="5"/>
  <c r="X442" i="5" s="1"/>
  <c r="W29" i="6"/>
  <c r="X29" i="6" s="1"/>
  <c r="N196" i="6"/>
  <c r="O196" i="6" s="1"/>
  <c r="H196" i="6"/>
  <c r="I196" i="6" s="1"/>
  <c r="C196" i="6"/>
  <c r="R273" i="5"/>
  <c r="W343" i="5"/>
  <c r="X343" i="5" s="1"/>
  <c r="R396" i="5"/>
  <c r="N428" i="5"/>
  <c r="O428" i="5" s="1"/>
  <c r="R429" i="5"/>
  <c r="AC429" i="5"/>
  <c r="AD429" i="5" s="1"/>
  <c r="H442" i="5"/>
  <c r="I442" i="5" s="1"/>
  <c r="N442" i="5"/>
  <c r="O442" i="5" s="1"/>
  <c r="R442" i="5"/>
  <c r="N18" i="6"/>
  <c r="O18" i="6" s="1"/>
  <c r="AC18" i="6"/>
  <c r="AD18" i="6" s="1"/>
  <c r="H118" i="6"/>
  <c r="I118" i="6" s="1"/>
  <c r="N118" i="6"/>
  <c r="O118" i="6" s="1"/>
  <c r="Z345" i="6"/>
  <c r="AA198" i="6"/>
  <c r="H182" i="6"/>
  <c r="I182" i="6" s="1"/>
  <c r="N182" i="6"/>
  <c r="O182" i="6" s="1"/>
  <c r="C182" i="6"/>
  <c r="H262" i="6"/>
  <c r="I262" i="6" s="1"/>
  <c r="C262" i="6"/>
  <c r="N262" i="6"/>
  <c r="O262" i="6" s="1"/>
  <c r="R61" i="6"/>
  <c r="W61" i="6"/>
  <c r="X61" i="6" s="1"/>
  <c r="W62" i="6"/>
  <c r="X62" i="6" s="1"/>
  <c r="L122" i="6"/>
  <c r="N122" i="6"/>
  <c r="O122" i="6" s="1"/>
  <c r="R428" i="5"/>
  <c r="W428" i="5"/>
  <c r="X428" i="5" s="1"/>
  <c r="F62" i="6"/>
  <c r="H62" i="6"/>
  <c r="I62" i="6" s="1"/>
  <c r="AD275" i="5"/>
  <c r="AD283" i="5"/>
  <c r="AD288" i="5"/>
  <c r="AC295" i="5"/>
  <c r="AD295" i="5" s="1"/>
  <c r="AD332" i="5"/>
  <c r="AD341" i="5"/>
  <c r="AD355" i="5"/>
  <c r="AD414" i="5"/>
  <c r="F429" i="5"/>
  <c r="H429" i="5"/>
  <c r="I429" i="5" s="1"/>
  <c r="N170" i="6"/>
  <c r="O170" i="6" s="1"/>
  <c r="AC170" i="6"/>
  <c r="AD170" i="6" s="1"/>
  <c r="AC342" i="6"/>
  <c r="AD342" i="6" s="1"/>
  <c r="W342" i="6"/>
  <c r="X342" i="6" s="1"/>
  <c r="R342" i="6"/>
  <c r="E172" i="6"/>
  <c r="H172" i="6" s="1"/>
  <c r="I172" i="6" s="1"/>
  <c r="H273" i="6"/>
  <c r="I273" i="6" s="1"/>
  <c r="N273" i="6"/>
  <c r="O273" i="6" s="1"/>
  <c r="C273" i="6"/>
  <c r="AC122" i="6"/>
  <c r="AD122" i="6" s="1"/>
  <c r="C124" i="6"/>
  <c r="T172" i="6"/>
  <c r="W172" i="6" s="1"/>
  <c r="X172" i="6" s="1"/>
  <c r="U124" i="6"/>
  <c r="U141" i="6"/>
  <c r="AC148" i="6"/>
  <c r="AD148" i="6" s="1"/>
  <c r="N149" i="6"/>
  <c r="O149" i="6" s="1"/>
  <c r="W166" i="6"/>
  <c r="X166" i="6" s="1"/>
  <c r="U171" i="6"/>
  <c r="AA172" i="6"/>
  <c r="L227" i="6"/>
  <c r="R236" i="6"/>
  <c r="AC172" i="6"/>
  <c r="AD172" i="6" s="1"/>
  <c r="R209" i="6"/>
  <c r="R218" i="6"/>
  <c r="C236" i="6"/>
  <c r="H141" i="6"/>
  <c r="I141" i="6" s="1"/>
  <c r="C170" i="6"/>
  <c r="H171" i="6"/>
  <c r="I171" i="6" s="1"/>
  <c r="AC62" i="6"/>
  <c r="AD62" i="6" s="1"/>
  <c r="W88" i="6"/>
  <c r="X88" i="6" s="1"/>
  <c r="H122" i="6"/>
  <c r="I122" i="6" s="1"/>
  <c r="W148" i="6"/>
  <c r="X148" i="6" s="1"/>
  <c r="L166" i="6"/>
  <c r="R197" i="6"/>
  <c r="W263" i="6"/>
  <c r="X263" i="6" s="1"/>
  <c r="U263" i="6"/>
  <c r="AC273" i="6"/>
  <c r="AD273" i="6" s="1"/>
  <c r="W273" i="6"/>
  <c r="X273" i="6" s="1"/>
  <c r="R273" i="6"/>
  <c r="H284" i="6"/>
  <c r="I284" i="6" s="1"/>
  <c r="C284" i="6"/>
  <c r="Q198" i="6"/>
  <c r="K198" i="6"/>
  <c r="H209" i="6"/>
  <c r="I209" i="6" s="1"/>
  <c r="H218" i="6"/>
  <c r="I218" i="6" s="1"/>
  <c r="W267" i="6"/>
  <c r="X267" i="6" s="1"/>
  <c r="U267" i="6"/>
  <c r="N325" i="6"/>
  <c r="O325" i="6" s="1"/>
  <c r="R358" i="6"/>
  <c r="AC358" i="6"/>
  <c r="AD358" i="6" s="1"/>
  <c r="W358" i="6"/>
  <c r="X358" i="6" s="1"/>
  <c r="AC368" i="6"/>
  <c r="AD368" i="6" s="1"/>
  <c r="H324" i="7"/>
  <c r="I324" i="7" s="1"/>
  <c r="F324" i="7"/>
  <c r="AC262" i="6"/>
  <c r="AD262" i="6" s="1"/>
  <c r="AC284" i="6"/>
  <c r="AD284" i="6" s="1"/>
  <c r="C342" i="6"/>
  <c r="N342" i="6"/>
  <c r="O342" i="6" s="1"/>
  <c r="R262" i="6"/>
  <c r="C325" i="6"/>
  <c r="W325" i="6"/>
  <c r="X325" i="6" s="1"/>
  <c r="F393" i="6"/>
  <c r="C324" i="6"/>
  <c r="R343" i="6"/>
  <c r="AC343" i="6"/>
  <c r="AD343" i="6" s="1"/>
  <c r="W343" i="6"/>
  <c r="X343" i="6" s="1"/>
  <c r="AC344" i="6"/>
  <c r="AD344" i="6" s="1"/>
  <c r="C358" i="6"/>
  <c r="H403" i="6"/>
  <c r="I403" i="6" s="1"/>
  <c r="F403" i="6"/>
  <c r="AC393" i="6"/>
  <c r="AD393" i="6" s="1"/>
  <c r="R393" i="6"/>
  <c r="AC118" i="6"/>
  <c r="AD118" i="6" s="1"/>
  <c r="AC124" i="6"/>
  <c r="AD124" i="6" s="1"/>
  <c r="N141" i="6"/>
  <c r="O141" i="6" s="1"/>
  <c r="AC149" i="6"/>
  <c r="AD149" i="6" s="1"/>
  <c r="AC158" i="6"/>
  <c r="AD158" i="6" s="1"/>
  <c r="AC166" i="6"/>
  <c r="AD166" i="6" s="1"/>
  <c r="N171" i="6"/>
  <c r="O171" i="6" s="1"/>
  <c r="AC193" i="6"/>
  <c r="AD193" i="6" s="1"/>
  <c r="AC196" i="6"/>
  <c r="AD196" i="6" s="1"/>
  <c r="AC227" i="6"/>
  <c r="AD227" i="6" s="1"/>
  <c r="AC263" i="6"/>
  <c r="AD263" i="6" s="1"/>
  <c r="AC267" i="6"/>
  <c r="AD267" i="6" s="1"/>
  <c r="U324" i="6"/>
  <c r="N343" i="6"/>
  <c r="O343" i="6" s="1"/>
  <c r="N344" i="6"/>
  <c r="O344" i="6" s="1"/>
  <c r="H358" i="6"/>
  <c r="I358" i="6" s="1"/>
  <c r="R368" i="6"/>
  <c r="C343" i="6"/>
  <c r="W403" i="6"/>
  <c r="X403" i="6" s="1"/>
  <c r="W429" i="6"/>
  <c r="X429" i="6" s="1"/>
  <c r="W88" i="7"/>
  <c r="X88" i="7" s="1"/>
  <c r="U88" i="7"/>
  <c r="AC325" i="6"/>
  <c r="AD325" i="6" s="1"/>
  <c r="H344" i="6"/>
  <c r="I344" i="6" s="1"/>
  <c r="X389" i="6"/>
  <c r="X419" i="6"/>
  <c r="N428" i="6"/>
  <c r="O428" i="6" s="1"/>
  <c r="C429" i="6"/>
  <c r="R429" i="6"/>
  <c r="H441" i="6"/>
  <c r="I441" i="6" s="1"/>
  <c r="W442" i="6"/>
  <c r="X442" i="6" s="1"/>
  <c r="N29" i="7"/>
  <c r="O29" i="7" s="1"/>
  <c r="L29" i="7"/>
  <c r="Z172" i="7"/>
  <c r="AA124" i="7"/>
  <c r="W193" i="7"/>
  <c r="X193" i="7" s="1"/>
  <c r="U193" i="7"/>
  <c r="W325" i="7"/>
  <c r="X325" i="7" s="1"/>
  <c r="U325" i="7"/>
  <c r="R29" i="7"/>
  <c r="N61" i="7"/>
  <c r="O61" i="7" s="1"/>
  <c r="C61" i="7"/>
  <c r="AC227" i="7"/>
  <c r="AD227" i="7" s="1"/>
  <c r="AA227" i="7"/>
  <c r="U428" i="6"/>
  <c r="H429" i="6"/>
  <c r="I429" i="6" s="1"/>
  <c r="X440" i="6"/>
  <c r="X436" i="6"/>
  <c r="X432" i="6"/>
  <c r="X424" i="6"/>
  <c r="X420" i="6"/>
  <c r="X416" i="6"/>
  <c r="X412" i="6"/>
  <c r="X408" i="6"/>
  <c r="X400" i="6"/>
  <c r="X390" i="6"/>
  <c r="X385" i="6"/>
  <c r="X380" i="6"/>
  <c r="X376" i="6"/>
  <c r="X372" i="6"/>
  <c r="X365" i="6"/>
  <c r="X361" i="6"/>
  <c r="H18" i="7"/>
  <c r="I18" i="7" s="1"/>
  <c r="AC122" i="7"/>
  <c r="AD122" i="7" s="1"/>
  <c r="W122" i="7"/>
  <c r="X122" i="7" s="1"/>
  <c r="R122" i="7"/>
  <c r="E198" i="7"/>
  <c r="F172" i="7"/>
  <c r="N295" i="6"/>
  <c r="O295" i="6" s="1"/>
  <c r="AC324" i="6"/>
  <c r="AD324" i="6" s="1"/>
  <c r="X371" i="6"/>
  <c r="H428" i="6"/>
  <c r="I428" i="6" s="1"/>
  <c r="AC429" i="6"/>
  <c r="AD429" i="6" s="1"/>
  <c r="W29" i="7"/>
  <c r="X29" i="7" s="1"/>
  <c r="R40" i="7"/>
  <c r="W40" i="7"/>
  <c r="X40" i="7" s="1"/>
  <c r="H61" i="7"/>
  <c r="I61" i="7" s="1"/>
  <c r="F88" i="7"/>
  <c r="H88" i="7"/>
  <c r="I88" i="7" s="1"/>
  <c r="X331" i="6"/>
  <c r="X338" i="6"/>
  <c r="X347" i="6"/>
  <c r="X356" i="6"/>
  <c r="X363" i="6"/>
  <c r="X383" i="6"/>
  <c r="X415" i="6"/>
  <c r="X435" i="6"/>
  <c r="AD438" i="6"/>
  <c r="N441" i="6"/>
  <c r="O441" i="6" s="1"/>
  <c r="AC441" i="6"/>
  <c r="AD441" i="6" s="1"/>
  <c r="H62" i="7"/>
  <c r="I62" i="7" s="1"/>
  <c r="AC236" i="7"/>
  <c r="AD236" i="7" s="1"/>
  <c r="AA236" i="7"/>
  <c r="AC62" i="7"/>
  <c r="AD62" i="7" s="1"/>
  <c r="AC118" i="7"/>
  <c r="AD118" i="7" s="1"/>
  <c r="L124" i="7"/>
  <c r="K172" i="7"/>
  <c r="AC170" i="7"/>
  <c r="AD170" i="7" s="1"/>
  <c r="H197" i="7"/>
  <c r="I197" i="7" s="1"/>
  <c r="C197" i="7"/>
  <c r="R209" i="7"/>
  <c r="W209" i="7"/>
  <c r="X209" i="7" s="1"/>
  <c r="H295" i="7"/>
  <c r="I295" i="7" s="1"/>
  <c r="N295" i="7"/>
  <c r="O295" i="7" s="1"/>
  <c r="C343" i="7"/>
  <c r="H343" i="7"/>
  <c r="I343" i="7" s="1"/>
  <c r="N343" i="7"/>
  <c r="O343" i="7" s="1"/>
  <c r="AC344" i="7"/>
  <c r="AD344" i="7" s="1"/>
  <c r="W344" i="7"/>
  <c r="X344" i="7" s="1"/>
  <c r="R344" i="7"/>
  <c r="L428" i="7"/>
  <c r="N428" i="7"/>
  <c r="O428" i="7" s="1"/>
  <c r="C118" i="7"/>
  <c r="N124" i="7"/>
  <c r="O124" i="7" s="1"/>
  <c r="AC124" i="7"/>
  <c r="AD124" i="7" s="1"/>
  <c r="N149" i="7"/>
  <c r="O149" i="7" s="1"/>
  <c r="AC149" i="7"/>
  <c r="AD149" i="7" s="1"/>
  <c r="AA73" i="7"/>
  <c r="R118" i="7"/>
  <c r="L342" i="7"/>
  <c r="W61" i="7"/>
  <c r="X61" i="7" s="1"/>
  <c r="C172" i="7"/>
  <c r="N172" i="7"/>
  <c r="O172" i="7" s="1"/>
  <c r="B198" i="7"/>
  <c r="W158" i="7"/>
  <c r="X158" i="7" s="1"/>
  <c r="C166" i="7"/>
  <c r="C171" i="7"/>
  <c r="Q172" i="7"/>
  <c r="AA197" i="7"/>
  <c r="N88" i="7"/>
  <c r="O88" i="7" s="1"/>
  <c r="AA88" i="7"/>
  <c r="C124" i="7"/>
  <c r="R124" i="7"/>
  <c r="R149" i="7"/>
  <c r="H158" i="7"/>
  <c r="I158" i="7" s="1"/>
  <c r="R170" i="7"/>
  <c r="C196" i="7"/>
  <c r="N197" i="7"/>
  <c r="O197" i="7" s="1"/>
  <c r="AC209" i="7"/>
  <c r="AD209" i="7" s="1"/>
  <c r="L218" i="7"/>
  <c r="W227" i="7"/>
  <c r="X227" i="7" s="1"/>
  <c r="R227" i="7"/>
  <c r="C236" i="7"/>
  <c r="N267" i="7"/>
  <c r="O267" i="7" s="1"/>
  <c r="L267" i="7"/>
  <c r="N396" i="7"/>
  <c r="O396" i="7" s="1"/>
  <c r="L396" i="7"/>
  <c r="N368" i="6"/>
  <c r="O368" i="6" s="1"/>
  <c r="N393" i="6"/>
  <c r="O393" i="6" s="1"/>
  <c r="N396" i="6"/>
  <c r="O396" i="6" s="1"/>
  <c r="N403" i="6"/>
  <c r="O403" i="6" s="1"/>
  <c r="AC428" i="6"/>
  <c r="AD428" i="6" s="1"/>
  <c r="N442" i="6"/>
  <c r="O442" i="6" s="1"/>
  <c r="T172" i="7"/>
  <c r="F182" i="7"/>
  <c r="L193" i="7"/>
  <c r="N193" i="7"/>
  <c r="O193" i="7" s="1"/>
  <c r="AA263" i="7"/>
  <c r="W267" i="7"/>
  <c r="X267" i="7" s="1"/>
  <c r="R267" i="7"/>
  <c r="AC273" i="7"/>
  <c r="AD273" i="7" s="1"/>
  <c r="N122" i="7"/>
  <c r="O122" i="7" s="1"/>
  <c r="W141" i="7"/>
  <c r="X141" i="7" s="1"/>
  <c r="AC166" i="7"/>
  <c r="AD166" i="7" s="1"/>
  <c r="AC182" i="7"/>
  <c r="AD182" i="7" s="1"/>
  <c r="AC196" i="7"/>
  <c r="AD196" i="7" s="1"/>
  <c r="N209" i="7"/>
  <c r="O209" i="7" s="1"/>
  <c r="H284" i="7"/>
  <c r="I284" i="7" s="1"/>
  <c r="N284" i="7"/>
  <c r="O284" i="7" s="1"/>
  <c r="AC171" i="7"/>
  <c r="AD171" i="7" s="1"/>
  <c r="C325" i="7"/>
  <c r="N325" i="7"/>
  <c r="O325" i="7" s="1"/>
  <c r="AC193" i="7"/>
  <c r="AD193" i="7" s="1"/>
  <c r="AC218" i="7"/>
  <c r="AD218" i="7" s="1"/>
  <c r="W342" i="7"/>
  <c r="X342" i="7" s="1"/>
  <c r="AC342" i="7"/>
  <c r="AD342" i="7" s="1"/>
  <c r="R358" i="7"/>
  <c r="R368" i="7"/>
  <c r="AC368" i="7"/>
  <c r="AD368" i="7" s="1"/>
  <c r="N170" i="7"/>
  <c r="O170" i="7" s="1"/>
  <c r="N182" i="7"/>
  <c r="O182" i="7" s="1"/>
  <c r="H263" i="7"/>
  <c r="I263" i="7" s="1"/>
  <c r="W324" i="7"/>
  <c r="X324" i="7" s="1"/>
  <c r="AC324" i="7"/>
  <c r="AD324" i="7" s="1"/>
  <c r="W197" i="7"/>
  <c r="X197" i="7" s="1"/>
  <c r="C263" i="7"/>
  <c r="R295" i="7"/>
  <c r="AC295" i="7"/>
  <c r="AD295" i="7" s="1"/>
  <c r="C324" i="7"/>
  <c r="R324" i="7"/>
  <c r="H325" i="7"/>
  <c r="I325" i="7" s="1"/>
  <c r="W358" i="7"/>
  <c r="X358" i="7" s="1"/>
  <c r="W368" i="7"/>
  <c r="X368" i="7" s="1"/>
  <c r="C403" i="7"/>
  <c r="N403" i="7"/>
  <c r="O403" i="7" s="1"/>
  <c r="H403" i="7"/>
  <c r="I403" i="7" s="1"/>
  <c r="N262" i="7"/>
  <c r="O262" i="7" s="1"/>
  <c r="AA325" i="7"/>
  <c r="C342" i="7"/>
  <c r="H342" i="7"/>
  <c r="I342" i="7" s="1"/>
  <c r="F368" i="7"/>
  <c r="L393" i="7"/>
  <c r="AC441" i="7"/>
  <c r="AD441" i="7" s="1"/>
  <c r="W236" i="7"/>
  <c r="X236" i="7" s="1"/>
  <c r="H267" i="7"/>
  <c r="I267" i="7" s="1"/>
  <c r="AC428" i="7"/>
  <c r="AD428" i="7" s="1"/>
  <c r="N442" i="7"/>
  <c r="O442" i="7" s="1"/>
  <c r="N429" i="7"/>
  <c r="O429" i="7" s="1"/>
  <c r="AC442" i="7"/>
  <c r="AD442" i="7" s="1"/>
  <c r="AC393" i="7"/>
  <c r="AD393" i="7" s="1"/>
  <c r="AC396" i="7"/>
  <c r="AD396" i="7" s="1"/>
  <c r="H428" i="7"/>
  <c r="I428" i="7" s="1"/>
  <c r="W429" i="7"/>
  <c r="X429" i="7" s="1"/>
  <c r="W441" i="7"/>
  <c r="X441" i="7" s="1"/>
  <c r="N368" i="7"/>
  <c r="O368" i="7" s="1"/>
  <c r="C428" i="7"/>
  <c r="H429" i="7"/>
  <c r="I429" i="7" s="1"/>
  <c r="R441" i="7"/>
  <c r="W442" i="7"/>
  <c r="X442" i="7" s="1"/>
  <c r="W428" i="7"/>
  <c r="X428" i="7" s="1"/>
  <c r="H442" i="7"/>
  <c r="I442" i="7" s="1"/>
  <c r="T198" i="5" l="1"/>
  <c r="U172" i="5"/>
  <c r="K198" i="5"/>
  <c r="N198" i="5" s="1"/>
  <c r="O198" i="5" s="1"/>
  <c r="L172" i="5"/>
  <c r="AA198" i="3"/>
  <c r="Z345" i="3"/>
  <c r="L198" i="3"/>
  <c r="K345" i="3"/>
  <c r="K345" i="1"/>
  <c r="L198" i="1"/>
  <c r="W172" i="1"/>
  <c r="X172" i="1" s="1"/>
  <c r="AC172" i="1"/>
  <c r="AD172" i="1" s="1"/>
  <c r="R172" i="1"/>
  <c r="Q198" i="1"/>
  <c r="E345" i="2"/>
  <c r="F198" i="2"/>
  <c r="C198" i="7"/>
  <c r="H198" i="7"/>
  <c r="I198" i="7" s="1"/>
  <c r="B345" i="7"/>
  <c r="N198" i="7"/>
  <c r="O198" i="7" s="1"/>
  <c r="U172" i="3"/>
  <c r="T198" i="3"/>
  <c r="E198" i="3"/>
  <c r="F172" i="3"/>
  <c r="K198" i="2"/>
  <c r="L172" i="2"/>
  <c r="H172" i="2"/>
  <c r="I172" i="2" s="1"/>
  <c r="C172" i="2"/>
  <c r="N172" i="2"/>
  <c r="O172" i="2" s="1"/>
  <c r="B198" i="2"/>
  <c r="T198" i="2"/>
  <c r="U172" i="2"/>
  <c r="K345" i="6"/>
  <c r="L198" i="6"/>
  <c r="T198" i="7"/>
  <c r="U172" i="7"/>
  <c r="AA172" i="7"/>
  <c r="Z198" i="7"/>
  <c r="Q345" i="6"/>
  <c r="R198" i="6"/>
  <c r="AC198" i="6"/>
  <c r="AD198" i="6" s="1"/>
  <c r="B345" i="6"/>
  <c r="H198" i="6"/>
  <c r="I198" i="6" s="1"/>
  <c r="C198" i="6"/>
  <c r="N198" i="6"/>
  <c r="O198" i="6" s="1"/>
  <c r="B198" i="3"/>
  <c r="H172" i="3"/>
  <c r="I172" i="3" s="1"/>
  <c r="C172" i="3"/>
  <c r="N172" i="3"/>
  <c r="O172" i="3" s="1"/>
  <c r="Q198" i="2"/>
  <c r="R172" i="2"/>
  <c r="W172" i="2"/>
  <c r="X172" i="2" s="1"/>
  <c r="AC172" i="2"/>
  <c r="AD172" i="2" s="1"/>
  <c r="F198" i="1"/>
  <c r="E345" i="1"/>
  <c r="L172" i="7"/>
  <c r="K198" i="7"/>
  <c r="T198" i="4"/>
  <c r="U172" i="4"/>
  <c r="Z198" i="2"/>
  <c r="AA172" i="2"/>
  <c r="U172" i="6"/>
  <c r="T198" i="6"/>
  <c r="F198" i="7"/>
  <c r="E345" i="7"/>
  <c r="Q198" i="7"/>
  <c r="W172" i="7"/>
  <c r="X172" i="7" s="1"/>
  <c r="R172" i="7"/>
  <c r="AC172" i="7"/>
  <c r="AD172" i="7" s="1"/>
  <c r="B345" i="5"/>
  <c r="H198" i="5"/>
  <c r="I198" i="5" s="1"/>
  <c r="C198" i="5"/>
  <c r="E443" i="5"/>
  <c r="F443" i="5" s="1"/>
  <c r="F404" i="5"/>
  <c r="Q345" i="5"/>
  <c r="AC198" i="5"/>
  <c r="AD198" i="5" s="1"/>
  <c r="W198" i="5"/>
  <c r="X198" i="5" s="1"/>
  <c r="R198" i="5"/>
  <c r="Z198" i="4"/>
  <c r="AA172" i="4"/>
  <c r="E198" i="4"/>
  <c r="F172" i="4"/>
  <c r="W172" i="3"/>
  <c r="X172" i="3" s="1"/>
  <c r="Q198" i="3"/>
  <c r="AC172" i="3"/>
  <c r="AD172" i="3" s="1"/>
  <c r="R172" i="3"/>
  <c r="Q198" i="4"/>
  <c r="R172" i="4"/>
  <c r="AC172" i="4"/>
  <c r="AD172" i="4" s="1"/>
  <c r="W172" i="4"/>
  <c r="X172" i="4" s="1"/>
  <c r="C198" i="4"/>
  <c r="B345" i="4"/>
  <c r="N198" i="4"/>
  <c r="O198" i="4" s="1"/>
  <c r="H198" i="4"/>
  <c r="I198" i="4" s="1"/>
  <c r="U198" i="1"/>
  <c r="T345" i="1"/>
  <c r="E198" i="6"/>
  <c r="F172" i="6"/>
  <c r="AA345" i="6"/>
  <c r="Z404" i="6"/>
  <c r="K345" i="4"/>
  <c r="L198" i="4"/>
  <c r="AA172" i="1"/>
  <c r="Z198" i="1"/>
  <c r="H198" i="1"/>
  <c r="I198" i="1" s="1"/>
  <c r="B345" i="1"/>
  <c r="N198" i="1"/>
  <c r="O198" i="1" s="1"/>
  <c r="C198" i="1"/>
  <c r="H345" i="5" l="1"/>
  <c r="I345" i="5" s="1"/>
  <c r="C345" i="5"/>
  <c r="B404" i="5"/>
  <c r="T345" i="6"/>
  <c r="U198" i="6"/>
  <c r="E404" i="1"/>
  <c r="F345" i="1"/>
  <c r="K404" i="3"/>
  <c r="L345" i="3"/>
  <c r="B404" i="4"/>
  <c r="C345" i="4"/>
  <c r="N345" i="4"/>
  <c r="O345" i="4" s="1"/>
  <c r="K404" i="4"/>
  <c r="L345" i="4"/>
  <c r="N198" i="3"/>
  <c r="O198" i="3" s="1"/>
  <c r="B345" i="3"/>
  <c r="C198" i="3"/>
  <c r="H198" i="3"/>
  <c r="I198" i="3" s="1"/>
  <c r="R345" i="6"/>
  <c r="AC345" i="6"/>
  <c r="AD345" i="6" s="1"/>
  <c r="W345" i="6"/>
  <c r="X345" i="6" s="1"/>
  <c r="Q404" i="6"/>
  <c r="T345" i="2"/>
  <c r="U198" i="2"/>
  <c r="E345" i="3"/>
  <c r="F198" i="3"/>
  <c r="E404" i="2"/>
  <c r="F345" i="2"/>
  <c r="Z443" i="6"/>
  <c r="AA443" i="6" s="1"/>
  <c r="AA404" i="6"/>
  <c r="C198" i="2"/>
  <c r="H198" i="2"/>
  <c r="I198" i="2" s="1"/>
  <c r="N198" i="2"/>
  <c r="O198" i="2" s="1"/>
  <c r="B345" i="2"/>
  <c r="U198" i="3"/>
  <c r="T345" i="3"/>
  <c r="W198" i="1"/>
  <c r="X198" i="1" s="1"/>
  <c r="Q345" i="1"/>
  <c r="AC198" i="1"/>
  <c r="AD198" i="1" s="1"/>
  <c r="R198" i="1"/>
  <c r="Z404" i="3"/>
  <c r="AA345" i="3"/>
  <c r="Q345" i="3"/>
  <c r="AC198" i="3"/>
  <c r="AD198" i="3" s="1"/>
  <c r="R198" i="3"/>
  <c r="W198" i="3"/>
  <c r="X198" i="3" s="1"/>
  <c r="Z345" i="7"/>
  <c r="AA198" i="7"/>
  <c r="AA198" i="2"/>
  <c r="Z345" i="2"/>
  <c r="K345" i="5"/>
  <c r="L198" i="5"/>
  <c r="Q404" i="5"/>
  <c r="AC345" i="5"/>
  <c r="AD345" i="5" s="1"/>
  <c r="R345" i="5"/>
  <c r="F198" i="6"/>
  <c r="E345" i="6"/>
  <c r="E345" i="4"/>
  <c r="H345" i="4" s="1"/>
  <c r="I345" i="4" s="1"/>
  <c r="F198" i="4"/>
  <c r="R198" i="7"/>
  <c r="AC198" i="7"/>
  <c r="AD198" i="7" s="1"/>
  <c r="Q345" i="7"/>
  <c r="W198" i="7"/>
  <c r="X198" i="7" s="1"/>
  <c r="T345" i="4"/>
  <c r="U198" i="4"/>
  <c r="Q345" i="2"/>
  <c r="AC198" i="2"/>
  <c r="AD198" i="2" s="1"/>
  <c r="W198" i="2"/>
  <c r="X198" i="2" s="1"/>
  <c r="R198" i="2"/>
  <c r="C345" i="6"/>
  <c r="B404" i="6"/>
  <c r="N345" i="6"/>
  <c r="O345" i="6" s="1"/>
  <c r="T345" i="7"/>
  <c r="U198" i="7"/>
  <c r="C345" i="7"/>
  <c r="B404" i="7"/>
  <c r="H345" i="7"/>
  <c r="I345" i="7" s="1"/>
  <c r="Z345" i="1"/>
  <c r="AA198" i="1"/>
  <c r="E404" i="7"/>
  <c r="F345" i="7"/>
  <c r="K345" i="7"/>
  <c r="L198" i="7"/>
  <c r="W198" i="6"/>
  <c r="X198" i="6" s="1"/>
  <c r="H345" i="1"/>
  <c r="I345" i="1" s="1"/>
  <c r="B404" i="1"/>
  <c r="N345" i="1"/>
  <c r="O345" i="1" s="1"/>
  <c r="C345" i="1"/>
  <c r="U345" i="1"/>
  <c r="T404" i="1"/>
  <c r="Q345" i="4"/>
  <c r="AC198" i="4"/>
  <c r="AD198" i="4" s="1"/>
  <c r="R198" i="4"/>
  <c r="W198" i="4"/>
  <c r="X198" i="4" s="1"/>
  <c r="AA198" i="4"/>
  <c r="Z345" i="4"/>
  <c r="L345" i="6"/>
  <c r="K404" i="6"/>
  <c r="L198" i="2"/>
  <c r="K345" i="2"/>
  <c r="K404" i="1"/>
  <c r="L345" i="1"/>
  <c r="T345" i="5"/>
  <c r="U198" i="5"/>
  <c r="AC345" i="4" l="1"/>
  <c r="AD345" i="4" s="1"/>
  <c r="R345" i="4"/>
  <c r="Q404" i="4"/>
  <c r="W345" i="4"/>
  <c r="X345" i="4" s="1"/>
  <c r="C404" i="7"/>
  <c r="B443" i="7"/>
  <c r="H404" i="7"/>
  <c r="I404" i="7" s="1"/>
  <c r="W345" i="1"/>
  <c r="X345" i="1" s="1"/>
  <c r="R345" i="1"/>
  <c r="Q404" i="1"/>
  <c r="AC345" i="1"/>
  <c r="AD345" i="1" s="1"/>
  <c r="R404" i="6"/>
  <c r="AC404" i="6"/>
  <c r="AD404" i="6" s="1"/>
  <c r="Q443" i="6"/>
  <c r="U345" i="5"/>
  <c r="T404" i="5"/>
  <c r="L404" i="6"/>
  <c r="K443" i="6"/>
  <c r="L443" i="6" s="1"/>
  <c r="AC404" i="5"/>
  <c r="AD404" i="5" s="1"/>
  <c r="W404" i="5"/>
  <c r="X404" i="5" s="1"/>
  <c r="R404" i="5"/>
  <c r="Q443" i="5"/>
  <c r="K443" i="4"/>
  <c r="L443" i="4" s="1"/>
  <c r="L404" i="4"/>
  <c r="F404" i="1"/>
  <c r="E443" i="1"/>
  <c r="F443" i="1" s="1"/>
  <c r="Z404" i="2"/>
  <c r="AA345" i="2"/>
  <c r="U345" i="3"/>
  <c r="T404" i="3"/>
  <c r="B404" i="2"/>
  <c r="C345" i="2"/>
  <c r="H345" i="2"/>
  <c r="I345" i="2" s="1"/>
  <c r="N345" i="2"/>
  <c r="O345" i="2" s="1"/>
  <c r="U404" i="1"/>
  <c r="T443" i="1"/>
  <c r="U443" i="1" s="1"/>
  <c r="K404" i="7"/>
  <c r="L345" i="7"/>
  <c r="Z404" i="4"/>
  <c r="AA345" i="4"/>
  <c r="E443" i="7"/>
  <c r="F443" i="7" s="1"/>
  <c r="F404" i="7"/>
  <c r="U345" i="7"/>
  <c r="T404" i="7"/>
  <c r="AC345" i="2"/>
  <c r="AD345" i="2" s="1"/>
  <c r="W345" i="2"/>
  <c r="X345" i="2" s="1"/>
  <c r="R345" i="2"/>
  <c r="Q404" i="2"/>
  <c r="E404" i="4"/>
  <c r="F345" i="4"/>
  <c r="K404" i="5"/>
  <c r="L345" i="5"/>
  <c r="R345" i="3"/>
  <c r="Q404" i="3"/>
  <c r="AC345" i="3"/>
  <c r="AD345" i="3" s="1"/>
  <c r="W345" i="3"/>
  <c r="X345" i="3" s="1"/>
  <c r="E443" i="2"/>
  <c r="F443" i="2" s="1"/>
  <c r="F404" i="2"/>
  <c r="U345" i="6"/>
  <c r="T404" i="6"/>
  <c r="W404" i="6" s="1"/>
  <c r="X404" i="6" s="1"/>
  <c r="N404" i="5"/>
  <c r="O404" i="5" s="1"/>
  <c r="H404" i="5"/>
  <c r="I404" i="5" s="1"/>
  <c r="B443" i="5"/>
  <c r="C404" i="5"/>
  <c r="H404" i="1"/>
  <c r="I404" i="1" s="1"/>
  <c r="N404" i="1"/>
  <c r="O404" i="1" s="1"/>
  <c r="C404" i="1"/>
  <c r="B443" i="1"/>
  <c r="T404" i="4"/>
  <c r="U345" i="4"/>
  <c r="AA404" i="3"/>
  <c r="Z443" i="3"/>
  <c r="AA443" i="3" s="1"/>
  <c r="F345" i="3"/>
  <c r="E404" i="3"/>
  <c r="B443" i="4"/>
  <c r="N404" i="4"/>
  <c r="O404" i="4" s="1"/>
  <c r="H404" i="4"/>
  <c r="I404" i="4" s="1"/>
  <c r="C404" i="4"/>
  <c r="Z404" i="1"/>
  <c r="AA345" i="1"/>
  <c r="N404" i="6"/>
  <c r="O404" i="6" s="1"/>
  <c r="B443" i="6"/>
  <c r="C404" i="6"/>
  <c r="N345" i="3"/>
  <c r="O345" i="3" s="1"/>
  <c r="B404" i="3"/>
  <c r="H345" i="3"/>
  <c r="I345" i="3" s="1"/>
  <c r="C345" i="3"/>
  <c r="F345" i="6"/>
  <c r="E404" i="6"/>
  <c r="H345" i="6"/>
  <c r="I345" i="6" s="1"/>
  <c r="K443" i="1"/>
  <c r="L443" i="1" s="1"/>
  <c r="L404" i="1"/>
  <c r="K404" i="2"/>
  <c r="L345" i="2"/>
  <c r="N345" i="7"/>
  <c r="O345" i="7" s="1"/>
  <c r="Q404" i="7"/>
  <c r="AC345" i="7"/>
  <c r="AD345" i="7" s="1"/>
  <c r="W345" i="7"/>
  <c r="X345" i="7" s="1"/>
  <c r="R345" i="7"/>
  <c r="W345" i="5"/>
  <c r="X345" i="5" s="1"/>
  <c r="AA345" i="7"/>
  <c r="Z404" i="7"/>
  <c r="T404" i="2"/>
  <c r="U345" i="2"/>
  <c r="K443" i="3"/>
  <c r="L443" i="3" s="1"/>
  <c r="L404" i="3"/>
  <c r="N345" i="5"/>
  <c r="O345" i="5" s="1"/>
  <c r="K443" i="2" l="1"/>
  <c r="L443" i="2" s="1"/>
  <c r="L404" i="2"/>
  <c r="N404" i="3"/>
  <c r="O404" i="3" s="1"/>
  <c r="B443" i="3"/>
  <c r="H404" i="3"/>
  <c r="I404" i="3" s="1"/>
  <c r="C404" i="3"/>
  <c r="R404" i="3"/>
  <c r="Q443" i="3"/>
  <c r="AC404" i="3"/>
  <c r="AD404" i="3" s="1"/>
  <c r="W404" i="3"/>
  <c r="X404" i="3" s="1"/>
  <c r="U404" i="3"/>
  <c r="T443" i="3"/>
  <c r="U443" i="3" s="1"/>
  <c r="AC443" i="5"/>
  <c r="AD443" i="5" s="1"/>
  <c r="R443" i="5"/>
  <c r="K443" i="7"/>
  <c r="L443" i="7" s="1"/>
  <c r="L404" i="7"/>
  <c r="R443" i="6"/>
  <c r="W443" i="6"/>
  <c r="X443" i="6" s="1"/>
  <c r="AC443" i="6"/>
  <c r="AD443" i="6" s="1"/>
  <c r="C443" i="7"/>
  <c r="N443" i="7"/>
  <c r="O443" i="7" s="1"/>
  <c r="H443" i="7"/>
  <c r="I443" i="7" s="1"/>
  <c r="T443" i="4"/>
  <c r="U443" i="4" s="1"/>
  <c r="U404" i="4"/>
  <c r="H443" i="1"/>
  <c r="I443" i="1" s="1"/>
  <c r="N443" i="1"/>
  <c r="O443" i="1" s="1"/>
  <c r="C443" i="1"/>
  <c r="U404" i="6"/>
  <c r="T443" i="6"/>
  <c r="U443" i="6" s="1"/>
  <c r="N404" i="7"/>
  <c r="O404" i="7" s="1"/>
  <c r="U404" i="7"/>
  <c r="T443" i="7"/>
  <c r="U443" i="7" s="1"/>
  <c r="C443" i="6"/>
  <c r="N443" i="6"/>
  <c r="O443" i="6" s="1"/>
  <c r="N443" i="4"/>
  <c r="O443" i="4" s="1"/>
  <c r="C443" i="4"/>
  <c r="K443" i="5"/>
  <c r="L443" i="5" s="1"/>
  <c r="L404" i="5"/>
  <c r="Z443" i="2"/>
  <c r="AA443" i="2" s="1"/>
  <c r="AA404" i="2"/>
  <c r="AA404" i="7"/>
  <c r="Z443" i="7"/>
  <c r="AA443" i="7" s="1"/>
  <c r="F404" i="6"/>
  <c r="E443" i="6"/>
  <c r="F443" i="6" s="1"/>
  <c r="W404" i="7"/>
  <c r="X404" i="7" s="1"/>
  <c r="Q443" i="7"/>
  <c r="R404" i="7"/>
  <c r="AC404" i="7"/>
  <c r="AD404" i="7" s="1"/>
  <c r="H404" i="6"/>
  <c r="I404" i="6" s="1"/>
  <c r="E443" i="4"/>
  <c r="F443" i="4" s="1"/>
  <c r="F404" i="4"/>
  <c r="W404" i="1"/>
  <c r="X404" i="1" s="1"/>
  <c r="Q443" i="1"/>
  <c r="AC404" i="1"/>
  <c r="AD404" i="1" s="1"/>
  <c r="R404" i="1"/>
  <c r="W404" i="4"/>
  <c r="X404" i="4" s="1"/>
  <c r="AC404" i="4"/>
  <c r="AD404" i="4" s="1"/>
  <c r="Q443" i="4"/>
  <c r="R404" i="4"/>
  <c r="F404" i="3"/>
  <c r="E443" i="3"/>
  <c r="F443" i="3" s="1"/>
  <c r="U404" i="2"/>
  <c r="T443" i="2"/>
  <c r="U443" i="2" s="1"/>
  <c r="Q443" i="2"/>
  <c r="W404" i="2"/>
  <c r="X404" i="2" s="1"/>
  <c r="AC404" i="2"/>
  <c r="AD404" i="2" s="1"/>
  <c r="R404" i="2"/>
  <c r="T443" i="5"/>
  <c r="U443" i="5" s="1"/>
  <c r="U404" i="5"/>
  <c r="AA404" i="1"/>
  <c r="Z443" i="1"/>
  <c r="AA443" i="1" s="1"/>
  <c r="C443" i="5"/>
  <c r="N443" i="5"/>
  <c r="O443" i="5" s="1"/>
  <c r="H443" i="5"/>
  <c r="I443" i="5" s="1"/>
  <c r="Z443" i="4"/>
  <c r="AA443" i="4" s="1"/>
  <c r="AA404" i="4"/>
  <c r="C404" i="2"/>
  <c r="N404" i="2"/>
  <c r="O404" i="2" s="1"/>
  <c r="H404" i="2"/>
  <c r="I404" i="2" s="1"/>
  <c r="B443" i="2"/>
  <c r="W443" i="1" l="1"/>
  <c r="X443" i="1" s="1"/>
  <c r="AC443" i="1"/>
  <c r="AD443" i="1" s="1"/>
  <c r="R443" i="1"/>
  <c r="R443" i="3"/>
  <c r="AC443" i="3"/>
  <c r="AD443" i="3" s="1"/>
  <c r="W443" i="3"/>
  <c r="X443" i="3" s="1"/>
  <c r="H443" i="4"/>
  <c r="I443" i="4" s="1"/>
  <c r="W443" i="5"/>
  <c r="X443" i="5" s="1"/>
  <c r="C443" i="2"/>
  <c r="H443" i="2"/>
  <c r="I443" i="2" s="1"/>
  <c r="N443" i="2"/>
  <c r="O443" i="2" s="1"/>
  <c r="R443" i="2"/>
  <c r="AC443" i="2"/>
  <c r="AD443" i="2" s="1"/>
  <c r="W443" i="2"/>
  <c r="X443" i="2" s="1"/>
  <c r="W443" i="4"/>
  <c r="X443" i="4" s="1"/>
  <c r="R443" i="4"/>
  <c r="AC443" i="4"/>
  <c r="AD443" i="4" s="1"/>
  <c r="N443" i="3"/>
  <c r="O443" i="3" s="1"/>
  <c r="H443" i="3"/>
  <c r="I443" i="3" s="1"/>
  <c r="C443" i="3"/>
  <c r="H443" i="6"/>
  <c r="I443" i="6" s="1"/>
  <c r="W443" i="7"/>
  <c r="X443" i="7" s="1"/>
  <c r="AC443" i="7"/>
  <c r="AD443" i="7" s="1"/>
  <c r="R443" i="7"/>
</calcChain>
</file>

<file path=xl/sharedStrings.xml><?xml version="1.0" encoding="utf-8"?>
<sst xmlns="http://schemas.openxmlformats.org/spreadsheetml/2006/main" count="3934" uniqueCount="417">
  <si>
    <t>P&amp;L - Per. &amp; YTD vs Budget and PY</t>
  </si>
  <si>
    <t>04/27/2025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</si>
  <si>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</si>
  <si>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</si>
  <si>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</si>
  <si>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</si>
  <si>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</si>
  <si>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</si>
  <si>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</si>
  <si>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</si>
  <si>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</si>
  <si>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</si>
  <si>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</si>
  <si>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</si>
  <si>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</si>
  <si>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</si>
  <si>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</si>
  <si>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</si>
  <si>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</si>
  <si>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</si>
  <si>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</si>
  <si>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</si>
  <si>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</si>
  <si>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</si>
  <si>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</si>
  <si>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</si>
  <si>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</si>
  <si>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</si>
  <si>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</si>
  <si>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</si>
  <si>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</si>
  <si>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</si>
  <si>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</si>
  <si>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</si>
  <si>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</si>
  <si>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</si>
  <si>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</si>
  <si>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</si>
  <si>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</si>
  <si>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</si>
  <si>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</si>
  <si>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</si>
  <si>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</si>
  <si>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</si>
  <si>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</si>
  <si>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</si>
  <si>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</si>
  <si>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</si>
  <si>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</si>
  <si>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</si>
  <si>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</si>
  <si>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</si>
  <si>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</si>
  <si>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</si>
  <si>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</si>
  <si>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</si>
  <si>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</si>
  <si>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</si>
  <si>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</si>
  <si>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</si>
  <si>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</si>
  <si>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</si>
  <si>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</si>
  <si>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</si>
  <si>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</si>
  <si>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</si>
  <si>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</si>
  <si>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</si>
  <si>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</si>
  <si>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</si>
  <si>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</si>
  <si>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</si>
  <si>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</si>
  <si>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</si>
  <si>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</si>
  <si>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</si>
  <si>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</si>
  <si>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</si>
  <si>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</si>
  <si>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</si>
  <si>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</si>
  <si>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</si>
  <si>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</si>
  <si>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</si>
  <si>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</si>
  <si>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</si>
  <si>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</si>
  <si>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</si>
  <si>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</si>
  <si>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</si>
  <si>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</si>
  <si>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</si>
  <si>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</si>
  <si>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</si>
  <si>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</si>
  <si>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</si>
  <si>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</si>
  <si>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</si>
  <si>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</si>
  <si>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</si>
  <si>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</si>
  <si>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</si>
  <si>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</si>
  <si>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</si>
  <si>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</si>
  <si>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</si>
  <si>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</si>
  <si>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</si>
  <si>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</si>
  <si>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</si>
  <si>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</si>
  <si>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</si>
  <si>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</si>
  <si>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</si>
  <si>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</si>
  <si>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</si>
  <si>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</si>
  <si>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</si>
  <si>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</si>
  <si>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</si>
  <si>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</si>
  <si>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</si>
  <si>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</si>
  <si>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</si>
  <si>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</si>
  <si>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</si>
  <si>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</si>
  <si>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</si>
  <si>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</si>
  <si>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</si>
  <si>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</si>
  <si>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</si>
  <si>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</si>
  <si>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</si>
  <si>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</si>
  <si>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</si>
  <si>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</si>
  <si>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</si>
  <si>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</si>
  <si>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</si>
  <si>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</si>
  <si>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</si>
  <si>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</si>
  <si>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</si>
  <si>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</si>
  <si>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</si>
  <si>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</si>
  <si>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</si>
  <si>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</si>
  <si>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</si>
  <si>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</si>
  <si>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</si>
  <si>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</si>
  <si>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</si>
  <si>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</si>
  <si>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</si>
  <si>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</si>
  <si>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</si>
  <si>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</si>
  <si>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</si>
  <si>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</si>
  <si>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</si>
  <si>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</si>
  <si>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</si>
  <si>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</si>
  <si>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</si>
  <si>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</si>
  <si>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</si>
  <si>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</si>
  <si>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</si>
  <si>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</si>
  <si>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</si>
  <si>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</si>
  <si>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</si>
  <si>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</si>
  <si>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</si>
  <si>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</si>
  <si>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</si>
  <si>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</si>
  <si>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</si>
  <si>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</si>
  <si>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</si>
  <si>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</si>
  <si>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</si>
  <si>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</si>
  <si>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</si>
  <si>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</si>
  <si>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</si>
  <si>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</si>
  <si>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</si>
  <si>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</si>
  <si>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</si>
  <si>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</si>
  <si>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</si>
  <si>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</si>
  <si>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</si>
  <si>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</si>
  <si>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</si>
  <si>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</si>
  <si>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</si>
  <si>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</si>
  <si>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</si>
  <si>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</si>
  <si>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</si>
  <si>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</si>
  <si>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</si>
  <si>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</si>
  <si>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</si>
  <si>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</si>
  <si>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</si>
  <si>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</si>
  <si>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</si>
  <si>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Thanx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</si>
  <si>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</si>
  <si>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</si>
  <si>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</si>
  <si>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</si>
  <si>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</si>
  <si>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</si>
  <si>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</si>
  <si>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</si>
  <si>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</si>
  <si>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</si>
  <si>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</si>
  <si>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</si>
  <si>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</si>
  <si>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</si>
  <si>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</si>
  <si>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</si>
  <si>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</si>
  <si>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</si>
  <si>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</si>
  <si>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</si>
  <si>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</si>
  <si>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</si>
  <si>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</si>
  <si>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</si>
  <si>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</si>
  <si>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</si>
  <si>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</si>
  <si>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</si>
  <si>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</si>
  <si>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</si>
  <si>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</si>
  <si>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</si>
  <si>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</si>
  <si>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</si>
  <si>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</si>
  <si>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</si>
  <si>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</si>
  <si>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</si>
  <si>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</si>
  <si>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</si>
  <si>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</si>
  <si>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</si>
  <si>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</si>
  <si>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</si>
  <si>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</si>
  <si>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</si>
  <si>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</si>
  <si>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</si>
  <si>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</si>
  <si>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</si>
  <si>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</si>
  <si>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</si>
  <si>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</si>
  <si>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</si>
  <si>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</si>
  <si>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</si>
  <si>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</si>
  <si>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</si>
  <si>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</si>
  <si>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</si>
  <si>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</si>
  <si>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</si>
  <si>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</si>
  <si>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</si>
  <si>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</si>
  <si>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</si>
  <si>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</si>
  <si>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</si>
  <si>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</si>
  <si>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</si>
  <si>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</si>
  <si>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</si>
  <si>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</si>
  <si>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</si>
  <si>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</si>
  <si>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</si>
  <si>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</si>
  <si>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</si>
  <si>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</si>
  <si>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</si>
  <si>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</si>
  <si>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</si>
  <si>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</si>
  <si>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</si>
  <si>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</si>
  <si>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</si>
  <si>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</si>
  <si>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</si>
  <si>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</si>
  <si>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</si>
  <si>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</si>
  <si>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</si>
  <si>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</si>
  <si>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</si>
  <si>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</si>
  <si>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</si>
  <si>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</si>
  <si>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</si>
  <si>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</si>
  <si>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</si>
  <si>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</si>
  <si>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</si>
  <si>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</si>
  <si>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</si>
  <si>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</si>
  <si>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</si>
  <si>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</si>
  <si>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</si>
  <si>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</si>
  <si>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</si>
  <si>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</si>
  <si>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</si>
  <si>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</si>
  <si>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</si>
  <si>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</si>
  <si>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</si>
  <si>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</si>
  <si>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</si>
  <si>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</si>
  <si>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</si>
  <si>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</si>
  <si>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</si>
  <si>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</si>
  <si>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</si>
  <si>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</si>
  <si>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</si>
  <si>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</si>
  <si>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</si>
  <si>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</si>
  <si>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</si>
  <si>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</si>
  <si>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</si>
  <si>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</si>
  <si>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</si>
  <si>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</si>
  <si>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</si>
  <si>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</si>
  <si>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</si>
  <si>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</si>
  <si>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</si>
  <si>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</si>
  <si>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</si>
  <si>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</si>
  <si>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</si>
  <si>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</si>
  <si>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</si>
  <si>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</si>
  <si>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</si>
  <si>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</si>
  <si>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</si>
  <si>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</si>
  <si>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</si>
  <si>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</si>
  <si>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</si>
  <si>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</si>
  <si>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</si>
  <si>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</si>
  <si>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</si>
  <si>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</si>
  <si>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</si>
  <si>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</si>
  <si>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</si>
  <si>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</si>
  <si>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</si>
  <si>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</si>
  <si>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</si>
  <si>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</si>
  <si>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</si>
  <si>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</si>
  <si>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</si>
  <si>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</si>
  <si>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</si>
  <si>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</si>
  <si>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</si>
  <si>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</si>
  <si>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</si>
  <si>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</si>
  <si>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</si>
  <si>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</si>
  <si>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</si>
  <si>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</si>
  <si>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</si>
  <si>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</si>
  <si>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</si>
  <si>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</si>
  <si>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</si>
  <si>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</si>
  <si>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</si>
  <si>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</si>
  <si>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</si>
  <si>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</si>
  <si>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</si>
  <si>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</si>
  <si>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</si>
  <si>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</si>
  <si>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</si>
  <si>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</si>
  <si>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04/06/2026 06:52 PM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</si>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</sst>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%"/>
    <numFmt numFmtId="165" formatCode="#,##0.0%;\(#,##0.0%\)"/>
    <numFmt numFmtId="166" formatCode="#,##0.0;\(#,##0.0\)"/>
  </numFmts>
  <fonts count="11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0" xfId="0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49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2</v>
      </c>
      <c r="B3" s="31" t="s">
        <v>2</v>
      </c>
      <c r="C3" s="31" t="s">
        <v>2</v>
      </c>
      <c r="D3" s="31" t="s">
        <v>2</v>
      </c>
      <c r="E3" s="31" t="s">
        <v>2</v>
      </c>
      <c r="F3" s="31" t="s">
        <v>2</v>
      </c>
      <c r="G3" s="31" t="s">
        <v>2</v>
      </c>
      <c r="H3" s="31" t="s">
        <v>2</v>
      </c>
      <c r="I3" s="31" t="s">
        <v>2</v>
      </c>
      <c r="J3" s="31" t="s">
        <v>2</v>
      </c>
      <c r="K3" s="31" t="s">
        <v>2</v>
      </c>
      <c r="L3" s="31" t="s">
        <v>2</v>
      </c>
      <c r="M3" s="31" t="s">
        <v>2</v>
      </c>
      <c r="N3" s="31" t="s">
        <v>2</v>
      </c>
      <c r="O3" s="31" t="s">
        <v>2</v>
      </c>
      <c r="P3" s="31" t="s">
        <v>2</v>
      </c>
      <c r="Q3" s="31" t="s">
        <v>2</v>
      </c>
      <c r="R3" s="31" t="s">
        <v>2</v>
      </c>
      <c r="S3" s="31" t="s">
        <v>2</v>
      </c>
      <c r="T3" s="31" t="s">
        <v>2</v>
      </c>
      <c r="U3" s="31" t="s">
        <v>2</v>
      </c>
      <c r="V3" s="31" t="s">
        <v>2</v>
      </c>
      <c r="W3" s="31" t="s">
        <v>2</v>
      </c>
      <c r="X3" s="31" t="s">
        <v>2</v>
      </c>
      <c r="Y3" s="31" t="s">
        <v>2</v>
      </c>
      <c r="Z3" s="31" t="s">
        <v>2</v>
      </c>
      <c r="AA3" s="31" t="s">
        <v>2</v>
      </c>
      <c r="AB3" s="31" t="s">
        <v>2</v>
      </c>
      <c r="AC3" s="31" t="s">
        <v>2</v>
      </c>
      <c r="AD3" s="31" t="s">
        <v>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306027.69</v>
      </c>
      <c r="F10" s="8">
        <f>IFERROR(E10/E444, "NA")</f>
        <v>0.46305328745122476</v>
      </c>
      <c r="G10" s="9"/>
      <c r="H10" s="10">
        <f t="shared" ref="H10:H19" si="0">IFERROR(B10-E10, "NA")</f>
        <v>-306027.69</v>
      </c>
      <c r="I10" s="8">
        <f>IFERROR(H10/H444, "NA")</f>
        <v>5.3302076642147638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993157.97</v>
      </c>
      <c r="U10" s="8">
        <f>IFERROR(T10/T444, "NA")</f>
        <v>0.45927453490635567</v>
      </c>
      <c r="V10" s="9"/>
      <c r="W10" s="10">
        <f t="shared" ref="W10:W19" si="2">IFERROR(Q10-T10, "NA")</f>
        <v>-993157.97</v>
      </c>
      <c r="X10" s="8">
        <f>IFERROR(W10/W444, "NA")</f>
        <v>-9.9195126129063613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255514.45999999996</v>
      </c>
      <c r="C11" s="8">
        <f>IFERROR(B11/B444, "NA")</f>
        <v>0.42340378721622585</v>
      </c>
      <c r="D11" s="9"/>
      <c r="E11" s="7">
        <v>0</v>
      </c>
      <c r="F11" s="8">
        <f>IFERROR(E11/E444, "NA")</f>
        <v>0</v>
      </c>
      <c r="G11" s="9"/>
      <c r="H11" s="10">
        <f t="shared" si="0"/>
        <v>255514.45999999996</v>
      </c>
      <c r="I11" s="8">
        <f>IFERROR(H11/H444, "NA")</f>
        <v>-4.4503983708457771</v>
      </c>
      <c r="J11" s="9"/>
      <c r="K11" s="7">
        <v>244838.59</v>
      </c>
      <c r="L11" s="8">
        <f>IFERROR(K11/K444, "NA")</f>
        <v>0.4323115015474065</v>
      </c>
      <c r="M11" s="9"/>
      <c r="N11" s="10">
        <f t="shared" si="1"/>
        <v>10675.869999999966</v>
      </c>
      <c r="O11" s="8">
        <f>IFERROR(N11/N444, "NA")</f>
        <v>0.28753136664439205</v>
      </c>
      <c r="P11" s="9"/>
      <c r="Q11" s="7">
        <v>896951.94</v>
      </c>
      <c r="R11" s="8">
        <f>IFERROR(Q11/Q444, "NA")</f>
        <v>0.39643038666749342</v>
      </c>
      <c r="S11" s="9"/>
      <c r="T11" s="7">
        <v>0</v>
      </c>
      <c r="U11" s="8">
        <f>IFERROR(T11/T444, "NA")</f>
        <v>0</v>
      </c>
      <c r="V11" s="9"/>
      <c r="W11" s="10">
        <f t="shared" si="2"/>
        <v>896951.94</v>
      </c>
      <c r="X11" s="8">
        <f>IFERROR(W11/W444, "NA")</f>
        <v>8.9586212372648326</v>
      </c>
      <c r="Y11" s="9"/>
      <c r="Z11" s="7">
        <v>888319.27</v>
      </c>
      <c r="AA11" s="8">
        <f>IFERROR(Z11/Z444, "NA")</f>
        <v>0.461327286412268</v>
      </c>
      <c r="AB11" s="9"/>
      <c r="AC11" s="10">
        <f t="shared" si="3"/>
        <v>8632.6699999999255</v>
      </c>
      <c r="AD11" s="8">
        <f>IFERROR(AC11/AC444, "NA")</f>
        <v>2.5616359155736793E-2</v>
      </c>
    </row>
    <row r="12" spans="1:30" ht="16.5" customHeight="1" x14ac:dyDescent="0.45">
      <c r="A12" s="12" t="s">
        <v>14</v>
      </c>
      <c r="B12" s="7">
        <v>28274.7</v>
      </c>
      <c r="C12" s="8">
        <f>IFERROR(B12/B444, "NA")</f>
        <v>4.6852984611526968E-2</v>
      </c>
      <c r="D12" s="9"/>
      <c r="E12" s="7">
        <v>0</v>
      </c>
      <c r="F12" s="8">
        <f>IFERROR(E12/E444, "NA")</f>
        <v>0</v>
      </c>
      <c r="G12" s="9"/>
      <c r="H12" s="10">
        <f t="shared" si="0"/>
        <v>28274.7</v>
      </c>
      <c r="I12" s="8">
        <f>IFERROR(H12/H444, "NA")</f>
        <v>-0.49247184999296367</v>
      </c>
      <c r="J12" s="9"/>
      <c r="K12" s="7">
        <v>24483.300000000003</v>
      </c>
      <c r="L12" s="8">
        <f>IFERROR(K12/K444, "NA")</f>
        <v>4.3230163128433384E-2</v>
      </c>
      <c r="M12" s="9"/>
      <c r="N12" s="10">
        <f t="shared" si="1"/>
        <v>3791.3999999999978</v>
      </c>
      <c r="O12" s="8">
        <f>IFERROR(N12/N444, "NA")</f>
        <v>0.10211312272400759</v>
      </c>
      <c r="P12" s="9"/>
      <c r="Q12" s="7">
        <v>94125.59</v>
      </c>
      <c r="R12" s="8">
        <f>IFERROR(Q12/Q444, "NA")</f>
        <v>4.1601163200567864E-2</v>
      </c>
      <c r="S12" s="9"/>
      <c r="T12" s="7">
        <v>0</v>
      </c>
      <c r="U12" s="8">
        <f>IFERROR(T12/T444, "NA")</f>
        <v>0</v>
      </c>
      <c r="V12" s="9"/>
      <c r="W12" s="10">
        <f t="shared" si="2"/>
        <v>94125.59</v>
      </c>
      <c r="X12" s="8">
        <f>IFERROR(W12/W444, "NA")</f>
        <v>0.94011225344368221</v>
      </c>
      <c r="Y12" s="9"/>
      <c r="Z12" s="7">
        <v>84633.600000000006</v>
      </c>
      <c r="AA12" s="8">
        <f>IFERROR(Z12/Z444, "NA")</f>
        <v>4.3952428305761425E-2</v>
      </c>
      <c r="AB12" s="9"/>
      <c r="AC12" s="10">
        <f t="shared" si="3"/>
        <v>9491.9899999999907</v>
      </c>
      <c r="AD12" s="8">
        <f>IFERROR(AC12/AC444, "NA")</f>
        <v>2.8166282846751232E-2</v>
      </c>
    </row>
    <row r="13" spans="1:30" ht="16.5" customHeight="1" x14ac:dyDescent="0.45">
      <c r="A13" s="12" t="s">
        <v>15</v>
      </c>
      <c r="B13" s="7">
        <v>2503.5</v>
      </c>
      <c r="C13" s="8">
        <f>IFERROR(B13/B444, "NA")</f>
        <v>4.1484594699486739E-3</v>
      </c>
      <c r="D13" s="9"/>
      <c r="E13" s="7">
        <v>0</v>
      </c>
      <c r="F13" s="8">
        <f>IFERROR(E13/E444, "NA")</f>
        <v>0</v>
      </c>
      <c r="G13" s="9"/>
      <c r="H13" s="10">
        <f t="shared" si="0"/>
        <v>2503.5</v>
      </c>
      <c r="I13" s="8">
        <f>IFERROR(H13/H444, "NA")</f>
        <v>-4.3604468887641051E-2</v>
      </c>
      <c r="J13" s="9"/>
      <c r="K13" s="7">
        <v>1391</v>
      </c>
      <c r="L13" s="8">
        <f>IFERROR(K13/K444, "NA")</f>
        <v>2.4560887180915497E-3</v>
      </c>
      <c r="M13" s="9"/>
      <c r="N13" s="10">
        <f t="shared" si="1"/>
        <v>1112.5</v>
      </c>
      <c r="O13" s="8">
        <f>IFERROR(N13/N444, "NA")</f>
        <v>2.9962770752349661E-2</v>
      </c>
      <c r="P13" s="9"/>
      <c r="Q13" s="7">
        <v>5106</v>
      </c>
      <c r="R13" s="8">
        <f>IFERROR(Q13/Q444, "NA")</f>
        <v>2.2567246516287391E-3</v>
      </c>
      <c r="S13" s="9"/>
      <c r="T13" s="7">
        <v>0</v>
      </c>
      <c r="U13" s="8">
        <f>IFERROR(T13/T444, "NA")</f>
        <v>0</v>
      </c>
      <c r="V13" s="9"/>
      <c r="W13" s="10">
        <f t="shared" si="2"/>
        <v>5106</v>
      </c>
      <c r="X13" s="8">
        <f>IFERROR(W13/W444, "NA")</f>
        <v>5.0997960980467071E-2</v>
      </c>
      <c r="Y13" s="9"/>
      <c r="Z13" s="7">
        <v>3942.76</v>
      </c>
      <c r="AA13" s="8">
        <f>IFERROR(Z13/Z444, "NA")</f>
        <v>2.0475777495796458E-3</v>
      </c>
      <c r="AB13" s="9"/>
      <c r="AC13" s="10">
        <f t="shared" si="3"/>
        <v>1163.2399999999998</v>
      </c>
      <c r="AD13" s="8">
        <f>IFERROR(AC13/AC444, "NA")</f>
        <v>3.4517679494663321E-3</v>
      </c>
    </row>
    <row r="14" spans="1:30" ht="16.5" customHeight="1" x14ac:dyDescent="0.45">
      <c r="A14" s="12" t="s">
        <v>16</v>
      </c>
      <c r="B14" s="7">
        <v>3085</v>
      </c>
      <c r="C14" s="8">
        <f>IFERROR(B14/B444, "NA")</f>
        <v>5.1120421269389487E-3</v>
      </c>
      <c r="D14" s="9"/>
      <c r="E14" s="7">
        <v>0</v>
      </c>
      <c r="F14" s="8">
        <f>IFERROR(E14/E444, "NA")</f>
        <v>0</v>
      </c>
      <c r="G14" s="9"/>
      <c r="H14" s="10">
        <f t="shared" si="0"/>
        <v>3085</v>
      </c>
      <c r="I14" s="8">
        <f>IFERROR(H14/H444, "NA")</f>
        <v>-5.3732688842968904E-2</v>
      </c>
      <c r="J14" s="9"/>
      <c r="K14" s="7">
        <v>3475</v>
      </c>
      <c r="L14" s="8">
        <f>IFERROR(K14/K444, "NA")</f>
        <v>6.1358075451963586E-3</v>
      </c>
      <c r="M14" s="9"/>
      <c r="N14" s="10">
        <f t="shared" si="1"/>
        <v>-390</v>
      </c>
      <c r="O14" s="8">
        <f>IFERROR(N14/N444, "NA")</f>
        <v>-1.0503802780598983E-2</v>
      </c>
      <c r="P14" s="9"/>
      <c r="Q14" s="7">
        <v>7970</v>
      </c>
      <c r="R14" s="8">
        <f>IFERROR(Q14/Q444, "NA")</f>
        <v>3.5225412208149333E-3</v>
      </c>
      <c r="S14" s="9"/>
      <c r="T14" s="7">
        <v>0</v>
      </c>
      <c r="U14" s="8">
        <f>IFERROR(T14/T444, "NA")</f>
        <v>0</v>
      </c>
      <c r="V14" s="9"/>
      <c r="W14" s="10">
        <f t="shared" si="2"/>
        <v>7970</v>
      </c>
      <c r="X14" s="8">
        <f>IFERROR(W14/W444, "NA")</f>
        <v>7.9603162752511267E-2</v>
      </c>
      <c r="Y14" s="9"/>
      <c r="Z14" s="7">
        <v>10775.99</v>
      </c>
      <c r="AA14" s="8">
        <f>IFERROR(Z14/Z444, "NA")</f>
        <v>5.5962517002538237E-3</v>
      </c>
      <c r="AB14" s="9"/>
      <c r="AC14" s="10">
        <f t="shared" si="3"/>
        <v>-2805.99</v>
      </c>
      <c r="AD14" s="8">
        <f>IFERROR(AC14/AC444, "NA")</f>
        <v>-8.3264213305276925E-3</v>
      </c>
    </row>
    <row r="15" spans="1:30" ht="16.5" customHeight="1" x14ac:dyDescent="0.45">
      <c r="A15" s="12" t="s">
        <v>17</v>
      </c>
      <c r="B15" s="7">
        <v>345</v>
      </c>
      <c r="C15" s="8">
        <f>IFERROR(B15/B444, "NA")</f>
        <v>5.7168704498993103E-4</v>
      </c>
      <c r="D15" s="9"/>
      <c r="E15" s="7">
        <v>0</v>
      </c>
      <c r="F15" s="8">
        <f>IFERROR(E15/E444, "NA")</f>
        <v>0</v>
      </c>
      <c r="G15" s="9"/>
      <c r="H15" s="10">
        <f t="shared" si="0"/>
        <v>345</v>
      </c>
      <c r="I15" s="8">
        <f>IFERROR(H15/H444, "NA")</f>
        <v>-6.0090041007534109E-3</v>
      </c>
      <c r="J15" s="9"/>
      <c r="K15" s="7">
        <v>463.5</v>
      </c>
      <c r="L15" s="8">
        <f>IFERROR(K15/K444, "NA")</f>
        <v>8.1840195602834878E-4</v>
      </c>
      <c r="M15" s="9"/>
      <c r="N15" s="10">
        <f t="shared" si="1"/>
        <v>-118.5</v>
      </c>
      <c r="O15" s="8">
        <f>IFERROR(N15/N444, "NA")</f>
        <v>-3.1915400756435371E-3</v>
      </c>
      <c r="P15" s="9"/>
      <c r="Q15" s="7">
        <v>1014</v>
      </c>
      <c r="R15" s="8">
        <f>IFERROR(Q15/Q444, "NA")</f>
        <v>4.4816270990041937E-4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1014</v>
      </c>
      <c r="X15" s="8">
        <f>IFERROR(W15/W444, "NA")</f>
        <v>1.0127679677672074E-2</v>
      </c>
      <c r="Y15" s="9"/>
      <c r="Z15" s="7">
        <v>1350.5</v>
      </c>
      <c r="AA15" s="8">
        <f>IFERROR(Z15/Z444, "NA")</f>
        <v>7.0134975266242727E-4</v>
      </c>
      <c r="AB15" s="9"/>
      <c r="AC15" s="10">
        <f t="shared" si="3"/>
        <v>-336.5</v>
      </c>
      <c r="AD15" s="8">
        <f>IFERROR(AC15/AC444, "NA")</f>
        <v>-9.9852129826641183E-4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3.0500000000000003</v>
      </c>
      <c r="R16" s="8">
        <f>IFERROR(Q16/Q444, "NA")</f>
        <v>1.3480239301738453E-6</v>
      </c>
      <c r="S16" s="9"/>
      <c r="T16" s="7">
        <v>0</v>
      </c>
      <c r="U16" s="8">
        <f>IFERROR(T16/T444, "NA")</f>
        <v>0</v>
      </c>
      <c r="V16" s="9"/>
      <c r="W16" s="10">
        <f t="shared" si="2"/>
        <v>3.0500000000000003</v>
      </c>
      <c r="X16" s="8">
        <f>IFERROR(W16/W444, "NA")</f>
        <v>3.0462941831262158E-5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3.0500000000000003</v>
      </c>
      <c r="AD16" s="8">
        <f>IFERROR(AC16/AC444, "NA")</f>
        <v>9.0504902220283996E-6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289722.65999999997</v>
      </c>
      <c r="C18" s="15">
        <f>IFERROR(B18/B444, "NA")</f>
        <v>0.4800889604696304</v>
      </c>
      <c r="D18" s="2"/>
      <c r="E18" s="14">
        <f>IFERROR(E10+E11+E12+E13+E14+E15+E16+E17, "NA")</f>
        <v>306027.69</v>
      </c>
      <c r="F18" s="15">
        <f>IFERROR(E18/E444, "NA")</f>
        <v>0.46305328745122476</v>
      </c>
      <c r="G18" s="2"/>
      <c r="H18" s="14">
        <f t="shared" si="0"/>
        <v>-16305.030000000028</v>
      </c>
      <c r="I18" s="15">
        <f>IFERROR(H18/H444, "NA")</f>
        <v>0.28399128154465958</v>
      </c>
      <c r="J18" s="2"/>
      <c r="K18" s="14">
        <f>IFERROR(K10+K11+K12+K13+K14+K15+K16+K17, "NA")</f>
        <v>274651.39</v>
      </c>
      <c r="L18" s="15">
        <f>IFERROR(K18/K444, "NA")</f>
        <v>0.48495196289515619</v>
      </c>
      <c r="M18" s="2"/>
      <c r="N18" s="14">
        <f t="shared" si="1"/>
        <v>15071.26999999996</v>
      </c>
      <c r="O18" s="15">
        <f>IFERROR(N18/N444, "NA")</f>
        <v>0.40591191726450671</v>
      </c>
      <c r="P18" s="2"/>
      <c r="Q18" s="14">
        <f>IFERROR(Q10+Q11+Q12+Q13+Q14+Q15+Q16+Q17, "NA")</f>
        <v>1005170.58</v>
      </c>
      <c r="R18" s="15">
        <f>IFERROR(Q18/Q444, "NA")</f>
        <v>0.44426032647433555</v>
      </c>
      <c r="S18" s="2"/>
      <c r="T18" s="14">
        <f>IFERROR(T10+T11+T12+T13+T14+T15+T16+T17, "NA")</f>
        <v>993157.97</v>
      </c>
      <c r="U18" s="15">
        <f>IFERROR(T18/T444, "NA")</f>
        <v>0.45927453490635567</v>
      </c>
      <c r="V18" s="2"/>
      <c r="W18" s="14">
        <f t="shared" si="2"/>
        <v>12012.609999999986</v>
      </c>
      <c r="X18" s="15">
        <f>IFERROR(W18/W444, "NA")</f>
        <v>0.1199801441546353</v>
      </c>
      <c r="Y18" s="2"/>
      <c r="Z18" s="14">
        <f>IFERROR(Z10+Z11+Z12+Z13+Z14+Z15+Z16+Z17, "NA")</f>
        <v>989022.12</v>
      </c>
      <c r="AA18" s="15">
        <f>IFERROR(Z18/Z444, "NA")</f>
        <v>0.51362489392052535</v>
      </c>
      <c r="AB18" s="2"/>
      <c r="AC18" s="14">
        <f t="shared" si="3"/>
        <v>16148.459999999963</v>
      </c>
      <c r="AD18" s="15">
        <f>IFERROR(AC18/AC444, "NA")</f>
        <v>4.7918517813382418E-2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54722.560000000005</v>
      </c>
      <c r="F21" s="8">
        <f>IFERROR(E21/E444, "NA")</f>
        <v>8.2801204380384325E-2</v>
      </c>
      <c r="G21" s="9"/>
      <c r="H21" s="10">
        <f t="shared" ref="H21:H29" si="4">IFERROR(B21-E21, "NA")</f>
        <v>-54722.560000000005</v>
      </c>
      <c r="I21" s="8">
        <f>IFERROR(H21/H444, "NA")</f>
        <v>0.95312489114123067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178631.82</v>
      </c>
      <c r="U21" s="8">
        <f>IFERROR(T21/T444, "NA")</f>
        <v>8.2606240425151953E-2</v>
      </c>
      <c r="V21" s="9"/>
      <c r="W21" s="10">
        <f t="shared" ref="W21:W29" si="6">IFERROR(Q21-T21, "NA")</f>
        <v>-178631.82</v>
      </c>
      <c r="X21" s="8">
        <f>IFERROR(W21/W444, "NA")</f>
        <v>-1.7841477842204891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37354.15</v>
      </c>
      <c r="C22" s="8">
        <f>IFERROR(B22/B444, "NA")</f>
        <v>6.1898213424958361E-2</v>
      </c>
      <c r="D22" s="9"/>
      <c r="E22" s="7">
        <v>0</v>
      </c>
      <c r="F22" s="8">
        <f>IFERROR(E22/E444, "NA")</f>
        <v>0</v>
      </c>
      <c r="G22" s="9"/>
      <c r="H22" s="10">
        <f t="shared" si="4"/>
        <v>37354.15</v>
      </c>
      <c r="I22" s="8">
        <f>IFERROR(H22/H444, "NA")</f>
        <v>-0.65061229139176235</v>
      </c>
      <c r="J22" s="9"/>
      <c r="K22" s="7">
        <v>32554.1</v>
      </c>
      <c r="L22" s="8">
        <f>IFERROR(K22/K444, "NA")</f>
        <v>5.7480774793403383E-2</v>
      </c>
      <c r="M22" s="9"/>
      <c r="N22" s="10">
        <f t="shared" si="5"/>
        <v>4800.0500000000029</v>
      </c>
      <c r="O22" s="8">
        <f>IFERROR(N22/N444, "NA")</f>
        <v>0.12927891932567737</v>
      </c>
      <c r="P22" s="9"/>
      <c r="Q22" s="7">
        <v>142631.1</v>
      </c>
      <c r="R22" s="8">
        <f>IFERROR(Q22/Q444, "NA")</f>
        <v>6.3039388848202871E-2</v>
      </c>
      <c r="S22" s="9"/>
      <c r="T22" s="7">
        <v>0</v>
      </c>
      <c r="U22" s="8">
        <f>IFERROR(T22/T444, "NA")</f>
        <v>0</v>
      </c>
      <c r="V22" s="9"/>
      <c r="W22" s="10">
        <f t="shared" si="6"/>
        <v>142631.1</v>
      </c>
      <c r="X22" s="8">
        <f>IFERROR(W22/W444, "NA")</f>
        <v>1.4245780008619462</v>
      </c>
      <c r="Y22" s="9"/>
      <c r="Z22" s="7">
        <v>134340.29999999999</v>
      </c>
      <c r="AA22" s="8">
        <f>IFERROR(Z22/Z444, "NA")</f>
        <v>6.9766409609475208E-2</v>
      </c>
      <c r="AB22" s="9"/>
      <c r="AC22" s="10">
        <f t="shared" si="7"/>
        <v>8290.8000000000175</v>
      </c>
      <c r="AD22" s="8">
        <f>IFERROR(AC22/AC444, "NA")</f>
        <v>2.4601903059932199E-2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4849.5599999999995</v>
      </c>
      <c r="C24" s="8">
        <f>IFERROR(B24/B444, "NA")</f>
        <v>8.0360307997141157E-3</v>
      </c>
      <c r="D24" s="9"/>
      <c r="E24" s="7">
        <v>0</v>
      </c>
      <c r="F24" s="8">
        <f>IFERROR(E24/E444, "NA")</f>
        <v>0</v>
      </c>
      <c r="G24" s="9"/>
      <c r="H24" s="10">
        <f t="shared" si="4"/>
        <v>4849.5599999999995</v>
      </c>
      <c r="I24" s="8">
        <f>IFERROR(H24/H444, "NA")</f>
        <v>-8.4466741816955668E-2</v>
      </c>
      <c r="J24" s="9"/>
      <c r="K24" s="7">
        <v>1692.21</v>
      </c>
      <c r="L24" s="8">
        <f>IFERROR(K24/K444, "NA")</f>
        <v>2.9879352190091309E-3</v>
      </c>
      <c r="M24" s="9"/>
      <c r="N24" s="10">
        <f t="shared" si="5"/>
        <v>3157.3499999999995</v>
      </c>
      <c r="O24" s="8">
        <f>IFERROR(N24/N444, "NA")</f>
        <v>8.5036363357241518E-2</v>
      </c>
      <c r="P24" s="9"/>
      <c r="Q24" s="7">
        <v>23371.070000000003</v>
      </c>
      <c r="R24" s="8">
        <f>IFERROR(Q24/Q444, "NA")</f>
        <v>1.0329430043858378E-2</v>
      </c>
      <c r="S24" s="9"/>
      <c r="T24" s="7">
        <v>0</v>
      </c>
      <c r="U24" s="8">
        <f>IFERROR(T24/T444, "NA")</f>
        <v>0</v>
      </c>
      <c r="V24" s="9"/>
      <c r="W24" s="10">
        <f t="shared" si="6"/>
        <v>23371.070000000003</v>
      </c>
      <c r="X24" s="8">
        <f>IFERROR(W24/W444, "NA")</f>
        <v>0.23342673637519873</v>
      </c>
      <c r="Y24" s="9"/>
      <c r="Z24" s="7">
        <v>7259.8200000000006</v>
      </c>
      <c r="AA24" s="8">
        <f>IFERROR(Z24/Z444, "NA")</f>
        <v>3.7702132257487917E-3</v>
      </c>
      <c r="AB24" s="9"/>
      <c r="AC24" s="10">
        <f t="shared" si="7"/>
        <v>16111.250000000004</v>
      </c>
      <c r="AD24" s="8">
        <f>IFERROR(AC24/AC444, "NA")</f>
        <v>4.780810183267379E-2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1535.57</v>
      </c>
      <c r="C26" s="8">
        <f>IFERROR(B26/B444, "NA")</f>
        <v>2.5445376106527202E-3</v>
      </c>
      <c r="D26" s="9"/>
      <c r="E26" s="7">
        <v>0</v>
      </c>
      <c r="F26" s="8">
        <f>IFERROR(E26/E444, "NA")</f>
        <v>0</v>
      </c>
      <c r="G26" s="9"/>
      <c r="H26" s="10">
        <f t="shared" si="4"/>
        <v>1535.57</v>
      </c>
      <c r="I26" s="8">
        <f>IFERROR(H26/H444, "NA")</f>
        <v>-2.6745641817373666E-2</v>
      </c>
      <c r="J26" s="9"/>
      <c r="K26" s="7">
        <v>444.26</v>
      </c>
      <c r="L26" s="8">
        <f>IFERROR(K26/K444, "NA")</f>
        <v>7.8442988777811058E-4</v>
      </c>
      <c r="M26" s="9"/>
      <c r="N26" s="10">
        <f t="shared" si="5"/>
        <v>1091.31</v>
      </c>
      <c r="O26" s="8">
        <f>IFERROR(N26/N444, "NA")</f>
        <v>2.9392064134603782E-2</v>
      </c>
      <c r="P26" s="9"/>
      <c r="Q26" s="7">
        <v>11530.31</v>
      </c>
      <c r="R26" s="8">
        <f>IFERROR(Q26/Q444, "NA")</f>
        <v>5.0961094433845206E-3</v>
      </c>
      <c r="S26" s="9"/>
      <c r="T26" s="7">
        <v>0</v>
      </c>
      <c r="U26" s="8">
        <f>IFERROR(T26/T444, "NA")</f>
        <v>0</v>
      </c>
      <c r="V26" s="9"/>
      <c r="W26" s="10">
        <f t="shared" si="6"/>
        <v>11530.31</v>
      </c>
      <c r="X26" s="8">
        <f>IFERROR(W26/W444, "NA")</f>
        <v>0.11516300420538372</v>
      </c>
      <c r="Y26" s="9"/>
      <c r="Z26" s="7">
        <v>1973.48</v>
      </c>
      <c r="AA26" s="8">
        <f>IFERROR(Z26/Z444, "NA")</f>
        <v>1.0248794593737483E-3</v>
      </c>
      <c r="AB26" s="9"/>
      <c r="AC26" s="10">
        <f t="shared" si="7"/>
        <v>9556.83</v>
      </c>
      <c r="AD26" s="8">
        <f>IFERROR(AC26/AC444, "NA")</f>
        <v>2.8358687366750051E-2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703.16</v>
      </c>
      <c r="L27" s="8">
        <f>IFERROR(K27/K444, "NA")</f>
        <v>1.2415696211454017E-3</v>
      </c>
      <c r="M27" s="9"/>
      <c r="N27" s="10">
        <f t="shared" si="5"/>
        <v>-703.16</v>
      </c>
      <c r="O27" s="8">
        <f>IFERROR(N27/N444, "NA")</f>
        <v>-1.8938087085143537E-2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2636.8</v>
      </c>
      <c r="AA27" s="8">
        <f>IFERROR(Z27/Z444, "NA")</f>
        <v>1.3693587766162817E-3</v>
      </c>
      <c r="AB27" s="9"/>
      <c r="AC27" s="10">
        <f t="shared" si="7"/>
        <v>-2636.8</v>
      </c>
      <c r="AD27" s="8">
        <f>IFERROR(AC27/AC444, "NA")</f>
        <v>-7.8243713499817971E-3</v>
      </c>
    </row>
    <row r="28" spans="1:30" ht="16.5" customHeight="1" x14ac:dyDescent="0.45">
      <c r="A28" s="12" t="s">
        <v>29</v>
      </c>
      <c r="B28" s="7">
        <v>4300.82</v>
      </c>
      <c r="C28" s="8">
        <f>IFERROR(B28/B444, "NA")</f>
        <v>7.126733556039406E-3</v>
      </c>
      <c r="D28" s="9"/>
      <c r="E28" s="7">
        <v>0</v>
      </c>
      <c r="F28" s="8">
        <f>IFERROR(E28/E444, "NA")</f>
        <v>0</v>
      </c>
      <c r="G28" s="9"/>
      <c r="H28" s="10">
        <f t="shared" si="4"/>
        <v>4300.82</v>
      </c>
      <c r="I28" s="8">
        <f>IFERROR(H28/H444, "NA")</f>
        <v>-7.4909115990151542E-2</v>
      </c>
      <c r="J28" s="9"/>
      <c r="K28" s="7">
        <v>4196.59</v>
      </c>
      <c r="L28" s="8">
        <f>IFERROR(K28/K444, "NA")</f>
        <v>7.4099190175814641E-3</v>
      </c>
      <c r="M28" s="9"/>
      <c r="N28" s="10">
        <f t="shared" si="5"/>
        <v>104.22999999999956</v>
      </c>
      <c r="O28" s="8">
        <f>IFERROR(N28/N444, "NA")</f>
        <v>2.8072086251841725E-3</v>
      </c>
      <c r="P28" s="9"/>
      <c r="Q28" s="7">
        <v>16734.739999999998</v>
      </c>
      <c r="R28" s="8">
        <f>IFERROR(Q28/Q444, "NA")</f>
        <v>7.3963377000778536E-3</v>
      </c>
      <c r="S28" s="9"/>
      <c r="T28" s="7">
        <v>0</v>
      </c>
      <c r="U28" s="8">
        <f>IFERROR(T28/T444, "NA")</f>
        <v>0</v>
      </c>
      <c r="V28" s="9"/>
      <c r="W28" s="10">
        <f t="shared" si="6"/>
        <v>16734.739999999998</v>
      </c>
      <c r="X28" s="8">
        <f>IFERROR(W28/W444, "NA")</f>
        <v>0.16714406923976918</v>
      </c>
      <c r="Y28" s="9"/>
      <c r="Z28" s="7">
        <v>16129.2</v>
      </c>
      <c r="AA28" s="8">
        <f>IFERROR(Z28/Z444, "NA")</f>
        <v>8.3763127957370027E-3</v>
      </c>
      <c r="AB28" s="9"/>
      <c r="AC28" s="10">
        <f t="shared" si="7"/>
        <v>605.53999999999724</v>
      </c>
      <c r="AD28" s="8">
        <f>IFERROR(AC28/AC444, "NA")</f>
        <v>1.796863557064607E-3</v>
      </c>
    </row>
    <row r="29" spans="1:30" ht="16.5" customHeight="1" x14ac:dyDescent="0.45">
      <c r="A29" s="13" t="s">
        <v>30</v>
      </c>
      <c r="B29" s="14">
        <f>IFERROR(B21+B22+B23+B24+B25+B26+B27+B28, "NA")</f>
        <v>48040.1</v>
      </c>
      <c r="C29" s="15">
        <f>IFERROR(B29/B444, "NA")</f>
        <v>7.9605515391364595E-2</v>
      </c>
      <c r="D29" s="2"/>
      <c r="E29" s="14">
        <f>IFERROR(E21+E22+E23+E24+E25+E26+E27+E28, "NA")</f>
        <v>54722.560000000005</v>
      </c>
      <c r="F29" s="15">
        <f>IFERROR(E29/E444, "NA")</f>
        <v>8.2801204380384325E-2</v>
      </c>
      <c r="G29" s="2"/>
      <c r="H29" s="14">
        <f t="shared" si="4"/>
        <v>-6682.4600000000064</v>
      </c>
      <c r="I29" s="15">
        <f>IFERROR(H29/H444, "NA")</f>
        <v>0.11639110012498746</v>
      </c>
      <c r="J29" s="2"/>
      <c r="K29" s="14">
        <f>IFERROR(K21+K22+K23+K24+K25+K26+K27+K28, "NA")</f>
        <v>39590.320000000007</v>
      </c>
      <c r="L29" s="15">
        <f>IFERROR(K29/K444, "NA")</f>
        <v>6.9904628538917504E-2</v>
      </c>
      <c r="M29" s="2"/>
      <c r="N29" s="14">
        <f t="shared" si="5"/>
        <v>8449.7799999999916</v>
      </c>
      <c r="O29" s="15">
        <f>IFERROR(N29/N444, "NA")</f>
        <v>0.22757646835756301</v>
      </c>
      <c r="P29" s="2"/>
      <c r="Q29" s="14">
        <f>IFERROR(Q21+Q22+Q23+Q24+Q25+Q26+Q27+Q28, "NA")</f>
        <v>194267.22</v>
      </c>
      <c r="R29" s="15">
        <f>IFERROR(Q29/Q444, "NA")</f>
        <v>8.5861266035523617E-2</v>
      </c>
      <c r="S29" s="2"/>
      <c r="T29" s="14">
        <f>IFERROR(T21+T22+T23+T24+T25+T26+T27+T28, "NA")</f>
        <v>178631.82</v>
      </c>
      <c r="U29" s="15">
        <f>IFERROR(T29/T444, "NA")</f>
        <v>8.2606240425151953E-2</v>
      </c>
      <c r="V29" s="2"/>
      <c r="W29" s="14">
        <f t="shared" si="6"/>
        <v>15635.399999999994</v>
      </c>
      <c r="X29" s="15">
        <f>IFERROR(W29/W444, "NA")</f>
        <v>0.15616402646180857</v>
      </c>
      <c r="Y29" s="2"/>
      <c r="Z29" s="14">
        <f>IFERROR(Z21+Z22+Z23+Z24+Z25+Z26+Z27+Z28, "NA")</f>
        <v>162339.6</v>
      </c>
      <c r="AA29" s="15">
        <f>IFERROR(Z29/Z444, "NA")</f>
        <v>8.4307173866951038E-2</v>
      </c>
      <c r="AB29" s="2"/>
      <c r="AC29" s="14">
        <f t="shared" si="7"/>
        <v>31927.619999999995</v>
      </c>
      <c r="AD29" s="15">
        <f>IFERROR(AC29/AC444, "NA")</f>
        <v>9.4741184466438783E-2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144191.47999999998</v>
      </c>
      <c r="F31" s="8">
        <f>IFERROR(E31/E444, "NA")</f>
        <v>0.21817744282047652</v>
      </c>
      <c r="G31" s="9"/>
      <c r="H31" s="10">
        <f t="shared" ref="H31:H40" si="8">IFERROR(B31-E31, "NA")</f>
        <v>-144191.47999999998</v>
      </c>
      <c r="I31" s="8">
        <f>IFERROR(H31/H444, "NA")</f>
        <v>2.5114411438078355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470578.70999999996</v>
      </c>
      <c r="U31" s="8">
        <f>IFERROR(T31/T444, "NA")</f>
        <v>0.21761373789517374</v>
      </c>
      <c r="V31" s="9"/>
      <c r="W31" s="10">
        <f t="shared" ref="W31:W40" si="10">IFERROR(Q31-T31, "NA")</f>
        <v>-470578.70999999996</v>
      </c>
      <c r="X31" s="8">
        <f>IFERROR(W31/W444, "NA")</f>
        <v>-4.7000694654952069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51682.259999999995</v>
      </c>
      <c r="C33" s="8">
        <f>IFERROR(B33/B444, "NA")</f>
        <v>8.5640807240003808E-2</v>
      </c>
      <c r="D33" s="9"/>
      <c r="E33" s="7">
        <v>0</v>
      </c>
      <c r="F33" s="8">
        <f>IFERROR(E33/E444, "NA")</f>
        <v>0</v>
      </c>
      <c r="G33" s="9"/>
      <c r="H33" s="10">
        <f t="shared" si="8"/>
        <v>51682.259999999995</v>
      </c>
      <c r="I33" s="8">
        <f>IFERROR(H33/H444, "NA")</f>
        <v>-0.90017076022088094</v>
      </c>
      <c r="J33" s="9"/>
      <c r="K33" s="7">
        <v>33489.14</v>
      </c>
      <c r="L33" s="8">
        <f>IFERROR(K33/K444, "NA")</f>
        <v>5.9131774933564654E-2</v>
      </c>
      <c r="M33" s="9"/>
      <c r="N33" s="10">
        <f t="shared" si="9"/>
        <v>18193.119999999995</v>
      </c>
      <c r="O33" s="8">
        <f>IFERROR(N33/N444, "NA")</f>
        <v>0.4899921652404382</v>
      </c>
      <c r="P33" s="9"/>
      <c r="Q33" s="7">
        <v>218540.13</v>
      </c>
      <c r="R33" s="8">
        <f>IFERROR(Q33/Q444, "NA")</f>
        <v>9.6589286866656743E-2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218540.13</v>
      </c>
      <c r="X33" s="8">
        <f>IFERROR(W33/W444, "NA")</f>
        <v>2.1827459895037604</v>
      </c>
      <c r="Y33" s="9"/>
      <c r="Z33" s="7">
        <v>134801.5</v>
      </c>
      <c r="AA33" s="8">
        <f>IFERROR(Z33/Z444, "NA")</f>
        <v>7.0005922757144901E-2</v>
      </c>
      <c r="AB33" s="9"/>
      <c r="AC33" s="10">
        <f t="shared" si="11"/>
        <v>83738.63</v>
      </c>
      <c r="AD33" s="8">
        <f>IFERROR(AC33/AC444, "NA")</f>
        <v>0.24848382033477179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7272.67</v>
      </c>
      <c r="C35" s="8">
        <f>IFERROR(B35/B444, "NA")</f>
        <v>1.2051278902860644E-2</v>
      </c>
      <c r="D35" s="9"/>
      <c r="E35" s="7">
        <v>0</v>
      </c>
      <c r="F35" s="8">
        <f>IFERROR(E35/E444, "NA")</f>
        <v>0</v>
      </c>
      <c r="G35" s="9"/>
      <c r="H35" s="10">
        <f t="shared" si="8"/>
        <v>7272.67</v>
      </c>
      <c r="I35" s="8">
        <f>IFERROR(H35/H444, "NA")</f>
        <v>-0.12667102566210522</v>
      </c>
      <c r="J35" s="9"/>
      <c r="K35" s="7">
        <v>0</v>
      </c>
      <c r="L35" s="8">
        <f>IFERROR(K35/K444, "NA")</f>
        <v>0</v>
      </c>
      <c r="M35" s="9"/>
      <c r="N35" s="10">
        <f t="shared" si="9"/>
        <v>7272.67</v>
      </c>
      <c r="O35" s="8">
        <f>IFERROR(N35/N444, "NA")</f>
        <v>0.19587356761122771</v>
      </c>
      <c r="P35" s="9"/>
      <c r="Q35" s="7">
        <v>26866.339999999997</v>
      </c>
      <c r="R35" s="8">
        <f>IFERROR(Q35/Q444, "NA")</f>
        <v>1.1874252208585829E-2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26866.339999999997</v>
      </c>
      <c r="X35" s="8">
        <f>IFERROR(W35/W444, "NA")</f>
        <v>0.26833696807833168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26866.339999999997</v>
      </c>
      <c r="AD35" s="8">
        <f>IFERROR(AC35/AC444, "NA")</f>
        <v>7.9722474580882108E-2</v>
      </c>
    </row>
    <row r="36" spans="1:30" ht="16.5" customHeight="1" x14ac:dyDescent="0.45">
      <c r="A36" s="12" t="s">
        <v>36</v>
      </c>
      <c r="B36" s="7">
        <v>59534.42</v>
      </c>
      <c r="C36" s="8">
        <f>IFERROR(B36/B444, "NA")</f>
        <v>9.8652338101418699E-2</v>
      </c>
      <c r="D36" s="9"/>
      <c r="E36" s="7">
        <v>0</v>
      </c>
      <c r="F36" s="8">
        <f>IFERROR(E36/E444, "NA")</f>
        <v>0</v>
      </c>
      <c r="G36" s="9"/>
      <c r="H36" s="10">
        <f t="shared" si="8"/>
        <v>59534.42</v>
      </c>
      <c r="I36" s="8">
        <f>IFERROR(H36/H444, "NA")</f>
        <v>-1.0369349968579009</v>
      </c>
      <c r="J36" s="9"/>
      <c r="K36" s="7">
        <v>46074.390000000007</v>
      </c>
      <c r="L36" s="8">
        <f>IFERROR(K36/K444, "NA")</f>
        <v>8.1353551022250267E-2</v>
      </c>
      <c r="M36" s="9"/>
      <c r="N36" s="10">
        <f t="shared" si="9"/>
        <v>13460.029999999992</v>
      </c>
      <c r="O36" s="8">
        <f>IFERROR(N36/N444, "NA")</f>
        <v>0.36251666805370675</v>
      </c>
      <c r="P36" s="9"/>
      <c r="Q36" s="7">
        <v>287508.59999999998</v>
      </c>
      <c r="R36" s="8">
        <f>IFERROR(Q36/Q444, "NA")</f>
        <v>0.12707163046910819</v>
      </c>
      <c r="S36" s="9"/>
      <c r="T36" s="7">
        <v>0</v>
      </c>
      <c r="U36" s="8">
        <f>IFERROR(T36/T444, "NA")</f>
        <v>0</v>
      </c>
      <c r="V36" s="9"/>
      <c r="W36" s="10">
        <f t="shared" si="10"/>
        <v>287508.59999999998</v>
      </c>
      <c r="X36" s="8">
        <f>IFERROR(W36/W444, "NA")</f>
        <v>2.8715927074713501</v>
      </c>
      <c r="Y36" s="9"/>
      <c r="Z36" s="7">
        <v>166337.74</v>
      </c>
      <c r="AA36" s="8">
        <f>IFERROR(Z36/Z444, "NA")</f>
        <v>8.6383511889986761E-2</v>
      </c>
      <c r="AB36" s="9"/>
      <c r="AC36" s="10">
        <f t="shared" si="11"/>
        <v>121170.85999999999</v>
      </c>
      <c r="AD36" s="8">
        <f>IFERROR(AC36/AC444, "NA")</f>
        <v>0.3595592405327121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6777.7499999999991</v>
      </c>
      <c r="C39" s="8">
        <f>IFERROR(B39/B444, "NA")</f>
        <v>1.1231164838204362E-2</v>
      </c>
      <c r="D39" s="9"/>
      <c r="E39" s="7">
        <v>0</v>
      </c>
      <c r="F39" s="8">
        <f>IFERROR(E39/E444, "NA")</f>
        <v>0</v>
      </c>
      <c r="G39" s="9"/>
      <c r="H39" s="10">
        <f t="shared" si="8"/>
        <v>6777.7499999999991</v>
      </c>
      <c r="I39" s="8">
        <f>IFERROR(H39/H444, "NA")</f>
        <v>-0.11805080447501862</v>
      </c>
      <c r="J39" s="9"/>
      <c r="K39" s="7">
        <v>6784.4100000000008</v>
      </c>
      <c r="L39" s="8">
        <f>IFERROR(K39/K444, "NA")</f>
        <v>1.1979232825239031E-2</v>
      </c>
      <c r="M39" s="9"/>
      <c r="N39" s="10">
        <f t="shared" si="9"/>
        <v>-6.6600000000016735</v>
      </c>
      <c r="O39" s="8">
        <f>IFERROR(N39/N444, "NA")</f>
        <v>-1.7937263209950462E-4</v>
      </c>
      <c r="P39" s="9"/>
      <c r="Q39" s="7">
        <v>22971.23</v>
      </c>
      <c r="R39" s="8">
        <f>IFERROR(Q39/Q444, "NA")</f>
        <v>1.0152710736238472E-2</v>
      </c>
      <c r="S39" s="9"/>
      <c r="T39" s="7">
        <v>0</v>
      </c>
      <c r="U39" s="8">
        <f>IFERROR(T39/T444, "NA")</f>
        <v>0</v>
      </c>
      <c r="V39" s="9"/>
      <c r="W39" s="10">
        <f t="shared" si="10"/>
        <v>22971.23</v>
      </c>
      <c r="X39" s="8">
        <f>IFERROR(W39/W444, "NA")</f>
        <v>0.22943319451886693</v>
      </c>
      <c r="Y39" s="9"/>
      <c r="Z39" s="7">
        <v>23231.730000000003</v>
      </c>
      <c r="AA39" s="8">
        <f>IFERROR(Z39/Z444, "NA")</f>
        <v>1.2064841236149792E-2</v>
      </c>
      <c r="AB39" s="9"/>
      <c r="AC39" s="10">
        <f t="shared" si="11"/>
        <v>-260.50000000000364</v>
      </c>
      <c r="AD39" s="8">
        <f>IFERROR(AC39/AC444, "NA")</f>
        <v>-7.7300088617653464E-4</v>
      </c>
    </row>
    <row r="40" spans="1:30" ht="16.5" customHeight="1" x14ac:dyDescent="0.45">
      <c r="A40" s="13" t="s">
        <v>40</v>
      </c>
      <c r="B40" s="14">
        <f>IFERROR(B31+B32+B33+B34+B35+B36+B37+B38+B39, "NA")</f>
        <v>125267.09999999999</v>
      </c>
      <c r="C40" s="15">
        <f>IFERROR(B40/B444, "NA")</f>
        <v>0.20757558908248749</v>
      </c>
      <c r="D40" s="2"/>
      <c r="E40" s="14">
        <f>IFERROR(E31+E32+E33+E34+E35+E36+E37+E38+E39, "NA")</f>
        <v>144191.47999999998</v>
      </c>
      <c r="F40" s="15">
        <f>IFERROR(E40/E444, "NA")</f>
        <v>0.21817744282047652</v>
      </c>
      <c r="G40" s="2"/>
      <c r="H40" s="14">
        <f t="shared" si="8"/>
        <v>-18924.37999999999</v>
      </c>
      <c r="I40" s="15">
        <f>IFERROR(H40/H444, "NA")</f>
        <v>0.32961355659192976</v>
      </c>
      <c r="J40" s="2"/>
      <c r="K40" s="14">
        <f>IFERROR(K31+K32+K33+K34+K35+K36+K37+K38+K39, "NA")</f>
        <v>86347.94</v>
      </c>
      <c r="L40" s="15">
        <f>IFERROR(K40/K444, "NA")</f>
        <v>0.15246455878105394</v>
      </c>
      <c r="M40" s="2"/>
      <c r="N40" s="14">
        <f t="shared" si="9"/>
        <v>38919.159999999989</v>
      </c>
      <c r="O40" s="15">
        <f>IFERROR(N40/N444, "NA")</f>
        <v>1.0482030282732733</v>
      </c>
      <c r="P40" s="2"/>
      <c r="Q40" s="14">
        <f>IFERROR(Q31+Q32+Q33+Q34+Q35+Q36+Q37+Q38+Q39, "NA")</f>
        <v>555886.29999999993</v>
      </c>
      <c r="R40" s="15">
        <f>IFERROR(Q40/Q444, "NA")</f>
        <v>0.24568788028058922</v>
      </c>
      <c r="S40" s="2"/>
      <c r="T40" s="14">
        <f>IFERROR(T31+T32+T33+T34+T35+T36+T37+T38+T39, "NA")</f>
        <v>470578.70999999996</v>
      </c>
      <c r="U40" s="15">
        <f>IFERROR(T40/T444, "NA")</f>
        <v>0.21761373789517374</v>
      </c>
      <c r="V40" s="2"/>
      <c r="W40" s="14">
        <f t="shared" si="10"/>
        <v>85307.589999999967</v>
      </c>
      <c r="X40" s="15">
        <f>IFERROR(W40/W444, "NA")</f>
        <v>0.85203939407710172</v>
      </c>
      <c r="Y40" s="2"/>
      <c r="Z40" s="14">
        <f>IFERROR(Z31+Z32+Z33+Z34+Z35+Z36+Z37+Z38+Z39, "NA")</f>
        <v>324370.96999999997</v>
      </c>
      <c r="AA40" s="15">
        <f>IFERROR(Z40/Z444, "NA")</f>
        <v>0.16845427588328143</v>
      </c>
      <c r="AB40" s="2"/>
      <c r="AC40" s="14">
        <f t="shared" si="11"/>
        <v>231515.32999999996</v>
      </c>
      <c r="AD40" s="15">
        <f>IFERROR(AC40/AC444, "NA")</f>
        <v>0.68699253456218934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31668.98</v>
      </c>
      <c r="C43" s="8">
        <f>IFERROR(B43/B444, "NA")</f>
        <v>5.2477523461000659E-2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31668.98</v>
      </c>
      <c r="I43" s="8">
        <f>IFERROR(H43/H444, "NA")</f>
        <v>-0.55159139329471807</v>
      </c>
      <c r="J43" s="9"/>
      <c r="K43" s="7">
        <v>11891.220000000001</v>
      </c>
      <c r="L43" s="8">
        <f>IFERROR(K43/K444, "NA")</f>
        <v>2.0996327308658948E-2</v>
      </c>
      <c r="M43" s="9"/>
      <c r="N43" s="10">
        <f>IFERROR(B43-K43, "NA")</f>
        <v>19777.759999999998</v>
      </c>
      <c r="O43" s="8">
        <f>IFERROR(N43/N444, "NA")</f>
        <v>0.53267100123594691</v>
      </c>
      <c r="P43" s="9"/>
      <c r="Q43" s="7">
        <v>117276.05</v>
      </c>
      <c r="R43" s="8">
        <f>IFERROR(Q43/Q444, "NA")</f>
        <v>5.1833089126644062E-2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117276.05</v>
      </c>
      <c r="X43" s="8">
        <f>IFERROR(W43/W444, "NA")</f>
        <v>1.1713355702787516</v>
      </c>
      <c r="Y43" s="9"/>
      <c r="Z43" s="7">
        <v>19902.2</v>
      </c>
      <c r="AA43" s="8">
        <f>IFERROR(Z43/Z444, "NA")</f>
        <v>1.0335729764856099E-2</v>
      </c>
      <c r="AB43" s="9"/>
      <c r="AC43" s="10">
        <f>IFERROR(Q43-Z43, "NA")</f>
        <v>97373.85</v>
      </c>
      <c r="AD43" s="8">
        <f>IFERROR(AC43/AC444, "NA")</f>
        <v>0.28894461551024919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168936.25999999998</v>
      </c>
      <c r="F46" s="8">
        <f>IFERROR(E46/E444, "NA")</f>
        <v>0.25561899500896418</v>
      </c>
      <c r="G46" s="9"/>
      <c r="H46" s="10">
        <f t="shared" ref="H46:H62" si="12">IFERROR(B46-E46, "NA")</f>
        <v>-168936.25999999998</v>
      </c>
      <c r="I46" s="8">
        <f>IFERROR(H46/H444, "NA")</f>
        <v>2.9424309539302733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562270.55000000005</v>
      </c>
      <c r="U46" s="8">
        <f>IFERROR(T46/T444, "NA")</f>
        <v>0.26001557973983819</v>
      </c>
      <c r="V46" s="9"/>
      <c r="W46" s="10">
        <f t="shared" ref="W46:W62" si="14">IFERROR(Q46-T46, "NA")</f>
        <v>-562270.55000000005</v>
      </c>
      <c r="X46" s="8">
        <f>IFERROR(W46/W444, "NA")</f>
        <v>-5.6158737895350104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1096.45</v>
      </c>
      <c r="C47" s="8">
        <f>IFERROR(B47/B444, "NA")</f>
        <v>1.8168877115339419E-3</v>
      </c>
      <c r="D47" s="9"/>
      <c r="E47" s="7">
        <v>0</v>
      </c>
      <c r="F47" s="8">
        <f>IFERROR(E47/E444, "NA")</f>
        <v>0</v>
      </c>
      <c r="G47" s="9"/>
      <c r="H47" s="10">
        <f t="shared" si="12"/>
        <v>1096.45</v>
      </c>
      <c r="I47" s="8">
        <f>IFERROR(H47/H444, "NA")</f>
        <v>-1.9097311728321964E-2</v>
      </c>
      <c r="J47" s="9"/>
      <c r="K47" s="7">
        <v>637.75</v>
      </c>
      <c r="L47" s="8">
        <f>IFERROR(K47/K444, "NA")</f>
        <v>1.1260751832946698E-3</v>
      </c>
      <c r="M47" s="9"/>
      <c r="N47" s="10">
        <f t="shared" si="13"/>
        <v>458.70000000000005</v>
      </c>
      <c r="O47" s="8">
        <f>IFERROR(N47/N444, "NA")</f>
        <v>1.2354088039642958E-2</v>
      </c>
      <c r="P47" s="9"/>
      <c r="Q47" s="7">
        <v>4551.24</v>
      </c>
      <c r="R47" s="8">
        <f>IFERROR(Q47/Q444, "NA")</f>
        <v>2.0115345678571842E-3</v>
      </c>
      <c r="S47" s="9"/>
      <c r="T47" s="7">
        <v>0</v>
      </c>
      <c r="U47" s="8">
        <f>IFERROR(T47/T444, "NA")</f>
        <v>0</v>
      </c>
      <c r="V47" s="9"/>
      <c r="W47" s="10">
        <f t="shared" si="14"/>
        <v>4551.24</v>
      </c>
      <c r="X47" s="8">
        <f>IFERROR(W47/W444, "NA")</f>
        <v>4.5457101436102806E-2</v>
      </c>
      <c r="Y47" s="9"/>
      <c r="Z47" s="7">
        <v>1638.6</v>
      </c>
      <c r="AA47" s="8">
        <f>IFERROR(Z47/Z444, "NA")</f>
        <v>8.5096757105712943E-4</v>
      </c>
      <c r="AB47" s="9"/>
      <c r="AC47" s="10">
        <f t="shared" si="15"/>
        <v>2912.64</v>
      </c>
      <c r="AD47" s="8">
        <f>IFERROR(AC47/AC444, "NA")</f>
        <v>8.6428917509143582E-3</v>
      </c>
    </row>
    <row r="48" spans="1:30" ht="16.5" customHeight="1" x14ac:dyDescent="0.45">
      <c r="A48" s="17" t="s">
        <v>46</v>
      </c>
      <c r="B48" s="7">
        <v>79616.5</v>
      </c>
      <c r="C48" s="8">
        <f>IFERROR(B48/B444, "NA")</f>
        <v>0.13192962787664014</v>
      </c>
      <c r="D48" s="9"/>
      <c r="E48" s="7">
        <v>0</v>
      </c>
      <c r="F48" s="8">
        <f>IFERROR(E48/E444, "NA")</f>
        <v>0</v>
      </c>
      <c r="G48" s="9"/>
      <c r="H48" s="10">
        <f t="shared" si="12"/>
        <v>79616.5</v>
      </c>
      <c r="I48" s="8">
        <f>IFERROR(H48/H444, "NA")</f>
        <v>-1.3867126811235766</v>
      </c>
      <c r="J48" s="9"/>
      <c r="K48" s="7">
        <v>132487.28</v>
      </c>
      <c r="L48" s="8">
        <f>IFERROR(K48/K444, "NA")</f>
        <v>0.23393279201914893</v>
      </c>
      <c r="M48" s="9"/>
      <c r="N48" s="10">
        <f t="shared" si="13"/>
        <v>-52870.78</v>
      </c>
      <c r="O48" s="8">
        <f>IFERROR(N48/N444, "NA")</f>
        <v>-1.4239596050677874</v>
      </c>
      <c r="P48" s="9"/>
      <c r="Q48" s="7">
        <v>337499.94999999995</v>
      </c>
      <c r="R48" s="8">
        <f>IFERROR(Q48/Q444, "NA")</f>
        <v>0.14916656033851677</v>
      </c>
      <c r="S48" s="9"/>
      <c r="T48" s="7">
        <v>0</v>
      </c>
      <c r="U48" s="8">
        <f>IFERROR(T48/T444, "NA")</f>
        <v>0</v>
      </c>
      <c r="V48" s="9"/>
      <c r="W48" s="10">
        <f t="shared" si="14"/>
        <v>337499.94999999995</v>
      </c>
      <c r="X48" s="8">
        <f>IFERROR(W48/W444, "NA")</f>
        <v>3.3708988016078312</v>
      </c>
      <c r="Y48" s="9"/>
      <c r="Z48" s="7">
        <v>383448.55</v>
      </c>
      <c r="AA48" s="8">
        <f>IFERROR(Z48/Z444, "NA")</f>
        <v>0.19913479874214465</v>
      </c>
      <c r="AB48" s="9"/>
      <c r="AC48" s="10">
        <f t="shared" si="15"/>
        <v>-45948.600000000035</v>
      </c>
      <c r="AD48" s="8">
        <f>IFERROR(AC48/AC444, "NA")</f>
        <v>-0.13634667377570309</v>
      </c>
    </row>
    <row r="49" spans="1:30" ht="16.5" customHeight="1" x14ac:dyDescent="0.45">
      <c r="A49" s="17" t="s">
        <v>47</v>
      </c>
      <c r="B49" s="7">
        <v>2177.5299999999997</v>
      </c>
      <c r="C49" s="8">
        <f>IFERROR(B49/B444, "NA")</f>
        <v>3.6083063509476073E-3</v>
      </c>
      <c r="D49" s="9"/>
      <c r="E49" s="7">
        <v>0</v>
      </c>
      <c r="F49" s="8">
        <f>IFERROR(E49/E444, "NA")</f>
        <v>0</v>
      </c>
      <c r="G49" s="9"/>
      <c r="H49" s="10">
        <f t="shared" si="12"/>
        <v>2177.5299999999997</v>
      </c>
      <c r="I49" s="8">
        <f>IFERROR(H49/H444, "NA")</f>
        <v>-3.7926917969604561E-2</v>
      </c>
      <c r="J49" s="9"/>
      <c r="K49" s="7">
        <v>0</v>
      </c>
      <c r="L49" s="8">
        <f>IFERROR(K49/K444, "NA")</f>
        <v>0</v>
      </c>
      <c r="M49" s="9"/>
      <c r="N49" s="10">
        <f t="shared" si="13"/>
        <v>2177.5299999999997</v>
      </c>
      <c r="O49" s="8">
        <f>IFERROR(N49/N444, "NA")</f>
        <v>5.8647040176506918E-2</v>
      </c>
      <c r="P49" s="9"/>
      <c r="Q49" s="7">
        <v>2177.5299999999997</v>
      </c>
      <c r="R49" s="8">
        <f>IFERROR(Q49/Q444, "NA")</f>
        <v>9.6241395038408292E-4</v>
      </c>
      <c r="S49" s="9"/>
      <c r="T49" s="7">
        <v>0</v>
      </c>
      <c r="U49" s="8">
        <f>IFERROR(T49/T444, "NA")</f>
        <v>0</v>
      </c>
      <c r="V49" s="9"/>
      <c r="W49" s="10">
        <f t="shared" si="14"/>
        <v>2177.5299999999997</v>
      </c>
      <c r="X49" s="8">
        <f>IFERROR(W49/W444, "NA")</f>
        <v>2.1748842533058452E-2</v>
      </c>
      <c r="Y49" s="9"/>
      <c r="Z49" s="7">
        <v>410.02</v>
      </c>
      <c r="AA49" s="8">
        <f>IFERROR(Z49/Z444, "NA")</f>
        <v>2.1293404338145014E-4</v>
      </c>
      <c r="AB49" s="9"/>
      <c r="AC49" s="10">
        <f t="shared" si="15"/>
        <v>1767.5099999999998</v>
      </c>
      <c r="AD49" s="8">
        <f>IFERROR(AC49/AC444, "NA")</f>
        <v>5.2448629417499717E-3</v>
      </c>
    </row>
    <row r="50" spans="1:30" ht="16.5" customHeight="1" x14ac:dyDescent="0.45">
      <c r="A50" s="17" t="s">
        <v>48</v>
      </c>
      <c r="B50" s="7">
        <v>905.25</v>
      </c>
      <c r="C50" s="8">
        <f>IFERROR(B50/B444, "NA")</f>
        <v>1.5000570941366236E-3</v>
      </c>
      <c r="D50" s="9"/>
      <c r="E50" s="7">
        <v>0</v>
      </c>
      <c r="F50" s="8">
        <f>IFERROR(E50/E444, "NA")</f>
        <v>0</v>
      </c>
      <c r="G50" s="9"/>
      <c r="H50" s="10">
        <f t="shared" si="12"/>
        <v>905.25</v>
      </c>
      <c r="I50" s="8">
        <f>IFERROR(H50/H444, "NA")</f>
        <v>-1.5767104238281232E-2</v>
      </c>
      <c r="J50" s="9"/>
      <c r="K50" s="7">
        <v>8517.75</v>
      </c>
      <c r="L50" s="8">
        <f>IFERROR(K50/K444, "NA")</f>
        <v>1.5039791285783102E-2</v>
      </c>
      <c r="M50" s="9"/>
      <c r="N50" s="10">
        <f t="shared" si="13"/>
        <v>-7612.5</v>
      </c>
      <c r="O50" s="8">
        <f>IFERROR(N50/N444, "NA")</f>
        <v>-0.20502615042899935</v>
      </c>
      <c r="P50" s="9"/>
      <c r="Q50" s="7">
        <v>6549.92</v>
      </c>
      <c r="R50" s="8">
        <f>IFERROR(Q50/Q444, "NA")</f>
        <v>2.8949012789259909E-3</v>
      </c>
      <c r="S50" s="9"/>
      <c r="T50" s="7">
        <v>0</v>
      </c>
      <c r="U50" s="8">
        <f>IFERROR(T50/T444, "NA")</f>
        <v>0</v>
      </c>
      <c r="V50" s="9"/>
      <c r="W50" s="10">
        <f t="shared" si="14"/>
        <v>6549.92</v>
      </c>
      <c r="X50" s="8">
        <f>IFERROR(W50/W444, "NA")</f>
        <v>6.5419617035875621E-2</v>
      </c>
      <c r="Y50" s="9"/>
      <c r="Z50" s="7">
        <v>11634.84</v>
      </c>
      <c r="AA50" s="8">
        <f>IFERROR(Z50/Z444, "NA")</f>
        <v>6.0422748287796485E-3</v>
      </c>
      <c r="AB50" s="9"/>
      <c r="AC50" s="10">
        <f t="shared" si="15"/>
        <v>-5084.92</v>
      </c>
      <c r="AD50" s="8">
        <f>IFERROR(AC50/AC444, "NA")</f>
        <v>-1.5088858603212015E-2</v>
      </c>
    </row>
    <row r="51" spans="1:30" ht="16.5" customHeight="1" x14ac:dyDescent="0.45">
      <c r="A51" s="17" t="s">
        <v>49</v>
      </c>
      <c r="B51" s="7">
        <v>2657.79</v>
      </c>
      <c r="C51" s="8">
        <f>IFERROR(B51/B444, "NA")</f>
        <v>4.4041278588515618E-3</v>
      </c>
      <c r="D51" s="9"/>
      <c r="E51" s="7">
        <v>0</v>
      </c>
      <c r="F51" s="8">
        <f>IFERROR(E51/E444, "NA")</f>
        <v>0</v>
      </c>
      <c r="G51" s="9"/>
      <c r="H51" s="10">
        <f t="shared" si="12"/>
        <v>2657.79</v>
      </c>
      <c r="I51" s="8">
        <f>IFERROR(H51/H444, "NA")</f>
        <v>-4.6291800025917124E-2</v>
      </c>
      <c r="J51" s="9"/>
      <c r="K51" s="7">
        <v>7974.76</v>
      </c>
      <c r="L51" s="8">
        <f>IFERROR(K51/K444, "NA")</f>
        <v>1.4081033835720895E-2</v>
      </c>
      <c r="M51" s="9"/>
      <c r="N51" s="10">
        <f t="shared" si="13"/>
        <v>-5316.97</v>
      </c>
      <c r="O51" s="8">
        <f>IFERROR(N51/N444, "NA")</f>
        <v>-0.14320103659067018</v>
      </c>
      <c r="P51" s="9"/>
      <c r="Q51" s="7">
        <v>13224.87</v>
      </c>
      <c r="R51" s="8">
        <f>IFERROR(Q51/Q444, "NA")</f>
        <v>5.8450626994879283E-3</v>
      </c>
      <c r="S51" s="9"/>
      <c r="T51" s="7">
        <v>0</v>
      </c>
      <c r="U51" s="8">
        <f>IFERROR(T51/T444, "NA")</f>
        <v>0</v>
      </c>
      <c r="V51" s="9"/>
      <c r="W51" s="10">
        <f t="shared" si="14"/>
        <v>13224.87</v>
      </c>
      <c r="X51" s="8">
        <f>IFERROR(W51/W444, "NA")</f>
        <v>0.13208801492983738</v>
      </c>
      <c r="Y51" s="9"/>
      <c r="Z51" s="7">
        <v>32800.89</v>
      </c>
      <c r="AA51" s="8">
        <f>IFERROR(Z51/Z444, "NA")</f>
        <v>1.7034354749061446E-2</v>
      </c>
      <c r="AB51" s="9"/>
      <c r="AC51" s="10">
        <f t="shared" si="15"/>
        <v>-19576.019999999997</v>
      </c>
      <c r="AD51" s="8">
        <f>IFERROR(AC51/AC444, "NA")</f>
        <v>-5.8089369703682732E-2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62.45</v>
      </c>
      <c r="C54" s="8">
        <f>IFERROR(B54/B444, "NA")</f>
        <v>1.0348364046267013E-4</v>
      </c>
      <c r="D54" s="9"/>
      <c r="E54" s="7">
        <v>0</v>
      </c>
      <c r="F54" s="8">
        <f>IFERROR(E54/E444, "NA")</f>
        <v>0</v>
      </c>
      <c r="G54" s="9"/>
      <c r="H54" s="10">
        <f t="shared" si="12"/>
        <v>62.45</v>
      </c>
      <c r="I54" s="8">
        <f>IFERROR(H54/H444, "NA")</f>
        <v>-1.0877168292523203E-3</v>
      </c>
      <c r="J54" s="9"/>
      <c r="K54" s="7">
        <v>190.5</v>
      </c>
      <c r="L54" s="8">
        <f>IFERROR(K54/K444, "NA")</f>
        <v>3.3636585247767085E-4</v>
      </c>
      <c r="M54" s="9"/>
      <c r="N54" s="10">
        <f t="shared" si="13"/>
        <v>-128.05000000000001</v>
      </c>
      <c r="O54" s="8">
        <f>IFERROR(N54/N444, "NA")</f>
        <v>-3.4487485796299996E-3</v>
      </c>
      <c r="P54" s="9"/>
      <c r="Q54" s="7">
        <v>62.45</v>
      </c>
      <c r="R54" s="8">
        <f>IFERROR(Q54/Q444, "NA")</f>
        <v>2.7601342439133326E-5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62.45</v>
      </c>
      <c r="X54" s="8">
        <f>IFERROR(W54/W444, "NA")</f>
        <v>6.2374121880731865E-4</v>
      </c>
      <c r="Y54" s="9"/>
      <c r="Z54" s="7">
        <v>502.8</v>
      </c>
      <c r="AA54" s="8">
        <f>IFERROR(Z54/Z444, "NA")</f>
        <v>2.6111710895125394E-4</v>
      </c>
      <c r="AB54" s="9"/>
      <c r="AC54" s="10">
        <f t="shared" si="15"/>
        <v>-440.35</v>
      </c>
      <c r="AD54" s="8">
        <f>IFERROR(AC54/AC444, "NA")</f>
        <v>-1.3066830718918706E-3</v>
      </c>
    </row>
    <row r="55" spans="1:30" ht="16.5" customHeight="1" x14ac:dyDescent="0.45">
      <c r="A55" s="17" t="s">
        <v>53</v>
      </c>
      <c r="B55" s="7">
        <v>720.01</v>
      </c>
      <c r="C55" s="8">
        <f>IFERROR(B55/B444, "NA")</f>
        <v>1.1931025775744936E-3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720.01</v>
      </c>
      <c r="I55" s="8">
        <f>IFERROR(H55/H444, "NA")</f>
        <v>-1.2540704471256416E-2</v>
      </c>
      <c r="J55" s="9"/>
      <c r="K55" s="7">
        <v>487.49</v>
      </c>
      <c r="L55" s="8">
        <f>IFERROR(K55/K444, "NA")</f>
        <v>8.6076109934036626E-4</v>
      </c>
      <c r="M55" s="9"/>
      <c r="N55" s="10">
        <f t="shared" si="13"/>
        <v>232.51999999999998</v>
      </c>
      <c r="O55" s="8">
        <f>IFERROR(N55/N444, "NA")</f>
        <v>6.2624210834483982E-3</v>
      </c>
      <c r="P55" s="9"/>
      <c r="Q55" s="7">
        <v>1713.18</v>
      </c>
      <c r="R55" s="8">
        <f>IFERROR(Q55/Q444, "NA")</f>
        <v>7.5718283170335356E-4</v>
      </c>
      <c r="S55" s="9"/>
      <c r="T55" s="7">
        <v>0</v>
      </c>
      <c r="U55" s="8">
        <f>IFERROR(T55/T444, "NA")</f>
        <v>0</v>
      </c>
      <c r="V55" s="9"/>
      <c r="W55" s="10">
        <f t="shared" si="14"/>
        <v>1713.18</v>
      </c>
      <c r="X55" s="8">
        <f>IFERROR(W55/W444, "NA")</f>
        <v>1.7110984487371049E-2</v>
      </c>
      <c r="Y55" s="9"/>
      <c r="Z55" s="7">
        <v>1844.1</v>
      </c>
      <c r="AA55" s="8">
        <f>IFERROR(Z55/Z444, "NA")</f>
        <v>9.5768906248410368E-4</v>
      </c>
      <c r="AB55" s="9"/>
      <c r="AC55" s="10">
        <f t="shared" si="15"/>
        <v>-130.91999999999985</v>
      </c>
      <c r="AD55" s="8">
        <f>IFERROR(AC55/AC444, "NA")</f>
        <v>-3.8848858356326443E-4</v>
      </c>
    </row>
    <row r="56" spans="1:30" ht="16.5" customHeight="1" x14ac:dyDescent="0.45">
      <c r="A56" s="17" t="s">
        <v>54</v>
      </c>
      <c r="B56" s="7">
        <v>139.60000000000002</v>
      </c>
      <c r="C56" s="8">
        <f>IFERROR(B56/B444, "NA")</f>
        <v>2.3132612023360694E-4</v>
      </c>
      <c r="D56" s="9"/>
      <c r="E56" s="7">
        <v>0</v>
      </c>
      <c r="F56" s="8">
        <f>IFERROR(E56/E444, "NA")</f>
        <v>0</v>
      </c>
      <c r="G56" s="9"/>
      <c r="H56" s="10">
        <f t="shared" si="12"/>
        <v>139.60000000000002</v>
      </c>
      <c r="I56" s="8">
        <f>IFERROR(H56/H444, "NA")</f>
        <v>-2.4314694854063079E-3</v>
      </c>
      <c r="J56" s="9"/>
      <c r="K56" s="7">
        <v>0</v>
      </c>
      <c r="L56" s="8">
        <f>IFERROR(K56/K444, "NA")</f>
        <v>0</v>
      </c>
      <c r="M56" s="9"/>
      <c r="N56" s="10">
        <f t="shared" si="13"/>
        <v>139.60000000000002</v>
      </c>
      <c r="O56" s="8">
        <f>IFERROR(N56/N444, "NA")</f>
        <v>3.7598227389015852E-3</v>
      </c>
      <c r="P56" s="9"/>
      <c r="Q56" s="7">
        <v>139.60000000000002</v>
      </c>
      <c r="R56" s="8">
        <f>IFERROR(Q56/Q444, "NA")</f>
        <v>6.1699718246645516E-5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139.60000000000002</v>
      </c>
      <c r="X56" s="8">
        <f>IFERROR(W56/W444, "NA")</f>
        <v>1.3943038293915402E-3</v>
      </c>
      <c r="Y56" s="9"/>
      <c r="Z56" s="7">
        <v>1660.6100000000001</v>
      </c>
      <c r="AA56" s="8">
        <f>IFERROR(Z56/Z444, "NA")</f>
        <v>8.6239793614865121E-4</v>
      </c>
      <c r="AB56" s="9"/>
      <c r="AC56" s="10">
        <f t="shared" si="15"/>
        <v>-1521.0100000000002</v>
      </c>
      <c r="AD56" s="8">
        <f>IFERROR(AC56/AC444, "NA")</f>
        <v>-4.5134052893794812E-3</v>
      </c>
    </row>
    <row r="57" spans="1:30" ht="16.5" customHeight="1" x14ac:dyDescent="0.45">
      <c r="A57" s="17" t="s">
        <v>55</v>
      </c>
      <c r="B57" s="7">
        <v>1372.11</v>
      </c>
      <c r="C57" s="8">
        <f>IFERROR(B57/B444, "NA")</f>
        <v>2.2736739458003893E-3</v>
      </c>
      <c r="D57" s="9"/>
      <c r="E57" s="7">
        <v>0</v>
      </c>
      <c r="F57" s="8">
        <f>IFERROR(E57/E444, "NA")</f>
        <v>0</v>
      </c>
      <c r="G57" s="9"/>
      <c r="H57" s="10">
        <f t="shared" si="12"/>
        <v>1372.11</v>
      </c>
      <c r="I57" s="8">
        <f>IFERROR(H57/H444, "NA")</f>
        <v>-2.3898593091839889E-2</v>
      </c>
      <c r="J57" s="9"/>
      <c r="K57" s="7">
        <v>3965.94</v>
      </c>
      <c r="L57" s="8">
        <f>IFERROR(K57/K444, "NA")</f>
        <v>7.0026603095815956E-3</v>
      </c>
      <c r="M57" s="9"/>
      <c r="N57" s="10">
        <f t="shared" si="13"/>
        <v>-2593.83</v>
      </c>
      <c r="O57" s="8">
        <f>IFERROR(N57/N444, "NA")</f>
        <v>-6.9859176324105279E-2</v>
      </c>
      <c r="P57" s="9"/>
      <c r="Q57" s="7">
        <v>3139.49</v>
      </c>
      <c r="R57" s="8">
        <f>IFERROR(Q57/Q444, "NA")</f>
        <v>1.387576278210323E-3</v>
      </c>
      <c r="S57" s="9"/>
      <c r="T57" s="7">
        <v>0</v>
      </c>
      <c r="U57" s="8">
        <f>IFERROR(T57/T444, "NA")</f>
        <v>0</v>
      </c>
      <c r="V57" s="9"/>
      <c r="W57" s="10">
        <f t="shared" si="14"/>
        <v>3139.49</v>
      </c>
      <c r="X57" s="8">
        <f>IFERROR(W57/W444, "NA")</f>
        <v>3.1356754508140725E-2</v>
      </c>
      <c r="Y57" s="9"/>
      <c r="Z57" s="7">
        <v>12738.44</v>
      </c>
      <c r="AA57" s="8">
        <f>IFERROR(Z57/Z444, "NA")</f>
        <v>6.6154029939320029E-3</v>
      </c>
      <c r="AB57" s="9"/>
      <c r="AC57" s="10">
        <f t="shared" si="15"/>
        <v>-9598.9500000000007</v>
      </c>
      <c r="AD57" s="8">
        <f>IFERROR(AC57/AC444, "NA")</f>
        <v>-2.8483673153029344E-2</v>
      </c>
    </row>
    <row r="58" spans="1:30" ht="16.5" customHeight="1" x14ac:dyDescent="0.45">
      <c r="A58" s="17" t="s">
        <v>56</v>
      </c>
      <c r="B58" s="7">
        <v>87.5</v>
      </c>
      <c r="C58" s="8">
        <f>IFERROR(B58/B444, "NA")</f>
        <v>1.4499309112063469E-4</v>
      </c>
      <c r="D58" s="9"/>
      <c r="E58" s="7">
        <v>0</v>
      </c>
      <c r="F58" s="8">
        <f>IFERROR(E58/E444, "NA")</f>
        <v>0</v>
      </c>
      <c r="G58" s="9"/>
      <c r="H58" s="10">
        <f t="shared" si="12"/>
        <v>87.5</v>
      </c>
      <c r="I58" s="8">
        <f>IFERROR(H58/H444, "NA")</f>
        <v>-1.5240227791765897E-3</v>
      </c>
      <c r="J58" s="9"/>
      <c r="K58" s="7">
        <v>0</v>
      </c>
      <c r="L58" s="8">
        <f>IFERROR(K58/K444, "NA")</f>
        <v>0</v>
      </c>
      <c r="M58" s="9"/>
      <c r="N58" s="10">
        <f t="shared" si="13"/>
        <v>87.5</v>
      </c>
      <c r="O58" s="8">
        <f>IFERROR(N58/N444, "NA")</f>
        <v>2.3566224187241305E-3</v>
      </c>
      <c r="P58" s="9"/>
      <c r="Q58" s="7">
        <v>135</v>
      </c>
      <c r="R58" s="8">
        <f>IFERROR(Q58/Q444, "NA")</f>
        <v>5.9666632974907902E-5</v>
      </c>
      <c r="S58" s="9"/>
      <c r="T58" s="7">
        <v>0</v>
      </c>
      <c r="U58" s="8">
        <f>IFERROR(T58/T444, "NA")</f>
        <v>0</v>
      </c>
      <c r="V58" s="9"/>
      <c r="W58" s="10">
        <f t="shared" si="14"/>
        <v>135</v>
      </c>
      <c r="X58" s="8">
        <f>IFERROR(W58/W444, "NA")</f>
        <v>1.3483597204001282E-3</v>
      </c>
      <c r="Y58" s="9"/>
      <c r="Z58" s="7">
        <v>2506.1999999999998</v>
      </c>
      <c r="AA58" s="8">
        <f>IFERROR(Z58/Z444, "NA")</f>
        <v>1.3015348020159756E-3</v>
      </c>
      <c r="AB58" s="9"/>
      <c r="AC58" s="10">
        <f t="shared" si="15"/>
        <v>-2371.1999999999998</v>
      </c>
      <c r="AD58" s="8">
        <f>IFERROR(AC58/AC444, "NA")</f>
        <v>-7.036236857204504E-3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873.15</v>
      </c>
      <c r="L59" s="8">
        <f>IFERROR(K59/K444, "NA")</f>
        <v>1.5417209663563167E-3</v>
      </c>
      <c r="M59" s="9"/>
      <c r="N59" s="10">
        <f t="shared" si="13"/>
        <v>-873.15</v>
      </c>
      <c r="O59" s="8">
        <f>IFERROR(N59/N444, "NA")</f>
        <v>-2.3516398456102566E-2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2292.6</v>
      </c>
      <c r="AA59" s="8">
        <f>IFERROR(Z59/Z444, "NA")</f>
        <v>1.1906067700510037E-3</v>
      </c>
      <c r="AB59" s="9"/>
      <c r="AC59" s="10">
        <f t="shared" si="15"/>
        <v>-2292.6</v>
      </c>
      <c r="AD59" s="8">
        <f>IFERROR(AC59/AC444, "NA")</f>
        <v>-6.8030012731220679E-3</v>
      </c>
    </row>
    <row r="60" spans="1:30" ht="16.5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14.1</v>
      </c>
      <c r="L60" s="8">
        <f>IFERROR(K60/K444, "NA")</f>
        <v>2.4896370183386664E-5</v>
      </c>
      <c r="M60" s="9"/>
      <c r="N60" s="10">
        <f t="shared" si="13"/>
        <v>-14.1</v>
      </c>
      <c r="O60" s="8">
        <f>IFERROR(N60/N444, "NA")</f>
        <v>-3.7975286976011703E-4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116.96</v>
      </c>
      <c r="AA60" s="8">
        <f>IFERROR(Z60/Z444, "NA")</f>
        <v>6.0740368064714914E-5</v>
      </c>
      <c r="AB60" s="9"/>
      <c r="AC60" s="10">
        <f t="shared" si="15"/>
        <v>-116.96</v>
      </c>
      <c r="AD60" s="8">
        <f>IFERROR(AC60/AC444, "NA")</f>
        <v>-3.4706404471096443E-4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88835.189999999988</v>
      </c>
      <c r="C61" s="15">
        <f>IFERROR(B61/B444, "NA")</f>
        <v>0.14720558626730165</v>
      </c>
      <c r="D61" s="2"/>
      <c r="E61" s="14">
        <f>IFERROR(E46+E47+E48+E49+E50+E51+E52+E53+E54+E55+E56+E57+E58+E59+E60, "NA")</f>
        <v>168936.25999999998</v>
      </c>
      <c r="F61" s="15">
        <f>IFERROR(E61/E444, "NA")</f>
        <v>0.25561899500896418</v>
      </c>
      <c r="G61" s="2"/>
      <c r="H61" s="14">
        <f t="shared" si="12"/>
        <v>-80101.069999999992</v>
      </c>
      <c r="I61" s="15">
        <f>IFERROR(H61/H444, "NA")</f>
        <v>1.3951526321876404</v>
      </c>
      <c r="J61" s="2"/>
      <c r="K61" s="14">
        <f>IFERROR(K46+K47+K48+K49+K50+K51+K52+K53+K54+K55+K56+K57+K58+K59+K60, "NA")</f>
        <v>155148.72</v>
      </c>
      <c r="L61" s="15">
        <f>IFERROR(K61/K444, "NA")</f>
        <v>0.27394609692188693</v>
      </c>
      <c r="M61" s="2"/>
      <c r="N61" s="14">
        <f t="shared" si="13"/>
        <v>-66313.530000000013</v>
      </c>
      <c r="O61" s="15">
        <f>IFERROR(N61/N444, "NA")</f>
        <v>-1.7860108738598313</v>
      </c>
      <c r="P61" s="2"/>
      <c r="Q61" s="14">
        <f>IFERROR(Q46+Q47+Q48+Q49+Q50+Q51+Q52+Q53+Q54+Q55+Q56+Q57+Q58+Q59+Q60, "NA")</f>
        <v>369193.22999999992</v>
      </c>
      <c r="R61" s="15">
        <f>IFERROR(Q61/Q444, "NA")</f>
        <v>0.16317419963874633</v>
      </c>
      <c r="S61" s="2"/>
      <c r="T61" s="14">
        <f>IFERROR(T46+T47+T48+T49+T50+T51+T52+T53+T54+T55+T56+T57+T58+T59+T60, "NA")</f>
        <v>562270.55000000005</v>
      </c>
      <c r="U61" s="15">
        <f>IFERROR(T61/T444, "NA")</f>
        <v>0.26001557973983819</v>
      </c>
      <c r="V61" s="2"/>
      <c r="W61" s="14">
        <f t="shared" si="14"/>
        <v>-193077.32000000012</v>
      </c>
      <c r="X61" s="15">
        <f>IFERROR(W61/W444, "NA")</f>
        <v>-1.9284272682281944</v>
      </c>
      <c r="Y61" s="2"/>
      <c r="Z61" s="14">
        <f>IFERROR(Z46+Z47+Z48+Z49+Z50+Z51+Z52+Z53+Z54+Z55+Z56+Z57+Z58+Z59+Z60, "NA")</f>
        <v>451594.61</v>
      </c>
      <c r="AA61" s="15">
        <f>IFERROR(Z61/Z444, "NA")</f>
        <v>0.23452481897607202</v>
      </c>
      <c r="AB61" s="2"/>
      <c r="AC61" s="14">
        <f t="shared" si="15"/>
        <v>-82401.380000000063</v>
      </c>
      <c r="AD61" s="15">
        <f>IFERROR(AC61/AC444, "NA")</f>
        <v>-0.2445156996628351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120504.16999999998</v>
      </c>
      <c r="C62" s="15">
        <f>IFERROR(B62/B444, "NA")</f>
        <v>0.1996831097283023</v>
      </c>
      <c r="D62" s="2"/>
      <c r="E62" s="14">
        <f>IFERROR(E42+E43+E44+E46+E47+E48+E49+E50+E51+E52+E53+E54+E55+E56+E57+E58+E59+E60, "NA")</f>
        <v>168936.25999999998</v>
      </c>
      <c r="F62" s="15">
        <f>IFERROR(E62/E444, "NA")</f>
        <v>0.25561899500896418</v>
      </c>
      <c r="G62" s="2"/>
      <c r="H62" s="14">
        <f t="shared" si="12"/>
        <v>-48432.09</v>
      </c>
      <c r="I62" s="15">
        <f>IFERROR(H62/H444, "NA")</f>
        <v>0.84356123889292245</v>
      </c>
      <c r="J62" s="2"/>
      <c r="K62" s="14">
        <f>IFERROR(K42+K43+K44+K46+K47+K48+K49+K50+K51+K52+K53+K54+K55+K56+K57+K58+K59+K60, "NA")</f>
        <v>167039.94</v>
      </c>
      <c r="L62" s="15">
        <f>IFERROR(K62/K444, "NA")</f>
        <v>0.2949424242305459</v>
      </c>
      <c r="M62" s="2"/>
      <c r="N62" s="14">
        <f t="shared" si="13"/>
        <v>-46535.770000000019</v>
      </c>
      <c r="O62" s="15">
        <f>IFERROR(N62/N444, "NA")</f>
        <v>-1.2533398726238842</v>
      </c>
      <c r="P62" s="2"/>
      <c r="Q62" s="14">
        <f>IFERROR(Q42+Q43+Q44+Q46+Q47+Q48+Q49+Q50+Q51+Q52+Q53+Q54+Q55+Q56+Q57+Q58+Q59+Q60, "NA")</f>
        <v>486469.27999999997</v>
      </c>
      <c r="R62" s="15">
        <f>IFERROR(Q62/Q444, "NA")</f>
        <v>0.21500728876539041</v>
      </c>
      <c r="S62" s="2"/>
      <c r="T62" s="14">
        <f>IFERROR(T42+T43+T44+T46+T47+T48+T49+T50+T51+T52+T53+T54+T55+T56+T57+T58+T59+T60, "NA")</f>
        <v>562270.55000000005</v>
      </c>
      <c r="U62" s="15">
        <f>IFERROR(T62/T444, "NA")</f>
        <v>0.26001557973983819</v>
      </c>
      <c r="V62" s="2"/>
      <c r="W62" s="14">
        <f t="shared" si="14"/>
        <v>-75801.270000000077</v>
      </c>
      <c r="X62" s="15">
        <f>IFERROR(W62/W444, "NA")</f>
        <v>-0.75709169794944242</v>
      </c>
      <c r="Y62" s="2"/>
      <c r="Z62" s="14">
        <f>IFERROR(Z42+Z43+Z44+Z46+Z47+Z48+Z49+Z50+Z51+Z52+Z53+Z54+Z55+Z56+Z57+Z58+Z59+Z60, "NA")</f>
        <v>471496.81</v>
      </c>
      <c r="AA62" s="15">
        <f>IFERROR(Z62/Z444, "NA")</f>
        <v>0.24486054874092814</v>
      </c>
      <c r="AB62" s="2"/>
      <c r="AC62" s="14">
        <f t="shared" si="15"/>
        <v>14972.469999999972</v>
      </c>
      <c r="AD62" s="15">
        <f>IFERROR(AC62/AC444, "NA")</f>
        <v>4.4428915847414194E-2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10130.929999999998</v>
      </c>
      <c r="C65" s="8">
        <f>IFERROR(B65/B444, "NA")</f>
        <v>1.6787598361448816E-2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10130.929999999998</v>
      </c>
      <c r="I65" s="8">
        <f>IFERROR(H65/H444, "NA")</f>
        <v>-0.17645449250563983</v>
      </c>
      <c r="J65" s="9"/>
      <c r="K65" s="7">
        <v>364.71</v>
      </c>
      <c r="L65" s="8">
        <f>IFERROR(K65/K444, "NA")</f>
        <v>6.4396845174347159E-4</v>
      </c>
      <c r="M65" s="9"/>
      <c r="N65" s="10">
        <f t="shared" si="17"/>
        <v>9766.2199999999993</v>
      </c>
      <c r="O65" s="8">
        <f>IFERROR(N65/N444, "NA")</f>
        <v>0.26303191997933689</v>
      </c>
      <c r="P65" s="9"/>
      <c r="Q65" s="7">
        <v>16798.91</v>
      </c>
      <c r="R65" s="8">
        <f>IFERROR(Q65/Q444, "NA")</f>
        <v>7.4246992396185939E-3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16798.91</v>
      </c>
      <c r="X65" s="8">
        <f>IFERROR(W65/W444, "NA")</f>
        <v>0.16778498956019938</v>
      </c>
      <c r="Y65" s="9"/>
      <c r="Z65" s="7">
        <v>832.95</v>
      </c>
      <c r="AA65" s="8">
        <f>IFERROR(Z65/Z444, "NA")</f>
        <v>4.3257258532407907E-4</v>
      </c>
      <c r="AB65" s="9"/>
      <c r="AC65" s="10">
        <f t="shared" si="19"/>
        <v>15965.96</v>
      </c>
      <c r="AD65" s="8">
        <f>IFERROR(AC65/AC444, "NA")</f>
        <v>4.7376972086982466E-2</v>
      </c>
    </row>
    <row r="66" spans="1:30" ht="16.5" customHeight="1" x14ac:dyDescent="0.45">
      <c r="A66" s="12" t="s">
        <v>63</v>
      </c>
      <c r="B66" s="7">
        <v>29778.210000000003</v>
      </c>
      <c r="C66" s="8">
        <f>IFERROR(B66/B444, "NA")</f>
        <v>4.9344396753593089E-2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29778.210000000003</v>
      </c>
      <c r="I66" s="8">
        <f>IFERROR(H66/H444, "NA")</f>
        <v>-0.51865908986404707</v>
      </c>
      <c r="J66" s="9"/>
      <c r="K66" s="7">
        <v>12568.54</v>
      </c>
      <c r="L66" s="8">
        <f>IFERROR(K66/K444, "NA")</f>
        <v>2.2192271241468272E-2</v>
      </c>
      <c r="M66" s="9"/>
      <c r="N66" s="10">
        <f t="shared" si="17"/>
        <v>17209.670000000002</v>
      </c>
      <c r="O66" s="8">
        <f>IFERROR(N66/N444, "NA")</f>
        <v>0.46350507589536127</v>
      </c>
      <c r="P66" s="9"/>
      <c r="Q66" s="7">
        <v>70801.94</v>
      </c>
      <c r="R66" s="8">
        <f>IFERROR(Q66/Q444, "NA")</f>
        <v>3.1292691614010749E-2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70801.94</v>
      </c>
      <c r="X66" s="8">
        <f>IFERROR(W66/W444, "NA")</f>
        <v>0.70715914090508636</v>
      </c>
      <c r="Y66" s="9"/>
      <c r="Z66" s="7">
        <v>38905.78</v>
      </c>
      <c r="AA66" s="8">
        <f>IFERROR(Z66/Z444, "NA")</f>
        <v>2.0204782806470794E-2</v>
      </c>
      <c r="AB66" s="9"/>
      <c r="AC66" s="10">
        <f t="shared" si="19"/>
        <v>31896.160000000003</v>
      </c>
      <c r="AD66" s="8">
        <f>IFERROR(AC66/AC444, "NA")</f>
        <v>9.4647830885328965E-2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4.3679290150575633E-3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9.8707422420624941E-2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2.9325813849754478E-2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39909.14</v>
      </c>
      <c r="C73" s="15">
        <f>IFERROR(B73/B444, "NA")</f>
        <v>6.6131995115041906E-2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39909.14</v>
      </c>
      <c r="I73" s="15">
        <f>IFERROR(H73/H444, "NA")</f>
        <v>-0.6951135823696869</v>
      </c>
      <c r="J73" s="2"/>
      <c r="K73" s="14">
        <f>IFERROR(K64+K65+K66+K67+K68+K69+K70+K71+K72, "NA")</f>
        <v>12933.25</v>
      </c>
      <c r="L73" s="15">
        <f>IFERROR(K73/K444, "NA")</f>
        <v>2.2836239693211743E-2</v>
      </c>
      <c r="M73" s="2"/>
      <c r="N73" s="14">
        <f t="shared" si="17"/>
        <v>26975.89</v>
      </c>
      <c r="O73" s="15">
        <f>IFERROR(N73/N444, "NA")</f>
        <v>0.72653699587469811</v>
      </c>
      <c r="P73" s="2"/>
      <c r="Q73" s="14">
        <f>IFERROR(Q64+Q65+Q66+Q67+Q68+Q69+Q70+Q71+Q72, "NA")</f>
        <v>97483.6</v>
      </c>
      <c r="R73" s="15">
        <f>IFERROR(Q73/Q444, "NA")</f>
        <v>4.3085319868686911E-2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97483.6</v>
      </c>
      <c r="X73" s="15">
        <f>IFERROR(W73/W444, "NA")</f>
        <v>0.97365155288591076</v>
      </c>
      <c r="Y73" s="2"/>
      <c r="Z73" s="14">
        <f>IFERROR(Z64+Z65+Z66+Z67+Z68+Z69+Z70+Z71+Z72, "NA")</f>
        <v>39738.729999999996</v>
      </c>
      <c r="AA73" s="15">
        <f>IFERROR(Z73/Z444, "NA")</f>
        <v>2.0637355391794874E-2</v>
      </c>
      <c r="AB73" s="2"/>
      <c r="AC73" s="14">
        <f t="shared" si="19"/>
        <v>57744.87000000001</v>
      </c>
      <c r="AD73" s="15">
        <f>IFERROR(AC73/AC444, "NA")</f>
        <v>0.17135061682206593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11668.78</v>
      </c>
      <c r="F75" s="8">
        <f>IFERROR(E75/E444, "NA")</f>
        <v>1.7656137389218285E-2</v>
      </c>
      <c r="G75" s="9"/>
      <c r="H75" s="10">
        <f t="shared" ref="H75:H92" si="20">IFERROR(B75-E75, "NA")</f>
        <v>-11668.78</v>
      </c>
      <c r="I75" s="8">
        <f>IFERROR(H75/H444, "NA")</f>
        <v>0.20323984600228809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38608.199999999997</v>
      </c>
      <c r="U75" s="8">
        <f>IFERROR(T75/T444, "NA")</f>
        <v>1.7853920155895805E-2</v>
      </c>
      <c r="V75" s="9"/>
      <c r="W75" s="10">
        <f t="shared" ref="W75:W92" si="22">IFERROR(Q75-T75, "NA")</f>
        <v>-38608.199999999997</v>
      </c>
      <c r="X75" s="8">
        <f>IFERROR(W75/W444, "NA")</f>
        <v>-0.38561290190483133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2649.3700000000003</v>
      </c>
      <c r="C77" s="8">
        <f>IFERROR(B77/B444, "NA")</f>
        <v>4.390175380826011E-3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2649.3700000000003</v>
      </c>
      <c r="I77" s="8">
        <f>IFERROR(H77/H444, "NA")</f>
        <v>-4.6145145491052364E-2</v>
      </c>
      <c r="J77" s="9"/>
      <c r="K77" s="7">
        <v>454.48</v>
      </c>
      <c r="L77" s="8">
        <f>IFERROR(K77/K444, "NA")</f>
        <v>8.0247534191103342E-4</v>
      </c>
      <c r="M77" s="9"/>
      <c r="N77" s="10">
        <f t="shared" si="21"/>
        <v>2194.8900000000003</v>
      </c>
      <c r="O77" s="8">
        <f>IFERROR(N77/N444, "NA")</f>
        <v>5.9114594064381805E-2</v>
      </c>
      <c r="P77" s="9"/>
      <c r="Q77" s="7">
        <v>9506.2000000000007</v>
      </c>
      <c r="R77" s="8">
        <f>IFERROR(Q77/Q444, "NA")</f>
        <v>4.2015033065634783E-3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9506.2000000000007</v>
      </c>
      <c r="X77" s="8">
        <f>IFERROR(W77/W444, "NA")</f>
        <v>9.4946497585686671E-2</v>
      </c>
      <c r="Y77" s="9"/>
      <c r="Z77" s="7">
        <v>1731.21</v>
      </c>
      <c r="AA77" s="8">
        <f>IFERROR(Z77/Z444, "NA")</f>
        <v>8.9906235120823454E-4</v>
      </c>
      <c r="AB77" s="9"/>
      <c r="AC77" s="10">
        <f t="shared" si="23"/>
        <v>7774.9900000000007</v>
      </c>
      <c r="AD77" s="8">
        <f>IFERROR(AC77/AC444, "NA")</f>
        <v>2.3071301957825766E-2</v>
      </c>
    </row>
    <row r="78" spans="1:30" ht="16.5" customHeight="1" x14ac:dyDescent="0.45">
      <c r="A78" s="12" t="s">
        <v>74</v>
      </c>
      <c r="B78" s="7">
        <v>25</v>
      </c>
      <c r="C78" s="8">
        <f>IFERROR(B78/B444, "NA")</f>
        <v>4.1426597463038481E-5</v>
      </c>
      <c r="D78" s="9"/>
      <c r="E78" s="7">
        <v>0</v>
      </c>
      <c r="F78" s="8">
        <f>IFERROR(E78/E444, "NA")</f>
        <v>0</v>
      </c>
      <c r="G78" s="9"/>
      <c r="H78" s="10">
        <f t="shared" si="20"/>
        <v>25</v>
      </c>
      <c r="I78" s="8">
        <f>IFERROR(H78/H444, "NA")</f>
        <v>-4.3543507976473992E-4</v>
      </c>
      <c r="J78" s="9"/>
      <c r="K78" s="7">
        <v>75</v>
      </c>
      <c r="L78" s="8">
        <f>IFERROR(K78/K444, "NA")</f>
        <v>1.3242750097546097E-4</v>
      </c>
      <c r="M78" s="9"/>
      <c r="N78" s="10">
        <f t="shared" si="21"/>
        <v>-50</v>
      </c>
      <c r="O78" s="8">
        <f>IFERROR(N78/N444, "NA")</f>
        <v>-1.3466413821280746E-3</v>
      </c>
      <c r="P78" s="9"/>
      <c r="Q78" s="7">
        <v>225</v>
      </c>
      <c r="R78" s="8">
        <f>IFERROR(Q78/Q444, "NA")</f>
        <v>9.9444388291513179E-5</v>
      </c>
      <c r="S78" s="9"/>
      <c r="T78" s="7">
        <v>0</v>
      </c>
      <c r="U78" s="8">
        <f>IFERROR(T78/T444, "NA")</f>
        <v>0</v>
      </c>
      <c r="V78" s="9"/>
      <c r="W78" s="10">
        <f t="shared" si="22"/>
        <v>225</v>
      </c>
      <c r="X78" s="8">
        <f>IFERROR(W78/W444, "NA")</f>
        <v>2.2472662006668802E-3</v>
      </c>
      <c r="Y78" s="9"/>
      <c r="Z78" s="7">
        <v>200</v>
      </c>
      <c r="AA78" s="8">
        <f>IFERROR(Z78/Z444, "NA")</f>
        <v>1.0386519846907475E-4</v>
      </c>
      <c r="AB78" s="9"/>
      <c r="AC78" s="10">
        <f t="shared" si="23"/>
        <v>25</v>
      </c>
      <c r="AD78" s="8">
        <f>IFERROR(AC78/AC444, "NA")</f>
        <v>7.4184346082199987E-5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41.86</v>
      </c>
      <c r="L79" s="8">
        <f>IFERROR(K79/K444, "NA")</f>
        <v>7.3912202544437283E-5</v>
      </c>
      <c r="M79" s="9"/>
      <c r="N79" s="10">
        <f t="shared" si="21"/>
        <v>-41.86</v>
      </c>
      <c r="O79" s="8">
        <f>IFERROR(N79/N444, "NA")</f>
        <v>-1.1274081651176241E-3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170.43</v>
      </c>
      <c r="AA79" s="8">
        <f>IFERROR(Z79/Z444, "NA")</f>
        <v>8.8508728875422054E-5</v>
      </c>
      <c r="AB79" s="9"/>
      <c r="AC79" s="10">
        <f t="shared" si="23"/>
        <v>-170.43</v>
      </c>
      <c r="AD79" s="8">
        <f>IFERROR(AC79/AC444, "NA")</f>
        <v>-5.0572952411157381E-4</v>
      </c>
    </row>
    <row r="80" spans="1:30" ht="16.5" customHeight="1" x14ac:dyDescent="0.45">
      <c r="A80" s="12" t="s">
        <v>76</v>
      </c>
      <c r="B80" s="7">
        <v>7107.4600000000009</v>
      </c>
      <c r="C80" s="8">
        <f>IFERROR(B80/B444, "NA")</f>
        <v>1.1777515376185902E-2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7107.4600000000009</v>
      </c>
      <c r="I80" s="8">
        <f>IFERROR(H80/H444, "NA")</f>
        <v>-0.12379349648098795</v>
      </c>
      <c r="J80" s="9"/>
      <c r="K80" s="7">
        <v>11844.48</v>
      </c>
      <c r="L80" s="8">
        <f>IFERROR(K80/K444, "NA")</f>
        <v>2.0913798490051039E-2</v>
      </c>
      <c r="M80" s="9"/>
      <c r="N80" s="10">
        <f t="shared" si="21"/>
        <v>-4737.0199999999986</v>
      </c>
      <c r="O80" s="8">
        <f>IFERROR(N80/N444, "NA")</f>
        <v>-0.12758134319936659</v>
      </c>
      <c r="P80" s="9"/>
      <c r="Q80" s="7">
        <v>29913.180000000004</v>
      </c>
      <c r="R80" s="8">
        <f>IFERROR(Q80/Q444, "NA")</f>
        <v>1.3220879497573007E-2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29913.180000000004</v>
      </c>
      <c r="X80" s="8">
        <f>IFERROR(W80/W444, "NA")</f>
        <v>0.29876834830428678</v>
      </c>
      <c r="Y80" s="9"/>
      <c r="Z80" s="7">
        <v>30691.34</v>
      </c>
      <c r="AA80" s="8">
        <f>IFERROR(Z80/Z444, "NA")</f>
        <v>1.5938810601909263E-2</v>
      </c>
      <c r="AB80" s="9"/>
      <c r="AC80" s="10">
        <f t="shared" si="23"/>
        <v>-778.15999999999622</v>
      </c>
      <c r="AD80" s="8">
        <f>IFERROR(AC80/AC444, "NA")</f>
        <v>-2.3090916298929786E-3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25</v>
      </c>
      <c r="L82" s="8">
        <f>IFERROR(K82/K444, "NA")</f>
        <v>4.4142500325153661E-5</v>
      </c>
      <c r="M82" s="9"/>
      <c r="N82" s="10">
        <f t="shared" si="21"/>
        <v>-25</v>
      </c>
      <c r="O82" s="8">
        <f>IFERROR(N82/N444, "NA")</f>
        <v>-6.733206910640373E-4</v>
      </c>
      <c r="P82" s="9"/>
      <c r="Q82" s="7">
        <v>25</v>
      </c>
      <c r="R82" s="8">
        <f>IFERROR(Q82/Q444, "NA")</f>
        <v>1.1049376476834798E-5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2.4969624451854228E-4</v>
      </c>
      <c r="Y82" s="9"/>
      <c r="Z82" s="7">
        <v>50</v>
      </c>
      <c r="AA82" s="8">
        <f>IFERROR(Z82/Z444, "NA")</f>
        <v>2.5966299617268687E-5</v>
      </c>
      <c r="AB82" s="9"/>
      <c r="AC82" s="10">
        <f t="shared" si="23"/>
        <v>-25</v>
      </c>
      <c r="AD82" s="8">
        <f>IFERROR(AC82/AC444, "NA")</f>
        <v>-7.4184346082199987E-5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30</v>
      </c>
      <c r="L85" s="8">
        <f>IFERROR(K85/K444, "NA")</f>
        <v>5.297100039018439E-5</v>
      </c>
      <c r="M85" s="9"/>
      <c r="N85" s="10">
        <f t="shared" si="21"/>
        <v>-30</v>
      </c>
      <c r="O85" s="8">
        <f>IFERROR(N85/N444, "NA")</f>
        <v>-8.0798482927684477E-4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60</v>
      </c>
      <c r="AA85" s="8">
        <f>IFERROR(Z85/Z444, "NA")</f>
        <v>3.1159559540722428E-5</v>
      </c>
      <c r="AB85" s="9"/>
      <c r="AC85" s="10">
        <f t="shared" si="23"/>
        <v>-60</v>
      </c>
      <c r="AD85" s="8">
        <f>IFERROR(AC85/AC444, "NA")</f>
        <v>-1.7804243059727997E-4</v>
      </c>
    </row>
    <row r="86" spans="1:30" ht="16.5" customHeight="1" x14ac:dyDescent="0.45">
      <c r="A86" s="12" t="s">
        <v>82</v>
      </c>
      <c r="B86" s="7">
        <v>25</v>
      </c>
      <c r="C86" s="8">
        <f>IFERROR(B86/B444, "NA")</f>
        <v>4.1426597463038481E-5</v>
      </c>
      <c r="D86" s="9"/>
      <c r="E86" s="7">
        <v>0</v>
      </c>
      <c r="F86" s="8">
        <f>IFERROR(E86/E444, "NA")</f>
        <v>0</v>
      </c>
      <c r="G86" s="9"/>
      <c r="H86" s="10">
        <f t="shared" si="20"/>
        <v>25</v>
      </c>
      <c r="I86" s="8">
        <f>IFERROR(H86/H444, "NA")</f>
        <v>-4.3543507976473992E-4</v>
      </c>
      <c r="J86" s="9"/>
      <c r="K86" s="7">
        <v>140</v>
      </c>
      <c r="L86" s="8">
        <f>IFERROR(K86/K444, "NA")</f>
        <v>2.4719800182086048E-4</v>
      </c>
      <c r="M86" s="9"/>
      <c r="N86" s="10">
        <f t="shared" si="21"/>
        <v>-115</v>
      </c>
      <c r="O86" s="8">
        <f>IFERROR(N86/N444, "NA")</f>
        <v>-3.0972751788945715E-3</v>
      </c>
      <c r="P86" s="9"/>
      <c r="Q86" s="7">
        <v>50</v>
      </c>
      <c r="R86" s="8">
        <f>IFERROR(Q86/Q444, "NA")</f>
        <v>2.2098752953669596E-5</v>
      </c>
      <c r="S86" s="9"/>
      <c r="T86" s="7">
        <v>0</v>
      </c>
      <c r="U86" s="8">
        <f>IFERROR(T86/T444, "NA")</f>
        <v>0</v>
      </c>
      <c r="V86" s="9"/>
      <c r="W86" s="10">
        <f t="shared" si="22"/>
        <v>50</v>
      </c>
      <c r="X86" s="8">
        <f>IFERROR(W86/W444, "NA")</f>
        <v>4.9939248903708457E-4</v>
      </c>
      <c r="Y86" s="9"/>
      <c r="Z86" s="7">
        <v>645</v>
      </c>
      <c r="AA86" s="8">
        <f>IFERROR(Z86/Z444, "NA")</f>
        <v>3.3496526506276606E-4</v>
      </c>
      <c r="AB86" s="9"/>
      <c r="AC86" s="10">
        <f t="shared" si="23"/>
        <v>-595</v>
      </c>
      <c r="AD86" s="8">
        <f>IFERROR(AC86/AC444, "NA")</f>
        <v>-1.7655874367563597E-3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4.367951113810517E-4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9.8707921813113979E-3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2.9325962218446642E-3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9806.8300000000017</v>
      </c>
      <c r="C88" s="15">
        <f>IFERROR(B88/B444, "NA")</f>
        <v>1.6250543951937989E-2</v>
      </c>
      <c r="D88" s="2"/>
      <c r="E88" s="14">
        <f>IFERROR(E75+E76+E77+E78+E79+E80+E81+E82+E83+E84+E85+E86+E87, "NA")</f>
        <v>11668.78</v>
      </c>
      <c r="F88" s="15">
        <f>IFERROR(E88/E444, "NA")</f>
        <v>1.7656137389218285E-2</v>
      </c>
      <c r="G88" s="2"/>
      <c r="H88" s="14">
        <f t="shared" si="20"/>
        <v>-1861.9499999999989</v>
      </c>
      <c r="I88" s="15">
        <f>IFERROR(H88/H444, "NA")</f>
        <v>3.2430333870718281E-2</v>
      </c>
      <c r="J88" s="2"/>
      <c r="K88" s="14">
        <f>IFERROR(K75+K76+K77+K78+K79+K80+K81+K82+K83+K84+K85+K86+K87, "NA")</f>
        <v>12610.82</v>
      </c>
      <c r="L88" s="15">
        <f>IFERROR(K88/K444, "NA")</f>
        <v>2.2266925038018168E-2</v>
      </c>
      <c r="M88" s="2"/>
      <c r="N88" s="14">
        <f t="shared" si="21"/>
        <v>-2803.989999999998</v>
      </c>
      <c r="O88" s="15">
        <f>IFERROR(N88/N444, "NA")</f>
        <v>-7.551937938146594E-2</v>
      </c>
      <c r="P88" s="2"/>
      <c r="Q88" s="14">
        <f>IFERROR(Q75+Q76+Q77+Q78+Q79+Q80+Q81+Q82+Q83+Q84+Q85+Q86+Q87, "NA")</f>
        <v>40707.660000000003</v>
      </c>
      <c r="R88" s="15">
        <f>IFERROR(Q88/Q444, "NA")</f>
        <v>1.7991770433239553E-2</v>
      </c>
      <c r="S88" s="2"/>
      <c r="T88" s="14">
        <f>IFERROR(T75+T76+T77+T78+T79+T80+T81+T82+T83+T84+T85+T86+T87, "NA")</f>
        <v>38608.199999999997</v>
      </c>
      <c r="U88" s="15">
        <f>IFERROR(T88/T444, "NA")</f>
        <v>1.7853920155895805E-2</v>
      </c>
      <c r="V88" s="2"/>
      <c r="W88" s="14">
        <f t="shared" si="22"/>
        <v>2099.4600000000064</v>
      </c>
      <c r="X88" s="15">
        <f>IFERROR(W88/W444, "NA")</f>
        <v>2.0969091100676015E-2</v>
      </c>
      <c r="Y88" s="2"/>
      <c r="Z88" s="14">
        <f>IFERROR(Z75+Z76+Z77+Z78+Z79+Z80+Z81+Z82+Z83+Z84+Z85+Z86+Z87, "NA")</f>
        <v>33547.980000000003</v>
      </c>
      <c r="AA88" s="15">
        <f>IFERROR(Z88/Z444, "NA")</f>
        <v>1.7422338004682753E-2</v>
      </c>
      <c r="AB88" s="2"/>
      <c r="AC88" s="14">
        <f t="shared" si="23"/>
        <v>7159.68</v>
      </c>
      <c r="AD88" s="15">
        <f>IFERROR(AC88/AC444, "NA")</f>
        <v>2.1245447158312225E-2</v>
      </c>
    </row>
    <row r="89" spans="1:30" ht="16.5" customHeight="1" x14ac:dyDescent="0.45">
      <c r="A89" s="6" t="s">
        <v>85</v>
      </c>
      <c r="B89" s="7">
        <v>-32.61</v>
      </c>
      <c r="C89" s="8">
        <f>IFERROR(B89/B444, "NA")</f>
        <v>-5.4036853730787395E-5</v>
      </c>
      <c r="D89" s="9"/>
      <c r="E89" s="7">
        <v>0</v>
      </c>
      <c r="F89" s="8">
        <f>IFERROR(E89/E444, "NA")</f>
        <v>0</v>
      </c>
      <c r="G89" s="9"/>
      <c r="H89" s="10">
        <f t="shared" si="20"/>
        <v>-32.61</v>
      </c>
      <c r="I89" s="8">
        <f>IFERROR(H89/H444, "NA")</f>
        <v>5.6798151804512672E-4</v>
      </c>
      <c r="J89" s="9"/>
      <c r="K89" s="7">
        <v>-2305.41</v>
      </c>
      <c r="L89" s="8">
        <f>IFERROR(K89/K444, "NA")</f>
        <v>-4.0706624669844997E-3</v>
      </c>
      <c r="M89" s="9"/>
      <c r="N89" s="10">
        <f t="shared" si="21"/>
        <v>2272.7999999999997</v>
      </c>
      <c r="O89" s="8">
        <f>IFERROR(N89/N444, "NA")</f>
        <v>6.1212930666013757E-2</v>
      </c>
      <c r="P89" s="9"/>
      <c r="Q89" s="7">
        <v>-299.28000000000003</v>
      </c>
      <c r="R89" s="8">
        <f>IFERROR(Q89/Q444, "NA")</f>
        <v>-1.3227429567948474E-4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-299.28000000000003</v>
      </c>
      <c r="X89" s="8">
        <f>IFERROR(W89/W444, "NA")</f>
        <v>-2.9891636823803735E-3</v>
      </c>
      <c r="Y89" s="9"/>
      <c r="Z89" s="7">
        <v>-2044.34</v>
      </c>
      <c r="AA89" s="8">
        <f>IFERROR(Z89/Z444, "NA")</f>
        <v>-1.0616788991913413E-3</v>
      </c>
      <c r="AB89" s="9"/>
      <c r="AC89" s="10">
        <f t="shared" si="23"/>
        <v>1745.06</v>
      </c>
      <c r="AD89" s="8">
        <f>IFERROR(AC89/AC444, "NA")</f>
        <v>5.178245398968156E-3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-24655.9</v>
      </c>
      <c r="F94" s="8">
        <f>IFERROR(E94/E444, "NA")</f>
        <v>-3.7307067050268074E-2</v>
      </c>
      <c r="G94" s="9"/>
      <c r="H94" s="10">
        <f t="shared" ref="H94:H124" si="24">IFERROR(B94-E94, "NA")</f>
        <v>24655.9</v>
      </c>
      <c r="I94" s="8">
        <f>IFERROR(H94/H444, "NA")</f>
        <v>-0.42944175132685802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-80797.790000000008</v>
      </c>
      <c r="U94" s="8">
        <f>IFERROR(T94/T444, "NA")</f>
        <v>-3.7364013122415357E-2</v>
      </c>
      <c r="V94" s="9"/>
      <c r="W94" s="10">
        <f t="shared" ref="W94:W124" si="26">IFERROR(Q94-T94, "NA")</f>
        <v>80797.790000000008</v>
      </c>
      <c r="X94" s="8">
        <f>IFERROR(W94/W444, "NA")</f>
        <v>0.8069961891359132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-7722.0500000000011</v>
      </c>
      <c r="C96" s="8">
        <f>IFERROR(B96/B444, "NA")</f>
        <v>-1.2795930277578254E-2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-7722.0500000000011</v>
      </c>
      <c r="I96" s="8">
        <f>IFERROR(H96/H444, "NA")</f>
        <v>0.13449805830789241</v>
      </c>
      <c r="J96" s="9"/>
      <c r="K96" s="7">
        <v>-2911.68</v>
      </c>
      <c r="L96" s="8">
        <f>IFERROR(K96/K444, "NA")</f>
        <v>-5.1411534138697361E-3</v>
      </c>
      <c r="M96" s="9"/>
      <c r="N96" s="10">
        <f t="shared" si="25"/>
        <v>-4810.3700000000008</v>
      </c>
      <c r="O96" s="8">
        <f>IFERROR(N96/N444, "NA")</f>
        <v>-0.12955686610694855</v>
      </c>
      <c r="P96" s="9"/>
      <c r="Q96" s="7">
        <v>-33058.759999999995</v>
      </c>
      <c r="R96" s="8">
        <f>IFERROR(Q96/Q444, "NA")</f>
        <v>-1.4611147403893082E-2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-33058.759999999995</v>
      </c>
      <c r="X96" s="8">
        <f>IFERROR(W96/W444, "NA")</f>
        <v>-0.33018592881759212</v>
      </c>
      <c r="Y96" s="9"/>
      <c r="Z96" s="7">
        <v>-11690.78</v>
      </c>
      <c r="AA96" s="8">
        <f>IFERROR(Z96/Z444, "NA")</f>
        <v>-6.071325924791449E-3</v>
      </c>
      <c r="AB96" s="9"/>
      <c r="AC96" s="10">
        <f t="shared" si="27"/>
        <v>-21367.979999999996</v>
      </c>
      <c r="AD96" s="8">
        <f>IFERROR(AC96/AC444, "NA")</f>
        <v>-6.34067849359011E-2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-10479.549999999999</v>
      </c>
      <c r="C98" s="8">
        <f>IFERROR(B98/B444, "NA")</f>
        <v>-1.7365283977751396E-2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-10479.549999999999</v>
      </c>
      <c r="I98" s="8">
        <f>IFERROR(H98/H444, "NA")</f>
        <v>0.1825265476059432</v>
      </c>
      <c r="J98" s="9"/>
      <c r="K98" s="7">
        <v>-10761.26</v>
      </c>
      <c r="L98" s="8">
        <f>IFERROR(K98/K444, "NA")</f>
        <v>-1.9001156921962522E-2</v>
      </c>
      <c r="M98" s="9"/>
      <c r="N98" s="10">
        <f t="shared" si="25"/>
        <v>281.71000000000095</v>
      </c>
      <c r="O98" s="8">
        <f>IFERROR(N98/N444, "NA")</f>
        <v>7.5872468751860232E-3</v>
      </c>
      <c r="P98" s="9"/>
      <c r="Q98" s="7">
        <v>-38387.479999999996</v>
      </c>
      <c r="R98" s="8">
        <f>IFERROR(Q98/Q444, "NA")</f>
        <v>-1.6966308740678646E-2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-38387.479999999996</v>
      </c>
      <c r="X98" s="8">
        <f>IFERROR(W98/W444, "NA")</f>
        <v>-0.38340838370122599</v>
      </c>
      <c r="Y98" s="9"/>
      <c r="Z98" s="7">
        <v>-35974.300000000003</v>
      </c>
      <c r="AA98" s="8">
        <f>IFERROR(Z98/Z444, "NA")</f>
        <v>-1.868238904643018E-2</v>
      </c>
      <c r="AB98" s="9"/>
      <c r="AC98" s="10">
        <f t="shared" si="27"/>
        <v>-2413.179999999993</v>
      </c>
      <c r="AD98" s="8">
        <f>IFERROR(AC98/AC444, "NA")</f>
        <v>-7.1608072111457137E-3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-2336.04</v>
      </c>
      <c r="C100" s="8">
        <f>IFERROR(B100/B444, "NA")</f>
        <v>-3.8709675495022565E-3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-2336.04</v>
      </c>
      <c r="I100" s="8">
        <f>IFERROR(H100/H444, "NA")</f>
        <v>4.0687750549344918E-2</v>
      </c>
      <c r="J100" s="9"/>
      <c r="K100" s="7">
        <v>-610.67999999999995</v>
      </c>
      <c r="L100" s="8">
        <f>IFERROR(K100/K444, "NA")</f>
        <v>-1.0782776839425934E-3</v>
      </c>
      <c r="M100" s="9"/>
      <c r="N100" s="10">
        <f t="shared" si="25"/>
        <v>-1725.3600000000001</v>
      </c>
      <c r="O100" s="8">
        <f>IFERROR(N100/N444, "NA")</f>
        <v>-4.6468823501369903E-2</v>
      </c>
      <c r="P100" s="9"/>
      <c r="Q100" s="7">
        <v>-7832.09</v>
      </c>
      <c r="R100" s="8">
        <f>IFERROR(Q100/Q444, "NA")</f>
        <v>-3.4615884404181219E-3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-7832.09</v>
      </c>
      <c r="X100" s="8">
        <f>IFERROR(W100/W444, "NA")</f>
        <v>-7.8225738389249191E-2</v>
      </c>
      <c r="Y100" s="9"/>
      <c r="Z100" s="7">
        <v>-8166.2800000000007</v>
      </c>
      <c r="AA100" s="8">
        <f>IFERROR(Z100/Z444, "NA")</f>
        <v>-4.2409614647701795E-3</v>
      </c>
      <c r="AB100" s="9"/>
      <c r="AC100" s="10">
        <f t="shared" si="27"/>
        <v>334.19000000000051</v>
      </c>
      <c r="AD100" s="8">
        <f>IFERROR(AC100/AC444, "NA")</f>
        <v>9.9166666468841801E-4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-4704.8500000000004</v>
      </c>
      <c r="C102" s="8">
        <f>IFERROR(B102/B444, "NA")</f>
        <v>-7.7962370829590651E-3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-4704.8500000000004</v>
      </c>
      <c r="I102" s="8">
        <f>IFERROR(H102/H444, "NA")</f>
        <v>8.194626940124547E-2</v>
      </c>
      <c r="J102" s="9"/>
      <c r="K102" s="7">
        <v>-3466.3199999999997</v>
      </c>
      <c r="L102" s="8">
        <f>IFERROR(K102/K444, "NA")</f>
        <v>-6.1204812690834644E-3</v>
      </c>
      <c r="M102" s="9"/>
      <c r="N102" s="10">
        <f t="shared" si="25"/>
        <v>-1238.5300000000007</v>
      </c>
      <c r="O102" s="8">
        <f>IFERROR(N102/N444, "NA")</f>
        <v>-3.33571150201417E-2</v>
      </c>
      <c r="P102" s="9"/>
      <c r="Q102" s="7">
        <v>-20841.460000000003</v>
      </c>
      <c r="R102" s="8">
        <f>IFERROR(Q102/Q444, "NA")</f>
        <v>-9.211405514675735E-3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-20841.460000000003</v>
      </c>
      <c r="X102" s="8">
        <f>IFERROR(W102/W444, "NA")</f>
        <v>-0.20816137169133675</v>
      </c>
      <c r="Y102" s="9"/>
      <c r="Z102" s="7">
        <v>-8494.1200000000008</v>
      </c>
      <c r="AA102" s="8">
        <f>IFERROR(Z102/Z444, "NA")</f>
        <v>-4.4112172981006868E-3</v>
      </c>
      <c r="AB102" s="9"/>
      <c r="AC102" s="10">
        <f t="shared" si="27"/>
        <v>-12347.340000000002</v>
      </c>
      <c r="AD102" s="8">
        <f>IFERROR(AC102/AC444, "NA")</f>
        <v>-3.6639173750183655E-2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-4497.87</v>
      </c>
      <c r="C104" s="8">
        <f>IFERROR(B104/B444, "NA")</f>
        <v>-7.4532579972430759E-3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-4497.87</v>
      </c>
      <c r="I104" s="8">
        <f>IFERROR(H104/H444, "NA")</f>
        <v>7.8341215288857222E-2</v>
      </c>
      <c r="J104" s="9"/>
      <c r="K104" s="7">
        <v>-2837.77</v>
      </c>
      <c r="L104" s="8">
        <f>IFERROR(K104/K444, "NA")</f>
        <v>-5.0106505259084515E-3</v>
      </c>
      <c r="M104" s="9"/>
      <c r="N104" s="10">
        <f t="shared" si="25"/>
        <v>-1660.1</v>
      </c>
      <c r="O104" s="8">
        <f>IFERROR(N104/N444, "NA")</f>
        <v>-4.4711187169416335E-2</v>
      </c>
      <c r="P104" s="9"/>
      <c r="Q104" s="7">
        <v>-14086.689999999999</v>
      </c>
      <c r="R104" s="8">
        <f>IFERROR(Q104/Q444, "NA")</f>
        <v>-6.2259656448985581E-3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-14086.689999999999</v>
      </c>
      <c r="X104" s="8">
        <f>IFERROR(W104/W444, "NA")</f>
        <v>-0.14069574362787615</v>
      </c>
      <c r="Y104" s="9"/>
      <c r="Z104" s="7">
        <v>-13749.16</v>
      </c>
      <c r="AA104" s="8">
        <f>IFERROR(Z104/Z444, "NA")</f>
        <v>-7.1402961609153192E-3</v>
      </c>
      <c r="AB104" s="9"/>
      <c r="AC104" s="10">
        <f t="shared" si="27"/>
        <v>-337.52999999999884</v>
      </c>
      <c r="AD104" s="8">
        <f>IFERROR(AC104/AC444, "NA")</f>
        <v>-1.0015776933249951E-3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-3860.59</v>
      </c>
      <c r="L106" s="8">
        <f>IFERROR(K106/K444, "NA")</f>
        <v>-6.8166438132113982E-3</v>
      </c>
      <c r="M106" s="9"/>
      <c r="N106" s="10">
        <f t="shared" si="25"/>
        <v>3860.59</v>
      </c>
      <c r="O106" s="8">
        <f>IFERROR(N106/N444, "NA")</f>
        <v>0.10397660506859648</v>
      </c>
      <c r="P106" s="9"/>
      <c r="Q106" s="7">
        <v>-2907.77</v>
      </c>
      <c r="R106" s="8">
        <f>IFERROR(Q106/Q444, "NA")</f>
        <v>-1.2851618175218366E-3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-2907.77</v>
      </c>
      <c r="X106" s="8">
        <f>IFERROR(W106/W444, "NA")</f>
        <v>-2.9042369956947266E-2</v>
      </c>
      <c r="Y106" s="9"/>
      <c r="Z106" s="7">
        <v>-14660.55</v>
      </c>
      <c r="AA106" s="8">
        <f>IFERROR(Z106/Z444, "NA")</f>
        <v>-7.6136046770789688E-3</v>
      </c>
      <c r="AB106" s="9"/>
      <c r="AC106" s="10">
        <f t="shared" si="27"/>
        <v>11752.779999999999</v>
      </c>
      <c r="AD106" s="8">
        <f>IFERROR(AC106/AC444, "NA")</f>
        <v>3.4874891957918333E-2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-72.33</v>
      </c>
      <c r="L108" s="8">
        <f>IFERROR(K108/K444, "NA")</f>
        <v>-1.2771308194073455E-4</v>
      </c>
      <c r="M108" s="9"/>
      <c r="N108" s="10">
        <f t="shared" si="25"/>
        <v>72.33</v>
      </c>
      <c r="O108" s="8">
        <f>IFERROR(N108/N444, "NA")</f>
        <v>1.9480514233864727E-3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-152.34</v>
      </c>
      <c r="AA108" s="8">
        <f>IFERROR(Z108/Z444, "NA")</f>
        <v>-7.9114121673894242E-5</v>
      </c>
      <c r="AB108" s="9"/>
      <c r="AC108" s="10">
        <f t="shared" si="27"/>
        <v>152.34</v>
      </c>
      <c r="AD108" s="8">
        <f>IFERROR(AC108/AC444, "NA")</f>
        <v>4.5204973128649387E-4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-5.9982152115890672E-6</v>
      </c>
      <c r="AB111" s="9"/>
      <c r="AC111" s="10">
        <f t="shared" si="27"/>
        <v>11.55</v>
      </c>
      <c r="AD111" s="8">
        <f>IFERROR(AC111/AC444, "NA")</f>
        <v>3.4273167889976398E-5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-29740.359999999997</v>
      </c>
      <c r="C118" s="15">
        <f>IFERROR(B118/B444, "NA")</f>
        <v>-4.9281676885034043E-2</v>
      </c>
      <c r="D118" s="2"/>
      <c r="E118" s="14">
        <f>IFERROR(E94+E95+E96+E97+E98+E99+E100+E101+E102+E103+E104+E105+E106+E107+E108+E109+E110+E111+E112+E113+E114+E115+E116+E117, "NA")</f>
        <v>-24655.9</v>
      </c>
      <c r="F118" s="15">
        <f>IFERROR(E118/E444, "NA")</f>
        <v>-3.7307067050268074E-2</v>
      </c>
      <c r="G118" s="2"/>
      <c r="H118" s="14">
        <f t="shared" si="24"/>
        <v>-5084.4599999999955</v>
      </c>
      <c r="I118" s="15">
        <f>IFERROR(H118/H444, "NA")</f>
        <v>8.8558089826425102E-2</v>
      </c>
      <c r="J118" s="2"/>
      <c r="K118" s="14">
        <f>IFERROR(K94+K95+K96+K97+K98+K99+K100+K101+K102+K103+K104+K105+K106+K107+K108+K109+K110+K111+K112+K113+K114+K115+K116+K117, "NA")</f>
        <v>-24520.630000000005</v>
      </c>
      <c r="L118" s="15">
        <f>IFERROR(K118/K444, "NA")</f>
        <v>-4.3296076709918911E-2</v>
      </c>
      <c r="M118" s="2"/>
      <c r="N118" s="14">
        <f t="shared" si="25"/>
        <v>-5219.7299999999923</v>
      </c>
      <c r="O118" s="15">
        <f>IFERROR(N118/N444, "NA")</f>
        <v>-0.1405820884307073</v>
      </c>
      <c r="P118" s="2"/>
      <c r="Q118" s="14">
        <f>IFERROR(Q94+Q95+Q96+Q97+Q98+Q99+Q100+Q101+Q102+Q103+Q104+Q105+Q106+Q107+Q108+Q109+Q110+Q111+Q112+Q113+Q114+Q115+Q116+Q117, "NA")</f>
        <v>-117114.25</v>
      </c>
      <c r="R118" s="15">
        <f>IFERROR(Q118/Q444, "NA")</f>
        <v>-5.1761577562085985E-2</v>
      </c>
      <c r="S118" s="2"/>
      <c r="T118" s="14">
        <f>IFERROR(T94+T95+T96+T97+T98+T99+T100+T101+T102+T103+T104+T105+T106+T107+T108+T109+T110+T111+T112+T113+T114+T115+T116+T117, "NA")</f>
        <v>-80797.790000000008</v>
      </c>
      <c r="U118" s="15">
        <f>IFERROR(T118/T444, "NA")</f>
        <v>-3.7364013122415357E-2</v>
      </c>
      <c r="V118" s="2"/>
      <c r="W118" s="14">
        <f t="shared" si="26"/>
        <v>-36316.459999999992</v>
      </c>
      <c r="X118" s="15">
        <f>IFERROR(W118/W444, "NA")</f>
        <v>-0.36272334704831427</v>
      </c>
      <c r="Y118" s="2"/>
      <c r="Z118" s="14">
        <f>IFERROR(Z94+Z95+Z96+Z97+Z98+Z99+Z100+Z101+Z102+Z103+Z104+Z105+Z106+Z107+Z108+Z109+Z110+Z111+Z112+Z113+Z114+Z115+Z116+Z117, "NA")</f>
        <v>-92899.08</v>
      </c>
      <c r="AA118" s="15">
        <f>IFERROR(Z118/Z444, "NA")</f>
        <v>-4.8244906908972263E-2</v>
      </c>
      <c r="AB118" s="2"/>
      <c r="AC118" s="14">
        <f t="shared" si="27"/>
        <v>-24215.17</v>
      </c>
      <c r="AD118" s="15">
        <f>IFERROR(AC118/AC444, "NA")</f>
        <v>-7.1855462068772261E-2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603477.02999999991</v>
      </c>
      <c r="C122" s="15">
        <f>IFERROR(B122/B444, "NA")</f>
        <v>0.99999999999999978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660890.87</v>
      </c>
      <c r="F122" s="15">
        <f>IFERROR(E122/E444, "NA")</f>
        <v>1</v>
      </c>
      <c r="G122" s="2"/>
      <c r="H122" s="14">
        <f t="shared" si="24"/>
        <v>-57413.840000000084</v>
      </c>
      <c r="I122" s="15">
        <f>IFERROR(H122/H444, "NA")</f>
        <v>1.000000000000002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566347.61999999988</v>
      </c>
      <c r="L122" s="15">
        <f>IFERROR(K122/K444, "NA")</f>
        <v>0.99999999999999978</v>
      </c>
      <c r="M122" s="2"/>
      <c r="N122" s="14">
        <f t="shared" si="25"/>
        <v>37129.410000000033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2262571.1100000013</v>
      </c>
      <c r="R122" s="15">
        <f>IFERROR(Q122/Q444, "NA")</f>
        <v>1.0000000000000004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2162449.46</v>
      </c>
      <c r="U122" s="15">
        <f>IFERROR(T122/T444, "NA")</f>
        <v>1</v>
      </c>
      <c r="V122" s="2"/>
      <c r="W122" s="14">
        <f t="shared" si="26"/>
        <v>100121.6500000013</v>
      </c>
      <c r="X122" s="15">
        <f>IFERROR(W122/W444, "NA")</f>
        <v>1.0000000000000093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1925572.7899999998</v>
      </c>
      <c r="AA122" s="15">
        <f>IFERROR(Z122/Z444, "NA")</f>
        <v>0.99999999999999989</v>
      </c>
      <c r="AB122" s="2"/>
      <c r="AC122" s="14">
        <f t="shared" si="27"/>
        <v>336998.32000000146</v>
      </c>
      <c r="AD122" s="15">
        <f>IFERROR(AC122/AC444, "NA")</f>
        <v>1.0000000000000036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603477.02999999991</v>
      </c>
      <c r="C124" s="15">
        <f>IFERROR(B124/B444, "NA")</f>
        <v>0.99999999999999978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660890.87</v>
      </c>
      <c r="F124" s="15">
        <f>IFERROR(E124/E444, "NA")</f>
        <v>1</v>
      </c>
      <c r="G124" s="2"/>
      <c r="H124" s="14">
        <f t="shared" si="24"/>
        <v>-57413.840000000084</v>
      </c>
      <c r="I124" s="15">
        <f>IFERROR(H124/H444, "NA")</f>
        <v>1.000000000000002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566347.61999999988</v>
      </c>
      <c r="L124" s="15">
        <f>IFERROR(K124/K444, "NA")</f>
        <v>0.99999999999999978</v>
      </c>
      <c r="M124" s="2"/>
      <c r="N124" s="14">
        <f t="shared" si="25"/>
        <v>37129.410000000033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2262571.1100000013</v>
      </c>
      <c r="R124" s="15">
        <f>IFERROR(Q124/Q444, "NA")</f>
        <v>1.0000000000000004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2162449.46</v>
      </c>
      <c r="U124" s="15">
        <f>IFERROR(T124/T444, "NA")</f>
        <v>1</v>
      </c>
      <c r="V124" s="2"/>
      <c r="W124" s="14">
        <f t="shared" si="26"/>
        <v>100121.6500000013</v>
      </c>
      <c r="X124" s="15">
        <f>IFERROR(W124/W444, "NA")</f>
        <v>1.0000000000000093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1925572.7899999998</v>
      </c>
      <c r="AA124" s="15">
        <f>IFERROR(Z124/Z444, "NA")</f>
        <v>0.99999999999999989</v>
      </c>
      <c r="AB124" s="2"/>
      <c r="AC124" s="14">
        <f t="shared" si="27"/>
        <v>336998.32000000146</v>
      </c>
      <c r="AD124" s="15">
        <f>IFERROR(AC124/AC444, "NA")</f>
        <v>1.0000000000000036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150763.68</v>
      </c>
      <c r="F129" s="8">
        <f>IFERROR(E129/E444, "NA")</f>
        <v>0.22812189855187437</v>
      </c>
      <c r="G129" s="9"/>
      <c r="H129" s="10">
        <f t="shared" ref="H129:H141" si="28">IFERROR(-(B129-E129), "NA")</f>
        <v>150763.68</v>
      </c>
      <c r="I129" s="8">
        <f>IFERROR(H129/H444, "NA")</f>
        <v>-2.6259118010570286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513197.79000000004</v>
      </c>
      <c r="U129" s="8">
        <f>IFERROR(T129/T444, "NA")</f>
        <v>0.2373224435959766</v>
      </c>
      <c r="V129" s="9"/>
      <c r="W129" s="10">
        <f t="shared" ref="W129:W141" si="30">IFERROR(-(Q129-T129), "NA")</f>
        <v>513197.79000000004</v>
      </c>
      <c r="X129" s="8">
        <f>IFERROR(W129/W444, "NA")</f>
        <v>5.1257424343286209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35202.730000000003</v>
      </c>
      <c r="C130" s="8">
        <f>IFERROR(B130/B444, "NA")</f>
        <v>5.8333173012401152E-2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-35202.730000000003</v>
      </c>
      <c r="I130" s="8">
        <f>IFERROR(H130/H444, "NA")</f>
        <v>0.61314014181946419</v>
      </c>
      <c r="J130" s="9"/>
      <c r="K130" s="7">
        <v>33282.400000000001</v>
      </c>
      <c r="L130" s="8">
        <f>IFERROR(K130/K444, "NA")</f>
        <v>5.8766734112875765E-2</v>
      </c>
      <c r="M130" s="9"/>
      <c r="N130" s="10">
        <f t="shared" si="29"/>
        <v>-1920.3300000000017</v>
      </c>
      <c r="O130" s="8">
        <f>IFERROR(N130/N444, "NA")</f>
        <v>-5.1719916906840156E-2</v>
      </c>
      <c r="P130" s="9"/>
      <c r="Q130" s="7">
        <v>128980.42999999998</v>
      </c>
      <c r="R130" s="8">
        <f>IFERROR(Q130/Q444, "NA")</f>
        <v>5.7006133168561478E-2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-128980.42999999998</v>
      </c>
      <c r="X130" s="8">
        <f>IFERROR(W130/W444, "NA")</f>
        <v>-1.2882371594954687</v>
      </c>
      <c r="Y130" s="9"/>
      <c r="Z130" s="7">
        <v>122097.34000000001</v>
      </c>
      <c r="AA130" s="8">
        <f>IFERROR(Z130/Z444, "NA")</f>
        <v>6.3408322258230496E-2</v>
      </c>
      <c r="AB130" s="9"/>
      <c r="AC130" s="10">
        <f t="shared" si="31"/>
        <v>-6883.0899999999674</v>
      </c>
      <c r="AD130" s="8">
        <f>IFERROR(AC130/AC444, "NA")</f>
        <v>-2.0424701226997102E-2</v>
      </c>
    </row>
    <row r="131" spans="1:30" ht="16.5" customHeight="1" x14ac:dyDescent="0.45">
      <c r="A131" s="12" t="s">
        <v>123</v>
      </c>
      <c r="B131" s="7">
        <v>17787.5</v>
      </c>
      <c r="C131" s="8">
        <f>IFERROR(B131/B444, "NA")</f>
        <v>2.9475024094951882E-2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-17787.5</v>
      </c>
      <c r="I131" s="8">
        <f>IFERROR(H131/H444, "NA")</f>
        <v>0.30981205925261246</v>
      </c>
      <c r="J131" s="9"/>
      <c r="K131" s="7">
        <v>17200.3</v>
      </c>
      <c r="L131" s="8">
        <f>IFERROR(K131/K444, "NA")</f>
        <v>3.0370569933709617E-2</v>
      </c>
      <c r="M131" s="9"/>
      <c r="N131" s="10">
        <f t="shared" si="29"/>
        <v>-587.20000000000073</v>
      </c>
      <c r="O131" s="8">
        <f>IFERROR(N131/N444, "NA")</f>
        <v>-1.581495639171213E-2</v>
      </c>
      <c r="P131" s="9"/>
      <c r="Q131" s="7">
        <v>69691.13</v>
      </c>
      <c r="R131" s="8">
        <f>IFERROR(Q131/Q444, "NA")</f>
        <v>3.0801741298641435E-2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-69691.13</v>
      </c>
      <c r="X131" s="8">
        <f>IFERROR(W131/W444, "NA")</f>
        <v>-0.69606453749014074</v>
      </c>
      <c r="Y131" s="9"/>
      <c r="Z131" s="7">
        <v>60325.06</v>
      </c>
      <c r="AA131" s="8">
        <f>IFERROR(Z131/Z444, "NA")</f>
        <v>3.1328371647794208E-2</v>
      </c>
      <c r="AB131" s="9"/>
      <c r="AC131" s="10">
        <f t="shared" si="31"/>
        <v>-9366.070000000007</v>
      </c>
      <c r="AD131" s="8">
        <f>IFERROR(AC131/AC444, "NA")</f>
        <v>-2.7792631132404454E-2</v>
      </c>
    </row>
    <row r="132" spans="1:30" ht="16.5" customHeight="1" x14ac:dyDescent="0.45">
      <c r="A132" s="12" t="s">
        <v>124</v>
      </c>
      <c r="B132" s="7">
        <v>25437.78</v>
      </c>
      <c r="C132" s="8">
        <f>IFERROR(B132/B444, "NA")</f>
        <v>4.2152026896533239E-2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-25437.78</v>
      </c>
      <c r="I132" s="8">
        <f>IFERROR(H132/H444, "NA")</f>
        <v>0.4430600705335162</v>
      </c>
      <c r="J132" s="9"/>
      <c r="K132" s="7">
        <v>18209.64</v>
      </c>
      <c r="L132" s="8">
        <f>IFERROR(K132/K444, "NA")</f>
        <v>3.2152761584837243E-2</v>
      </c>
      <c r="M132" s="9"/>
      <c r="N132" s="10">
        <f t="shared" si="29"/>
        <v>-7228.1399999999994</v>
      </c>
      <c r="O132" s="8">
        <f>IFERROR(N132/N444, "NA")</f>
        <v>-0.19467424879630441</v>
      </c>
      <c r="P132" s="9"/>
      <c r="Q132" s="7">
        <v>86506.950000000012</v>
      </c>
      <c r="R132" s="8">
        <f>IFERROR(Q132/Q444, "NA")</f>
        <v>3.823391433650896E-2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-86506.950000000012</v>
      </c>
      <c r="X132" s="8">
        <f>IFERROR(W132/W444, "NA")</f>
        <v>-0.86401842159013253</v>
      </c>
      <c r="Y132" s="9"/>
      <c r="Z132" s="7">
        <v>65112.25</v>
      </c>
      <c r="AA132" s="8">
        <f>IFERROR(Z132/Z444, "NA")</f>
        <v>3.381448384509006E-2</v>
      </c>
      <c r="AB132" s="9"/>
      <c r="AC132" s="10">
        <f t="shared" si="31"/>
        <v>-21394.700000000012</v>
      </c>
      <c r="AD132" s="8">
        <f>IFERROR(AC132/AC444, "NA")</f>
        <v>-6.34860731649938E-2</v>
      </c>
    </row>
    <row r="133" spans="1:30" ht="16.5" customHeight="1" x14ac:dyDescent="0.45">
      <c r="A133" s="12" t="s">
        <v>125</v>
      </c>
      <c r="B133" s="7">
        <v>13785.87</v>
      </c>
      <c r="C133" s="8">
        <f>IFERROR(B133/B444, "NA")</f>
        <v>2.2844067486711136E-2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-13785.87</v>
      </c>
      <c r="I133" s="8">
        <f>IFERROR(H133/H444, "NA")</f>
        <v>0.24011405612305342</v>
      </c>
      <c r="J133" s="9"/>
      <c r="K133" s="7">
        <v>14857.82</v>
      </c>
      <c r="L133" s="8">
        <f>IFERROR(K133/K444, "NA")</f>
        <v>2.6234452967242979E-2</v>
      </c>
      <c r="M133" s="9"/>
      <c r="N133" s="10">
        <f t="shared" si="29"/>
        <v>1071.9499999999989</v>
      </c>
      <c r="O133" s="8">
        <f>IFERROR(N133/N444, "NA")</f>
        <v>2.8870644591443763E-2</v>
      </c>
      <c r="P133" s="9"/>
      <c r="Q133" s="7">
        <v>52104.74</v>
      </c>
      <c r="R133" s="8">
        <f>IFERROR(Q133/Q444, "NA")</f>
        <v>2.3028995539503723E-2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-52104.74</v>
      </c>
      <c r="X133" s="8">
        <f>IFERROR(W133/W444, "NA")</f>
        <v>-0.52041431598460275</v>
      </c>
      <c r="Y133" s="9"/>
      <c r="Z133" s="7">
        <v>41277.82</v>
      </c>
      <c r="AA133" s="8">
        <f>IFERROR(Z133/Z444, "NA")</f>
        <v>2.1436644833353717E-2</v>
      </c>
      <c r="AB133" s="9"/>
      <c r="AC133" s="10">
        <f t="shared" si="31"/>
        <v>-10826.919999999998</v>
      </c>
      <c r="AD133" s="8">
        <f>IFERROR(AC133/AC444, "NA")</f>
        <v>-3.2127519211371705E-2</v>
      </c>
    </row>
    <row r="134" spans="1:30" ht="16.5" customHeight="1" x14ac:dyDescent="0.45">
      <c r="A134" s="12" t="s">
        <v>126</v>
      </c>
      <c r="B134" s="7">
        <v>4613.87</v>
      </c>
      <c r="C134" s="8">
        <f>IFERROR(B134/B444, "NA")</f>
        <v>7.6454774094715742E-3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-4613.87</v>
      </c>
      <c r="I134" s="8">
        <f>IFERROR(H134/H444, "NA")</f>
        <v>8.0361634058965611E-2</v>
      </c>
      <c r="J134" s="9"/>
      <c r="K134" s="7">
        <v>7988.5199999999995</v>
      </c>
      <c r="L134" s="8">
        <f>IFERROR(K134/K444, "NA")</f>
        <v>1.4105329867899859E-2</v>
      </c>
      <c r="M134" s="9"/>
      <c r="N134" s="10">
        <f t="shared" si="29"/>
        <v>3374.6499999999996</v>
      </c>
      <c r="O134" s="8">
        <f>IFERROR(N134/N444, "NA")</f>
        <v>9.0888866803970139E-2</v>
      </c>
      <c r="P134" s="9"/>
      <c r="Q134" s="7">
        <v>19110.810000000001</v>
      </c>
      <c r="R134" s="8">
        <f>IFERROR(Q134/Q444, "NA")</f>
        <v>8.4465013786903693E-3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-19110.810000000001</v>
      </c>
      <c r="X134" s="8">
        <f>IFERROR(W134/W444, "NA")</f>
        <v>-0.19087589946829611</v>
      </c>
      <c r="Y134" s="9"/>
      <c r="Z134" s="7">
        <v>23137.739999999998</v>
      </c>
      <c r="AA134" s="8">
        <f>IFERROR(Z134/Z444, "NA")</f>
        <v>1.2016029786129248E-2</v>
      </c>
      <c r="AB134" s="9"/>
      <c r="AC134" s="10">
        <f t="shared" si="31"/>
        <v>4026.9299999999967</v>
      </c>
      <c r="AD134" s="8">
        <f>IFERROR(AC134/AC444, "NA")</f>
        <v>1.1949406750751734E-2</v>
      </c>
    </row>
    <row r="135" spans="1:30" ht="16.5" customHeight="1" x14ac:dyDescent="0.45">
      <c r="A135" s="12" t="s">
        <v>127</v>
      </c>
      <c r="B135" s="7">
        <v>4896.2</v>
      </c>
      <c r="C135" s="8">
        <f>IFERROR(B135/B444, "NA")</f>
        <v>8.1133162599411612E-3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-4896.2</v>
      </c>
      <c r="I135" s="8">
        <f>IFERROR(H135/H444, "NA")</f>
        <v>8.5279089501764771E-2</v>
      </c>
      <c r="J135" s="9"/>
      <c r="K135" s="7">
        <v>5306.8200000000006</v>
      </c>
      <c r="L135" s="8">
        <f>IFERROR(K135/K444, "NA")</f>
        <v>9.3702521430212779E-3</v>
      </c>
      <c r="M135" s="9"/>
      <c r="N135" s="10">
        <f t="shared" si="29"/>
        <v>410.6200000000008</v>
      </c>
      <c r="O135" s="8">
        <f>IFERROR(N135/N444, "NA")</f>
        <v>1.1059157686588621E-2</v>
      </c>
      <c r="P135" s="9"/>
      <c r="Q135" s="7">
        <v>19254.55</v>
      </c>
      <c r="R135" s="8">
        <f>IFERROR(Q135/Q444, "NA")</f>
        <v>8.5100308736815768E-3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-19254.55</v>
      </c>
      <c r="X135" s="8">
        <f>IFERROR(W135/W444, "NA")</f>
        <v>-0.1923115529957799</v>
      </c>
      <c r="Y135" s="9"/>
      <c r="Z135" s="7">
        <v>17765.099999999999</v>
      </c>
      <c r="AA135" s="8">
        <f>IFERROR(Z135/Z444, "NA")</f>
        <v>9.2258781866147981E-3</v>
      </c>
      <c r="AB135" s="9"/>
      <c r="AC135" s="10">
        <f t="shared" si="31"/>
        <v>-1489.4500000000007</v>
      </c>
      <c r="AD135" s="8">
        <f>IFERROR(AC135/AC444, "NA")</f>
        <v>-4.4197549708853128E-3</v>
      </c>
    </row>
    <row r="136" spans="1:30" ht="16.5" customHeight="1" x14ac:dyDescent="0.45">
      <c r="A136" s="12" t="s">
        <v>128</v>
      </c>
      <c r="B136" s="7">
        <v>7137.5100000000011</v>
      </c>
      <c r="C136" s="8">
        <f>IFERROR(B136/B444, "NA")</f>
        <v>1.1827310146336475E-2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-7137.5100000000011</v>
      </c>
      <c r="I136" s="8">
        <f>IFERROR(H136/H444, "NA")</f>
        <v>0.12431688944686517</v>
      </c>
      <c r="J136" s="9"/>
      <c r="K136" s="7">
        <v>5142.3</v>
      </c>
      <c r="L136" s="8">
        <f>IFERROR(K136/K444, "NA")</f>
        <v>9.0797591768815057E-3</v>
      </c>
      <c r="M136" s="9"/>
      <c r="N136" s="10">
        <f t="shared" si="29"/>
        <v>-1995.2100000000009</v>
      </c>
      <c r="O136" s="8">
        <f>IFERROR(N136/N444, "NA")</f>
        <v>-5.3736647040715145E-2</v>
      </c>
      <c r="P136" s="9"/>
      <c r="Q136" s="7">
        <v>21042.47</v>
      </c>
      <c r="R136" s="8">
        <f>IFERROR(Q136/Q444, "NA")</f>
        <v>9.3002469213000778E-3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-21042.47</v>
      </c>
      <c r="X136" s="8">
        <f>IFERROR(W136/W444, "NA")</f>
        <v>-0.21016902937576362</v>
      </c>
      <c r="Y136" s="9"/>
      <c r="Z136" s="7">
        <v>19088.330000000002</v>
      </c>
      <c r="AA136" s="8">
        <f>IFERROR(Z136/Z444, "NA")</f>
        <v>9.9130659194659691E-3</v>
      </c>
      <c r="AB136" s="9"/>
      <c r="AC136" s="10">
        <f t="shared" si="31"/>
        <v>-1954.1399999999994</v>
      </c>
      <c r="AD136" s="8">
        <f>IFERROR(AC136/AC444, "NA")</f>
        <v>-5.7986639221228094E-3</v>
      </c>
    </row>
    <row r="137" spans="1:30" ht="16.5" customHeight="1" x14ac:dyDescent="0.45">
      <c r="A137" s="12" t="s">
        <v>129</v>
      </c>
      <c r="B137" s="7">
        <v>3374.52</v>
      </c>
      <c r="C137" s="8">
        <f>IFERROR(B137/B444, "NA")</f>
        <v>5.5917952668389052E-3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-3374.52</v>
      </c>
      <c r="I137" s="8">
        <f>IFERROR(H137/H444, "NA")</f>
        <v>5.8775375414708404E-2</v>
      </c>
      <c r="J137" s="9"/>
      <c r="K137" s="7">
        <v>3186.92</v>
      </c>
      <c r="L137" s="8">
        <f>IFERROR(K137/K444, "NA")</f>
        <v>5.6271446854495475E-3</v>
      </c>
      <c r="M137" s="9"/>
      <c r="N137" s="10">
        <f t="shared" si="29"/>
        <v>-187.59999999999991</v>
      </c>
      <c r="O137" s="8">
        <f>IFERROR(N137/N444, "NA")</f>
        <v>-5.0525984657445334E-3</v>
      </c>
      <c r="P137" s="9"/>
      <c r="Q137" s="7">
        <v>11804.52</v>
      </c>
      <c r="R137" s="8">
        <f>IFERROR(Q137/Q444, "NA")</f>
        <v>5.2173034243330361E-3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-11804.52</v>
      </c>
      <c r="X137" s="8">
        <f>IFERROR(W137/W444, "NA")</f>
        <v>-0.11790177249376091</v>
      </c>
      <c r="Y137" s="9"/>
      <c r="Z137" s="7">
        <v>10380.02</v>
      </c>
      <c r="AA137" s="8">
        <f>IFERROR(Z137/Z444, "NA")</f>
        <v>5.3906141870648265E-3</v>
      </c>
      <c r="AB137" s="9"/>
      <c r="AC137" s="10">
        <f t="shared" si="31"/>
        <v>-1424.5</v>
      </c>
      <c r="AD137" s="8">
        <f>IFERROR(AC137/AC444, "NA")</f>
        <v>-4.227024039763755E-3</v>
      </c>
    </row>
    <row r="138" spans="1:30" ht="16.5" customHeight="1" x14ac:dyDescent="0.45">
      <c r="A138" s="12" t="s">
        <v>130</v>
      </c>
      <c r="B138" s="7">
        <v>38266.17</v>
      </c>
      <c r="C138" s="8">
        <f>IFERROR(B138/B444, "NA")</f>
        <v>6.3409488841687969E-2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-38266.17</v>
      </c>
      <c r="I138" s="8">
        <f>IFERROR(H138/H444, "NA")</f>
        <v>0.66649731144964386</v>
      </c>
      <c r="J138" s="9"/>
      <c r="K138" s="7">
        <v>25705.239999999998</v>
      </c>
      <c r="L138" s="8">
        <f>IFERROR(K138/K444, "NA")</f>
        <v>4.5387742602326107E-2</v>
      </c>
      <c r="M138" s="9"/>
      <c r="N138" s="10">
        <f t="shared" si="29"/>
        <v>-12560.93</v>
      </c>
      <c r="O138" s="8">
        <f>IFERROR(N138/N444, "NA")</f>
        <v>-0.33830136272027994</v>
      </c>
      <c r="P138" s="9"/>
      <c r="Q138" s="7">
        <v>129201.39</v>
      </c>
      <c r="R138" s="8">
        <f>IFERROR(Q138/Q444, "NA")</f>
        <v>5.7103791977614345E-2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-129201.39</v>
      </c>
      <c r="X138" s="8">
        <f>IFERROR(W138/W444, "NA")</f>
        <v>-1.2904440747830217</v>
      </c>
      <c r="Y138" s="9"/>
      <c r="Z138" s="7">
        <v>98321.37</v>
      </c>
      <c r="AA138" s="8">
        <f>IFERROR(Z138/Z444, "NA")</f>
        <v>5.1060843044006661E-2</v>
      </c>
      <c r="AB138" s="9"/>
      <c r="AC138" s="10">
        <f t="shared" si="31"/>
        <v>-30880.020000000004</v>
      </c>
      <c r="AD138" s="8">
        <f>IFERROR(AC138/AC444, "NA")</f>
        <v>-9.1632563628210303E-2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29.7</v>
      </c>
      <c r="C140" s="8">
        <f>IFERROR(B140/B444, "NA")</f>
        <v>4.921479778608972E-5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-29.7</v>
      </c>
      <c r="I140" s="8">
        <f>IFERROR(H140/H444, "NA")</f>
        <v>5.1729687476051098E-4</v>
      </c>
      <c r="J140" s="9"/>
      <c r="K140" s="7">
        <v>9.9</v>
      </c>
      <c r="L140" s="8">
        <f>IFERROR(K140/K444, "NA")</f>
        <v>1.7480430128760848E-5</v>
      </c>
      <c r="M140" s="9"/>
      <c r="N140" s="10">
        <f t="shared" si="29"/>
        <v>-19.799999999999997</v>
      </c>
      <c r="O140" s="8">
        <f>IFERROR(N140/N444, "NA")</f>
        <v>-5.3326998732271746E-4</v>
      </c>
      <c r="P140" s="9"/>
      <c r="Q140" s="7">
        <v>71.56</v>
      </c>
      <c r="R140" s="8">
        <f>IFERROR(Q140/Q444, "NA")</f>
        <v>3.1627735227291924E-5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-71.56</v>
      </c>
      <c r="X140" s="8">
        <f>IFERROR(W140/W444, "NA")</f>
        <v>-7.1473053030987545E-4</v>
      </c>
      <c r="Y140" s="9"/>
      <c r="Z140" s="7">
        <v>118.33</v>
      </c>
      <c r="AA140" s="8">
        <f>IFERROR(Z140/Z444, "NA")</f>
        <v>6.1451844674228069E-5</v>
      </c>
      <c r="AB140" s="9"/>
      <c r="AC140" s="10">
        <f t="shared" si="31"/>
        <v>46.769999999999996</v>
      </c>
      <c r="AD140" s="8">
        <f>IFERROR(AC140/AC444, "NA")</f>
        <v>1.3878407465057972E-4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150531.85</v>
      </c>
      <c r="C141" s="15">
        <f>IFERROR(B141/B444, "NA")</f>
        <v>0.24944089421265958</v>
      </c>
      <c r="D141" s="2"/>
      <c r="E141" s="14">
        <f>IFERROR(E129+E130+E131+E132+E133+E134+E135+E136+E137+E138+E139+E140, "NA")</f>
        <v>150763.68</v>
      </c>
      <c r="F141" s="15">
        <f>IFERROR(E141/E444, "NA")</f>
        <v>0.22812189855187437</v>
      </c>
      <c r="G141" s="2"/>
      <c r="H141" s="14">
        <f t="shared" si="28"/>
        <v>231.82999999998719</v>
      </c>
      <c r="I141" s="15">
        <f>IFERROR(H141/H444, "NA")</f>
        <v>-4.037876581674163E-3</v>
      </c>
      <c r="J141" s="2"/>
      <c r="K141" s="14">
        <f>IFERROR(K129+K130+K131+K132+K133+K134+K135+K136+K137+K138+K139+K140, "NA")</f>
        <v>130889.86000000002</v>
      </c>
      <c r="L141" s="15">
        <f>IFERROR(K141/K444, "NA")</f>
        <v>0.23111222750437269</v>
      </c>
      <c r="M141" s="2"/>
      <c r="N141" s="14">
        <f t="shared" si="29"/>
        <v>-19641.989999999991</v>
      </c>
      <c r="O141" s="15">
        <f>IFERROR(N141/N444, "NA")</f>
        <v>-0.52901433122691621</v>
      </c>
      <c r="P141" s="2"/>
      <c r="Q141" s="14">
        <f>IFERROR(Q129+Q130+Q131+Q132+Q133+Q134+Q135+Q136+Q137+Q138+Q139+Q140, "NA")</f>
        <v>537768.55000000005</v>
      </c>
      <c r="R141" s="15">
        <f>IFERROR(Q141/Q444, "NA")</f>
        <v>0.23768028665406232</v>
      </c>
      <c r="S141" s="2"/>
      <c r="T141" s="14">
        <f>IFERROR(T129+T130+T131+T132+T133+T134+T135+T136+T137+T138+T139+T140, "NA")</f>
        <v>513197.79000000004</v>
      </c>
      <c r="U141" s="15">
        <f>IFERROR(T141/T444, "NA")</f>
        <v>0.2373224435959766</v>
      </c>
      <c r="V141" s="2"/>
      <c r="W141" s="14">
        <f t="shared" si="30"/>
        <v>-24570.760000000009</v>
      </c>
      <c r="X141" s="15">
        <f>IFERROR(W141/W444, "NA")</f>
        <v>-0.2454090598786568</v>
      </c>
      <c r="Y141" s="2"/>
      <c r="Z141" s="14">
        <f>IFERROR(Z129+Z130+Z131+Z132+Z133+Z134+Z135+Z136+Z137+Z138+Z139+Z140, "NA")</f>
        <v>457623.36000000004</v>
      </c>
      <c r="AA141" s="15">
        <f>IFERROR(Z141/Z444, "NA")</f>
        <v>0.23765570555242424</v>
      </c>
      <c r="AB141" s="2"/>
      <c r="AC141" s="14">
        <f t="shared" si="31"/>
        <v>-80145.19</v>
      </c>
      <c r="AD141" s="15">
        <f>IFERROR(AC141/AC444, "NA")</f>
        <v>-0.23782074047134696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7948.2899999999991</v>
      </c>
      <c r="C144" s="8">
        <f>IFERROR(B144/B444, "NA")</f>
        <v>1.3170824413979765E-2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-7948.2899999999991</v>
      </c>
      <c r="I144" s="8">
        <f>IFERROR(H144/H444, "NA")</f>
        <v>0.13843857160573136</v>
      </c>
      <c r="J144" s="9"/>
      <c r="K144" s="7">
        <v>4846.9799999999996</v>
      </c>
      <c r="L144" s="8">
        <f>IFERROR(K144/K444, "NA")</f>
        <v>8.5583126490405299E-3</v>
      </c>
      <c r="M144" s="9"/>
      <c r="N144" s="10">
        <f t="shared" si="33"/>
        <v>-3101.3099999999995</v>
      </c>
      <c r="O144" s="8">
        <f>IFERROR(N144/N444, "NA")</f>
        <v>-8.3527047696152365E-2</v>
      </c>
      <c r="P144" s="9"/>
      <c r="Q144" s="7">
        <v>27152.260000000002</v>
      </c>
      <c r="R144" s="8">
        <f>IFERROR(Q144/Q444, "NA")</f>
        <v>1.2000621717476097E-2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-27152.260000000002</v>
      </c>
      <c r="X144" s="8">
        <f>IFERROR(W144/W444, "NA")</f>
        <v>-0.27119269408764141</v>
      </c>
      <c r="Y144" s="9"/>
      <c r="Z144" s="7">
        <v>19217.859999999997</v>
      </c>
      <c r="AA144" s="8">
        <f>IFERROR(Z144/Z444, "NA")</f>
        <v>9.9803342152544623E-3</v>
      </c>
      <c r="AB144" s="9"/>
      <c r="AC144" s="10">
        <f t="shared" si="35"/>
        <v>-7934.4000000000051</v>
      </c>
      <c r="AD144" s="8">
        <f>IFERROR(AC144/AC444, "NA")</f>
        <v>-2.3544331022184319E-2</v>
      </c>
    </row>
    <row r="145" spans="1:30" ht="16.5" customHeight="1" x14ac:dyDescent="0.45">
      <c r="A145" s="12" t="s">
        <v>136</v>
      </c>
      <c r="B145" s="7">
        <v>-1103.2600000000002</v>
      </c>
      <c r="C145" s="8">
        <f>IFERROR(B145/B444, "NA")</f>
        <v>-1.8281723166828738E-3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1103.2600000000002</v>
      </c>
      <c r="I145" s="8">
        <f>IFERROR(H145/H444, "NA")</f>
        <v>-1.921592424404988E-2</v>
      </c>
      <c r="J145" s="9"/>
      <c r="K145" s="7">
        <v>539.26</v>
      </c>
      <c r="L145" s="8">
        <f>IFERROR(K145/K444, "NA")</f>
        <v>9.5217138901369444E-4</v>
      </c>
      <c r="M145" s="9"/>
      <c r="N145" s="10">
        <f t="shared" si="33"/>
        <v>1642.5200000000002</v>
      </c>
      <c r="O145" s="8">
        <f>IFERROR(N145/N444, "NA")</f>
        <v>4.4237708059460111E-2</v>
      </c>
      <c r="P145" s="9"/>
      <c r="Q145" s="7">
        <v>133.05999999999995</v>
      </c>
      <c r="R145" s="8">
        <f>IFERROR(Q145/Q444, "NA")</f>
        <v>5.8809201360305504E-5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-133.05999999999995</v>
      </c>
      <c r="X145" s="8">
        <f>IFERROR(W145/W444, "NA")</f>
        <v>-1.3289832918254888E-3</v>
      </c>
      <c r="Y145" s="9"/>
      <c r="Z145" s="7">
        <v>1417.55</v>
      </c>
      <c r="AA145" s="8">
        <f>IFERROR(Z145/Z444, "NA")</f>
        <v>7.3617056044918453E-4</v>
      </c>
      <c r="AB145" s="9"/>
      <c r="AC145" s="10">
        <f t="shared" si="35"/>
        <v>1284.49</v>
      </c>
      <c r="AD145" s="8">
        <f>IFERROR(AC145/AC444, "NA")</f>
        <v>3.8115620279650024E-3</v>
      </c>
    </row>
    <row r="146" spans="1:30" ht="16.5" customHeight="1" x14ac:dyDescent="0.45">
      <c r="A146" s="12" t="s">
        <v>137</v>
      </c>
      <c r="B146" s="7">
        <v>1518.98</v>
      </c>
      <c r="C146" s="8">
        <f>IFERROR(B146/B444, "NA")</f>
        <v>2.5170469205762478E-3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-1518.98</v>
      </c>
      <c r="I146" s="8">
        <f>IFERROR(H146/H444, "NA")</f>
        <v>2.6456687098441786E-2</v>
      </c>
      <c r="J146" s="9"/>
      <c r="K146" s="7">
        <v>1225.56</v>
      </c>
      <c r="L146" s="8">
        <f>IFERROR(K146/K444, "NA")</f>
        <v>2.1639713079398127E-3</v>
      </c>
      <c r="M146" s="9"/>
      <c r="N146" s="10">
        <f t="shared" si="33"/>
        <v>-293.42000000000007</v>
      </c>
      <c r="O146" s="8">
        <f>IFERROR(N146/N444, "NA")</f>
        <v>-7.9026302868803952E-3</v>
      </c>
      <c r="P146" s="9"/>
      <c r="Q146" s="7">
        <v>2083.86</v>
      </c>
      <c r="R146" s="8">
        <f>IFERROR(Q146/Q444, "NA")</f>
        <v>9.2101414660067848E-4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-2083.86</v>
      </c>
      <c r="X146" s="8">
        <f>IFERROR(W146/W444, "NA")</f>
        <v>-2.081328064409638E-2</v>
      </c>
      <c r="Y146" s="9"/>
      <c r="Z146" s="7">
        <v>4648.42</v>
      </c>
      <c r="AA146" s="8">
        <f>IFERROR(Z146/Z444, "NA")</f>
        <v>2.4140453293380825E-3</v>
      </c>
      <c r="AB146" s="9"/>
      <c r="AC146" s="10">
        <f t="shared" si="35"/>
        <v>2564.56</v>
      </c>
      <c r="AD146" s="8">
        <f>IFERROR(AC146/AC444, "NA")</f>
        <v>7.6100082635426718E-3</v>
      </c>
    </row>
    <row r="147" spans="1:30" ht="16.5" customHeight="1" x14ac:dyDescent="0.45">
      <c r="A147" s="12" t="s">
        <v>138</v>
      </c>
      <c r="B147" s="7">
        <v>-10.200000000000003</v>
      </c>
      <c r="C147" s="8">
        <f>IFERROR(B147/B444, "NA")</f>
        <v>-1.6902051764919704E-5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10.200000000000003</v>
      </c>
      <c r="I147" s="8">
        <f>IFERROR(H147/H444, "NA")</f>
        <v>-1.7765751254401394E-4</v>
      </c>
      <c r="J147" s="9"/>
      <c r="K147" s="7">
        <v>120.91</v>
      </c>
      <c r="L147" s="8">
        <f>IFERROR(K147/K444, "NA")</f>
        <v>2.1349078857257314E-4</v>
      </c>
      <c r="M147" s="9"/>
      <c r="N147" s="10">
        <f t="shared" si="33"/>
        <v>131.11000000000001</v>
      </c>
      <c r="O147" s="8">
        <f>IFERROR(N147/N444, "NA")</f>
        <v>3.5311630322162378E-3</v>
      </c>
      <c r="P147" s="9"/>
      <c r="Q147" s="7">
        <v>542.41999999999996</v>
      </c>
      <c r="R147" s="8">
        <f>IFERROR(Q147/Q444, "NA")</f>
        <v>2.3973611154258921E-4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-542.41999999999996</v>
      </c>
      <c r="X147" s="8">
        <f>IFERROR(W147/W444, "NA")</f>
        <v>-5.4176094780699078E-3</v>
      </c>
      <c r="Y147" s="9"/>
      <c r="Z147" s="7">
        <v>209.43999999999997</v>
      </c>
      <c r="AA147" s="8">
        <f>IFERROR(Z147/Z444, "NA")</f>
        <v>1.0876763583681507E-4</v>
      </c>
      <c r="AB147" s="9"/>
      <c r="AC147" s="10">
        <f t="shared" si="35"/>
        <v>-332.98</v>
      </c>
      <c r="AD147" s="8">
        <f>IFERROR(AC147/AC444, "NA")</f>
        <v>-9.8807614233803812E-4</v>
      </c>
    </row>
    <row r="148" spans="1:30" ht="16.5" customHeight="1" x14ac:dyDescent="0.45">
      <c r="A148" s="13" t="s">
        <v>139</v>
      </c>
      <c r="B148" s="14">
        <f>IFERROR(B143+B144+B145+B146+B147, "NA")</f>
        <v>8353.8099999999977</v>
      </c>
      <c r="C148" s="15">
        <f>IFERROR(B148/B444, "NA")</f>
        <v>1.3842796966108217E-2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-8353.8099999999977</v>
      </c>
      <c r="I148" s="15">
        <f>IFERROR(H148/H444, "NA")</f>
        <v>0.14550167694757923</v>
      </c>
      <c r="J148" s="2"/>
      <c r="K148" s="14">
        <f>IFERROR(K143+K144+K145+K146+K147, "NA")</f>
        <v>6732.7099999999991</v>
      </c>
      <c r="L148" s="15">
        <f>IFERROR(K148/K444, "NA")</f>
        <v>1.188794613456661E-2</v>
      </c>
      <c r="M148" s="2"/>
      <c r="N148" s="14">
        <f t="shared" si="33"/>
        <v>-1621.0999999999985</v>
      </c>
      <c r="O148" s="15">
        <f>IFERROR(N148/N444, "NA")</f>
        <v>-4.3660806891356395E-2</v>
      </c>
      <c r="P148" s="2"/>
      <c r="Q148" s="14">
        <f>IFERROR(Q143+Q144+Q145+Q146+Q147, "NA")</f>
        <v>29911.600000000002</v>
      </c>
      <c r="R148" s="15">
        <f>IFERROR(Q148/Q444, "NA")</f>
        <v>1.322018117697967E-2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-29911.600000000002</v>
      </c>
      <c r="X148" s="15">
        <f>IFERROR(W148/W444, "NA")</f>
        <v>-0.29875256750163315</v>
      </c>
      <c r="Y148" s="2"/>
      <c r="Z148" s="14">
        <f>IFERROR(Z143+Z144+Z145+Z146+Z147, "NA")</f>
        <v>25493.269999999993</v>
      </c>
      <c r="AA148" s="15">
        <f>IFERROR(Z148/Z444, "NA")</f>
        <v>1.3239317740878543E-2</v>
      </c>
      <c r="AB148" s="2"/>
      <c r="AC148" s="14">
        <f t="shared" si="35"/>
        <v>-4418.330000000009</v>
      </c>
      <c r="AD148" s="15">
        <f>IFERROR(AC148/AC444, "NA")</f>
        <v>-1.3110836873014694E-2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158885.66</v>
      </c>
      <c r="C149" s="15">
        <f>IFERROR(B149/B444, "NA")</f>
        <v>0.26328369117876782</v>
      </c>
      <c r="D149" s="2"/>
      <c r="E149" s="14">
        <f>IFERROR(E127+E129+E130+E131+E132+E133+E134+E135+E136+E137+E138+E139+E140+E143+E144+E145+E146+E147, "NA")</f>
        <v>150763.68</v>
      </c>
      <c r="F149" s="15">
        <f>IFERROR(E149/E444, "NA")</f>
        <v>0.22812189855187437</v>
      </c>
      <c r="G149" s="2"/>
      <c r="H149" s="14">
        <f t="shared" si="32"/>
        <v>-8121.9800000000105</v>
      </c>
      <c r="I149" s="15">
        <f>IFERROR(H149/H444, "NA")</f>
        <v>0.14146380036590506</v>
      </c>
      <c r="J149" s="2"/>
      <c r="K149" s="14">
        <f>IFERROR(K127+K129+K130+K131+K132+K133+K134+K135+K136+K137+K138+K139+K140+K143+K144+K145+K146+K147, "NA")</f>
        <v>137622.57000000004</v>
      </c>
      <c r="L149" s="15">
        <f>IFERROR(K149/K444, "NA")</f>
        <v>0.24300017363893933</v>
      </c>
      <c r="M149" s="2"/>
      <c r="N149" s="14">
        <f t="shared" si="33"/>
        <v>-21263.089999999967</v>
      </c>
      <c r="O149" s="15">
        <f>IFERROR(N149/N444, "NA")</f>
        <v>-0.57267513811827198</v>
      </c>
      <c r="P149" s="2"/>
      <c r="Q149" s="14">
        <f>IFERROR(Q127+Q129+Q130+Q131+Q132+Q133+Q134+Q135+Q136+Q137+Q138+Q139+Q140+Q143+Q144+Q145+Q146+Q147, "NA")</f>
        <v>567680.15000000014</v>
      </c>
      <c r="R149" s="15">
        <f>IFERROR(Q149/Q444, "NA")</f>
        <v>0.25090046783104203</v>
      </c>
      <c r="S149" s="2"/>
      <c r="T149" s="14">
        <f>IFERROR(T127+T129+T130+T131+T132+T133+T134+T135+T136+T137+T138+T139+T140+T143+T144+T145+T146+T147, "NA")</f>
        <v>513197.79000000004</v>
      </c>
      <c r="U149" s="15">
        <f>IFERROR(T149/T444, "NA")</f>
        <v>0.2373224435959766</v>
      </c>
      <c r="V149" s="2"/>
      <c r="W149" s="14">
        <f t="shared" si="34"/>
        <v>-54482.360000000102</v>
      </c>
      <c r="X149" s="15">
        <f>IFERROR(W149/W444, "NA")</f>
        <v>-0.54416162738029084</v>
      </c>
      <c r="Y149" s="2"/>
      <c r="Z149" s="14">
        <f>IFERROR(Z127+Z129+Z130+Z131+Z132+Z133+Z134+Z135+Z136+Z137+Z138+Z139+Z140+Z143+Z144+Z145+Z146+Z147, "NA")</f>
        <v>483116.63</v>
      </c>
      <c r="AA149" s="15">
        <f>IFERROR(Z149/Z444, "NA")</f>
        <v>0.25089502329330277</v>
      </c>
      <c r="AB149" s="2"/>
      <c r="AC149" s="14">
        <f t="shared" si="35"/>
        <v>-84563.520000000135</v>
      </c>
      <c r="AD149" s="15">
        <f>IFERROR(AC149/AC444, "NA")</f>
        <v>-0.250931577344362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10912.820000000002</v>
      </c>
      <c r="F153" s="8">
        <f>IFERROR(E153/E444, "NA")</f>
        <v>1.6512287421976343E-2</v>
      </c>
      <c r="G153" s="9"/>
      <c r="H153" s="10">
        <f t="shared" ref="H153:H158" si="36">IFERROR(-(B153-E153), "NA")</f>
        <v>10912.820000000002</v>
      </c>
      <c r="I153" s="8">
        <f>IFERROR(H153/H444, "NA")</f>
        <v>-0.19007298588632998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40626.83</v>
      </c>
      <c r="U153" s="8">
        <f>IFERROR(T153/T444, "NA")</f>
        <v>1.8787412492868159E-2</v>
      </c>
      <c r="V153" s="9"/>
      <c r="W153" s="10">
        <f t="shared" ref="W153:W158" si="38">IFERROR(-(Q153-T153), "NA")</f>
        <v>40626.83</v>
      </c>
      <c r="X153" s="8">
        <f>IFERROR(W153/W444, "NA")</f>
        <v>0.40577467510772997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19294.18</v>
      </c>
      <c r="C154" s="8">
        <f>IFERROR(B154/B444, "NA")</f>
        <v>3.1971689129576313E-2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-19294.18</v>
      </c>
      <c r="I154" s="8">
        <f>IFERROR(H154/H444, "NA")</f>
        <v>0.33605451229180999</v>
      </c>
      <c r="J154" s="9"/>
      <c r="K154" s="7">
        <v>17935.78</v>
      </c>
      <c r="L154" s="8">
        <f>IFERROR(K154/K444, "NA")</f>
        <v>3.1669206979275374E-2</v>
      </c>
      <c r="M154" s="9"/>
      <c r="N154" s="10">
        <f t="shared" si="37"/>
        <v>-1358.4000000000015</v>
      </c>
      <c r="O154" s="8">
        <f>IFERROR(N154/N444, "NA")</f>
        <v>-3.6585553069655573E-2</v>
      </c>
      <c r="P154" s="9"/>
      <c r="Q154" s="7">
        <v>71878.12</v>
      </c>
      <c r="R154" s="8">
        <f>IFERROR(Q154/Q444, "NA")</f>
        <v>3.1768336333084346E-2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-71878.12</v>
      </c>
      <c r="X154" s="8">
        <f>IFERROR(W154/W444, "NA")</f>
        <v>-0.7179078650821249</v>
      </c>
      <c r="Y154" s="9"/>
      <c r="Z154" s="7">
        <v>67197.759999999995</v>
      </c>
      <c r="AA154" s="8">
        <f>IFERROR(Z154/Z444, "NA")</f>
        <v>3.4897543395386262E-2</v>
      </c>
      <c r="AB154" s="9"/>
      <c r="AC154" s="10">
        <f t="shared" si="39"/>
        <v>-4680.3600000000006</v>
      </c>
      <c r="AD154" s="8">
        <f>IFERROR(AC154/AC444, "NA")</f>
        <v>-1.3888377841171423E-2</v>
      </c>
    </row>
    <row r="155" spans="1:30" ht="16.5" customHeight="1" x14ac:dyDescent="0.45">
      <c r="A155" s="12" t="s">
        <v>144</v>
      </c>
      <c r="B155" s="7">
        <v>6448.67</v>
      </c>
      <c r="C155" s="8">
        <f>IFERROR(B155/B444, "NA")</f>
        <v>1.0685858250478896E-2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-6448.67</v>
      </c>
      <c r="I155" s="8">
        <f>IFERROR(H155/H444, "NA")</f>
        <v>0.11231908543305941</v>
      </c>
      <c r="J155" s="9"/>
      <c r="K155" s="7">
        <v>8081.32</v>
      </c>
      <c r="L155" s="8">
        <f>IFERROR(K155/K444, "NA")</f>
        <v>1.426918682910683E-2</v>
      </c>
      <c r="M155" s="9"/>
      <c r="N155" s="10">
        <f t="shared" si="37"/>
        <v>1632.6499999999996</v>
      </c>
      <c r="O155" s="8">
        <f>IFERROR(N155/N444, "NA")</f>
        <v>4.3971881050628013E-2</v>
      </c>
      <c r="P155" s="9"/>
      <c r="Q155" s="7">
        <v>25963.639999999996</v>
      </c>
      <c r="R155" s="8">
        <f>IFERROR(Q155/Q444, "NA")</f>
        <v>1.1475281322760279E-2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-25963.639999999996</v>
      </c>
      <c r="X155" s="8">
        <f>IFERROR(W155/W444, "NA")</f>
        <v>-0.25932093608125617</v>
      </c>
      <c r="Y155" s="9"/>
      <c r="Z155" s="7">
        <v>24554.21</v>
      </c>
      <c r="AA155" s="8">
        <f>IFERROR(Z155/Z444, "NA")</f>
        <v>1.27516394745067E-2</v>
      </c>
      <c r="AB155" s="9"/>
      <c r="AC155" s="10">
        <f t="shared" si="39"/>
        <v>-1409.4299999999967</v>
      </c>
      <c r="AD155" s="8">
        <f>IFERROR(AC155/AC444, "NA")</f>
        <v>-4.1823057159453949E-3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19.95</v>
      </c>
      <c r="L156" s="8">
        <f>IFERROR(K156/K444, "NA")</f>
        <v>3.5225715259472617E-5</v>
      </c>
      <c r="M156" s="9"/>
      <c r="N156" s="10">
        <f t="shared" si="37"/>
        <v>19.95</v>
      </c>
      <c r="O156" s="8">
        <f>IFERROR(N156/N444, "NA")</f>
        <v>5.3730991146910172E-4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360.26</v>
      </c>
      <c r="AA156" s="8">
        <f>IFERROR(Z156/Z444, "NA")</f>
        <v>1.8709238200234434E-4</v>
      </c>
      <c r="AB156" s="9"/>
      <c r="AC156" s="10">
        <f t="shared" si="39"/>
        <v>360.26</v>
      </c>
      <c r="AD156" s="8">
        <f>IFERROR(AC156/AC444, "NA")</f>
        <v>1.0690261007829348E-3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25742.85</v>
      </c>
      <c r="C158" s="15">
        <f>IFERROR(B158/B444, "NA")</f>
        <v>4.2657547380055207E-2</v>
      </c>
      <c r="D158" s="2"/>
      <c r="E158" s="14">
        <f>IFERROR(E153+E154+E155+E156+E157, "NA")</f>
        <v>10912.820000000002</v>
      </c>
      <c r="F158" s="15">
        <f>IFERROR(E158/E444, "NA")</f>
        <v>1.6512287421976343E-2</v>
      </c>
      <c r="G158" s="2"/>
      <c r="H158" s="14">
        <f t="shared" si="36"/>
        <v>-14830.029999999997</v>
      </c>
      <c r="I158" s="15">
        <f>IFERROR(H158/H444, "NA")</f>
        <v>0.25830061183853936</v>
      </c>
      <c r="J158" s="2"/>
      <c r="K158" s="14">
        <f>IFERROR(K153+K154+K155+K156+K157, "NA")</f>
        <v>26037.05</v>
      </c>
      <c r="L158" s="15">
        <f>IFERROR(K158/K444, "NA")</f>
        <v>4.5973619523641679E-2</v>
      </c>
      <c r="M158" s="2"/>
      <c r="N158" s="14">
        <f t="shared" si="37"/>
        <v>294.20000000000073</v>
      </c>
      <c r="O158" s="15">
        <f>IFERROR(N158/N444, "NA")</f>
        <v>7.9236378924416109E-3</v>
      </c>
      <c r="P158" s="2"/>
      <c r="Q158" s="14">
        <f>IFERROR(Q153+Q154+Q155+Q156+Q157, "NA")</f>
        <v>97841.76</v>
      </c>
      <c r="R158" s="15">
        <f>IFERROR(Q158/Q444, "NA")</f>
        <v>4.3243617655844627E-2</v>
      </c>
      <c r="S158" s="2"/>
      <c r="T158" s="14">
        <f>IFERROR(T153+T154+T155+T156+T157, "NA")</f>
        <v>40626.83</v>
      </c>
      <c r="U158" s="15">
        <f>IFERROR(T158/T444, "NA")</f>
        <v>1.8787412492868159E-2</v>
      </c>
      <c r="V158" s="2"/>
      <c r="W158" s="14">
        <f t="shared" si="38"/>
        <v>-57214.929999999993</v>
      </c>
      <c r="X158" s="15">
        <f>IFERROR(W158/W444, "NA")</f>
        <v>-0.57145412605565116</v>
      </c>
      <c r="Y158" s="2"/>
      <c r="Z158" s="14">
        <f>IFERROR(Z153+Z154+Z155+Z156+Z157, "NA")</f>
        <v>92112.23</v>
      </c>
      <c r="AA158" s="15">
        <f>IFERROR(Z158/Z444, "NA")</f>
        <v>4.7836275251895308E-2</v>
      </c>
      <c r="AB158" s="2"/>
      <c r="AC158" s="14">
        <f t="shared" si="39"/>
        <v>-5729.5299999999988</v>
      </c>
      <c r="AD158" s="15">
        <f>IFERROR(AC158/AC444, "NA")</f>
        <v>-1.7001657456333887E-2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1428.46</v>
      </c>
      <c r="C161" s="8">
        <f>IFERROR(B161/B444, "NA")</f>
        <v>2.3670494964820781E-3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-1428.46</v>
      </c>
      <c r="I161" s="8">
        <f>IFERROR(H161/H444, "NA")</f>
        <v>2.4880063761629614E-2</v>
      </c>
      <c r="J161" s="9"/>
      <c r="K161" s="7">
        <v>1702.83</v>
      </c>
      <c r="L161" s="8">
        <f>IFERROR(K161/K444, "NA")</f>
        <v>3.0066869531472562E-3</v>
      </c>
      <c r="M161" s="9"/>
      <c r="N161" s="10">
        <f t="shared" si="41"/>
        <v>274.36999999999989</v>
      </c>
      <c r="O161" s="8">
        <f>IFERROR(N161/N444, "NA")</f>
        <v>7.3895599202895941E-3</v>
      </c>
      <c r="P161" s="9"/>
      <c r="Q161" s="7">
        <v>6014.32</v>
      </c>
      <c r="R161" s="8">
        <f>IFERROR(Q161/Q444, "NA")</f>
        <v>2.6581794372862824E-3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-6014.32</v>
      </c>
      <c r="X161" s="8">
        <f>IFERROR(W161/W444, "NA")</f>
        <v>-6.0070124693310363E-2</v>
      </c>
      <c r="Y161" s="9"/>
      <c r="Z161" s="7">
        <v>6914.18</v>
      </c>
      <c r="AA161" s="8">
        <f>IFERROR(Z161/Z444, "NA")</f>
        <v>3.5907133897545365E-3</v>
      </c>
      <c r="AB161" s="9"/>
      <c r="AC161" s="10">
        <f t="shared" si="43"/>
        <v>899.86000000000058</v>
      </c>
      <c r="AD161" s="8">
        <f>IFERROR(AC161/AC444, "NA")</f>
        <v>2.670221026621141E-3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1428.46</v>
      </c>
      <c r="C166" s="15">
        <f>IFERROR(B166/B444, "NA")</f>
        <v>2.3670494964820781E-3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-1428.46</v>
      </c>
      <c r="I166" s="15">
        <f>IFERROR(H166/H444, "NA")</f>
        <v>2.4880063761629614E-2</v>
      </c>
      <c r="J166" s="2"/>
      <c r="K166" s="14">
        <f>IFERROR(K160+K161+K162+K163+K164+K165, "NA")</f>
        <v>1702.83</v>
      </c>
      <c r="L166" s="15">
        <f>IFERROR(K166/K444, "NA")</f>
        <v>3.0066869531472562E-3</v>
      </c>
      <c r="M166" s="2"/>
      <c r="N166" s="14">
        <f t="shared" si="41"/>
        <v>274.36999999999989</v>
      </c>
      <c r="O166" s="15">
        <f>IFERROR(N166/N444, "NA")</f>
        <v>7.3895599202895941E-3</v>
      </c>
      <c r="P166" s="2"/>
      <c r="Q166" s="14">
        <f>IFERROR(Q160+Q161+Q162+Q163+Q164+Q165, "NA")</f>
        <v>6014.32</v>
      </c>
      <c r="R166" s="15">
        <f>IFERROR(Q166/Q444, "NA")</f>
        <v>2.6581794372862824E-3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-6014.32</v>
      </c>
      <c r="X166" s="15">
        <f>IFERROR(W166/W444, "NA")</f>
        <v>-6.0070124693310363E-2</v>
      </c>
      <c r="Y166" s="2"/>
      <c r="Z166" s="14">
        <f>IFERROR(Z160+Z161+Z162+Z163+Z164+Z165, "NA")</f>
        <v>6914.18</v>
      </c>
      <c r="AA166" s="15">
        <f>IFERROR(Z166/Z444, "NA")</f>
        <v>3.5907133897545365E-3</v>
      </c>
      <c r="AB166" s="2"/>
      <c r="AC166" s="14">
        <f t="shared" si="43"/>
        <v>899.86000000000058</v>
      </c>
      <c r="AD166" s="15">
        <f>IFERROR(AC166/AC444, "NA")</f>
        <v>2.670221026621141E-3</v>
      </c>
    </row>
    <row r="167" spans="1:30" ht="16.5" customHeight="1" x14ac:dyDescent="0.45">
      <c r="A167" s="6" t="s">
        <v>155</v>
      </c>
      <c r="B167" s="7">
        <v>904.45</v>
      </c>
      <c r="C167" s="8">
        <f>IFERROR(B167/B444, "NA")</f>
        <v>1.4987314430178064E-3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-904.45</v>
      </c>
      <c r="I167" s="8">
        <f>IFERROR(H167/H444, "NA")</f>
        <v>1.5753170315728759E-2</v>
      </c>
      <c r="J167" s="9"/>
      <c r="K167" s="7">
        <v>916.73</v>
      </c>
      <c r="L167" s="8">
        <f>IFERROR(K167/K444, "NA")</f>
        <v>1.6186701729231246E-3</v>
      </c>
      <c r="M167" s="9"/>
      <c r="N167" s="10">
        <f t="shared" si="41"/>
        <v>12.279999999999973</v>
      </c>
      <c r="O167" s="8">
        <f>IFERROR(N167/N444, "NA")</f>
        <v>3.307351234506544E-4</v>
      </c>
      <c r="P167" s="9"/>
      <c r="Q167" s="7">
        <v>3181.8800000000006</v>
      </c>
      <c r="R167" s="8">
        <f>IFERROR(Q167/Q444, "NA")</f>
        <v>1.4063116009644444E-3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-3181.8800000000006</v>
      </c>
      <c r="X167" s="8">
        <f>IFERROR(W167/W444, "NA")</f>
        <v>-3.1780139460346378E-2</v>
      </c>
      <c r="Y167" s="9"/>
      <c r="Z167" s="7">
        <v>3887.18</v>
      </c>
      <c r="AA167" s="8">
        <f>IFERROR(Z167/Z444, "NA")</f>
        <v>2.0187136109250897E-3</v>
      </c>
      <c r="AB167" s="9"/>
      <c r="AC167" s="10">
        <f t="shared" si="43"/>
        <v>705.29999999999927</v>
      </c>
      <c r="AD167" s="8">
        <f>IFERROR(AC167/AC444, "NA")</f>
        <v>2.0928887716710237E-3</v>
      </c>
    </row>
    <row r="168" spans="1:30" ht="16.5" customHeight="1" x14ac:dyDescent="0.45">
      <c r="A168" s="6" t="s">
        <v>156</v>
      </c>
      <c r="B168" s="7">
        <v>184</v>
      </c>
      <c r="C168" s="8">
        <f>IFERROR(B168/B444, "NA")</f>
        <v>3.0489975732796322E-4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-184</v>
      </c>
      <c r="I168" s="8">
        <f>IFERROR(H168/H444, "NA")</f>
        <v>3.2048021870684858E-3</v>
      </c>
      <c r="J168" s="9"/>
      <c r="K168" s="7">
        <v>239.79</v>
      </c>
      <c r="L168" s="8">
        <f>IFERROR(K168/K444, "NA")</f>
        <v>4.2339720611874382E-4</v>
      </c>
      <c r="M168" s="9"/>
      <c r="N168" s="10">
        <f t="shared" si="41"/>
        <v>55.789999999999992</v>
      </c>
      <c r="O168" s="8">
        <f>IFERROR(N168/N444, "NA")</f>
        <v>1.5025824541785055E-3</v>
      </c>
      <c r="P168" s="9"/>
      <c r="Q168" s="7">
        <v>816.8</v>
      </c>
      <c r="R168" s="8">
        <f>IFERROR(Q168/Q444, "NA")</f>
        <v>3.6100522825114646E-4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-816.8</v>
      </c>
      <c r="X168" s="8">
        <f>IFERROR(W168/W444, "NA")</f>
        <v>-8.1580757009098118E-3</v>
      </c>
      <c r="Y168" s="9"/>
      <c r="Z168" s="7">
        <v>911.58999999999992</v>
      </c>
      <c r="AA168" s="8">
        <f>IFERROR(Z168/Z444, "NA")</f>
        <v>4.7341238136211922E-4</v>
      </c>
      <c r="AB168" s="9"/>
      <c r="AC168" s="10">
        <f t="shared" si="43"/>
        <v>94.789999999999964</v>
      </c>
      <c r="AD168" s="8">
        <f>IFERROR(AC168/AC444, "NA")</f>
        <v>2.8127736660526939E-4</v>
      </c>
    </row>
    <row r="169" spans="1:30" ht="16.5" customHeight="1" x14ac:dyDescent="0.45">
      <c r="A169" s="6" t="s">
        <v>157</v>
      </c>
      <c r="B169" s="7">
        <v>-7008.26</v>
      </c>
      <c r="C169" s="8">
        <f>IFERROR(B169/B444, "NA")</f>
        <v>-1.1613134637452564E-2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7008.26</v>
      </c>
      <c r="I169" s="8">
        <f>IFERROR(H169/H444, "NA")</f>
        <v>-0.12206569008448144</v>
      </c>
      <c r="J169" s="9"/>
      <c r="K169" s="7">
        <v>-12081.95</v>
      </c>
      <c r="L169" s="8">
        <f>IFERROR(K169/K444, "NA")</f>
        <v>-2.1333099272139611E-2</v>
      </c>
      <c r="M169" s="9"/>
      <c r="N169" s="10">
        <f t="shared" si="41"/>
        <v>-5073.6900000000005</v>
      </c>
      <c r="O169" s="8">
        <f>IFERROR(N169/N444, "NA")</f>
        <v>-0.13664881828178785</v>
      </c>
      <c r="P169" s="9"/>
      <c r="Q169" s="7">
        <v>-47192.5</v>
      </c>
      <c r="R169" s="8">
        <f>IFERROR(Q169/Q444, "NA")</f>
        <v>-2.0857907975321048E-2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47192.5</v>
      </c>
      <c r="X169" s="8">
        <f>IFERROR(W169/W444, "NA")</f>
        <v>0.47135160077765226</v>
      </c>
      <c r="Y169" s="9"/>
      <c r="Z169" s="7">
        <v>-44151.37</v>
      </c>
      <c r="AA169" s="8">
        <f>IFERROR(Z169/Z444, "NA")</f>
        <v>-2.2928954038657766E-2</v>
      </c>
      <c r="AB169" s="9"/>
      <c r="AC169" s="10">
        <f t="shared" si="43"/>
        <v>3041.1299999999974</v>
      </c>
      <c r="AD169" s="8">
        <f>IFERROR(AC169/AC444, "NA")</f>
        <v>9.0241696160384254E-3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21251.5</v>
      </c>
      <c r="C170" s="15">
        <f>IFERROR(B170/B444, "NA")</f>
        <v>3.5215093439430495E-2</v>
      </c>
      <c r="D170" s="2"/>
      <c r="E170" s="14">
        <f>IFERROR(E151+E153+E154+E155+E156+E157+E160+E161+E162+E163+E164+E165+E167+E168+E169, "NA")</f>
        <v>10912.820000000002</v>
      </c>
      <c r="F170" s="15">
        <f>IFERROR(E170/E444, "NA")</f>
        <v>1.6512287421976343E-2</v>
      </c>
      <c r="G170" s="2"/>
      <c r="H170" s="14">
        <f t="shared" si="40"/>
        <v>-10338.679999999998</v>
      </c>
      <c r="I170" s="15">
        <f>IFERROR(H170/H444, "NA")</f>
        <v>0.18007295801848483</v>
      </c>
      <c r="J170" s="2"/>
      <c r="K170" s="14">
        <f>IFERROR(K151+K153+K154+K155+K156+K157+K160+K161+K162+K163+K164+K165+K167+K168+K169, "NA")</f>
        <v>16814.449999999997</v>
      </c>
      <c r="L170" s="15">
        <f>IFERROR(K170/K444, "NA")</f>
        <v>2.9689274583691191E-2</v>
      </c>
      <c r="M170" s="2"/>
      <c r="N170" s="14">
        <f t="shared" si="41"/>
        <v>-4437.0500000000029</v>
      </c>
      <c r="O170" s="15">
        <f>IFERROR(N170/N444, "NA")</f>
        <v>-0.11950230289142755</v>
      </c>
      <c r="P170" s="2"/>
      <c r="Q170" s="14">
        <f>IFERROR(Q151+Q153+Q154+Q155+Q156+Q157+Q160+Q161+Q162+Q163+Q164+Q165+Q167+Q168+Q169, "NA")</f>
        <v>60662.259999999995</v>
      </c>
      <c r="R170" s="15">
        <f>IFERROR(Q170/Q444, "NA")</f>
        <v>2.6811205947025456E-2</v>
      </c>
      <c r="S170" s="2"/>
      <c r="T170" s="14">
        <f>IFERROR(T151+T153+T154+T155+T156+T157+T160+T161+T162+T163+T164+T165+T167+T168+T169, "NA")</f>
        <v>40626.83</v>
      </c>
      <c r="U170" s="15">
        <f>IFERROR(T170/T444, "NA")</f>
        <v>1.8787412492868159E-2</v>
      </c>
      <c r="V170" s="2"/>
      <c r="W170" s="14">
        <f t="shared" si="42"/>
        <v>-20035.429999999993</v>
      </c>
      <c r="X170" s="15">
        <f>IFERROR(W170/W444, "NA")</f>
        <v>-0.20011086513256543</v>
      </c>
      <c r="Y170" s="2"/>
      <c r="Z170" s="14">
        <f>IFERROR(Z151+Z153+Z154+Z155+Z156+Z157+Z160+Z161+Z162+Z163+Z164+Z165+Z167+Z168+Z169, "NA")</f>
        <v>59673.80999999999</v>
      </c>
      <c r="AA170" s="15">
        <f>IFERROR(Z170/Z444, "NA")</f>
        <v>3.0990160595279283E-2</v>
      </c>
      <c r="AB170" s="2"/>
      <c r="AC170" s="14">
        <f t="shared" si="43"/>
        <v>-988.45000000000437</v>
      </c>
      <c r="AD170" s="15">
        <f>IFERROR(AC170/AC444, "NA")</f>
        <v>-2.9331006753980362E-3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180137.16</v>
      </c>
      <c r="C171" s="15">
        <f>IFERROR(B171/B444, "NA")</f>
        <v>0.29849878461819829</v>
      </c>
      <c r="D171" s="2"/>
      <c r="E171" s="14">
        <f>IFERROR(E127+E129+E130+E131+E132+E133+E134+E135+E136+E137+E138+E139+E140+E143+E144+E145+E146+E147+E151+E153+E154+E155+E156+E157+E160+E161+E162+E163+E164+E165+E167+E168+E169, "NA")</f>
        <v>161676.5</v>
      </c>
      <c r="F171" s="15">
        <f>IFERROR(E171/E444, "NA")</f>
        <v>0.24463418597385073</v>
      </c>
      <c r="G171" s="2"/>
      <c r="H171" s="14">
        <f t="shared" si="40"/>
        <v>-18460.660000000003</v>
      </c>
      <c r="I171" s="15">
        <f>IFERROR(H171/H444, "NA")</f>
        <v>0.32153675838438978</v>
      </c>
      <c r="J171" s="2"/>
      <c r="K171" s="14">
        <f>IFERROR(K127+K129+K130+K131+K132+K133+K134+K135+K136+K137+K138+K139+K140+K143+K144+K145+K146+K147+K151+K153+K154+K155+K156+K157+K160+K161+K162+K163+K164+K165+K167+K168+K169, "NA")</f>
        <v>154437.02000000005</v>
      </c>
      <c r="L171" s="15">
        <f>IFERROR(K171/K444, "NA")</f>
        <v>0.27268944822263058</v>
      </c>
      <c r="M171" s="2"/>
      <c r="N171" s="14">
        <f t="shared" si="41"/>
        <v>-25700.139999999956</v>
      </c>
      <c r="O171" s="15">
        <f>IFERROR(N171/N444, "NA")</f>
        <v>-0.69217744100969913</v>
      </c>
      <c r="P171" s="2"/>
      <c r="Q171" s="14">
        <f>IFERROR(Q127+Q129+Q130+Q131+Q132+Q133+Q134+Q135+Q136+Q137+Q138+Q139+Q140+Q143+Q144+Q145+Q146+Q147+Q151+Q153+Q154+Q155+Q156+Q157+Q160+Q161+Q162+Q163+Q164+Q165+Q167+Q168+Q169, "NA")</f>
        <v>628342.41000000015</v>
      </c>
      <c r="R171" s="15">
        <f>IFERROR(Q171/Q444, "NA")</f>
        <v>0.27771167377806749</v>
      </c>
      <c r="S171" s="2"/>
      <c r="T171" s="14">
        <f>IFERROR(T127+T129+T130+T131+T132+T133+T134+T135+T136+T137+T138+T139+T140+T143+T144+T145+T146+T147+T151+T153+T154+T155+T156+T157+T160+T161+T162+T163+T164+T165+T167+T168+T169, "NA")</f>
        <v>553824.62</v>
      </c>
      <c r="U171" s="15">
        <f>IFERROR(T171/T444, "NA")</f>
        <v>0.25610985608884473</v>
      </c>
      <c r="V171" s="2"/>
      <c r="W171" s="14">
        <f t="shared" si="42"/>
        <v>-74517.790000000154</v>
      </c>
      <c r="X171" s="15">
        <f>IFERROR(W171/W444, "NA")</f>
        <v>-0.74427249251285688</v>
      </c>
      <c r="Y171" s="2"/>
      <c r="Z171" s="14">
        <f>IFERROR(Z127+Z129+Z130+Z131+Z132+Z133+Z134+Z135+Z136+Z137+Z138+Z139+Z140+Z143+Z144+Z145+Z146+Z147+Z151+Z153+Z154+Z155+Z156+Z157+Z160+Z161+Z162+Z163+Z164+Z165+Z167+Z168+Z169, "NA")</f>
        <v>542790.44000000006</v>
      </c>
      <c r="AA171" s="15">
        <f>IFERROR(Z171/Z444, "NA")</f>
        <v>0.28188518388858208</v>
      </c>
      <c r="AB171" s="2"/>
      <c r="AC171" s="14">
        <f t="shared" si="43"/>
        <v>-85551.970000000088</v>
      </c>
      <c r="AD171" s="15">
        <f>IFERROR(AC171/AC444, "NA")</f>
        <v>-0.25386467801975993</v>
      </c>
    </row>
    <row r="172" spans="1:30" ht="16.5" customHeight="1" x14ac:dyDescent="0.45">
      <c r="A172" s="22" t="s">
        <v>160</v>
      </c>
      <c r="B172" s="23">
        <f>IFERROR(B124-B171, "NA")</f>
        <v>423339.86999999988</v>
      </c>
      <c r="C172" s="24">
        <f>IFERROR(B172/B444, "NA")</f>
        <v>0.70150121538180144</v>
      </c>
      <c r="D172" s="25"/>
      <c r="E172" s="23">
        <f>IFERROR(E124-E171, "NA")</f>
        <v>499214.37</v>
      </c>
      <c r="F172" s="24">
        <f>IFERROR(E172/E444, "NA")</f>
        <v>0.75536581402614933</v>
      </c>
      <c r="G172" s="25"/>
      <c r="H172" s="23">
        <f>IFERROR(B172-E172, "NA")</f>
        <v>-75874.500000000116</v>
      </c>
      <c r="I172" s="24">
        <f>IFERROR(H172/H444, "NA")</f>
        <v>1.3215367583843922</v>
      </c>
      <c r="J172" s="25"/>
      <c r="K172" s="23">
        <f>IFERROR(K124-K171, "NA")</f>
        <v>411910.59999999986</v>
      </c>
      <c r="L172" s="24">
        <f>IFERROR(K172/K444, "NA")</f>
        <v>0.72731055177736925</v>
      </c>
      <c r="M172" s="25"/>
      <c r="N172" s="23">
        <f>IFERROR(B172-K172, "NA")</f>
        <v>11429.270000000019</v>
      </c>
      <c r="O172" s="24">
        <f>IFERROR(N172/N444, "NA")</f>
        <v>0.30782255899029931</v>
      </c>
      <c r="P172" s="25"/>
      <c r="Q172" s="23">
        <f>IFERROR(Q124-Q171, "NA")</f>
        <v>1634228.7000000011</v>
      </c>
      <c r="R172" s="24">
        <f>IFERROR(Q172/Q444, "NA")</f>
        <v>0.72228832622193295</v>
      </c>
      <c r="S172" s="25"/>
      <c r="T172" s="23">
        <f>IFERROR(T124-T171, "NA")</f>
        <v>1608624.8399999999</v>
      </c>
      <c r="U172" s="24">
        <f>IFERROR(T172/T444, "NA")</f>
        <v>0.74389014391115527</v>
      </c>
      <c r="V172" s="25"/>
      <c r="W172" s="23">
        <f>IFERROR(Q172-T172, "NA")</f>
        <v>25603.860000001267</v>
      </c>
      <c r="X172" s="24">
        <f>IFERROR(W172/W444, "NA")</f>
        <v>0.25572750748715362</v>
      </c>
      <c r="Y172" s="25"/>
      <c r="Z172" s="23">
        <f>IFERROR(Z124-Z171, "NA")</f>
        <v>1382782.3499999996</v>
      </c>
      <c r="AA172" s="24">
        <f>IFERROR(Z172/Z444, "NA")</f>
        <v>0.7181148161114177</v>
      </c>
      <c r="AB172" s="25"/>
      <c r="AC172" s="23">
        <f>IFERROR(Q172-Z172, "NA")</f>
        <v>251446.35000000149</v>
      </c>
      <c r="AD172" s="24">
        <f>IFERROR(AC172/AC444, "NA")</f>
        <v>0.7461353219802439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31370.799999999999</v>
      </c>
      <c r="C178" s="8">
        <f>IFERROR(B178/B444, "NA")</f>
        <v>5.1983420147739504E-2</v>
      </c>
      <c r="D178" s="9"/>
      <c r="E178" s="7">
        <v>32038.460000000003</v>
      </c>
      <c r="F178" s="8">
        <f>IFERROR(E178/E444, "NA")</f>
        <v>4.8477685884811821E-2</v>
      </c>
      <c r="G178" s="9"/>
      <c r="H178" s="10">
        <f t="shared" si="44"/>
        <v>667.66000000000349</v>
      </c>
      <c r="I178" s="8">
        <f>IFERROR(H178/H444, "NA")</f>
        <v>-1.1628903414229111E-2</v>
      </c>
      <c r="J178" s="9"/>
      <c r="K178" s="7">
        <v>25961.559999999998</v>
      </c>
      <c r="L178" s="8">
        <f>IFERROR(K178/K444, "NA")</f>
        <v>4.5840326829659842E-2</v>
      </c>
      <c r="M178" s="9"/>
      <c r="N178" s="10">
        <f t="shared" si="45"/>
        <v>-5409.2400000000016</v>
      </c>
      <c r="O178" s="8">
        <f>IFERROR(N178/N444, "NA")</f>
        <v>-0.14568612859724939</v>
      </c>
      <c r="P178" s="9"/>
      <c r="Q178" s="7">
        <v>133325.90000000002</v>
      </c>
      <c r="R178" s="8">
        <f>IFERROR(Q178/Q444, "NA")</f>
        <v>5.8926722528513151E-2</v>
      </c>
      <c r="S178" s="9"/>
      <c r="T178" s="7">
        <v>136163.45000000001</v>
      </c>
      <c r="U178" s="8">
        <f>IFERROR(T178/T444, "NA")</f>
        <v>6.2967228838726255E-2</v>
      </c>
      <c r="V178" s="9"/>
      <c r="W178" s="10">
        <f t="shared" si="46"/>
        <v>2837.5499999999884</v>
      </c>
      <c r="X178" s="8">
        <f>IFERROR(W178/W444, "NA")</f>
        <v>2.8341023145343466E-2</v>
      </c>
      <c r="Y178" s="9"/>
      <c r="Z178" s="7">
        <v>110336.62999999999</v>
      </c>
      <c r="AA178" s="8">
        <f>IFERROR(Z178/Z444, "NA")</f>
        <v>5.7300679866794331E-2</v>
      </c>
      <c r="AB178" s="9"/>
      <c r="AC178" s="10">
        <f t="shared" si="47"/>
        <v>-22989.270000000033</v>
      </c>
      <c r="AD178" s="8">
        <f>IFERROR(AC178/AC444, "NA")</f>
        <v>-6.8217758474285614E-2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113830.78</v>
      </c>
      <c r="C180" s="8">
        <f>IFERROR(B180/B444, "NA")</f>
        <v>0.18862487607854767</v>
      </c>
      <c r="D180" s="9"/>
      <c r="E180" s="7">
        <v>121652.7</v>
      </c>
      <c r="F180" s="8">
        <f>IFERROR(E180/E444, "NA")</f>
        <v>0.18407380934162398</v>
      </c>
      <c r="G180" s="9"/>
      <c r="H180" s="10">
        <f t="shared" si="44"/>
        <v>7821.9199999999983</v>
      </c>
      <c r="I180" s="8">
        <f>IFERROR(H180/H444, "NA")</f>
        <v>-0.13623753436453653</v>
      </c>
      <c r="J180" s="9"/>
      <c r="K180" s="7">
        <v>108970.18000000001</v>
      </c>
      <c r="L180" s="8">
        <f>IFERROR(K180/K444, "NA")</f>
        <v>0.1924086482432821</v>
      </c>
      <c r="M180" s="9"/>
      <c r="N180" s="10">
        <f t="shared" si="45"/>
        <v>-4860.5999999999913</v>
      </c>
      <c r="O180" s="8">
        <f>IFERROR(N180/N444, "NA")</f>
        <v>-0.13090970203943417</v>
      </c>
      <c r="P180" s="9"/>
      <c r="Q180" s="7">
        <v>422790.92</v>
      </c>
      <c r="R180" s="8">
        <f>IFERROR(Q180/Q444, "NA")</f>
        <v>0.1868630418426937</v>
      </c>
      <c r="S180" s="9"/>
      <c r="T180" s="7">
        <v>423236.61</v>
      </c>
      <c r="U180" s="8">
        <f>IFERROR(T180/T444, "NA")</f>
        <v>0.19572092565807295</v>
      </c>
      <c r="V180" s="9"/>
      <c r="W180" s="10">
        <f t="shared" si="46"/>
        <v>445.69000000000233</v>
      </c>
      <c r="X180" s="8">
        <f>IFERROR(W180/W444, "NA")</f>
        <v>4.4514847687787875E-3</v>
      </c>
      <c r="Y180" s="9"/>
      <c r="Z180" s="7">
        <v>405448.38999999996</v>
      </c>
      <c r="AA180" s="8">
        <f>IFERROR(Z180/Z444, "NA")</f>
        <v>0.21055988748158408</v>
      </c>
      <c r="AB180" s="9"/>
      <c r="AC180" s="10">
        <f t="shared" si="47"/>
        <v>-17342.530000000028</v>
      </c>
      <c r="AD180" s="8">
        <f>IFERROR(AC180/AC444, "NA")</f>
        <v>-5.1461769898437516E-2</v>
      </c>
    </row>
    <row r="181" spans="1:30" ht="16.5" customHeight="1" x14ac:dyDescent="0.45">
      <c r="A181" s="12" t="s">
        <v>166</v>
      </c>
      <c r="B181" s="7">
        <v>2682.5899999999997</v>
      </c>
      <c r="C181" s="8">
        <f>IFERROR(B181/B444, "NA")</f>
        <v>4.4452230435348961E-3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-2682.5899999999997</v>
      </c>
      <c r="I181" s="8">
        <f>IFERROR(H181/H444, "NA")</f>
        <v>4.672375162504374E-2</v>
      </c>
      <c r="J181" s="9"/>
      <c r="K181" s="7">
        <v>2095.52</v>
      </c>
      <c r="L181" s="8">
        <f>IFERROR(K181/K444, "NA")</f>
        <v>3.7000596912546398E-3</v>
      </c>
      <c r="M181" s="9"/>
      <c r="N181" s="10">
        <f t="shared" si="45"/>
        <v>-587.06999999999971</v>
      </c>
      <c r="O181" s="8">
        <f>IFERROR(N181/N444, "NA")</f>
        <v>-1.5811455124118568E-2</v>
      </c>
      <c r="P181" s="9"/>
      <c r="Q181" s="7">
        <v>4447.8999999999996</v>
      </c>
      <c r="R181" s="8">
        <f>IFERROR(Q181/Q444, "NA")</f>
        <v>1.9658608652525396E-3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-4447.8999999999996</v>
      </c>
      <c r="X181" s="8">
        <f>IFERROR(W181/W444, "NA")</f>
        <v>-4.4424957039760959E-2</v>
      </c>
      <c r="Y181" s="9"/>
      <c r="Z181" s="7">
        <v>3913.0499999999997</v>
      </c>
      <c r="AA181" s="8">
        <f>IFERROR(Z181/Z444, "NA")</f>
        <v>2.0321485743470648E-3</v>
      </c>
      <c r="AB181" s="9"/>
      <c r="AC181" s="10">
        <f t="shared" si="47"/>
        <v>-534.84999999999991</v>
      </c>
      <c r="AD181" s="8">
        <f>IFERROR(AC181/AC444, "NA")</f>
        <v>-1.5870999000825862E-3</v>
      </c>
    </row>
    <row r="182" spans="1:30" ht="16.5" customHeight="1" x14ac:dyDescent="0.45">
      <c r="A182" s="13" t="s">
        <v>167</v>
      </c>
      <c r="B182" s="14">
        <f>IFERROR(B177+B178+B179+B180+B181, "NA")</f>
        <v>147884.16999999998</v>
      </c>
      <c r="C182" s="15">
        <f>IFERROR(B182/B444, "NA")</f>
        <v>0.24505351926982205</v>
      </c>
      <c r="D182" s="2"/>
      <c r="E182" s="14">
        <f>IFERROR(E177+E178+E179+E180+E181, "NA")</f>
        <v>153691.16</v>
      </c>
      <c r="F182" s="15">
        <f>IFERROR(E182/E444, "NA")</f>
        <v>0.23255149522643581</v>
      </c>
      <c r="G182" s="2"/>
      <c r="H182" s="14">
        <f t="shared" si="44"/>
        <v>5806.9900000000198</v>
      </c>
      <c r="I182" s="15">
        <f>IFERROR(H182/H444, "NA")</f>
        <v>-0.10114268615372222</v>
      </c>
      <c r="J182" s="2"/>
      <c r="K182" s="14">
        <f>IFERROR(K177+K178+K179+K180+K181, "NA")</f>
        <v>137027.25999999998</v>
      </c>
      <c r="L182" s="15">
        <f>IFERROR(K182/K444, "NA")</f>
        <v>0.24194903476419655</v>
      </c>
      <c r="M182" s="2"/>
      <c r="N182" s="14">
        <f t="shared" si="45"/>
        <v>-10856.910000000003</v>
      </c>
      <c r="O182" s="15">
        <f>IFERROR(N182/N444, "NA")</f>
        <v>-0.29240728576080238</v>
      </c>
      <c r="P182" s="2"/>
      <c r="Q182" s="14">
        <f>IFERROR(Q177+Q178+Q179+Q180+Q181, "NA")</f>
        <v>560564.72000000009</v>
      </c>
      <c r="R182" s="15">
        <f>IFERROR(Q182/Q444, "NA")</f>
        <v>0.24775562523645941</v>
      </c>
      <c r="S182" s="2"/>
      <c r="T182" s="14">
        <f>IFERROR(T177+T178+T179+T180+T181, "NA")</f>
        <v>559400.06000000006</v>
      </c>
      <c r="U182" s="15">
        <f>IFERROR(T182/T444, "NA")</f>
        <v>0.25868815449679922</v>
      </c>
      <c r="V182" s="2"/>
      <c r="W182" s="14">
        <f t="shared" si="46"/>
        <v>-1164.6600000000326</v>
      </c>
      <c r="X182" s="15">
        <f>IFERROR(W182/W444, "NA")</f>
        <v>-1.1632449125638943E-2</v>
      </c>
      <c r="Y182" s="2"/>
      <c r="Z182" s="14">
        <f>IFERROR(Z177+Z178+Z179+Z180+Z181, "NA")</f>
        <v>519698.06999999995</v>
      </c>
      <c r="AA182" s="15">
        <f>IFERROR(Z182/Z444, "NA")</f>
        <v>0.26989271592272551</v>
      </c>
      <c r="AB182" s="2"/>
      <c r="AC182" s="14">
        <f t="shared" si="47"/>
        <v>-40866.65000000014</v>
      </c>
      <c r="AD182" s="15">
        <f>IFERROR(AC182/AC444, "NA")</f>
        <v>-0.12126662827280595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2950</v>
      </c>
      <c r="C184" s="8">
        <f>IFERROR(B184/B444, "NA")</f>
        <v>4.8883385006385409E-3</v>
      </c>
      <c r="D184" s="9"/>
      <c r="E184" s="7">
        <v>2950</v>
      </c>
      <c r="F184" s="8">
        <f>IFERROR(E184/E444, "NA")</f>
        <v>4.4636718918510711E-3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-100</v>
      </c>
      <c r="L184" s="8">
        <f>IFERROR(K184/K444, "NA")</f>
        <v>-1.7657000130061464E-4</v>
      </c>
      <c r="M184" s="9"/>
      <c r="N184" s="10">
        <f t="shared" si="45"/>
        <v>-3050</v>
      </c>
      <c r="O184" s="8">
        <f>IFERROR(N184/N444, "NA")</f>
        <v>-8.2145124309812551E-2</v>
      </c>
      <c r="P184" s="9"/>
      <c r="Q184" s="7">
        <v>11800</v>
      </c>
      <c r="R184" s="8">
        <f>IFERROR(Q184/Q444, "NA")</f>
        <v>5.2153056970660246E-3</v>
      </c>
      <c r="S184" s="9"/>
      <c r="T184" s="7">
        <v>11800</v>
      </c>
      <c r="U184" s="8">
        <f>IFERROR(T184/T444, "NA")</f>
        <v>5.4567749296670267E-3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4900</v>
      </c>
      <c r="AA184" s="8">
        <f>IFERROR(Z184/Z444, "NA")</f>
        <v>2.5446973624923316E-3</v>
      </c>
      <c r="AB184" s="9"/>
      <c r="AC184" s="10">
        <f t="shared" si="47"/>
        <v>-6900</v>
      </c>
      <c r="AD184" s="8">
        <f>IFERROR(AC184/AC444, "NA")</f>
        <v>-2.0474879518687195E-2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14406.469999999998</v>
      </c>
      <c r="C186" s="8">
        <f>IFERROR(B186/B444, "NA")</f>
        <v>2.3872441342133597E-2</v>
      </c>
      <c r="D186" s="9"/>
      <c r="E186" s="7">
        <v>17226.41</v>
      </c>
      <c r="F186" s="8">
        <f>IFERROR(E186/E444, "NA")</f>
        <v>2.6065438004916001E-2</v>
      </c>
      <c r="G186" s="9"/>
      <c r="H186" s="10">
        <f t="shared" ref="H186:H197" si="48">IFERROR(-(B186-E186), "NA")</f>
        <v>2819.9400000000023</v>
      </c>
      <c r="I186" s="8">
        <f>IFERROR(H186/H444, "NA")</f>
        <v>-4.9116031953271265E-2</v>
      </c>
      <c r="J186" s="9"/>
      <c r="K186" s="7">
        <v>11994.849999999999</v>
      </c>
      <c r="L186" s="8">
        <f>IFERROR(K186/K444, "NA")</f>
        <v>2.117930680100677E-2</v>
      </c>
      <c r="M186" s="9"/>
      <c r="N186" s="10">
        <f t="shared" ref="N186:N197" si="49">IFERROR(-(B186-K186), "NA")</f>
        <v>-2411.619999999999</v>
      </c>
      <c r="O186" s="8">
        <f>IFERROR(N186/N444, "NA")</f>
        <v>-6.4951745799354116E-2</v>
      </c>
      <c r="P186" s="9"/>
      <c r="Q186" s="7">
        <v>60054.110000000008</v>
      </c>
      <c r="R186" s="8">
        <f>IFERROR(Q186/Q444, "NA")</f>
        <v>2.6542418814849977E-2</v>
      </c>
      <c r="S186" s="9"/>
      <c r="T186" s="7">
        <v>68676.479999999996</v>
      </c>
      <c r="U186" s="8">
        <f>IFERROR(T186/T444, "NA")</f>
        <v>3.1758652061167708E-2</v>
      </c>
      <c r="V186" s="9"/>
      <c r="W186" s="10">
        <f t="shared" ref="W186:W197" si="50">IFERROR(-(Q186-T186), "NA")</f>
        <v>8622.3699999999881</v>
      </c>
      <c r="X186" s="8">
        <f>IFERROR(W186/W444, "NA")</f>
        <v>8.6118936313973604E-2</v>
      </c>
      <c r="Y186" s="9"/>
      <c r="Z186" s="7">
        <v>58307.72</v>
      </c>
      <c r="AA186" s="8">
        <f>IFERROR(Z186/Z444, "NA")</f>
        <v>3.0280714550396198E-2</v>
      </c>
      <c r="AB186" s="9"/>
      <c r="AC186" s="10">
        <f t="shared" ref="AC186:AC197" si="51">IFERROR(-(Q186-Z186), "NA")</f>
        <v>-1746.3900000000067</v>
      </c>
      <c r="AD186" s="8">
        <f>IFERROR(AC186/AC444, "NA")</f>
        <v>-5.1821920061797489E-3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-1.9999999999999997E-2</v>
      </c>
      <c r="L187" s="8">
        <f>IFERROR(K187/K444, "NA")</f>
        <v>-3.5314000260122919E-8</v>
      </c>
      <c r="M187" s="9"/>
      <c r="N187" s="10">
        <f t="shared" si="49"/>
        <v>-1.9999999999999997E-2</v>
      </c>
      <c r="O187" s="8">
        <f>IFERROR(N187/N444, "NA")</f>
        <v>-5.3865655285122975E-7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0.09</v>
      </c>
      <c r="AA187" s="8">
        <f>IFERROR(Z187/Z444, "NA")</f>
        <v>4.6739339311083634E-8</v>
      </c>
      <c r="AB187" s="9"/>
      <c r="AC187" s="10">
        <f t="shared" si="51"/>
        <v>0.09</v>
      </c>
      <c r="AD187" s="8">
        <f>IFERROR(AC187/AC444, "NA")</f>
        <v>2.6706364589591993E-7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14406.469999999998</v>
      </c>
      <c r="C193" s="15">
        <f>IFERROR(B193/B444, "NA")</f>
        <v>2.3872441342133597E-2</v>
      </c>
      <c r="D193" s="2"/>
      <c r="E193" s="14">
        <f>IFERROR(E186+E187+E188+E189+E190+E191+E192, "NA")</f>
        <v>17226.41</v>
      </c>
      <c r="F193" s="15">
        <f>IFERROR(E193/E444, "NA")</f>
        <v>2.6065438004916001E-2</v>
      </c>
      <c r="G193" s="2"/>
      <c r="H193" s="14">
        <f t="shared" si="48"/>
        <v>2819.9400000000023</v>
      </c>
      <c r="I193" s="15">
        <f>IFERROR(H193/H444, "NA")</f>
        <v>-4.9116031953271265E-2</v>
      </c>
      <c r="J193" s="2"/>
      <c r="K193" s="14">
        <f>IFERROR(K186+K187+K188+K189+K190+K191+K192, "NA")</f>
        <v>11994.829999999998</v>
      </c>
      <c r="L193" s="15">
        <f>IFERROR(K193/K444, "NA")</f>
        <v>2.1179271487006511E-2</v>
      </c>
      <c r="M193" s="2"/>
      <c r="N193" s="14">
        <f t="shared" si="49"/>
        <v>-2411.6399999999994</v>
      </c>
      <c r="O193" s="15">
        <f>IFERROR(N193/N444, "NA")</f>
        <v>-6.4952284455906978E-2</v>
      </c>
      <c r="P193" s="2"/>
      <c r="Q193" s="14">
        <f>IFERROR(Q186+Q187+Q188+Q189+Q190+Q191+Q192, "NA")</f>
        <v>60054.110000000008</v>
      </c>
      <c r="R193" s="15">
        <f>IFERROR(Q193/Q444, "NA")</f>
        <v>2.6542418814849977E-2</v>
      </c>
      <c r="S193" s="2"/>
      <c r="T193" s="14">
        <f>IFERROR(T186+T187+T188+T189+T190+T191+T192, "NA")</f>
        <v>68676.479999999996</v>
      </c>
      <c r="U193" s="15">
        <f>IFERROR(T193/T444, "NA")</f>
        <v>3.1758652061167708E-2</v>
      </c>
      <c r="V193" s="2"/>
      <c r="W193" s="14">
        <f t="shared" si="50"/>
        <v>8622.3699999999881</v>
      </c>
      <c r="X193" s="15">
        <f>IFERROR(W193/W444, "NA")</f>
        <v>8.6118936313973604E-2</v>
      </c>
      <c r="Y193" s="2"/>
      <c r="Z193" s="14">
        <f>IFERROR(Z186+Z187+Z188+Z189+Z190+Z191+Z192, "NA")</f>
        <v>58307.81</v>
      </c>
      <c r="AA193" s="15">
        <f>IFERROR(Z193/Z444, "NA")</f>
        <v>3.0280761289735506E-2</v>
      </c>
      <c r="AB193" s="2"/>
      <c r="AC193" s="14">
        <f t="shared" si="51"/>
        <v>-1746.3000000000102</v>
      </c>
      <c r="AD193" s="15">
        <f>IFERROR(AC193/AC444, "NA")</f>
        <v>-5.1819249425338635E-3</v>
      </c>
    </row>
    <row r="194" spans="1:30" ht="16.5" customHeight="1" x14ac:dyDescent="0.45">
      <c r="A194" s="6" t="s">
        <v>178</v>
      </c>
      <c r="B194" s="7">
        <v>1185.76</v>
      </c>
      <c r="C194" s="8">
        <f>IFERROR(B194/B444, "NA")</f>
        <v>1.9648800883109003E-3</v>
      </c>
      <c r="D194" s="9"/>
      <c r="E194" s="7">
        <v>1253.1399999999999</v>
      </c>
      <c r="F194" s="8">
        <f>IFERROR(E194/E444, "NA")</f>
        <v>1.896137557476017E-3</v>
      </c>
      <c r="G194" s="9"/>
      <c r="H194" s="10">
        <f t="shared" si="48"/>
        <v>67.379999999999882</v>
      </c>
      <c r="I194" s="8">
        <f>IFERROR(H194/H444, "NA")</f>
        <v>-1.173584626981925E-3</v>
      </c>
      <c r="J194" s="9"/>
      <c r="K194" s="7">
        <v>0</v>
      </c>
      <c r="L194" s="8">
        <f>IFERROR(K194/K444, "NA")</f>
        <v>0</v>
      </c>
      <c r="M194" s="9"/>
      <c r="N194" s="10">
        <f t="shared" si="49"/>
        <v>-1185.76</v>
      </c>
      <c r="O194" s="8">
        <f>IFERROR(N194/N444, "NA")</f>
        <v>-3.1935869705443716E-2</v>
      </c>
      <c r="P194" s="9"/>
      <c r="Q194" s="7">
        <v>5253.4400000000005</v>
      </c>
      <c r="R194" s="8">
        <f>IFERROR(Q194/Q444, "NA")</f>
        <v>2.3218894543385201E-3</v>
      </c>
      <c r="S194" s="9"/>
      <c r="T194" s="7">
        <v>4569.6299999999992</v>
      </c>
      <c r="U194" s="8">
        <f>IFERROR(T194/T444, "NA")</f>
        <v>2.1131730865978247E-3</v>
      </c>
      <c r="V194" s="9"/>
      <c r="W194" s="10">
        <f t="shared" si="50"/>
        <v>-683.81000000000131</v>
      </c>
      <c r="X194" s="8">
        <f>IFERROR(W194/W444, "NA")</f>
        <v>-6.8297915585689888E-3</v>
      </c>
      <c r="Y194" s="9"/>
      <c r="Z194" s="7">
        <v>3996.87</v>
      </c>
      <c r="AA194" s="8">
        <f>IFERROR(Z194/Z444, "NA")</f>
        <v>2.0756784790254539E-3</v>
      </c>
      <c r="AB194" s="9"/>
      <c r="AC194" s="10">
        <f t="shared" si="51"/>
        <v>-1256.5700000000006</v>
      </c>
      <c r="AD194" s="8">
        <f>IFERROR(AC194/AC444, "NA")</f>
        <v>-3.7287129502604033E-3</v>
      </c>
    </row>
    <row r="195" spans="1:30" ht="16.5" customHeight="1" x14ac:dyDescent="0.45">
      <c r="A195" s="6" t="s">
        <v>179</v>
      </c>
      <c r="B195" s="7">
        <v>1520.08</v>
      </c>
      <c r="C195" s="8">
        <f>IFERROR(B195/B444, "NA")</f>
        <v>2.5188696908646216E-3</v>
      </c>
      <c r="D195" s="9"/>
      <c r="E195" s="7">
        <v>604.75</v>
      </c>
      <c r="F195" s="8">
        <f>IFERROR(E195/E444, "NA")</f>
        <v>9.1505273782946947E-4</v>
      </c>
      <c r="G195" s="9"/>
      <c r="H195" s="10">
        <f t="shared" si="48"/>
        <v>-915.32999999999993</v>
      </c>
      <c r="I195" s="8">
        <f>IFERROR(H195/H444, "NA")</f>
        <v>1.5942671662442374E-2</v>
      </c>
      <c r="J195" s="9"/>
      <c r="K195" s="7">
        <v>1263.47</v>
      </c>
      <c r="L195" s="8">
        <f>IFERROR(K195/K444, "NA")</f>
        <v>2.2309089954328756E-3</v>
      </c>
      <c r="M195" s="9"/>
      <c r="N195" s="10">
        <f t="shared" si="49"/>
        <v>-256.6099999999999</v>
      </c>
      <c r="O195" s="8">
        <f>IFERROR(N195/N444, "NA")</f>
        <v>-6.9112329013577018E-3</v>
      </c>
      <c r="P195" s="9"/>
      <c r="Q195" s="7">
        <v>5560.23</v>
      </c>
      <c r="R195" s="8">
        <f>IFERROR(Q195/Q444, "NA")</f>
        <v>2.4574829827116455E-3</v>
      </c>
      <c r="S195" s="9"/>
      <c r="T195" s="7">
        <v>2235.6</v>
      </c>
      <c r="U195" s="8">
        <f>IFERROR(T195/T444, "NA")</f>
        <v>1.0338276298952208E-3</v>
      </c>
      <c r="V195" s="9"/>
      <c r="W195" s="10">
        <f t="shared" si="50"/>
        <v>-3324.6299999999997</v>
      </c>
      <c r="X195" s="8">
        <f>IFERROR(W195/W444, "NA")</f>
        <v>-3.3205905016547244E-2</v>
      </c>
      <c r="Y195" s="9"/>
      <c r="Z195" s="7">
        <v>4697.08</v>
      </c>
      <c r="AA195" s="8">
        <f>IFERROR(Z195/Z444, "NA")</f>
        <v>2.439315732125608E-3</v>
      </c>
      <c r="AB195" s="9"/>
      <c r="AC195" s="10">
        <f t="shared" si="51"/>
        <v>-863.14999999999964</v>
      </c>
      <c r="AD195" s="8">
        <f>IFERROR(AC195/AC444, "NA")</f>
        <v>-2.5612887328340357E-3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167946.47999999998</v>
      </c>
      <c r="C196" s="15">
        <f>IFERROR(B196/B444, "NA")</f>
        <v>0.27829804889176973</v>
      </c>
      <c r="D196" s="2"/>
      <c r="E196" s="14">
        <f>IFERROR(E175+E177+E178+E179+E180+E181+E183+E184+E186+E187+E188+E189+E190+E191+E192+E194+E195, "NA")</f>
        <v>175725.46000000002</v>
      </c>
      <c r="F196" s="15">
        <f>IFERROR(E196/E444, "NA")</f>
        <v>0.26589179541850838</v>
      </c>
      <c r="G196" s="2"/>
      <c r="H196" s="14">
        <f t="shared" si="48"/>
        <v>7778.9800000000396</v>
      </c>
      <c r="I196" s="15">
        <f>IFERROR(H196/H444, "NA")</f>
        <v>-0.13548963107153333</v>
      </c>
      <c r="J196" s="2"/>
      <c r="K196" s="14">
        <f>IFERROR(K175+K177+K178+K179+K180+K181+K183+K184+K186+K187+K188+K189+K190+K191+K192+K194+K195, "NA")</f>
        <v>150185.56</v>
      </c>
      <c r="L196" s="15">
        <f>IFERROR(K196/K444, "NA")</f>
        <v>0.26518264524533536</v>
      </c>
      <c r="M196" s="2"/>
      <c r="N196" s="14">
        <f t="shared" si="49"/>
        <v>-17760.919999999984</v>
      </c>
      <c r="O196" s="15">
        <f>IFERROR(N196/N444, "NA")</f>
        <v>-0.47835179713332282</v>
      </c>
      <c r="P196" s="2"/>
      <c r="Q196" s="14">
        <f>IFERROR(Q175+Q177+Q178+Q179+Q180+Q181+Q183+Q184+Q186+Q187+Q188+Q189+Q190+Q191+Q192+Q194+Q195, "NA")</f>
        <v>643232.5</v>
      </c>
      <c r="R196" s="15">
        <f>IFERROR(Q196/Q444, "NA")</f>
        <v>0.28429272218542556</v>
      </c>
      <c r="S196" s="2"/>
      <c r="T196" s="14">
        <f>IFERROR(T175+T177+T178+T179+T180+T181+T183+T184+T186+T187+T188+T189+T190+T191+T192+T194+T195, "NA")</f>
        <v>646681.77</v>
      </c>
      <c r="U196" s="15">
        <f>IFERROR(T196/T444, "NA")</f>
        <v>0.299050582204127</v>
      </c>
      <c r="V196" s="2"/>
      <c r="W196" s="14">
        <f t="shared" si="50"/>
        <v>3449.2700000000186</v>
      </c>
      <c r="X196" s="15">
        <f>IFERROR(W196/W444, "NA")</f>
        <v>3.4450790613219075E-2</v>
      </c>
      <c r="Y196" s="2"/>
      <c r="Z196" s="14">
        <f>IFERROR(Z175+Z177+Z178+Z179+Z180+Z181+Z183+Z184+Z186+Z187+Z188+Z189+Z190+Z191+Z192+Z194+Z195, "NA")</f>
        <v>591599.82999999984</v>
      </c>
      <c r="AA196" s="15">
        <f>IFERROR(Z196/Z444, "NA")</f>
        <v>0.30723316878610435</v>
      </c>
      <c r="AB196" s="2"/>
      <c r="AC196" s="14">
        <f t="shared" si="51"/>
        <v>-51632.670000000158</v>
      </c>
      <c r="AD196" s="15">
        <f>IFERROR(AC196/AC444, "NA")</f>
        <v>-0.15321343441712146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167946.47999999998</v>
      </c>
      <c r="C197" s="15">
        <f>IFERROR(B197/B444, "NA")</f>
        <v>0.27829804889176973</v>
      </c>
      <c r="D197" s="2"/>
      <c r="E197" s="14">
        <f>IFERROR(E175+E177+E178+E179+E180+E181+E183+E184+E186+E187+E188+E189+E190+E191+E192+E194+E195, "NA")</f>
        <v>175725.46000000002</v>
      </c>
      <c r="F197" s="15">
        <f>IFERROR(E197/E444, "NA")</f>
        <v>0.26589179541850838</v>
      </c>
      <c r="G197" s="2"/>
      <c r="H197" s="14">
        <f t="shared" si="48"/>
        <v>7778.9800000000396</v>
      </c>
      <c r="I197" s="15">
        <f>IFERROR(H197/H444, "NA")</f>
        <v>-0.13548963107153333</v>
      </c>
      <c r="J197" s="2"/>
      <c r="K197" s="14">
        <f>IFERROR(K175+K177+K178+K179+K180+K181+K183+K184+K186+K187+K188+K189+K190+K191+K192+K194+K195, "NA")</f>
        <v>150185.56</v>
      </c>
      <c r="L197" s="15">
        <f>IFERROR(K197/K444, "NA")</f>
        <v>0.26518264524533536</v>
      </c>
      <c r="M197" s="2"/>
      <c r="N197" s="14">
        <f t="shared" si="49"/>
        <v>-17760.919999999984</v>
      </c>
      <c r="O197" s="15">
        <f>IFERROR(N197/N444, "NA")</f>
        <v>-0.47835179713332282</v>
      </c>
      <c r="P197" s="2"/>
      <c r="Q197" s="14">
        <f>IFERROR(Q175+Q177+Q178+Q179+Q180+Q181+Q183+Q184+Q186+Q187+Q188+Q189+Q190+Q191+Q192+Q194+Q195, "NA")</f>
        <v>643232.5</v>
      </c>
      <c r="R197" s="15">
        <f>IFERROR(Q197/Q444, "NA")</f>
        <v>0.28429272218542556</v>
      </c>
      <c r="S197" s="2"/>
      <c r="T197" s="14">
        <f>IFERROR(T175+T177+T178+T179+T180+T181+T183+T184+T186+T187+T188+T189+T190+T191+T192+T194+T195, "NA")</f>
        <v>646681.77</v>
      </c>
      <c r="U197" s="15">
        <f>IFERROR(T197/T444, "NA")</f>
        <v>0.299050582204127</v>
      </c>
      <c r="V197" s="2"/>
      <c r="W197" s="14">
        <f t="shared" si="50"/>
        <v>3449.2700000000186</v>
      </c>
      <c r="X197" s="15">
        <f>IFERROR(W197/W444, "NA")</f>
        <v>3.4450790613219075E-2</v>
      </c>
      <c r="Y197" s="2"/>
      <c r="Z197" s="14">
        <f>IFERROR(Z175+Z177+Z178+Z179+Z180+Z181+Z183+Z184+Z186+Z187+Z188+Z189+Z190+Z191+Z192+Z194+Z195, "NA")</f>
        <v>591599.82999999984</v>
      </c>
      <c r="AA197" s="15">
        <f>IFERROR(Z197/Z444, "NA")</f>
        <v>0.30723316878610435</v>
      </c>
      <c r="AB197" s="2"/>
      <c r="AC197" s="14">
        <f t="shared" si="51"/>
        <v>-51632.670000000158</v>
      </c>
      <c r="AD197" s="15">
        <f>IFERROR(AC197/AC444, "NA")</f>
        <v>-0.15321343441712146</v>
      </c>
    </row>
    <row r="198" spans="1:30" ht="16.5" customHeight="1" x14ac:dyDescent="0.45">
      <c r="A198" s="22" t="s">
        <v>181</v>
      </c>
      <c r="B198" s="23">
        <f>IFERROR(B172-B197, "NA")</f>
        <v>255393.3899999999</v>
      </c>
      <c r="C198" s="24">
        <f>IFERROR(B198/B444, "NA")</f>
        <v>0.42320316649003176</v>
      </c>
      <c r="D198" s="25"/>
      <c r="E198" s="23">
        <f>IFERROR(E172-E197, "NA")</f>
        <v>323488.90999999997</v>
      </c>
      <c r="F198" s="24">
        <f>IFERROR(E198/E444, "NA")</f>
        <v>0.48947401860764089</v>
      </c>
      <c r="G198" s="25"/>
      <c r="H198" s="23">
        <f>IFERROR(B198-E198, "NA")</f>
        <v>-68095.520000000077</v>
      </c>
      <c r="I198" s="24">
        <f>IFERROR(H198/H444, "NA")</f>
        <v>1.186047127312859</v>
      </c>
      <c r="J198" s="25"/>
      <c r="K198" s="23">
        <f>IFERROR(K172-K197, "NA")</f>
        <v>261725.03999999986</v>
      </c>
      <c r="L198" s="24">
        <f>IFERROR(K198/K444, "NA")</f>
        <v>0.46212790653203389</v>
      </c>
      <c r="M198" s="25"/>
      <c r="N198" s="23">
        <f>IFERROR(B198-K198, "NA")</f>
        <v>-6331.6499999999651</v>
      </c>
      <c r="O198" s="24">
        <f>IFERROR(N198/N444, "NA")</f>
        <v>-0.17052923814302354</v>
      </c>
      <c r="P198" s="25"/>
      <c r="Q198" s="23">
        <f>IFERROR(Q172-Q197, "NA")</f>
        <v>990996.20000000112</v>
      </c>
      <c r="R198" s="24">
        <f>IFERROR(Q198/Q444, "NA")</f>
        <v>0.43799560403650739</v>
      </c>
      <c r="S198" s="25"/>
      <c r="T198" s="23">
        <f>IFERROR(T172-T197, "NA")</f>
        <v>961943.06999999983</v>
      </c>
      <c r="U198" s="24">
        <f>IFERROR(T198/T444, "NA")</f>
        <v>0.44483956170702821</v>
      </c>
      <c r="V198" s="25"/>
      <c r="W198" s="23">
        <f>IFERROR(Q198-T198, "NA")</f>
        <v>29053.130000001285</v>
      </c>
      <c r="X198" s="24">
        <f>IFERROR(W198/W444, "NA")</f>
        <v>0.29017829810037266</v>
      </c>
      <c r="Y198" s="25"/>
      <c r="Z198" s="23">
        <f>IFERROR(Z172-Z197, "NA")</f>
        <v>791182.51999999979</v>
      </c>
      <c r="AA198" s="24">
        <f>IFERROR(Z198/Z444, "NA")</f>
        <v>0.4108816473253134</v>
      </c>
      <c r="AB198" s="25"/>
      <c r="AC198" s="23">
        <f>IFERROR(Q198-Z198, "NA")</f>
        <v>199813.68000000133</v>
      </c>
      <c r="AD198" s="24">
        <f>IFERROR(AC198/AC444, "NA")</f>
        <v>0.59292188756312247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12757.27</v>
      </c>
      <c r="F201" s="8">
        <f>IFERROR(E201/E444, "NA")</f>
        <v>1.9303141530764376E-2</v>
      </c>
      <c r="G201" s="9"/>
      <c r="H201" s="10">
        <f t="shared" ref="H201:H209" si="52">IFERROR(-(B201-E201), "NA")</f>
        <v>12757.27</v>
      </c>
      <c r="I201" s="8">
        <f>IFERROR(H201/H444, "NA")</f>
        <v>-0.22219851520121295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42833.32</v>
      </c>
      <c r="U201" s="8">
        <f>IFERROR(T201/T444, "NA")</f>
        <v>1.9807778536475022E-2</v>
      </c>
      <c r="V201" s="9"/>
      <c r="W201" s="10">
        <f t="shared" ref="W201:W209" si="54">IFERROR(-(Q201-T201), "NA")</f>
        <v>42833.32</v>
      </c>
      <c r="X201" s="8">
        <f>IFERROR(W201/W444, "NA")</f>
        <v>0.42781276577043864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5461.2900000000009</v>
      </c>
      <c r="C202" s="8">
        <f>IFERROR(B202/B444, "NA")</f>
        <v>9.049706498356699E-3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-5461.2900000000009</v>
      </c>
      <c r="I202" s="8">
        <f>IFERROR(H202/H444, "NA")</f>
        <v>9.5121489870735071E-2</v>
      </c>
      <c r="J202" s="9"/>
      <c r="K202" s="7">
        <v>5495.48</v>
      </c>
      <c r="L202" s="8">
        <f>IFERROR(K202/K444, "NA")</f>
        <v>9.7033691074750166E-3</v>
      </c>
      <c r="M202" s="9"/>
      <c r="N202" s="10">
        <f t="shared" si="53"/>
        <v>34.18999999999869</v>
      </c>
      <c r="O202" s="8">
        <f>IFERROR(N202/N444, "NA")</f>
        <v>9.2083337709914219E-4</v>
      </c>
      <c r="P202" s="9"/>
      <c r="Q202" s="7">
        <v>22297.82</v>
      </c>
      <c r="R202" s="8">
        <f>IFERROR(Q202/Q444, "NA")</f>
        <v>9.8550803117078596E-3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-22297.82</v>
      </c>
      <c r="X202" s="8">
        <f>IFERROR(W202/W444, "NA")</f>
        <v>-0.22270727659801767</v>
      </c>
      <c r="Y202" s="9"/>
      <c r="Z202" s="7">
        <v>19407.48</v>
      </c>
      <c r="AA202" s="8">
        <f>IFERROR(Z202/Z444, "NA")</f>
        <v>1.0078808809922993E-2</v>
      </c>
      <c r="AB202" s="9"/>
      <c r="AC202" s="10">
        <f t="shared" si="55"/>
        <v>-2890.34</v>
      </c>
      <c r="AD202" s="8">
        <f>IFERROR(AC202/AC444, "NA")</f>
        <v>-8.5767193142090373E-3</v>
      </c>
    </row>
    <row r="203" spans="1:30" ht="16.5" customHeight="1" x14ac:dyDescent="0.45">
      <c r="A203" s="6" t="s">
        <v>185</v>
      </c>
      <c r="B203" s="7">
        <v>6897.03</v>
      </c>
      <c r="C203" s="8">
        <f>IFERROR(B203/B444, "NA")</f>
        <v>1.1428819420020012E-2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-6897.03</v>
      </c>
      <c r="I203" s="8">
        <f>IFERROR(H203/H444, "NA")</f>
        <v>0.12012835232759216</v>
      </c>
      <c r="J203" s="9"/>
      <c r="K203" s="7">
        <v>2531.59</v>
      </c>
      <c r="L203" s="8">
        <f>IFERROR(K203/K444, "NA")</f>
        <v>4.4700284959262298E-3</v>
      </c>
      <c r="M203" s="9"/>
      <c r="N203" s="10">
        <f t="shared" si="53"/>
        <v>-4365.4399999999996</v>
      </c>
      <c r="O203" s="8">
        <f>IFERROR(N203/N444, "NA")</f>
        <v>-0.11757364310394364</v>
      </c>
      <c r="P203" s="9"/>
      <c r="Q203" s="7">
        <v>18143.400000000001</v>
      </c>
      <c r="R203" s="8">
        <f>IFERROR(Q203/Q444, "NA")</f>
        <v>8.018930286792179E-3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-18143.400000000001</v>
      </c>
      <c r="X203" s="8">
        <f>IFERROR(W203/W444, "NA")</f>
        <v>-0.18121355371190881</v>
      </c>
      <c r="Y203" s="9"/>
      <c r="Z203" s="7">
        <v>11696.05</v>
      </c>
      <c r="AA203" s="8">
        <f>IFERROR(Z203/Z444, "NA")</f>
        <v>6.0740627727711083E-3</v>
      </c>
      <c r="AB203" s="9"/>
      <c r="AC203" s="10">
        <f t="shared" si="55"/>
        <v>-6447.3500000000022</v>
      </c>
      <c r="AD203" s="8">
        <f>IFERROR(AC203/AC444, "NA")</f>
        <v>-1.9131697748522889E-2</v>
      </c>
    </row>
    <row r="204" spans="1:30" ht="16.5" customHeight="1" x14ac:dyDescent="0.45">
      <c r="A204" s="6" t="s">
        <v>186</v>
      </c>
      <c r="B204" s="7">
        <v>567.14</v>
      </c>
      <c r="C204" s="8">
        <f>IFERROR(B204/B444, "NA")</f>
        <v>9.3978721940750581E-4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-567.14</v>
      </c>
      <c r="I204" s="8">
        <f>IFERROR(H204/H444, "NA")</f>
        <v>9.8781060455109832E-3</v>
      </c>
      <c r="J204" s="9"/>
      <c r="K204" s="7">
        <v>1578.7099999999998</v>
      </c>
      <c r="L204" s="8">
        <f>IFERROR(K204/K444, "NA")</f>
        <v>2.7875282675329329E-3</v>
      </c>
      <c r="M204" s="9"/>
      <c r="N204" s="10">
        <f t="shared" si="53"/>
        <v>1011.5699999999998</v>
      </c>
      <c r="O204" s="8">
        <f>IFERROR(N204/N444, "NA")</f>
        <v>2.7244440458385925E-2</v>
      </c>
      <c r="P204" s="9"/>
      <c r="Q204" s="7">
        <v>2094.8900000000003</v>
      </c>
      <c r="R204" s="8">
        <f>IFERROR(Q204/Q444, "NA")</f>
        <v>9.2588913150225803E-4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-2094.8900000000003</v>
      </c>
      <c r="X204" s="8">
        <f>IFERROR(W204/W444, "NA")</f>
        <v>-2.0923446627177964E-2</v>
      </c>
      <c r="Y204" s="9"/>
      <c r="Z204" s="7">
        <v>3480.7199999999993</v>
      </c>
      <c r="AA204" s="8">
        <f>IFERROR(Z204/Z444, "NA")</f>
        <v>1.807628368076389E-3</v>
      </c>
      <c r="AB204" s="9"/>
      <c r="AC204" s="10">
        <f t="shared" si="55"/>
        <v>1385.829999999999</v>
      </c>
      <c r="AD204" s="8">
        <f>IFERROR(AC204/AC444, "NA")</f>
        <v>4.1122756932438055E-3</v>
      </c>
    </row>
    <row r="205" spans="1:30" ht="16.5" customHeight="1" x14ac:dyDescent="0.45">
      <c r="A205" s="6" t="s">
        <v>187</v>
      </c>
      <c r="B205" s="7">
        <v>2084.04</v>
      </c>
      <c r="C205" s="8">
        <f>IFERROR(B205/B444, "NA")</f>
        <v>3.4533874470748286E-3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-2084.04</v>
      </c>
      <c r="I205" s="8">
        <f>IFERROR(H205/H444, "NA")</f>
        <v>3.6298564945316338E-2</v>
      </c>
      <c r="J205" s="9"/>
      <c r="K205" s="7">
        <v>1624.12</v>
      </c>
      <c r="L205" s="8">
        <f>IFERROR(K205/K444, "NA")</f>
        <v>2.8677087051235421E-3</v>
      </c>
      <c r="M205" s="9"/>
      <c r="N205" s="10">
        <f t="shared" si="53"/>
        <v>-459.92000000000007</v>
      </c>
      <c r="O205" s="8">
        <f>IFERROR(N205/N444, "NA")</f>
        <v>-1.2386946089366883E-2</v>
      </c>
      <c r="P205" s="9"/>
      <c r="Q205" s="7">
        <v>8355.08</v>
      </c>
      <c r="R205" s="8">
        <f>IFERROR(Q205/Q444, "NA")</f>
        <v>3.692736976562915E-3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-8355.08</v>
      </c>
      <c r="X205" s="8">
        <f>IFERROR(W205/W444, "NA")</f>
        <v>-8.3449283946079283E-2</v>
      </c>
      <c r="Y205" s="9"/>
      <c r="Z205" s="7">
        <v>7632.9</v>
      </c>
      <c r="AA205" s="8">
        <f>IFERROR(Z205/Z444, "NA")</f>
        <v>3.9639633669730032E-3</v>
      </c>
      <c r="AB205" s="9"/>
      <c r="AC205" s="10">
        <f t="shared" si="55"/>
        <v>-722.18000000000029</v>
      </c>
      <c r="AD205" s="8">
        <f>IFERROR(AC205/AC444, "NA")</f>
        <v>-2.1429780421457286E-3</v>
      </c>
    </row>
    <row r="206" spans="1:30" ht="16.5" customHeight="1" x14ac:dyDescent="0.45">
      <c r="A206" s="6" t="s">
        <v>188</v>
      </c>
      <c r="B206" s="7">
        <v>38.58</v>
      </c>
      <c r="C206" s="8">
        <f>IFERROR(B206/B444, "NA")</f>
        <v>6.3929525204960987E-5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-38.58</v>
      </c>
      <c r="I206" s="8">
        <f>IFERROR(H206/H444, "NA")</f>
        <v>6.7196341509294659E-4</v>
      </c>
      <c r="J206" s="9"/>
      <c r="K206" s="7">
        <v>770.74</v>
      </c>
      <c r="L206" s="8">
        <f>IFERROR(K206/K444, "NA")</f>
        <v>1.3608956280243573E-3</v>
      </c>
      <c r="M206" s="9"/>
      <c r="N206" s="10">
        <f t="shared" si="53"/>
        <v>732.16</v>
      </c>
      <c r="O206" s="8">
        <f>IFERROR(N206/N444, "NA")</f>
        <v>1.9719139086777821E-2</v>
      </c>
      <c r="P206" s="9"/>
      <c r="Q206" s="7">
        <v>484.23</v>
      </c>
      <c r="R206" s="8">
        <f>IFERROR(Q206/Q444, "NA")</f>
        <v>2.1401758285510857E-4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-484.23</v>
      </c>
      <c r="X206" s="8">
        <f>IFERROR(W206/W444, "NA")</f>
        <v>-4.8364164993285486E-3</v>
      </c>
      <c r="Y206" s="9"/>
      <c r="Z206" s="7">
        <v>1210.6300000000001</v>
      </c>
      <c r="AA206" s="8">
        <f>IFERROR(Z206/Z444, "NA")</f>
        <v>6.287116261130799E-4</v>
      </c>
      <c r="AB206" s="9"/>
      <c r="AC206" s="10">
        <f t="shared" si="55"/>
        <v>726.40000000000009</v>
      </c>
      <c r="AD206" s="8">
        <f>IFERROR(AC206/AC444, "NA")</f>
        <v>2.155500359764403E-3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770.77</v>
      </c>
      <c r="L207" s="8">
        <f>IFERROR(K207/K444, "NA")</f>
        <v>1.3609485990247474E-3</v>
      </c>
      <c r="M207" s="9"/>
      <c r="N207" s="10">
        <f t="shared" si="53"/>
        <v>770.77</v>
      </c>
      <c r="O207" s="8">
        <f>IFERROR(N207/N444, "NA")</f>
        <v>2.0759015562057122E-2</v>
      </c>
      <c r="P207" s="9"/>
      <c r="Q207" s="7">
        <v>497.99</v>
      </c>
      <c r="R207" s="8">
        <f>IFERROR(Q207/Q444, "NA")</f>
        <v>2.2009915966795843E-4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-497.99</v>
      </c>
      <c r="X207" s="8">
        <f>IFERROR(W207/W444, "NA")</f>
        <v>-4.9738493123115549E-3</v>
      </c>
      <c r="Y207" s="9"/>
      <c r="Z207" s="7">
        <v>1541.54</v>
      </c>
      <c r="AA207" s="8">
        <f>IFERROR(Z207/Z444, "NA")</f>
        <v>8.0056179024008743E-4</v>
      </c>
      <c r="AB207" s="9"/>
      <c r="AC207" s="10">
        <f t="shared" si="55"/>
        <v>1043.55</v>
      </c>
      <c r="AD207" s="8">
        <f>IFERROR(AC207/AC444, "NA")</f>
        <v>3.0966029741631919E-3</v>
      </c>
    </row>
    <row r="208" spans="1:30" ht="16.5" customHeight="1" x14ac:dyDescent="0.45">
      <c r="A208" s="6" t="s">
        <v>190</v>
      </c>
      <c r="B208" s="7">
        <v>852.29</v>
      </c>
      <c r="C208" s="8">
        <f>IFERROR(B208/B444, "NA")</f>
        <v>1.4122989900709228E-3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-852.29</v>
      </c>
      <c r="I208" s="8">
        <f>IFERROR(H208/H444, "NA")</f>
        <v>1.4844678565307606E-2</v>
      </c>
      <c r="J208" s="9"/>
      <c r="K208" s="7">
        <v>464.15999999999997</v>
      </c>
      <c r="L208" s="8">
        <f>IFERROR(K208/K444, "NA")</f>
        <v>8.1956731803693283E-4</v>
      </c>
      <c r="M208" s="9"/>
      <c r="N208" s="10">
        <f t="shared" si="53"/>
        <v>-388.13</v>
      </c>
      <c r="O208" s="8">
        <f>IFERROR(N208/N444, "NA")</f>
        <v>-1.0453438392907391E-2</v>
      </c>
      <c r="P208" s="9"/>
      <c r="Q208" s="7">
        <v>3483.8900000000003</v>
      </c>
      <c r="R208" s="8">
        <f>IFERROR(Q208/Q444, "NA")</f>
        <v>1.5397924885551994E-3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-3483.8900000000003</v>
      </c>
      <c r="X208" s="8">
        <f>IFERROR(W208/W444, "NA")</f>
        <v>-3.4796569972628172E-2</v>
      </c>
      <c r="Y208" s="9"/>
      <c r="Z208" s="7">
        <v>2048.96</v>
      </c>
      <c r="AA208" s="8">
        <f>IFERROR(Z208/Z444, "NA")</f>
        <v>1.0640781852759771E-3</v>
      </c>
      <c r="AB208" s="9"/>
      <c r="AC208" s="10">
        <f t="shared" si="55"/>
        <v>-1434.9300000000003</v>
      </c>
      <c r="AD208" s="8">
        <f>IFERROR(AC208/AC444, "NA")</f>
        <v>-4.2579737489492498E-3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15900.369999999999</v>
      </c>
      <c r="C209" s="15">
        <f>IFERROR(B209/B444, "NA")</f>
        <v>2.6347929100134927E-2</v>
      </c>
      <c r="D209" s="2"/>
      <c r="E209" s="14">
        <f>IFERROR(E201+E202+E203+E204+E205+E206+E207+E208, "NA")</f>
        <v>12757.27</v>
      </c>
      <c r="F209" s="15">
        <f>IFERROR(E209/E444, "NA")</f>
        <v>1.9303141530764376E-2</v>
      </c>
      <c r="G209" s="2"/>
      <c r="H209" s="14">
        <f t="shared" si="52"/>
        <v>-3143.0999999999985</v>
      </c>
      <c r="I209" s="15">
        <f>IFERROR(H209/H444, "NA")</f>
        <v>5.4744639968342133E-2</v>
      </c>
      <c r="J209" s="2"/>
      <c r="K209" s="14">
        <f>IFERROR(K201+K202+K203+K204+K205+K206+K207+K208, "NA")</f>
        <v>13235.569999999998</v>
      </c>
      <c r="L209" s="15">
        <f>IFERROR(K209/K444, "NA")</f>
        <v>2.3370046121143757E-2</v>
      </c>
      <c r="M209" s="2"/>
      <c r="N209" s="14">
        <f t="shared" si="53"/>
        <v>-2664.8000000000011</v>
      </c>
      <c r="O209" s="15">
        <f>IFERROR(N209/N444, "NA")</f>
        <v>-7.1770599101897897E-2</v>
      </c>
      <c r="P209" s="2"/>
      <c r="Q209" s="14">
        <f>IFERROR(Q201+Q202+Q203+Q204+Q205+Q206+Q207+Q208, "NA")</f>
        <v>55357.3</v>
      </c>
      <c r="R209" s="15">
        <f>IFERROR(Q209/Q444, "NA")</f>
        <v>2.4466545937643479E-2</v>
      </c>
      <c r="S209" s="2"/>
      <c r="T209" s="14">
        <f>IFERROR(T201+T202+T203+T204+T205+T206+T207+T208, "NA")</f>
        <v>42833.32</v>
      </c>
      <c r="U209" s="15">
        <f>IFERROR(T209/T444, "NA")</f>
        <v>1.9807778536475022E-2</v>
      </c>
      <c r="V209" s="2"/>
      <c r="W209" s="14">
        <f t="shared" si="54"/>
        <v>-12523.980000000003</v>
      </c>
      <c r="X209" s="15">
        <f>IFERROR(W209/W444, "NA")</f>
        <v>-0.12508763089701336</v>
      </c>
      <c r="Y209" s="2"/>
      <c r="Z209" s="14">
        <f>IFERROR(Z201+Z202+Z203+Z204+Z205+Z206+Z207+Z208, "NA")</f>
        <v>47018.28</v>
      </c>
      <c r="AA209" s="15">
        <f>IFERROR(Z209/Z444, "NA")</f>
        <v>2.441781491937264E-2</v>
      </c>
      <c r="AB209" s="2"/>
      <c r="AC209" s="14">
        <f t="shared" si="55"/>
        <v>-8339.0200000000041</v>
      </c>
      <c r="AD209" s="15">
        <f>IFERROR(AC209/AC444, "NA")</f>
        <v>-2.4744989826655506E-2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22233.35</v>
      </c>
      <c r="F213" s="8">
        <f>IFERROR(E213/E444, "NA")</f>
        <v>3.3641484561588809E-2</v>
      </c>
      <c r="G213" s="9"/>
      <c r="H213" s="10">
        <f t="shared" ref="H213:H227" si="56">IFERROR(-(B213-E213), "NA")</f>
        <v>22233.35</v>
      </c>
      <c r="I213" s="8">
        <f>IFERROR(H213/H444, "NA")</f>
        <v>-0.38724722122749516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75374.850000000006</v>
      </c>
      <c r="U213" s="8">
        <f>IFERROR(T213/T444, "NA")</f>
        <v>3.4856236593848539E-2</v>
      </c>
      <c r="V213" s="9"/>
      <c r="W213" s="10">
        <f t="shared" ref="W213:W227" si="58">IFERROR(-(Q213-T213), "NA")</f>
        <v>75374.850000000006</v>
      </c>
      <c r="X213" s="8">
        <f>IFERROR(W213/W444, "NA")</f>
        <v>0.75283267904593787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11098.119999999999</v>
      </c>
      <c r="C214" s="8">
        <f>IFERROR(B214/B444, "NA")</f>
        <v>1.8390293993459865E-2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-11098.119999999999</v>
      </c>
      <c r="I214" s="8">
        <f>IFERROR(H214/H444, "NA")</f>
        <v>0.19330043069754618</v>
      </c>
      <c r="J214" s="9"/>
      <c r="K214" s="7">
        <v>2405</v>
      </c>
      <c r="L214" s="8">
        <f>IFERROR(K214/K444, "NA")</f>
        <v>4.2465085312797819E-3</v>
      </c>
      <c r="M214" s="9"/>
      <c r="N214" s="10">
        <f t="shared" si="57"/>
        <v>-8693.119999999999</v>
      </c>
      <c r="O214" s="8">
        <f>IFERROR(N214/N444, "NA")</f>
        <v>-0.23413030263610413</v>
      </c>
      <c r="P214" s="9"/>
      <c r="Q214" s="7">
        <v>60307.63</v>
      </c>
      <c r="R214" s="8">
        <f>IFERROR(Q214/Q444, "NA")</f>
        <v>2.6654468331826258E-2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-60307.63</v>
      </c>
      <c r="X214" s="8">
        <f>IFERROR(W214/W444, "NA")</f>
        <v>-0.60234354907255094</v>
      </c>
      <c r="Y214" s="9"/>
      <c r="Z214" s="7">
        <v>8961</v>
      </c>
      <c r="AA214" s="8">
        <f>IFERROR(Z214/Z444, "NA")</f>
        <v>4.653680217406894E-3</v>
      </c>
      <c r="AB214" s="9"/>
      <c r="AC214" s="10">
        <f t="shared" si="59"/>
        <v>-51346.63</v>
      </c>
      <c r="AD214" s="8">
        <f>IFERROR(AC214/AC444, "NA")</f>
        <v>-0.15236464680298689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125.03</v>
      </c>
      <c r="C216" s="8">
        <f>IFERROR(B216/B444, "NA")</f>
        <v>2.0718269923214808E-4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-125.03</v>
      </c>
      <c r="I216" s="8">
        <f>IFERROR(H216/H444, "NA")</f>
        <v>2.1776979209194173E-3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-125.03</v>
      </c>
      <c r="O216" s="8">
        <f>IFERROR(N216/N444, "NA")</f>
        <v>-3.3674114401494636E-3</v>
      </c>
      <c r="P216" s="9"/>
      <c r="Q216" s="7">
        <v>140.94999999999999</v>
      </c>
      <c r="R216" s="8">
        <f>IFERROR(Q216/Q444, "NA")</f>
        <v>6.2296384576394575E-5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-140.94999999999999</v>
      </c>
      <c r="X216" s="8">
        <f>IFERROR(W216/W444, "NA")</f>
        <v>-1.4077874265955412E-3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-140.94999999999999</v>
      </c>
      <c r="AD216" s="8">
        <f>IFERROR(AC216/AC444, "NA")</f>
        <v>-4.182513432114435E-4</v>
      </c>
    </row>
    <row r="217" spans="1:30" ht="16.5" customHeight="1" x14ac:dyDescent="0.45">
      <c r="A217" s="12" t="s">
        <v>197</v>
      </c>
      <c r="B217" s="7">
        <v>10875.84</v>
      </c>
      <c r="C217" s="8">
        <f>IFERROR(B217/B444, "NA")</f>
        <v>1.8021961830096498E-2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-10875.84</v>
      </c>
      <c r="I217" s="8">
        <f>IFERROR(H217/H444, "NA")</f>
        <v>0.18942889031634194</v>
      </c>
      <c r="J217" s="9"/>
      <c r="K217" s="7">
        <v>751</v>
      </c>
      <c r="L217" s="8">
        <f>IFERROR(K217/K444, "NA")</f>
        <v>1.3260407097676159E-3</v>
      </c>
      <c r="M217" s="9"/>
      <c r="N217" s="10">
        <f t="shared" si="57"/>
        <v>-10124.84</v>
      </c>
      <c r="O217" s="8">
        <f>IFERROR(N217/N444, "NA")</f>
        <v>-0.27269057062851232</v>
      </c>
      <c r="P217" s="9"/>
      <c r="Q217" s="7">
        <v>60489</v>
      </c>
      <c r="R217" s="8">
        <f>IFERROR(Q217/Q444, "NA")</f>
        <v>2.6734629348290403E-2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-60489</v>
      </c>
      <c r="X217" s="8">
        <f>IFERROR(W217/W444, "NA")</f>
        <v>-0.60415504538728415</v>
      </c>
      <c r="Y217" s="9"/>
      <c r="Z217" s="7">
        <v>4515.2800000000007</v>
      </c>
      <c r="AA217" s="8">
        <f>IFERROR(Z217/Z444, "NA")</f>
        <v>2.3449022667172193E-3</v>
      </c>
      <c r="AB217" s="9"/>
      <c r="AC217" s="10">
        <f t="shared" si="59"/>
        <v>-55973.72</v>
      </c>
      <c r="AD217" s="8">
        <f>IFERROR(AC217/AC444, "NA")</f>
        <v>-0.16609495263952637</v>
      </c>
    </row>
    <row r="218" spans="1:30" ht="16.5" customHeight="1" x14ac:dyDescent="0.45">
      <c r="A218" s="13" t="s">
        <v>198</v>
      </c>
      <c r="B218" s="14">
        <f>IFERROR(B213+B214+B215+B216+B217, "NA")</f>
        <v>22098.989999999998</v>
      </c>
      <c r="C218" s="15">
        <f>IFERROR(B218/B444, "NA")</f>
        <v>3.6619438522788511E-2</v>
      </c>
      <c r="D218" s="2"/>
      <c r="E218" s="14">
        <f>IFERROR(E213+E214+E215+E216+E217, "NA")</f>
        <v>22233.35</v>
      </c>
      <c r="F218" s="15">
        <f>IFERROR(E218/E444, "NA")</f>
        <v>3.3641484561588809E-2</v>
      </c>
      <c r="G218" s="2"/>
      <c r="H218" s="14">
        <f t="shared" si="56"/>
        <v>134.36000000000058</v>
      </c>
      <c r="I218" s="15">
        <f>IFERROR(H218/H444, "NA")</f>
        <v>-2.340202292687628E-3</v>
      </c>
      <c r="J218" s="2"/>
      <c r="K218" s="14">
        <f>IFERROR(K213+K214+K215+K216+K217, "NA")</f>
        <v>3156</v>
      </c>
      <c r="L218" s="15">
        <f>IFERROR(K218/K444, "NA")</f>
        <v>5.5725492410473977E-3</v>
      </c>
      <c r="M218" s="2"/>
      <c r="N218" s="14">
        <f t="shared" si="57"/>
        <v>-18942.989999999998</v>
      </c>
      <c r="O218" s="15">
        <f>IFERROR(N218/N444, "NA")</f>
        <v>-0.51018828470476585</v>
      </c>
      <c r="P218" s="2"/>
      <c r="Q218" s="14">
        <f>IFERROR(Q213+Q214+Q215+Q216+Q217, "NA")</f>
        <v>120937.57999999999</v>
      </c>
      <c r="R218" s="15">
        <f>IFERROR(Q218/Q444, "NA")</f>
        <v>5.3451394064693049E-2</v>
      </c>
      <c r="S218" s="2"/>
      <c r="T218" s="14">
        <f>IFERROR(T213+T214+T215+T216+T217, "NA")</f>
        <v>75374.850000000006</v>
      </c>
      <c r="U218" s="15">
        <f>IFERROR(T218/T444, "NA")</f>
        <v>3.4856236593848539E-2</v>
      </c>
      <c r="V218" s="2"/>
      <c r="W218" s="14">
        <f t="shared" si="58"/>
        <v>-45562.729999999981</v>
      </c>
      <c r="X218" s="15">
        <f>IFERROR(W218/W444, "NA")</f>
        <v>-0.45507370284049264</v>
      </c>
      <c r="Y218" s="2"/>
      <c r="Z218" s="14">
        <f>IFERROR(Z213+Z214+Z215+Z216+Z217, "NA")</f>
        <v>13476.28</v>
      </c>
      <c r="AA218" s="15">
        <f>IFERROR(Z218/Z444, "NA")</f>
        <v>6.9985824841241138E-3</v>
      </c>
      <c r="AB218" s="2"/>
      <c r="AC218" s="14">
        <f t="shared" si="59"/>
        <v>-107461.29999999999</v>
      </c>
      <c r="AD218" s="15">
        <f>IFERROR(AC218/AC444, "NA")</f>
        <v>-0.31887785078572467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1255.1600000000001</v>
      </c>
      <c r="C222" s="8">
        <f>IFERROR(B222/B444, "NA")</f>
        <v>2.0798803228682956E-3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-1255.1600000000001</v>
      </c>
      <c r="I222" s="8">
        <f>IFERROR(H222/H444, "NA")</f>
        <v>2.186162778870044E-2</v>
      </c>
      <c r="J222" s="9"/>
      <c r="K222" s="7">
        <v>300</v>
      </c>
      <c r="L222" s="8">
        <f>IFERROR(K222/K444, "NA")</f>
        <v>5.2971000390184388E-4</v>
      </c>
      <c r="M222" s="9"/>
      <c r="N222" s="10">
        <f t="shared" si="57"/>
        <v>-955.16000000000008</v>
      </c>
      <c r="O222" s="8">
        <f>IFERROR(N222/N444, "NA")</f>
        <v>-2.5725159651069036E-2</v>
      </c>
      <c r="P222" s="9"/>
      <c r="Q222" s="7">
        <v>4493.8100000000004</v>
      </c>
      <c r="R222" s="8">
        <f>IFERROR(Q222/Q444, "NA")</f>
        <v>1.9861519402145996E-3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-4493.8100000000004</v>
      </c>
      <c r="X222" s="8">
        <f>IFERROR(W222/W444, "NA")</f>
        <v>-4.4883499223194817E-2</v>
      </c>
      <c r="Y222" s="9"/>
      <c r="Z222" s="7">
        <v>1400</v>
      </c>
      <c r="AA222" s="8">
        <f>IFERROR(Z222/Z444, "NA")</f>
        <v>7.2705638928352329E-4</v>
      </c>
      <c r="AB222" s="9"/>
      <c r="AC222" s="10">
        <f t="shared" si="59"/>
        <v>-3093.8100000000004</v>
      </c>
      <c r="AD222" s="8">
        <f>IFERROR(AC222/AC444, "NA")</f>
        <v>-9.1804908701028469E-3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660.89</v>
      </c>
      <c r="F226" s="8">
        <f>IFERROR(E226/E444, "NA")</f>
        <v>9.9999868359506921E-4</v>
      </c>
      <c r="G226" s="9"/>
      <c r="H226" s="10">
        <f t="shared" si="56"/>
        <v>660.89</v>
      </c>
      <c r="I226" s="8">
        <f>IFERROR(H226/H444, "NA")</f>
        <v>-1.1510987594628758E-2</v>
      </c>
      <c r="J226" s="9"/>
      <c r="K226" s="7">
        <v>553.61</v>
      </c>
      <c r="L226" s="8">
        <f>IFERROR(K226/K444, "NA")</f>
        <v>9.7750918420033261E-4</v>
      </c>
      <c r="M226" s="9"/>
      <c r="N226" s="10">
        <f t="shared" si="57"/>
        <v>553.61</v>
      </c>
      <c r="O226" s="8">
        <f>IFERROR(N226/N444, "NA")</f>
        <v>1.4910282711198469E-2</v>
      </c>
      <c r="P226" s="9"/>
      <c r="Q226" s="7">
        <v>0</v>
      </c>
      <c r="R226" s="8">
        <f>IFERROR(Q226/Q444, "NA")</f>
        <v>0</v>
      </c>
      <c r="S226" s="9"/>
      <c r="T226" s="7">
        <v>2162.4499999999998</v>
      </c>
      <c r="U226" s="8">
        <f>IFERROR(T226/T444, "NA")</f>
        <v>1.0000002497168186E-3</v>
      </c>
      <c r="V226" s="9"/>
      <c r="W226" s="10">
        <f t="shared" si="58"/>
        <v>2162.4499999999998</v>
      </c>
      <c r="X226" s="8">
        <f>IFERROR(W226/W444, "NA")</f>
        <v>2.1598225758364866E-2</v>
      </c>
      <c r="Y226" s="9"/>
      <c r="Z226" s="7">
        <v>3956.1899999999996</v>
      </c>
      <c r="AA226" s="8">
        <f>IFERROR(Z226/Z444, "NA")</f>
        <v>2.0545522976568439E-3</v>
      </c>
      <c r="AB226" s="9"/>
      <c r="AC226" s="10">
        <f t="shared" si="59"/>
        <v>3956.1899999999996</v>
      </c>
      <c r="AD226" s="8">
        <f>IFERROR(AC226/AC444, "NA")</f>
        <v>1.173949472507755E-2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23354.149999999998</v>
      </c>
      <c r="C227" s="15">
        <f>IFERROR(B227/B444, "NA")</f>
        <v>3.8699318845656805E-2</v>
      </c>
      <c r="D227" s="2"/>
      <c r="E227" s="14">
        <f>IFERROR(E211+E213+E214+E215+E216+E217+E219+E220+E221+E222+E223+E224+E225+E226, "NA")</f>
        <v>22894.239999999998</v>
      </c>
      <c r="F227" s="15">
        <f>IFERROR(E227/E444, "NA")</f>
        <v>3.4641483245183881E-2</v>
      </c>
      <c r="G227" s="2"/>
      <c r="H227" s="14">
        <f t="shared" si="56"/>
        <v>-459.90999999999985</v>
      </c>
      <c r="I227" s="15">
        <f>IFERROR(H227/H444, "NA")</f>
        <v>8.0104379013840581E-3</v>
      </c>
      <c r="J227" s="2"/>
      <c r="K227" s="14">
        <f>IFERROR(K211+K213+K214+K215+K216+K217+K219+K220+K221+K222+K223+K224+K225+K226, "NA")</f>
        <v>4009.61</v>
      </c>
      <c r="L227" s="15">
        <f>IFERROR(K227/K444, "NA")</f>
        <v>7.0797684291495746E-3</v>
      </c>
      <c r="M227" s="2"/>
      <c r="N227" s="14">
        <f t="shared" si="57"/>
        <v>-19344.539999999997</v>
      </c>
      <c r="O227" s="15">
        <f>IFERROR(N227/N444, "NA")</f>
        <v>-0.52100316164463645</v>
      </c>
      <c r="P227" s="2"/>
      <c r="Q227" s="14">
        <f>IFERROR(Q211+Q213+Q214+Q215+Q216+Q217+Q219+Q220+Q221+Q222+Q223+Q224+Q225+Q226, "NA")</f>
        <v>125431.38999999998</v>
      </c>
      <c r="R227" s="15">
        <f>IFERROR(Q227/Q444, "NA")</f>
        <v>5.5437546004907648E-2</v>
      </c>
      <c r="S227" s="2"/>
      <c r="T227" s="14">
        <f>IFERROR(T211+T213+T214+T215+T216+T217+T219+T220+T221+T222+T223+T224+T225+T226, "NA")</f>
        <v>77537.3</v>
      </c>
      <c r="U227" s="15">
        <f>IFERROR(T227/T444, "NA")</f>
        <v>3.5856236843565356E-2</v>
      </c>
      <c r="V227" s="2"/>
      <c r="W227" s="14">
        <f t="shared" si="58"/>
        <v>-47894.089999999982</v>
      </c>
      <c r="X227" s="15">
        <f>IFERROR(W227/W444, "NA")</f>
        <v>-0.47835897630532259</v>
      </c>
      <c r="Y227" s="2"/>
      <c r="Z227" s="14">
        <f>IFERROR(Z211+Z213+Z214+Z215+Z216+Z217+Z219+Z220+Z221+Z222+Z223+Z224+Z225+Z226, "NA")</f>
        <v>18832.47</v>
      </c>
      <c r="AA227" s="15">
        <f>IFERROR(Z227/Z444, "NA")</f>
        <v>9.7801911710644809E-3</v>
      </c>
      <c r="AB227" s="2"/>
      <c r="AC227" s="14">
        <f t="shared" si="59"/>
        <v>-106598.91999999998</v>
      </c>
      <c r="AD227" s="15">
        <f>IFERROR(AC227/AC444, "NA")</f>
        <v>-0.31631884693074996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11158.91</v>
      </c>
      <c r="F229" s="8">
        <f>IFERROR(E229/E444, "NA")</f>
        <v>1.6884648444303672E-2</v>
      </c>
      <c r="G229" s="9"/>
      <c r="H229" s="10">
        <f t="shared" ref="H229:H236" si="60">IFERROR(-(B229-E229), "NA")</f>
        <v>11158.91</v>
      </c>
      <c r="I229" s="8">
        <f>IFERROR(H229/H444, "NA")</f>
        <v>-0.19435923463750215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37203.86</v>
      </c>
      <c r="U229" s="8">
        <f>IFERROR(T229/T444, "NA")</f>
        <v>1.720449919786796E-2</v>
      </c>
      <c r="V229" s="9"/>
      <c r="W229" s="10">
        <f t="shared" ref="W229:W236" si="62">IFERROR(-(Q229-T229), "NA")</f>
        <v>37203.86</v>
      </c>
      <c r="X229" s="8">
        <f>IFERROR(W229/W444, "NA")</f>
        <v>0.37158656494374454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150</v>
      </c>
      <c r="L230" s="8">
        <f>IFERROR(K230/K444, "NA")</f>
        <v>2.6485500195092194E-4</v>
      </c>
      <c r="M230" s="9"/>
      <c r="N230" s="10">
        <f t="shared" si="61"/>
        <v>150</v>
      </c>
      <c r="O230" s="8">
        <f>IFERROR(N230/N444, "NA")</f>
        <v>4.0399241463842236E-3</v>
      </c>
      <c r="P230" s="9"/>
      <c r="Q230" s="7">
        <v>83.95</v>
      </c>
      <c r="R230" s="8">
        <f>IFERROR(Q230/Q444, "NA")</f>
        <v>3.7103806209211248E-5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-83.95</v>
      </c>
      <c r="X230" s="8">
        <f>IFERROR(W230/W444, "NA")</f>
        <v>-8.3847998909326491E-4</v>
      </c>
      <c r="Y230" s="9"/>
      <c r="Z230" s="7">
        <v>682.33999999999992</v>
      </c>
      <c r="AA230" s="8">
        <f>IFERROR(Z230/Z444, "NA")</f>
        <v>3.5435689761694226E-4</v>
      </c>
      <c r="AB230" s="9"/>
      <c r="AC230" s="10">
        <f t="shared" si="63"/>
        <v>598.38999999999987</v>
      </c>
      <c r="AD230" s="8">
        <f>IFERROR(AC230/AC444, "NA")</f>
        <v>1.7756468340851058E-3</v>
      </c>
    </row>
    <row r="231" spans="1:30" ht="16.5" customHeight="1" x14ac:dyDescent="0.45">
      <c r="A231" s="6" t="s">
        <v>210</v>
      </c>
      <c r="B231" s="7">
        <v>1211</v>
      </c>
      <c r="C231" s="8">
        <f>IFERROR(B231/B444, "NA")</f>
        <v>2.0067043811095842E-3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-1211</v>
      </c>
      <c r="I231" s="8">
        <f>IFERROR(H231/H444, "NA")</f>
        <v>2.1092475263804002E-2</v>
      </c>
      <c r="J231" s="9"/>
      <c r="K231" s="7">
        <v>1472.3700000000003</v>
      </c>
      <c r="L231" s="8">
        <f>IFERROR(K231/K444, "NA")</f>
        <v>2.5997637281498604E-3</v>
      </c>
      <c r="M231" s="9"/>
      <c r="N231" s="10">
        <f t="shared" si="61"/>
        <v>261.37000000000035</v>
      </c>
      <c r="O231" s="8">
        <f>IFERROR(N231/N444, "NA")</f>
        <v>7.0394331609363071E-3</v>
      </c>
      <c r="P231" s="9"/>
      <c r="Q231" s="7">
        <v>4557.3</v>
      </c>
      <c r="R231" s="8">
        <f>IFERROR(Q231/Q444, "NA")</f>
        <v>2.014212936715169E-3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-4557.3</v>
      </c>
      <c r="X231" s="8">
        <f>IFERROR(W231/W444, "NA")</f>
        <v>-4.5517627805774105E-2</v>
      </c>
      <c r="Y231" s="9"/>
      <c r="Z231" s="7">
        <v>5061.57</v>
      </c>
      <c r="AA231" s="8">
        <f>IFERROR(Z231/Z444, "NA")</f>
        <v>2.6286048630755733E-3</v>
      </c>
      <c r="AB231" s="9"/>
      <c r="AC231" s="10">
        <f t="shared" si="63"/>
        <v>504.26999999999953</v>
      </c>
      <c r="AD231" s="8">
        <f>IFERROR(AC231/AC444, "NA")</f>
        <v>1.4963576079548382E-3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34</v>
      </c>
      <c r="AA233" s="8">
        <f>IFERROR(Z233/Z444, "NA")</f>
        <v>1.7657083739742707E-5</v>
      </c>
      <c r="AB233" s="9"/>
      <c r="AC233" s="10">
        <f t="shared" si="63"/>
        <v>34</v>
      </c>
      <c r="AD233" s="8">
        <f>IFERROR(AC233/AC444, "NA")</f>
        <v>1.0089071067179198E-4</v>
      </c>
    </row>
    <row r="234" spans="1:30" ht="16.5" customHeight="1" x14ac:dyDescent="0.45">
      <c r="A234" s="6" t="s">
        <v>213</v>
      </c>
      <c r="B234" s="7">
        <v>7771.18</v>
      </c>
      <c r="C234" s="8">
        <f>IFERROR(B234/B444, "NA")</f>
        <v>1.2877341826912617E-2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-7771.18</v>
      </c>
      <c r="I234" s="8">
        <f>IFERROR(H234/H444, "NA")</f>
        <v>0.13535377532664605</v>
      </c>
      <c r="J234" s="9"/>
      <c r="K234" s="7">
        <v>11242.73</v>
      </c>
      <c r="L234" s="8">
        <f>IFERROR(K234/K444, "NA")</f>
        <v>1.985128850722459E-2</v>
      </c>
      <c r="M234" s="9"/>
      <c r="N234" s="10">
        <f t="shared" si="61"/>
        <v>3471.5499999999993</v>
      </c>
      <c r="O234" s="8">
        <f>IFERROR(N234/N444, "NA")</f>
        <v>9.349865780253433E-2</v>
      </c>
      <c r="P234" s="9"/>
      <c r="Q234" s="7">
        <v>33801.629999999997</v>
      </c>
      <c r="R234" s="8">
        <f>IFERROR(Q234/Q444, "NA")</f>
        <v>1.4939477416026935E-2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-33801.629999999997</v>
      </c>
      <c r="X234" s="8">
        <f>IFERROR(W234/W444, "NA")</f>
        <v>-0.3376056027842117</v>
      </c>
      <c r="Y234" s="9"/>
      <c r="Z234" s="7">
        <v>31947.439999999999</v>
      </c>
      <c r="AA234" s="8">
        <f>IFERROR(Z234/Z444, "NA")</f>
        <v>1.6591135980894286E-2</v>
      </c>
      <c r="AB234" s="9"/>
      <c r="AC234" s="10">
        <f t="shared" si="63"/>
        <v>-1854.1899999999987</v>
      </c>
      <c r="AD234" s="8">
        <f>IFERROR(AC234/AC444, "NA")</f>
        <v>-5.5020749064861717E-3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8982.18</v>
      </c>
      <c r="C236" s="15">
        <f>IFERROR(B236/B444, "NA")</f>
        <v>1.48840462080222E-2</v>
      </c>
      <c r="D236" s="2"/>
      <c r="E236" s="14">
        <f>IFERROR(E229+E230+E231+E232+E233+E234+E235, "NA")</f>
        <v>11158.91</v>
      </c>
      <c r="F236" s="15">
        <f>IFERROR(E236/E444, "NA")</f>
        <v>1.6884648444303672E-2</v>
      </c>
      <c r="G236" s="2"/>
      <c r="H236" s="14">
        <f t="shared" si="60"/>
        <v>2176.7299999999996</v>
      </c>
      <c r="I236" s="15">
        <f>IFERROR(H236/H444, "NA")</f>
        <v>-3.7912984047052081E-2</v>
      </c>
      <c r="J236" s="2"/>
      <c r="K236" s="14">
        <f>IFERROR(K229+K230+K231+K232+K233+K234+K235, "NA")</f>
        <v>12865.1</v>
      </c>
      <c r="L236" s="15">
        <f>IFERROR(K236/K444, "NA")</f>
        <v>2.2715907237325375E-2</v>
      </c>
      <c r="M236" s="2"/>
      <c r="N236" s="14">
        <f t="shared" si="61"/>
        <v>3882.92</v>
      </c>
      <c r="O236" s="15">
        <f>IFERROR(N236/N444, "NA")</f>
        <v>0.10457801510985487</v>
      </c>
      <c r="P236" s="2"/>
      <c r="Q236" s="14">
        <f>IFERROR(Q229+Q230+Q231+Q232+Q233+Q234+Q235, "NA")</f>
        <v>38442.879999999997</v>
      </c>
      <c r="R236" s="15">
        <f>IFERROR(Q236/Q444, "NA")</f>
        <v>1.6990794158951314E-2</v>
      </c>
      <c r="S236" s="2"/>
      <c r="T236" s="14">
        <f>IFERROR(T229+T230+T231+T232+T233+T234+T235, "NA")</f>
        <v>37203.86</v>
      </c>
      <c r="U236" s="15">
        <f>IFERROR(T236/T444, "NA")</f>
        <v>1.720449919786796E-2</v>
      </c>
      <c r="V236" s="2"/>
      <c r="W236" s="14">
        <f t="shared" si="62"/>
        <v>-1239.0199999999968</v>
      </c>
      <c r="X236" s="15">
        <f>IFERROR(W236/W444, "NA")</f>
        <v>-1.2375145635334537E-2</v>
      </c>
      <c r="Y236" s="2"/>
      <c r="Z236" s="14">
        <f>IFERROR(Z229+Z230+Z231+Z232+Z233+Z234+Z235, "NA")</f>
        <v>37725.35</v>
      </c>
      <c r="AA236" s="15">
        <f>IFERROR(Z236/Z444, "NA")</f>
        <v>1.9591754825326546E-2</v>
      </c>
      <c r="AB236" s="2"/>
      <c r="AC236" s="14">
        <f t="shared" si="63"/>
        <v>-717.52999999999884</v>
      </c>
      <c r="AD236" s="15">
        <f>IFERROR(AC236/AC444, "NA")</f>
        <v>-2.1291797537744349E-3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41667.949999999997</v>
      </c>
      <c r="F240" s="8">
        <f>IFERROR(E240/E444, "NA")</f>
        <v>6.304815498510366E-2</v>
      </c>
      <c r="G240" s="9"/>
      <c r="H240" s="10">
        <f t="shared" ref="H240:H263" si="64">IFERROR(-(B240-E240), "NA")</f>
        <v>41667.949999999997</v>
      </c>
      <c r="I240" s="8">
        <f>IFERROR(H240/H444, "NA")</f>
        <v>-0.72574748527532773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139121.13</v>
      </c>
      <c r="U240" s="8">
        <f>IFERROR(T240/T444, "NA")</f>
        <v>6.433497409923282E-2</v>
      </c>
      <c r="V240" s="9"/>
      <c r="W240" s="10">
        <f t="shared" ref="W240:W263" si="66">IFERROR(-(Q240-T240), "NA")</f>
        <v>139121.13</v>
      </c>
      <c r="X240" s="8">
        <f>IFERROR(W240/W444, "NA")</f>
        <v>1.3895209477670363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159.66</v>
      </c>
      <c r="C241" s="8">
        <f>IFERROR(B241/B444, "NA")</f>
        <v>2.6456682203794898E-4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-159.66</v>
      </c>
      <c r="I241" s="8">
        <f>IFERROR(H241/H444, "NA")</f>
        <v>2.7808625934095349E-3</v>
      </c>
      <c r="J241" s="9"/>
      <c r="K241" s="7">
        <v>105.22</v>
      </c>
      <c r="L241" s="8">
        <f>IFERROR(K241/K444, "NA")</f>
        <v>1.857869553685067E-4</v>
      </c>
      <c r="M241" s="9"/>
      <c r="N241" s="10">
        <f t="shared" si="65"/>
        <v>-54.44</v>
      </c>
      <c r="O241" s="8">
        <f>IFERROR(N241/N444, "NA")</f>
        <v>-1.4662231368610477E-3</v>
      </c>
      <c r="P241" s="9"/>
      <c r="Q241" s="7">
        <v>721.14</v>
      </c>
      <c r="R241" s="8">
        <f>IFERROR(Q241/Q444, "NA")</f>
        <v>3.1872589410018582E-4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-721.14</v>
      </c>
      <c r="X241" s="8">
        <f>IFERROR(W241/W444, "NA")</f>
        <v>-7.2026379908840628E-3</v>
      </c>
      <c r="Y241" s="9"/>
      <c r="Z241" s="7">
        <v>347.45</v>
      </c>
      <c r="AA241" s="8">
        <f>IFERROR(Z241/Z444, "NA")</f>
        <v>1.8043981604040011E-4</v>
      </c>
      <c r="AB241" s="9"/>
      <c r="AC241" s="10">
        <f t="shared" si="67"/>
        <v>-373.69</v>
      </c>
      <c r="AD241" s="8">
        <f>IFERROR(AC241/AC444, "NA")</f>
        <v>-1.1088779314982924E-3</v>
      </c>
    </row>
    <row r="242" spans="1:30" ht="16.5" customHeight="1" x14ac:dyDescent="0.45">
      <c r="A242" s="12" t="s">
        <v>219</v>
      </c>
      <c r="B242" s="7">
        <v>6672.1699999999992</v>
      </c>
      <c r="C242" s="8">
        <f>IFERROR(B242/B444, "NA")</f>
        <v>1.1056212031798457E-2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-6672.1699999999992</v>
      </c>
      <c r="I242" s="8">
        <f>IFERROR(H242/H444, "NA")</f>
        <v>0.11621187504615617</v>
      </c>
      <c r="J242" s="9"/>
      <c r="K242" s="7">
        <v>5047.1000000000004</v>
      </c>
      <c r="L242" s="8">
        <f>IFERROR(K242/K444, "NA")</f>
        <v>8.9116645356433211E-3</v>
      </c>
      <c r="M242" s="9"/>
      <c r="N242" s="10">
        <f t="shared" si="65"/>
        <v>-1625.0699999999988</v>
      </c>
      <c r="O242" s="8">
        <f>IFERROR(N242/N444, "NA")</f>
        <v>-4.3767730217097373E-2</v>
      </c>
      <c r="P242" s="9"/>
      <c r="Q242" s="7">
        <v>27341.22</v>
      </c>
      <c r="R242" s="8">
        <f>IFERROR(Q242/Q444, "NA")</f>
        <v>1.2084137324638604E-2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-27341.22</v>
      </c>
      <c r="X242" s="8">
        <f>IFERROR(W242/W444, "NA")</f>
        <v>-0.27307999818221035</v>
      </c>
      <c r="Y242" s="9"/>
      <c r="Z242" s="7">
        <v>20366.34</v>
      </c>
      <c r="AA242" s="8">
        <f>IFERROR(Z242/Z444, "NA")</f>
        <v>1.057676973094328E-2</v>
      </c>
      <c r="AB242" s="9"/>
      <c r="AC242" s="10">
        <f t="shared" si="67"/>
        <v>-6974.880000000001</v>
      </c>
      <c r="AD242" s="8">
        <f>IFERROR(AC242/AC444, "NA")</f>
        <v>-2.0697076472072605E-2</v>
      </c>
    </row>
    <row r="243" spans="1:30" ht="16.5" customHeight="1" x14ac:dyDescent="0.45">
      <c r="A243" s="12" t="s">
        <v>220</v>
      </c>
      <c r="B243" s="7">
        <v>12563.32</v>
      </c>
      <c r="C243" s="8">
        <f>IFERROR(B243/B444, "NA")</f>
        <v>2.0818224017573626E-2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-12563.32</v>
      </c>
      <c r="I243" s="8">
        <f>IFERROR(H243/H444, "NA")</f>
        <v>0.21882040985239809</v>
      </c>
      <c r="J243" s="9"/>
      <c r="K243" s="7">
        <v>20677.63</v>
      </c>
      <c r="L243" s="8">
        <f>IFERROR(K243/K444, "NA")</f>
        <v>3.6510491559936284E-2</v>
      </c>
      <c r="M243" s="9"/>
      <c r="N243" s="10">
        <f t="shared" si="65"/>
        <v>8114.3100000000013</v>
      </c>
      <c r="O243" s="8">
        <f>IFERROR(N243/N444, "NA")</f>
        <v>0.21854131266831317</v>
      </c>
      <c r="P243" s="9"/>
      <c r="Q243" s="7">
        <v>57945.83</v>
      </c>
      <c r="R243" s="8">
        <f>IFERROR(Q243/Q444, "NA")</f>
        <v>2.5610611637306723E-2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-57945.83</v>
      </c>
      <c r="X243" s="8">
        <f>IFERROR(W243/W444, "NA")</f>
        <v>-0.57875424546039533</v>
      </c>
      <c r="Y243" s="9"/>
      <c r="Z243" s="7">
        <v>58604.47</v>
      </c>
      <c r="AA243" s="8">
        <f>IFERROR(Z243/Z444, "NA")</f>
        <v>3.0434824538624686E-2</v>
      </c>
      <c r="AB243" s="9"/>
      <c r="AC243" s="10">
        <f t="shared" si="67"/>
        <v>658.63999999999942</v>
      </c>
      <c r="AD243" s="8">
        <f>IFERROR(AC243/AC444, "NA")</f>
        <v>1.9544311081432062E-3</v>
      </c>
    </row>
    <row r="244" spans="1:30" ht="16.5" customHeight="1" x14ac:dyDescent="0.45">
      <c r="A244" s="12" t="s">
        <v>221</v>
      </c>
      <c r="B244" s="7">
        <v>2229.04</v>
      </c>
      <c r="C244" s="8">
        <f>IFERROR(B244/B444, "NA")</f>
        <v>3.6936617123604519E-3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-2229.04</v>
      </c>
      <c r="I244" s="8">
        <f>IFERROR(H244/H444, "NA")</f>
        <v>3.8824088407951832E-2</v>
      </c>
      <c r="J244" s="9"/>
      <c r="K244" s="7">
        <v>90.78</v>
      </c>
      <c r="L244" s="8">
        <f>IFERROR(K244/K444, "NA")</f>
        <v>1.6029024718069797E-4</v>
      </c>
      <c r="M244" s="9"/>
      <c r="N244" s="10">
        <f t="shared" si="65"/>
        <v>-2138.2599999999998</v>
      </c>
      <c r="O244" s="8">
        <f>IFERROR(N244/N444, "NA")</f>
        <v>-5.7589388034983528E-2</v>
      </c>
      <c r="P244" s="9"/>
      <c r="Q244" s="7">
        <v>3525.87</v>
      </c>
      <c r="R244" s="8">
        <f>IFERROR(Q244/Q444, "NA")</f>
        <v>1.5583466015351001E-3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-3525.87</v>
      </c>
      <c r="X244" s="8">
        <f>IFERROR(W244/W444, "NA")</f>
        <v>-3.5215859906423702E-2</v>
      </c>
      <c r="Y244" s="9"/>
      <c r="Z244" s="7">
        <v>90.78</v>
      </c>
      <c r="AA244" s="8">
        <f>IFERROR(Z244/Z444, "NA")</f>
        <v>4.7144413585113031E-5</v>
      </c>
      <c r="AB244" s="9"/>
      <c r="AC244" s="10">
        <f t="shared" si="67"/>
        <v>-3435.0899999999997</v>
      </c>
      <c r="AD244" s="8">
        <f>IFERROR(AC244/AC444, "NA")</f>
        <v>-1.0193196215340173E-2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2113.04</v>
      </c>
      <c r="C246" s="8">
        <f>IFERROR(B246/B444, "NA")</f>
        <v>3.5014423001319536E-3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-2113.04</v>
      </c>
      <c r="I246" s="8">
        <f>IFERROR(H246/H444, "NA")</f>
        <v>3.6803669637843442E-2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-2113.04</v>
      </c>
      <c r="O246" s="8">
        <f>IFERROR(N246/N444, "NA")</f>
        <v>-5.6910142121838134E-2</v>
      </c>
      <c r="P246" s="9"/>
      <c r="Q246" s="7">
        <v>7743.46</v>
      </c>
      <c r="R246" s="8">
        <f>IFERROR(Q246/Q444, "NA")</f>
        <v>3.4224161909324471E-3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-7743.46</v>
      </c>
      <c r="X246" s="8">
        <f>IFERROR(W246/W444, "NA")</f>
        <v>-7.7340515263182058E-2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-7743.46</v>
      </c>
      <c r="AD246" s="8">
        <f>IFERROR(AC246/AC444, "NA")</f>
        <v>-2.2977740660546891E-2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69.599999999999994</v>
      </c>
      <c r="L247" s="8">
        <f>IFERROR(K247/K444, "NA")</f>
        <v>1.2289272090522778E-4</v>
      </c>
      <c r="M247" s="9"/>
      <c r="N247" s="10">
        <f t="shared" si="65"/>
        <v>69.599999999999994</v>
      </c>
      <c r="O247" s="8">
        <f>IFERROR(N247/N444, "NA")</f>
        <v>1.8745248039222797E-3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261.62</v>
      </c>
      <c r="AA247" s="8">
        <f>IFERROR(Z247/Z444, "NA")</f>
        <v>1.3586606611739669E-4</v>
      </c>
      <c r="AB247" s="9"/>
      <c r="AC247" s="10">
        <f t="shared" si="67"/>
        <v>261.62</v>
      </c>
      <c r="AD247" s="8">
        <f>IFERROR(AC247/AC444, "NA")</f>
        <v>7.7632434488100646E-4</v>
      </c>
    </row>
    <row r="248" spans="1:30" ht="16.5" customHeight="1" x14ac:dyDescent="0.45">
      <c r="A248" s="12" t="s">
        <v>225</v>
      </c>
      <c r="B248" s="7">
        <v>1174.82</v>
      </c>
      <c r="C248" s="8">
        <f>IFERROR(B248/B444, "NA")</f>
        <v>1.9467518092610746E-3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-1174.82</v>
      </c>
      <c r="I248" s="8">
        <f>IFERROR(H248/H444, "NA")</f>
        <v>2.0462313616368469E-2</v>
      </c>
      <c r="J248" s="9"/>
      <c r="K248" s="7">
        <v>1163.32</v>
      </c>
      <c r="L248" s="8">
        <f>IFERROR(K248/K444, "NA")</f>
        <v>2.0540741391303101E-3</v>
      </c>
      <c r="M248" s="9"/>
      <c r="N248" s="10">
        <f t="shared" si="65"/>
        <v>-11.5</v>
      </c>
      <c r="O248" s="8">
        <f>IFERROR(N248/N444, "NA")</f>
        <v>-3.0972751788945716E-4</v>
      </c>
      <c r="P248" s="9"/>
      <c r="Q248" s="7">
        <v>4790.9799999999996</v>
      </c>
      <c r="R248" s="8">
        <f>IFERROR(Q248/Q444, "NA")</f>
        <v>2.1174936685194388E-3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-4790.9799999999996</v>
      </c>
      <c r="X248" s="8">
        <f>IFERROR(W248/W444, "NA")</f>
        <v>-4.7851588542537821E-2</v>
      </c>
      <c r="Y248" s="9"/>
      <c r="Z248" s="7">
        <v>4333.2</v>
      </c>
      <c r="AA248" s="8">
        <f>IFERROR(Z248/Z444, "NA")</f>
        <v>2.2503433900309734E-3</v>
      </c>
      <c r="AB248" s="9"/>
      <c r="AC248" s="10">
        <f t="shared" si="67"/>
        <v>-457.77999999999975</v>
      </c>
      <c r="AD248" s="8">
        <f>IFERROR(AC248/AC444, "NA")</f>
        <v>-1.3584043979803797E-3</v>
      </c>
    </row>
    <row r="249" spans="1:30" ht="16.5" customHeight="1" x14ac:dyDescent="0.45">
      <c r="A249" s="12" t="s">
        <v>226</v>
      </c>
      <c r="B249" s="7">
        <v>8792.2900000000009</v>
      </c>
      <c r="C249" s="8">
        <f>IFERROR(B249/B444, "NA")</f>
        <v>1.4569386344331947E-2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-8792.2900000000009</v>
      </c>
      <c r="I249" s="8">
        <f>IFERROR(H249/H444, "NA")</f>
        <v>0.15313885989858902</v>
      </c>
      <c r="J249" s="9"/>
      <c r="K249" s="7">
        <v>7926.6</v>
      </c>
      <c r="L249" s="8">
        <f>IFERROR(K249/K444, "NA")</f>
        <v>1.399599772309452E-2</v>
      </c>
      <c r="M249" s="9"/>
      <c r="N249" s="10">
        <f t="shared" si="65"/>
        <v>-865.69000000000051</v>
      </c>
      <c r="O249" s="8">
        <f>IFERROR(N249/N444, "NA")</f>
        <v>-2.3315479561889074E-2</v>
      </c>
      <c r="P249" s="9"/>
      <c r="Q249" s="7">
        <v>40513.33</v>
      </c>
      <c r="R249" s="8">
        <f>IFERROR(Q249/Q444, "NA")</f>
        <v>1.7905881420009821E-2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-40513.33</v>
      </c>
      <c r="X249" s="8">
        <f>IFERROR(W249/W444, "NA")</f>
        <v>-0.40464105415761575</v>
      </c>
      <c r="Y249" s="9"/>
      <c r="Z249" s="7">
        <v>28009.040000000001</v>
      </c>
      <c r="AA249" s="8">
        <f>IFERROR(Z249/Z444, "NA")</f>
        <v>1.4545822492641268E-2</v>
      </c>
      <c r="AB249" s="9"/>
      <c r="AC249" s="10">
        <f t="shared" si="67"/>
        <v>-12504.29</v>
      </c>
      <c r="AD249" s="8">
        <f>IFERROR(AC249/AC444, "NA")</f>
        <v>-3.7104903074887702E-2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4.54</v>
      </c>
      <c r="AA250" s="8">
        <f>IFERROR(Z250/Z444, "NA")</f>
        <v>2.3577400052479969E-6</v>
      </c>
      <c r="AB250" s="9"/>
      <c r="AC250" s="10">
        <f t="shared" si="67"/>
        <v>4.54</v>
      </c>
      <c r="AD250" s="8">
        <f>IFERROR(AC250/AC444, "NA")</f>
        <v>1.3471877248527518E-5</v>
      </c>
    </row>
    <row r="251" spans="1:30" ht="16.5" customHeight="1" x14ac:dyDescent="0.45">
      <c r="A251" s="12" t="s">
        <v>228</v>
      </c>
      <c r="B251" s="7">
        <v>99.08</v>
      </c>
      <c r="C251" s="8">
        <f>IFERROR(B251/B444, "NA")</f>
        <v>1.6418189106551411E-4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-99.08</v>
      </c>
      <c r="I251" s="8">
        <f>IFERROR(H251/H444, "NA")</f>
        <v>1.7257163081236171E-3</v>
      </c>
      <c r="J251" s="9"/>
      <c r="K251" s="7">
        <v>120.24</v>
      </c>
      <c r="L251" s="8">
        <f>IFERROR(K251/K444, "NA")</f>
        <v>2.1230776956385902E-4</v>
      </c>
      <c r="M251" s="9"/>
      <c r="N251" s="10">
        <f t="shared" si="65"/>
        <v>21.159999999999997</v>
      </c>
      <c r="O251" s="8">
        <f>IFERROR(N251/N444, "NA")</f>
        <v>5.6989863291660107E-4</v>
      </c>
      <c r="P251" s="9"/>
      <c r="Q251" s="7">
        <v>265.63</v>
      </c>
      <c r="R251" s="8">
        <f>IFERROR(Q251/Q444, "NA")</f>
        <v>1.1740183494166508E-4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-265.63</v>
      </c>
      <c r="X251" s="8">
        <f>IFERROR(W251/W444, "NA")</f>
        <v>-2.6530725372584151E-3</v>
      </c>
      <c r="Y251" s="9"/>
      <c r="Z251" s="7">
        <v>189.77</v>
      </c>
      <c r="AA251" s="8">
        <f>IFERROR(Z251/Z444, "NA")</f>
        <v>9.8552493567381587E-5</v>
      </c>
      <c r="AB251" s="9"/>
      <c r="AC251" s="10">
        <f t="shared" si="67"/>
        <v>-75.859999999999985</v>
      </c>
      <c r="AD251" s="8">
        <f>IFERROR(AC251/AC444, "NA")</f>
        <v>-2.2510497975182761E-4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44.36</v>
      </c>
      <c r="L252" s="8">
        <f>IFERROR(K252/K444, "NA")</f>
        <v>7.8326452576952648E-5</v>
      </c>
      <c r="M252" s="9"/>
      <c r="N252" s="10">
        <f t="shared" si="65"/>
        <v>44.36</v>
      </c>
      <c r="O252" s="8">
        <f>IFERROR(N252/N444, "NA")</f>
        <v>1.1947402342240279E-3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204.56</v>
      </c>
      <c r="AA252" s="8">
        <f>IFERROR(Z252/Z444, "NA")</f>
        <v>1.0623332499416966E-4</v>
      </c>
      <c r="AB252" s="9"/>
      <c r="AC252" s="10">
        <f t="shared" si="67"/>
        <v>204.56</v>
      </c>
      <c r="AD252" s="8">
        <f>IFERROR(AC252/AC444, "NA")</f>
        <v>6.0700599338299314E-4</v>
      </c>
    </row>
    <row r="253" spans="1:30" ht="16.5" customHeight="1" x14ac:dyDescent="0.45">
      <c r="A253" s="12" t="s">
        <v>230</v>
      </c>
      <c r="B253" s="7">
        <v>340.12</v>
      </c>
      <c r="C253" s="8">
        <f>IFERROR(B253/B444, "NA")</f>
        <v>5.6360057316514592E-4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-340.12</v>
      </c>
      <c r="I253" s="8">
        <f>IFERROR(H253/H444, "NA")</f>
        <v>5.9240071731833334E-3</v>
      </c>
      <c r="J253" s="9"/>
      <c r="K253" s="7">
        <v>575.30999999999995</v>
      </c>
      <c r="L253" s="8">
        <f>IFERROR(K253/K444, "NA")</f>
        <v>1.015824874482566E-3</v>
      </c>
      <c r="M253" s="9"/>
      <c r="N253" s="10">
        <f t="shared" si="65"/>
        <v>235.18999999999994</v>
      </c>
      <c r="O253" s="8">
        <f>IFERROR(N253/N444, "NA")</f>
        <v>6.334331733254036E-3</v>
      </c>
      <c r="P253" s="9"/>
      <c r="Q253" s="7">
        <v>781.97</v>
      </c>
      <c r="R253" s="8">
        <f>IFERROR(Q253/Q444, "NA")</f>
        <v>3.4561123694362028E-4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-781.97</v>
      </c>
      <c r="X253" s="8">
        <f>IFERROR(W253/W444, "NA")</f>
        <v>-7.8101988930465802E-3</v>
      </c>
      <c r="Y253" s="9"/>
      <c r="Z253" s="7">
        <v>2852.52</v>
      </c>
      <c r="AA253" s="8">
        <f>IFERROR(Z253/Z444, "NA")</f>
        <v>1.4813877796850256E-3</v>
      </c>
      <c r="AB253" s="9"/>
      <c r="AC253" s="10">
        <f t="shared" si="67"/>
        <v>2070.5500000000002</v>
      </c>
      <c r="AD253" s="8">
        <f>IFERROR(AC253/AC444, "NA")</f>
        <v>6.144095911219968E-3</v>
      </c>
    </row>
    <row r="254" spans="1:30" ht="16.5" customHeight="1" x14ac:dyDescent="0.45">
      <c r="A254" s="12" t="s">
        <v>231</v>
      </c>
      <c r="B254" s="7">
        <v>5871.73</v>
      </c>
      <c r="C254" s="8">
        <f>IFERROR(B254/B444, "NA")</f>
        <v>9.7298318048658766E-3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-5871.73</v>
      </c>
      <c r="I254" s="8">
        <f>IFERROR(H254/H444, "NA")</f>
        <v>0.10227028883628064</v>
      </c>
      <c r="J254" s="9"/>
      <c r="K254" s="7">
        <v>3401.66</v>
      </c>
      <c r="L254" s="8">
        <f>IFERROR(K254/K444, "NA")</f>
        <v>6.0063111062424873E-3</v>
      </c>
      <c r="M254" s="9"/>
      <c r="N254" s="10">
        <f t="shared" si="65"/>
        <v>-2470.0699999999997</v>
      </c>
      <c r="O254" s="8">
        <f>IFERROR(N254/N444, "NA")</f>
        <v>-6.6525969575061863E-2</v>
      </c>
      <c r="P254" s="9"/>
      <c r="Q254" s="7">
        <v>11698.58</v>
      </c>
      <c r="R254" s="8">
        <f>IFERROR(Q254/Q444, "NA")</f>
        <v>5.1704805865748008E-3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-11698.58</v>
      </c>
      <c r="X254" s="8">
        <f>IFERROR(W254/W444, "NA")</f>
        <v>-0.11684365968798913</v>
      </c>
      <c r="Y254" s="9"/>
      <c r="Z254" s="7">
        <v>8667.66</v>
      </c>
      <c r="AA254" s="8">
        <f>IFERROR(Z254/Z444, "NA")</f>
        <v>4.5013411308123018E-3</v>
      </c>
      <c r="AB254" s="9"/>
      <c r="AC254" s="10">
        <f t="shared" si="67"/>
        <v>-3030.92</v>
      </c>
      <c r="AD254" s="8">
        <f>IFERROR(AC254/AC444, "NA")</f>
        <v>-8.9938727290984639E-3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49.02</v>
      </c>
      <c r="L255" s="8">
        <f>IFERROR(K255/K444, "NA")</f>
        <v>8.6554614637561304E-5</v>
      </c>
      <c r="M255" s="9"/>
      <c r="N255" s="10">
        <f t="shared" si="65"/>
        <v>49.02</v>
      </c>
      <c r="O255" s="8">
        <f>IFERROR(N255/N444, "NA")</f>
        <v>1.3202472110383644E-3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117.05</v>
      </c>
      <c r="AA255" s="8">
        <f>IFERROR(Z255/Z444, "NA")</f>
        <v>6.0787107404025993E-5</v>
      </c>
      <c r="AB255" s="9"/>
      <c r="AC255" s="10">
        <f t="shared" si="67"/>
        <v>117.05</v>
      </c>
      <c r="AD255" s="8">
        <f>IFERROR(AC255/AC444, "NA")</f>
        <v>3.4733110835686036E-4</v>
      </c>
    </row>
    <row r="256" spans="1:30" ht="16.5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6.17</v>
      </c>
      <c r="L256" s="8">
        <f>IFERROR(K256/K444, "NA")</f>
        <v>1.0894369080247922E-5</v>
      </c>
      <c r="M256" s="9"/>
      <c r="N256" s="10">
        <f t="shared" si="65"/>
        <v>6.17</v>
      </c>
      <c r="O256" s="8">
        <f>IFERROR(N256/N444, "NA")</f>
        <v>1.661755465546044E-4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37.549999999999997</v>
      </c>
      <c r="AA256" s="8">
        <f>IFERROR(Z256/Z444, "NA")</f>
        <v>1.9500691012568783E-5</v>
      </c>
      <c r="AB256" s="9"/>
      <c r="AC256" s="10">
        <f t="shared" si="67"/>
        <v>37.549999999999997</v>
      </c>
      <c r="AD256" s="8">
        <f>IFERROR(AC256/AC444, "NA")</f>
        <v>1.1142488781546437E-4</v>
      </c>
    </row>
    <row r="257" spans="1:30" ht="16.5" customHeight="1" x14ac:dyDescent="0.45">
      <c r="A257" s="12" t="s">
        <v>234</v>
      </c>
      <c r="B257" s="7">
        <v>328.82</v>
      </c>
      <c r="C257" s="8">
        <f>IFERROR(B257/B444, "NA")</f>
        <v>5.4487575111185251E-4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-328.82</v>
      </c>
      <c r="I257" s="8">
        <f>IFERROR(H257/H444, "NA")</f>
        <v>5.7271905171296707E-3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-328.82</v>
      </c>
      <c r="O257" s="8">
        <f>IFERROR(N257/N444, "NA")</f>
        <v>-8.8560523854270701E-3</v>
      </c>
      <c r="P257" s="9"/>
      <c r="Q257" s="7">
        <v>328.82</v>
      </c>
      <c r="R257" s="8">
        <f>IFERROR(Q257/Q444, "NA")</f>
        <v>1.4533023892451271E-4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-328.82</v>
      </c>
      <c r="X257" s="8">
        <f>IFERROR(W257/W444, "NA")</f>
        <v>-3.2842047649034828E-3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-328.82</v>
      </c>
      <c r="AD257" s="8">
        <f>IFERROR(AC257/AC444, "NA")</f>
        <v>-9.7573186714995999E-4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40344.090000000004</v>
      </c>
      <c r="C262" s="15">
        <f>IFERROR(B262/B444, "NA")</f>
        <v>6.6852735057703852E-2</v>
      </c>
      <c r="D262" s="2"/>
      <c r="E262" s="14">
        <f>IFERROR(E240+E241+E242+E243+E244+E245+E246+E247+E248+E249+E250+E251+E252+E253+E254+E255+E256+E257+E258+E259+E260+E261, "NA")</f>
        <v>41667.949999999997</v>
      </c>
      <c r="F262" s="15">
        <f>IFERROR(E262/E444, "NA")</f>
        <v>6.304815498510366E-2</v>
      </c>
      <c r="G262" s="2"/>
      <c r="H262" s="14">
        <f t="shared" si="64"/>
        <v>1323.8599999999933</v>
      </c>
      <c r="I262" s="15">
        <f>IFERROR(H262/H444, "NA")</f>
        <v>-2.3058203387893828E-2</v>
      </c>
      <c r="J262" s="2"/>
      <c r="K262" s="14">
        <f>IFERROR(K240+K241+K242+K243+K244+K245+K246+K247+K248+K249+K250+K251+K252+K253+K254+K255+K256+K257+K258+K259+K260+K261, "NA")</f>
        <v>39277.009999999987</v>
      </c>
      <c r="L262" s="15">
        <f>IFERROR(K262/K444, "NA")</f>
        <v>6.9351417067842522E-2</v>
      </c>
      <c r="M262" s="2"/>
      <c r="N262" s="14">
        <f t="shared" si="65"/>
        <v>-1067.0800000000163</v>
      </c>
      <c r="O262" s="15">
        <f>IFERROR(N262/N444, "NA")</f>
        <v>-2.8739481720824956E-2</v>
      </c>
      <c r="P262" s="2"/>
      <c r="Q262" s="14">
        <f>IFERROR(Q240+Q241+Q242+Q243+Q244+Q245+Q246+Q247+Q248+Q249+Q250+Q251+Q252+Q253+Q254+Q255+Q256+Q257+Q258+Q259+Q260+Q261, "NA")</f>
        <v>155656.83000000002</v>
      </c>
      <c r="R262" s="15">
        <f>IFERROR(Q262/Q444, "NA")</f>
        <v>6.879643663442693E-2</v>
      </c>
      <c r="S262" s="2"/>
      <c r="T262" s="14">
        <f>IFERROR(T240+T241+T242+T243+T244+T245+T246+T247+T248+T249+T250+T251+T252+T253+T254+T255+T256+T257+T258+T259+T260+T261, "NA")</f>
        <v>139121.13</v>
      </c>
      <c r="U262" s="15">
        <f>IFERROR(T262/T444, "NA")</f>
        <v>6.433497409923282E-2</v>
      </c>
      <c r="V262" s="2"/>
      <c r="W262" s="14">
        <f t="shared" si="66"/>
        <v>-16535.700000000012</v>
      </c>
      <c r="X262" s="15">
        <f>IFERROR(W262/W444, "NA")</f>
        <v>-0.1651560876194105</v>
      </c>
      <c r="Y262" s="2"/>
      <c r="Z262" s="14">
        <f>IFERROR(Z240+Z241+Z242+Z243+Z244+Z245+Z246+Z247+Z248+Z249+Z250+Z251+Z252+Z253+Z254+Z255+Z256+Z257+Z258+Z259+Z260+Z261, "NA")</f>
        <v>124086.55</v>
      </c>
      <c r="AA262" s="15">
        <f>IFERROR(Z262/Z444, "NA")</f>
        <v>6.4441370715463839E-2</v>
      </c>
      <c r="AB262" s="2"/>
      <c r="AC262" s="14">
        <f t="shared" si="67"/>
        <v>-31570.280000000013</v>
      </c>
      <c r="AD262" s="15">
        <f>IFERROR(AC262/AC444, "NA")</f>
        <v>-9.3680823097278307E-2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40344.090000000004</v>
      </c>
      <c r="C263" s="15">
        <f>IFERROR(B263/B444, "NA")</f>
        <v>6.6852735057703852E-2</v>
      </c>
      <c r="D263" s="2"/>
      <c r="E263" s="14">
        <f>IFERROR(E238+E240+E241+E242+E243+E244+E245+E246+E247+E248+E249+E250+E251+E252+E253+E254+E255+E256+E257+E258+E259+E260+E261, "NA")</f>
        <v>41667.949999999997</v>
      </c>
      <c r="F263" s="15">
        <f>IFERROR(E263/E444, "NA")</f>
        <v>6.304815498510366E-2</v>
      </c>
      <c r="G263" s="2"/>
      <c r="H263" s="14">
        <f t="shared" si="64"/>
        <v>1323.8599999999933</v>
      </c>
      <c r="I263" s="15">
        <f>IFERROR(H263/H444, "NA")</f>
        <v>-2.3058203387893828E-2</v>
      </c>
      <c r="J263" s="2"/>
      <c r="K263" s="14">
        <f>IFERROR(K238+K240+K241+K242+K243+K244+K245+K246+K247+K248+K249+K250+K251+K252+K253+K254+K255+K256+K257+K258+K259+K260+K261, "NA")</f>
        <v>39277.009999999987</v>
      </c>
      <c r="L263" s="15">
        <f>IFERROR(K263/K444, "NA")</f>
        <v>6.9351417067842522E-2</v>
      </c>
      <c r="M263" s="2"/>
      <c r="N263" s="14">
        <f t="shared" si="65"/>
        <v>-1067.0800000000163</v>
      </c>
      <c r="O263" s="15">
        <f>IFERROR(N263/N444, "NA")</f>
        <v>-2.8739481720824956E-2</v>
      </c>
      <c r="P263" s="2"/>
      <c r="Q263" s="14">
        <f>IFERROR(Q238+Q240+Q241+Q242+Q243+Q244+Q245+Q246+Q247+Q248+Q249+Q250+Q251+Q252+Q253+Q254+Q255+Q256+Q257+Q258+Q259+Q260+Q261, "NA")</f>
        <v>155656.83000000002</v>
      </c>
      <c r="R263" s="15">
        <f>IFERROR(Q263/Q444, "NA")</f>
        <v>6.879643663442693E-2</v>
      </c>
      <c r="S263" s="2"/>
      <c r="T263" s="14">
        <f>IFERROR(T238+T240+T241+T242+T243+T244+T245+T246+T247+T248+T249+T250+T251+T252+T253+T254+T255+T256+T257+T258+T259+T260+T261, "NA")</f>
        <v>139121.13</v>
      </c>
      <c r="U263" s="15">
        <f>IFERROR(T263/T444, "NA")</f>
        <v>6.433497409923282E-2</v>
      </c>
      <c r="V263" s="2"/>
      <c r="W263" s="14">
        <f t="shared" si="66"/>
        <v>-16535.700000000012</v>
      </c>
      <c r="X263" s="15">
        <f>IFERROR(W263/W444, "NA")</f>
        <v>-0.1651560876194105</v>
      </c>
      <c r="Y263" s="2"/>
      <c r="Z263" s="14">
        <f>IFERROR(Z238+Z240+Z241+Z242+Z243+Z244+Z245+Z246+Z247+Z248+Z249+Z250+Z251+Z252+Z253+Z254+Z255+Z256+Z257+Z258+Z259+Z260+Z261, "NA")</f>
        <v>124086.55</v>
      </c>
      <c r="AA263" s="15">
        <f>IFERROR(Z263/Z444, "NA")</f>
        <v>6.4441370715463839E-2</v>
      </c>
      <c r="AB263" s="2"/>
      <c r="AC263" s="14">
        <f t="shared" si="67"/>
        <v>-31570.280000000013</v>
      </c>
      <c r="AD263" s="15">
        <f>IFERROR(AC263/AC444, "NA")</f>
        <v>-9.3680823097278307E-2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16269.85</v>
      </c>
      <c r="C265" s="8">
        <f>IFERROR(B265/B444, "NA")</f>
        <v>2.6960181069360666E-2</v>
      </c>
      <c r="D265" s="9"/>
      <c r="E265" s="7">
        <v>17715.61</v>
      </c>
      <c r="F265" s="8">
        <f>IFERROR(E265/E444, "NA")</f>
        <v>2.6805650984405339E-2</v>
      </c>
      <c r="G265" s="9"/>
      <c r="H265" s="10">
        <f>IFERROR(-(B265-E265), "NA")</f>
        <v>1445.7600000000002</v>
      </c>
      <c r="I265" s="8">
        <f>IFERROR(H265/H444, "NA")</f>
        <v>-2.5181384836826817E-2</v>
      </c>
      <c r="J265" s="9"/>
      <c r="K265" s="7">
        <v>15889.92</v>
      </c>
      <c r="L265" s="8">
        <f>IFERROR(K265/K444, "NA")</f>
        <v>2.8056831950666626E-2</v>
      </c>
      <c r="M265" s="9"/>
      <c r="N265" s="10">
        <f>IFERROR(-(B265-K265), "NA")</f>
        <v>-379.93000000000029</v>
      </c>
      <c r="O265" s="8">
        <f>IFERROR(N265/N444, "NA")</f>
        <v>-1.0232589206238396E-2</v>
      </c>
      <c r="P265" s="9"/>
      <c r="Q265" s="7">
        <v>57501.539999999994</v>
      </c>
      <c r="R265" s="8">
        <f>IFERROR(Q265/Q444, "NA")</f>
        <v>2.5414246538311005E-2</v>
      </c>
      <c r="S265" s="9"/>
      <c r="T265" s="7">
        <v>58819.369999999995</v>
      </c>
      <c r="U265" s="8">
        <f>IFERROR(T265/T444, "NA")</f>
        <v>2.7200344372441423E-2</v>
      </c>
      <c r="V265" s="9"/>
      <c r="W265" s="10">
        <f>IFERROR(-(Q265-T265), "NA")</f>
        <v>1317.8300000000017</v>
      </c>
      <c r="X265" s="8">
        <f>IFERROR(W265/W444, "NA")</f>
        <v>1.316228807655484E-2</v>
      </c>
      <c r="Y265" s="9"/>
      <c r="Z265" s="7">
        <v>52284.630000000005</v>
      </c>
      <c r="AA265" s="8">
        <f>IFERROR(Z265/Z444, "NA")</f>
        <v>2.7152767359160702E-2</v>
      </c>
      <c r="AB265" s="9"/>
      <c r="AC265" s="10">
        <f>IFERROR(-(Q265-Z265), "NA")</f>
        <v>-5216.9099999999889</v>
      </c>
      <c r="AD265" s="8">
        <f>IFERROR(AC265/AC444, "NA")</f>
        <v>-1.5480522276787565E-2</v>
      </c>
    </row>
    <row r="266" spans="1:30" ht="16.5" customHeight="1" x14ac:dyDescent="0.45">
      <c r="A266" s="6" t="s">
        <v>242</v>
      </c>
      <c r="B266" s="7">
        <v>256.56</v>
      </c>
      <c r="C266" s="8">
        <f>IFERROR(B266/B444, "NA")</f>
        <v>4.2513631380468612E-4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-256.56</v>
      </c>
      <c r="I266" s="8">
        <f>IFERROR(H266/H444, "NA")</f>
        <v>4.4686089625776667E-3</v>
      </c>
      <c r="J266" s="9"/>
      <c r="K266" s="7">
        <v>98.91</v>
      </c>
      <c r="L266" s="8">
        <f>IFERROR(K266/K444, "NA")</f>
        <v>1.7464538828643793E-4</v>
      </c>
      <c r="M266" s="9"/>
      <c r="N266" s="10">
        <f>IFERROR(-(B266-K266), "NA")</f>
        <v>-157.65</v>
      </c>
      <c r="O266" s="8">
        <f>IFERROR(N266/N444, "NA")</f>
        <v>-4.2459602778498196E-3</v>
      </c>
      <c r="P266" s="9"/>
      <c r="Q266" s="7">
        <v>370.26</v>
      </c>
      <c r="R266" s="8">
        <f>IFERROR(Q266/Q444, "NA")</f>
        <v>1.6364568537251408E-4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-370.26</v>
      </c>
      <c r="X266" s="8">
        <f>IFERROR(W266/W444, "NA")</f>
        <v>-3.6981012598174181E-3</v>
      </c>
      <c r="Y266" s="9"/>
      <c r="Z266" s="7">
        <v>294.25</v>
      </c>
      <c r="AA266" s="8">
        <f>IFERROR(Z266/Z444, "NA")</f>
        <v>1.5281167324762623E-4</v>
      </c>
      <c r="AB266" s="9"/>
      <c r="AC266" s="10">
        <f>IFERROR(-(Q266-Z266), "NA")</f>
        <v>-76.009999999999991</v>
      </c>
      <c r="AD266" s="8">
        <f>IFERROR(AC266/AC444, "NA")</f>
        <v>-2.2555008582832083E-4</v>
      </c>
    </row>
    <row r="267" spans="1:30" ht="16.5" customHeight="1" x14ac:dyDescent="0.45">
      <c r="A267" s="19" t="s">
        <v>243</v>
      </c>
      <c r="B267" s="14">
        <f>IFERROR(B265+B266, "NA")</f>
        <v>16526.41</v>
      </c>
      <c r="C267" s="15">
        <f>IFERROR(B267/B444, "NA")</f>
        <v>2.7385317383165353E-2</v>
      </c>
      <c r="D267" s="2"/>
      <c r="E267" s="14">
        <f>IFERROR(E265+E266, "NA")</f>
        <v>17715.61</v>
      </c>
      <c r="F267" s="15">
        <f>IFERROR(E267/E444, "NA")</f>
        <v>2.6805650984405339E-2</v>
      </c>
      <c r="G267" s="2"/>
      <c r="H267" s="14">
        <f>IFERROR(-(B267-E267), "NA")</f>
        <v>1189.2000000000007</v>
      </c>
      <c r="I267" s="15">
        <f>IFERROR(H267/H444, "NA")</f>
        <v>-2.0712775874249162E-2</v>
      </c>
      <c r="J267" s="2"/>
      <c r="K267" s="14">
        <f>IFERROR(K265+K266, "NA")</f>
        <v>15988.83</v>
      </c>
      <c r="L267" s="15">
        <f>IFERROR(K267/K444, "NA")</f>
        <v>2.8231477338953061E-2</v>
      </c>
      <c r="M267" s="2"/>
      <c r="N267" s="14">
        <f>IFERROR(-(B267-K267), "NA")</f>
        <v>-537.57999999999993</v>
      </c>
      <c r="O267" s="15">
        <f>IFERROR(N267/N444, "NA")</f>
        <v>-1.4478549484088206E-2</v>
      </c>
      <c r="P267" s="2"/>
      <c r="Q267" s="14">
        <f>IFERROR(Q265+Q266, "NA")</f>
        <v>57871.799999999996</v>
      </c>
      <c r="R267" s="15">
        <f>IFERROR(Q267/Q444, "NA")</f>
        <v>2.5577892223683518E-2</v>
      </c>
      <c r="S267" s="2"/>
      <c r="T267" s="14">
        <f>IFERROR(T265+T266, "NA")</f>
        <v>58819.369999999995</v>
      </c>
      <c r="U267" s="15">
        <f>IFERROR(T267/T444, "NA")</f>
        <v>2.7200344372441423E-2</v>
      </c>
      <c r="V267" s="2"/>
      <c r="W267" s="14">
        <f>IFERROR(-(Q267-T267), "NA")</f>
        <v>947.56999999999971</v>
      </c>
      <c r="X267" s="15">
        <f>IFERROR(W267/W444, "NA")</f>
        <v>9.4641868167374011E-3</v>
      </c>
      <c r="Y267" s="2"/>
      <c r="Z267" s="14">
        <f>IFERROR(Z265+Z266, "NA")</f>
        <v>52578.880000000005</v>
      </c>
      <c r="AA267" s="15">
        <f>IFERROR(Z267/Z444, "NA")</f>
        <v>2.7305579032408326E-2</v>
      </c>
      <c r="AB267" s="2"/>
      <c r="AC267" s="14">
        <f>IFERROR(-(Q267-Z267), "NA")</f>
        <v>-5292.919999999991</v>
      </c>
      <c r="AD267" s="15">
        <f>IFERROR(AC267/AC444, "NA")</f>
        <v>-1.570607236261589E-2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1169.06</v>
      </c>
      <c r="C270" s="8">
        <f>IFERROR(B270/B444, "NA")</f>
        <v>1.9372071212055907E-3</v>
      </c>
      <c r="D270" s="9"/>
      <c r="E270" s="7">
        <v>939.86000000000013</v>
      </c>
      <c r="F270" s="8">
        <f>IFERROR(E270/E444, "NA")</f>
        <v>1.4221107336525925E-3</v>
      </c>
      <c r="G270" s="9"/>
      <c r="H270" s="10">
        <f>IFERROR(-(B270-E270), "NA")</f>
        <v>-229.19999999999982</v>
      </c>
      <c r="I270" s="8">
        <f>IFERROR(H270/H444, "NA")</f>
        <v>3.9920688112831323E-3</v>
      </c>
      <c r="J270" s="9"/>
      <c r="K270" s="7">
        <v>873.7700000000001</v>
      </c>
      <c r="L270" s="8">
        <f>IFERROR(K270/K444, "NA")</f>
        <v>1.5428157003643805E-3</v>
      </c>
      <c r="M270" s="9"/>
      <c r="N270" s="10">
        <f>IFERROR(-(B270-K270), "NA")</f>
        <v>-295.28999999999985</v>
      </c>
      <c r="O270" s="8">
        <f>IFERROR(N270/N444, "NA")</f>
        <v>-7.9529946745719796E-3</v>
      </c>
      <c r="P270" s="9"/>
      <c r="Q270" s="7">
        <v>4760.8100000000004</v>
      </c>
      <c r="R270" s="8">
        <f>IFERROR(Q270/Q444, "NA")</f>
        <v>2.1041592809871949E-3</v>
      </c>
      <c r="S270" s="9"/>
      <c r="T270" s="7">
        <v>4256.3500000000004</v>
      </c>
      <c r="U270" s="8">
        <f>IFERROR(T270/T444, "NA")</f>
        <v>1.9683003366006992E-3</v>
      </c>
      <c r="V270" s="9"/>
      <c r="W270" s="10">
        <f>IFERROR(-(Q270-T270), "NA")</f>
        <v>-504.46000000000004</v>
      </c>
      <c r="X270" s="8">
        <f>IFERROR(W270/W444, "NA")</f>
        <v>-5.0384707003929535E-3</v>
      </c>
      <c r="Y270" s="9"/>
      <c r="Z270" s="7">
        <v>3678.0800000000004</v>
      </c>
      <c r="AA270" s="8">
        <f>IFERROR(Z270/Z444, "NA")</f>
        <v>1.9101225459256725E-3</v>
      </c>
      <c r="AB270" s="9"/>
      <c r="AC270" s="10">
        <f>IFERROR(-(Q270-Z270), "NA")</f>
        <v>-1082.73</v>
      </c>
      <c r="AD270" s="8">
        <f>IFERROR(AC270/AC444, "NA")</f>
        <v>-3.212864681343216E-3</v>
      </c>
    </row>
    <row r="271" spans="1:30" ht="16.5" customHeight="1" x14ac:dyDescent="0.45">
      <c r="A271" s="6" t="s">
        <v>246</v>
      </c>
      <c r="B271" s="7">
        <v>4819.2699999999995</v>
      </c>
      <c r="C271" s="8">
        <f>IFERROR(B271/B444, "NA")</f>
        <v>7.9858383342278974E-3</v>
      </c>
      <c r="D271" s="9"/>
      <c r="E271" s="7">
        <v>4352.51</v>
      </c>
      <c r="F271" s="8">
        <f>IFERROR(E271/E444, "NA")</f>
        <v>6.5858225579663405E-3</v>
      </c>
      <c r="G271" s="9"/>
      <c r="H271" s="10">
        <f>IFERROR(-(B271-E271), "NA")</f>
        <v>-466.75999999999931</v>
      </c>
      <c r="I271" s="8">
        <f>IFERROR(H271/H444, "NA")</f>
        <v>8.1297471132395875E-3</v>
      </c>
      <c r="J271" s="9"/>
      <c r="K271" s="7">
        <v>3932.37</v>
      </c>
      <c r="L271" s="8">
        <f>IFERROR(K271/K444, "NA")</f>
        <v>6.9433857601449798E-3</v>
      </c>
      <c r="M271" s="9"/>
      <c r="N271" s="10">
        <f>IFERROR(-(B271-K271), "NA")</f>
        <v>-886.89999999999964</v>
      </c>
      <c r="O271" s="8">
        <f>IFERROR(N271/N444, "NA")</f>
        <v>-2.3886724836187777E-2</v>
      </c>
      <c r="P271" s="9"/>
      <c r="Q271" s="7">
        <v>19088.8</v>
      </c>
      <c r="R271" s="8">
        <f>IFERROR(Q271/Q444, "NA")</f>
        <v>8.4367735076401624E-3</v>
      </c>
      <c r="S271" s="9"/>
      <c r="T271" s="7">
        <v>14144.269999999999</v>
      </c>
      <c r="U271" s="8">
        <f>IFERROR(T271/T444, "NA")</f>
        <v>6.5408557571560531E-3</v>
      </c>
      <c r="V271" s="9"/>
      <c r="W271" s="10">
        <f>IFERROR(-(Q271-T271), "NA")</f>
        <v>-4944.5300000000007</v>
      </c>
      <c r="X271" s="8">
        <f>IFERROR(W271/W444, "NA")</f>
        <v>-4.9385222876370719E-2</v>
      </c>
      <c r="Y271" s="9"/>
      <c r="Z271" s="7">
        <v>15608.279999999999</v>
      </c>
      <c r="AA271" s="8">
        <f>IFERROR(Z271/Z444, "NA")</f>
        <v>8.1057854998044503E-3</v>
      </c>
      <c r="AB271" s="9"/>
      <c r="AC271" s="10">
        <f>IFERROR(-(Q271-Z271), "NA")</f>
        <v>-3480.5200000000004</v>
      </c>
      <c r="AD271" s="8">
        <f>IFERROR(AC271/AC444, "NA")</f>
        <v>-1.0328004009040749E-2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5988.33</v>
      </c>
      <c r="C273" s="15">
        <f>IFERROR(B273/B444, "NA")</f>
        <v>9.9230454554334897E-3</v>
      </c>
      <c r="D273" s="2"/>
      <c r="E273" s="14">
        <f>IFERROR(E269+E270+E271+E272, "NA")</f>
        <v>5292.3700000000008</v>
      </c>
      <c r="F273" s="15">
        <f>IFERROR(E273/E444, "NA")</f>
        <v>8.0079332916189339E-3</v>
      </c>
      <c r="G273" s="2"/>
      <c r="H273" s="14">
        <f>IFERROR(-(B273-E273), "NA")</f>
        <v>-695.95999999999913</v>
      </c>
      <c r="I273" s="15">
        <f>IFERROR(H273/H444, "NA")</f>
        <v>1.212181592452272E-2</v>
      </c>
      <c r="J273" s="2"/>
      <c r="K273" s="14">
        <f>IFERROR(K269+K270+K271+K272, "NA")</f>
        <v>4806.1400000000003</v>
      </c>
      <c r="L273" s="15">
        <f>IFERROR(K273/K444, "NA")</f>
        <v>8.4862014605093603E-3</v>
      </c>
      <c r="M273" s="2"/>
      <c r="N273" s="14">
        <f>IFERROR(-(B273-K273), "NA")</f>
        <v>-1182.1899999999996</v>
      </c>
      <c r="O273" s="15">
        <f>IFERROR(N273/N444, "NA")</f>
        <v>-3.1839719510759763E-2</v>
      </c>
      <c r="P273" s="2"/>
      <c r="Q273" s="14">
        <f>IFERROR(Q269+Q270+Q271+Q272, "NA")</f>
        <v>23849.61</v>
      </c>
      <c r="R273" s="15">
        <f>IFERROR(Q273/Q444, "NA")</f>
        <v>1.0540932788627359E-2</v>
      </c>
      <c r="S273" s="2"/>
      <c r="T273" s="14">
        <f>IFERROR(T269+T270+T271+T272, "NA")</f>
        <v>18400.62</v>
      </c>
      <c r="U273" s="15">
        <f>IFERROR(T273/T444, "NA")</f>
        <v>8.5091560937567527E-3</v>
      </c>
      <c r="V273" s="2"/>
      <c r="W273" s="14">
        <f>IFERROR(-(Q273-T273), "NA")</f>
        <v>-5448.9900000000016</v>
      </c>
      <c r="X273" s="15">
        <f>IFERROR(W273/W444, "NA")</f>
        <v>-5.4423693576763681E-2</v>
      </c>
      <c r="Y273" s="2"/>
      <c r="Z273" s="14">
        <f>IFERROR(Z269+Z270+Z271+Z272, "NA")</f>
        <v>19286.36</v>
      </c>
      <c r="AA273" s="15">
        <f>IFERROR(Z273/Z444, "NA")</f>
        <v>1.0015908045730123E-2</v>
      </c>
      <c r="AB273" s="2"/>
      <c r="AC273" s="14">
        <f>IFERROR(-(Q273-Z273), "NA")</f>
        <v>-4563.25</v>
      </c>
      <c r="AD273" s="15">
        <f>IFERROR(AC273/AC444, "NA")</f>
        <v>-1.3540868690383965E-2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1.6082302254321096E-3</v>
      </c>
      <c r="D287" s="9"/>
      <c r="E287" s="7">
        <v>2703</v>
      </c>
      <c r="F287" s="8">
        <f>IFERROR(E287/E444, "NA")</f>
        <v>4.0899339402282863E-3</v>
      </c>
      <c r="G287" s="9"/>
      <c r="H287" s="10">
        <f t="shared" si="72"/>
        <v>1732.47</v>
      </c>
      <c r="I287" s="8">
        <f>IFERROR(H287/H444, "NA")</f>
        <v>-3.0175128505600758E-2</v>
      </c>
      <c r="J287" s="9"/>
      <c r="K287" s="7">
        <v>970.53</v>
      </c>
      <c r="L287" s="8">
        <f>IFERROR(K287/K444, "NA")</f>
        <v>1.7136648336228551E-3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3882.12</v>
      </c>
      <c r="R287" s="8">
        <f>IFERROR(Q287/Q444, "NA")</f>
        <v>1.715800216329996E-3</v>
      </c>
      <c r="S287" s="9"/>
      <c r="T287" s="7">
        <v>10812</v>
      </c>
      <c r="U287" s="8">
        <f>IFERROR(T287/T444, "NA")</f>
        <v>4.9998856389457539E-3</v>
      </c>
      <c r="V287" s="9"/>
      <c r="W287" s="10">
        <f t="shared" si="74"/>
        <v>6929.88</v>
      </c>
      <c r="X287" s="8">
        <f>IFERROR(W287/W444, "NA")</f>
        <v>6.9214600438566226E-2</v>
      </c>
      <c r="Y287" s="9"/>
      <c r="Z287" s="7">
        <v>3882.12</v>
      </c>
      <c r="AA287" s="8">
        <f>IFERROR(Z287/Z444, "NA")</f>
        <v>2.0160858214038225E-3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952.13</v>
      </c>
      <c r="C288" s="8">
        <f>IFERROR(B288/B444, "NA")</f>
        <v>1.5777402496993133E-3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-952.13</v>
      </c>
      <c r="I288" s="8">
        <f>IFERROR(H288/H444, "NA")</f>
        <v>1.6583632099856072E-2</v>
      </c>
      <c r="J288" s="9"/>
      <c r="K288" s="7">
        <v>654.61</v>
      </c>
      <c r="L288" s="8">
        <f>IFERROR(K288/K444, "NA")</f>
        <v>1.1558448855139535E-3</v>
      </c>
      <c r="M288" s="9"/>
      <c r="N288" s="10">
        <f t="shared" si="73"/>
        <v>-297.52</v>
      </c>
      <c r="O288" s="8">
        <f>IFERROR(N288/N444, "NA")</f>
        <v>-8.0130548802148944E-3</v>
      </c>
      <c r="P288" s="9"/>
      <c r="Q288" s="7">
        <v>3801.94</v>
      </c>
      <c r="R288" s="8">
        <f>IFERROR(Q288/Q444, "NA")</f>
        <v>1.6803626560934915E-3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-3801.94</v>
      </c>
      <c r="X288" s="8">
        <f>IFERROR(W288/W444, "NA")</f>
        <v>-3.7973205595393064E-2</v>
      </c>
      <c r="Y288" s="9"/>
      <c r="Z288" s="7">
        <v>2695.58</v>
      </c>
      <c r="AA288" s="8">
        <f>IFERROR(Z288/Z444, "NA")</f>
        <v>1.3998847584463425E-3</v>
      </c>
      <c r="AB288" s="9"/>
      <c r="AC288" s="10">
        <f t="shared" si="75"/>
        <v>-1106.3600000000001</v>
      </c>
      <c r="AD288" s="8">
        <f>IFERROR(AC288/AC444, "NA")</f>
        <v>-3.2829837252601117E-3</v>
      </c>
    </row>
    <row r="289" spans="1:30" ht="16.5" customHeight="1" x14ac:dyDescent="0.45">
      <c r="A289" s="6" t="s">
        <v>262</v>
      </c>
      <c r="B289" s="7">
        <v>1046.48</v>
      </c>
      <c r="C289" s="8">
        <f>IFERROR(B289/B444, "NA")</f>
        <v>1.7340842285248205E-3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-1046.48</v>
      </c>
      <c r="I289" s="8">
        <f>IFERROR(H289/H444, "NA")</f>
        <v>1.8226964090888201E-2</v>
      </c>
      <c r="J289" s="9"/>
      <c r="K289" s="7">
        <v>1263.95</v>
      </c>
      <c r="L289" s="8">
        <f>IFERROR(K289/K444, "NA")</f>
        <v>2.2317565314391185E-3</v>
      </c>
      <c r="M289" s="9"/>
      <c r="N289" s="10">
        <f t="shared" si="73"/>
        <v>217.47000000000003</v>
      </c>
      <c r="O289" s="8">
        <f>IFERROR(N289/N444, "NA")</f>
        <v>5.8570820274278486E-3</v>
      </c>
      <c r="P289" s="9"/>
      <c r="Q289" s="7">
        <v>4218.3900000000003</v>
      </c>
      <c r="R289" s="8">
        <f>IFERROR(Q289/Q444, "NA")</f>
        <v>1.8644231694446057E-3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-4218.3900000000003</v>
      </c>
      <c r="X289" s="8">
        <f>IFERROR(W289/W444, "NA")</f>
        <v>-4.2132645636582942E-2</v>
      </c>
      <c r="Y289" s="9"/>
      <c r="Z289" s="7">
        <v>4150.9400000000005</v>
      </c>
      <c r="AA289" s="8">
        <f>IFERROR(Z289/Z444, "NA")</f>
        <v>2.1556910346661059E-3</v>
      </c>
      <c r="AB289" s="9"/>
      <c r="AC289" s="10">
        <f t="shared" si="75"/>
        <v>-67.449999999999818</v>
      </c>
      <c r="AD289" s="8">
        <f>IFERROR(AC289/AC444, "NA")</f>
        <v>-2.0014936572977502E-4</v>
      </c>
    </row>
    <row r="290" spans="1:30" ht="16.5" customHeight="1" x14ac:dyDescent="0.45">
      <c r="A290" s="6" t="s">
        <v>263</v>
      </c>
      <c r="B290" s="7">
        <v>3025.06</v>
      </c>
      <c r="C290" s="8">
        <f>IFERROR(B290/B444, "NA")</f>
        <v>5.0127177168615674E-3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-3025.06</v>
      </c>
      <c r="I290" s="8">
        <f>IFERROR(H290/H444, "NA")</f>
        <v>5.2688689695724961E-2</v>
      </c>
      <c r="J290" s="9"/>
      <c r="K290" s="7">
        <v>3981.92</v>
      </c>
      <c r="L290" s="8">
        <f>IFERROR(K290/K444, "NA")</f>
        <v>7.0308761957894343E-3</v>
      </c>
      <c r="M290" s="9"/>
      <c r="N290" s="10">
        <f t="shared" si="73"/>
        <v>956.86000000000013</v>
      </c>
      <c r="O290" s="8">
        <f>IFERROR(N290/N444, "NA")</f>
        <v>2.5770945458061394E-2</v>
      </c>
      <c r="P290" s="9"/>
      <c r="Q290" s="7">
        <v>12186.279999999999</v>
      </c>
      <c r="R290" s="8">
        <f>IFERROR(Q290/Q444, "NA")</f>
        <v>5.3860318228848934E-3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-12186.279999999999</v>
      </c>
      <c r="X290" s="8">
        <f>IFERROR(W290/W444, "NA")</f>
        <v>-0.12171473402605684</v>
      </c>
      <c r="Y290" s="9"/>
      <c r="Z290" s="7">
        <v>10136.130000000001</v>
      </c>
      <c r="AA290" s="8">
        <f>IFERROR(Z290/Z444, "NA")</f>
        <v>5.2639557707917142E-3</v>
      </c>
      <c r="AB290" s="9"/>
      <c r="AC290" s="10">
        <f t="shared" si="75"/>
        <v>-2050.1499999999978</v>
      </c>
      <c r="AD290" s="8">
        <f>IFERROR(AC290/AC444, "NA")</f>
        <v>-6.0835614848168858E-3</v>
      </c>
    </row>
    <row r="291" spans="1:30" ht="16.5" customHeight="1" x14ac:dyDescent="0.45">
      <c r="A291" s="6" t="s">
        <v>264</v>
      </c>
      <c r="B291" s="7">
        <v>1522.3400000000001</v>
      </c>
      <c r="C291" s="8">
        <f>IFERROR(B291/B444, "NA")</f>
        <v>2.5226146552752805E-3</v>
      </c>
      <c r="D291" s="9"/>
      <c r="E291" s="7">
        <v>8157.66</v>
      </c>
      <c r="F291" s="8">
        <f>IFERROR(E291/E444, "NA")</f>
        <v>1.2343429710263663E-2</v>
      </c>
      <c r="G291" s="9"/>
      <c r="H291" s="10">
        <f t="shared" si="72"/>
        <v>6635.32</v>
      </c>
      <c r="I291" s="8">
        <f>IFERROR(H291/H444, "NA")</f>
        <v>-0.11557004373858296</v>
      </c>
      <c r="J291" s="9"/>
      <c r="K291" s="7">
        <v>4488.1299999999992</v>
      </c>
      <c r="L291" s="8">
        <f>IFERROR(K291/K444, "NA")</f>
        <v>7.9246911993732742E-3</v>
      </c>
      <c r="M291" s="9"/>
      <c r="N291" s="10">
        <f t="shared" si="73"/>
        <v>2965.7899999999991</v>
      </c>
      <c r="O291" s="8">
        <f>IFERROR(N291/N444, "NA")</f>
        <v>7.9877110894032419E-2</v>
      </c>
      <c r="P291" s="9"/>
      <c r="Q291" s="7">
        <v>17153.14</v>
      </c>
      <c r="R291" s="8">
        <f>IFERROR(Q291/Q444, "NA")</f>
        <v>7.5812600647941607E-3</v>
      </c>
      <c r="S291" s="9"/>
      <c r="T291" s="7">
        <v>26673.37</v>
      </c>
      <c r="U291" s="8">
        <f>IFERROR(T291/T444, "NA")</f>
        <v>1.2334794636079033E-2</v>
      </c>
      <c r="V291" s="9"/>
      <c r="W291" s="10">
        <f t="shared" si="74"/>
        <v>9520.23</v>
      </c>
      <c r="X291" s="8">
        <f>IFERROR(W291/W444, "NA")</f>
        <v>9.5086627118110459E-2</v>
      </c>
      <c r="Y291" s="9"/>
      <c r="Z291" s="7">
        <v>10578.77</v>
      </c>
      <c r="AA291" s="8">
        <f>IFERROR(Z291/Z444, "NA")</f>
        <v>5.4938302280434694E-3</v>
      </c>
      <c r="AB291" s="9"/>
      <c r="AC291" s="10">
        <f t="shared" si="75"/>
        <v>-6574.369999999999</v>
      </c>
      <c r="AD291" s="8">
        <f>IFERROR(AC291/AC444, "NA")</f>
        <v>-1.9508613574097323E-2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620.70000000000005</v>
      </c>
      <c r="L292" s="8">
        <f>IFERROR(K292/K444, "NA")</f>
        <v>1.0959699980729151E-3</v>
      </c>
      <c r="M292" s="9"/>
      <c r="N292" s="10">
        <f t="shared" si="73"/>
        <v>620.70000000000005</v>
      </c>
      <c r="O292" s="8">
        <f>IFERROR(N292/N444, "NA")</f>
        <v>1.6717206117737918E-2</v>
      </c>
      <c r="P292" s="9"/>
      <c r="Q292" s="7">
        <v>3424.1400000000003</v>
      </c>
      <c r="R292" s="8">
        <f>IFERROR(Q292/Q444, "NA")</f>
        <v>1.5133844787755643E-3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-3424.1400000000003</v>
      </c>
      <c r="X292" s="8">
        <f>IFERROR(W292/W444, "NA")</f>
        <v>-3.4199795948228855E-2</v>
      </c>
      <c r="Y292" s="9"/>
      <c r="Z292" s="7">
        <v>1721.09</v>
      </c>
      <c r="AA292" s="8">
        <f>IFERROR(Z292/Z444, "NA")</f>
        <v>8.9380677216569925E-4</v>
      </c>
      <c r="AB292" s="9"/>
      <c r="AC292" s="10">
        <f t="shared" si="75"/>
        <v>-1703.0500000000004</v>
      </c>
      <c r="AD292" s="8">
        <f>IFERROR(AC292/AC444, "NA")</f>
        <v>-5.0535860238116286E-3</v>
      </c>
    </row>
    <row r="293" spans="1:30" ht="16.5" customHeight="1" x14ac:dyDescent="0.45">
      <c r="A293" s="6" t="s">
        <v>266</v>
      </c>
      <c r="B293" s="7">
        <v>450.21</v>
      </c>
      <c r="C293" s="8">
        <f>IFERROR(B293/B444, "NA")</f>
        <v>7.4602673775338215E-4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-450.21</v>
      </c>
      <c r="I293" s="8">
        <f>IFERROR(H293/H444, "NA")</f>
        <v>7.8414890904353416E-3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-450.21</v>
      </c>
      <c r="O293" s="8">
        <f>IFERROR(N293/N444, "NA")</f>
        <v>-1.212542833295761E-2</v>
      </c>
      <c r="P293" s="9"/>
      <c r="Q293" s="7">
        <v>820.14</v>
      </c>
      <c r="R293" s="8">
        <f>IFERROR(Q293/Q444, "NA")</f>
        <v>3.6248142494845159E-4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-820.14</v>
      </c>
      <c r="X293" s="8">
        <f>IFERROR(W293/W444, "NA")</f>
        <v>-8.1914351191774894E-3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-820.14</v>
      </c>
      <c r="AD293" s="8">
        <f>IFERROR(AC293/AC444, "NA")</f>
        <v>-2.43366198383422E-3</v>
      </c>
    </row>
    <row r="294" spans="1:30" ht="16.5" customHeight="1" x14ac:dyDescent="0.45">
      <c r="A294" s="6" t="s">
        <v>267</v>
      </c>
      <c r="B294" s="7">
        <v>1680.78</v>
      </c>
      <c r="C294" s="8">
        <f>IFERROR(B294/B444, "NA")</f>
        <v>2.7851598593570327E-3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-1680.78</v>
      </c>
      <c r="I294" s="8">
        <f>IFERROR(H294/H444, "NA")</f>
        <v>2.927482293467918E-2</v>
      </c>
      <c r="J294" s="9"/>
      <c r="K294" s="7">
        <v>1268.1799999999998</v>
      </c>
      <c r="L294" s="8">
        <f>IFERROR(K294/K444, "NA")</f>
        <v>2.2392254424941343E-3</v>
      </c>
      <c r="M294" s="9"/>
      <c r="N294" s="10">
        <f t="shared" si="73"/>
        <v>-412.60000000000014</v>
      </c>
      <c r="O294" s="8">
        <f>IFERROR(N294/N444, "NA")</f>
        <v>-1.1112484685320875E-2</v>
      </c>
      <c r="P294" s="9"/>
      <c r="Q294" s="7">
        <v>7639.63</v>
      </c>
      <c r="R294" s="8">
        <f>IFERROR(Q294/Q444, "NA")</f>
        <v>3.3765259205488568E-3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-7639.63</v>
      </c>
      <c r="X294" s="8">
        <f>IFERROR(W294/W444, "NA")</f>
        <v>-7.6303476820447635E-2</v>
      </c>
      <c r="Y294" s="9"/>
      <c r="Z294" s="7">
        <v>5072.7199999999993</v>
      </c>
      <c r="AA294" s="8">
        <f>IFERROR(Z294/Z444, "NA")</f>
        <v>2.6343953478902239E-3</v>
      </c>
      <c r="AB294" s="9"/>
      <c r="AC294" s="10">
        <f t="shared" si="75"/>
        <v>-2566.9100000000008</v>
      </c>
      <c r="AD294" s="8">
        <f>IFERROR(AC294/AC444, "NA")</f>
        <v>-7.6169815920744009E-3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9647.5300000000007</v>
      </c>
      <c r="C295" s="15">
        <f>IFERROR(B295/B444, "NA")</f>
        <v>1.5986573672903508E-2</v>
      </c>
      <c r="D295" s="2"/>
      <c r="E295" s="14">
        <f>IFERROR(E286+E287+E288+E289+E290+E291+E292+E293+E294, "NA")</f>
        <v>10860.66</v>
      </c>
      <c r="F295" s="15">
        <f>IFERROR(E295/E444, "NA")</f>
        <v>1.6433363650491948E-2</v>
      </c>
      <c r="G295" s="2"/>
      <c r="H295" s="14">
        <f t="shared" si="72"/>
        <v>1213.1299999999992</v>
      </c>
      <c r="I295" s="15">
        <f>IFERROR(H295/H444, "NA")</f>
        <v>-2.1129574332599942E-2</v>
      </c>
      <c r="J295" s="2"/>
      <c r="K295" s="14">
        <f>IFERROR(K286+K287+K288+K289+K290+K291+K292+K293+K294, "NA")</f>
        <v>13248.02</v>
      </c>
      <c r="L295" s="15">
        <f>IFERROR(K295/K444, "NA")</f>
        <v>2.3392029086305687E-2</v>
      </c>
      <c r="M295" s="2"/>
      <c r="N295" s="14">
        <f t="shared" si="73"/>
        <v>3600.49</v>
      </c>
      <c r="O295" s="15">
        <f>IFERROR(N295/N444, "NA")</f>
        <v>9.6971376598766229E-2</v>
      </c>
      <c r="P295" s="2"/>
      <c r="Q295" s="14">
        <f>IFERROR(Q286+Q287+Q288+Q289+Q290+Q291+Q292+Q293+Q294, "NA")</f>
        <v>53125.779999999992</v>
      </c>
      <c r="R295" s="15">
        <f>IFERROR(Q295/Q444, "NA")</f>
        <v>2.3480269753820018E-2</v>
      </c>
      <c r="S295" s="2"/>
      <c r="T295" s="14">
        <f>IFERROR(T286+T287+T288+T289+T290+T291+T292+T293+T294, "NA")</f>
        <v>37485.369999999995</v>
      </c>
      <c r="U295" s="15">
        <f>IFERROR(T295/T444, "NA")</f>
        <v>1.7334680275024786E-2</v>
      </c>
      <c r="V295" s="2"/>
      <c r="W295" s="14">
        <f t="shared" si="74"/>
        <v>-15640.409999999996</v>
      </c>
      <c r="X295" s="15">
        <f>IFERROR(W295/W444, "NA")</f>
        <v>-0.15621406558921011</v>
      </c>
      <c r="Y295" s="2"/>
      <c r="Z295" s="14">
        <f>IFERROR(Z286+Z287+Z288+Z289+Z290+Z291+Z292+Z293+Z294, "NA")</f>
        <v>38237.35</v>
      </c>
      <c r="AA295" s="15">
        <f>IFERROR(Z295/Z444, "NA")</f>
        <v>1.9857649733407378E-2</v>
      </c>
      <c r="AB295" s="2"/>
      <c r="AC295" s="14">
        <f t="shared" si="75"/>
        <v>-14888.429999999993</v>
      </c>
      <c r="AD295" s="15">
        <f>IFERROR(AC295/AC444, "NA")</f>
        <v>-4.4179537749624333E-2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8591.57</v>
      </c>
      <c r="F297" s="8">
        <f>IFERROR(E297/E444, "NA")</f>
        <v>1.2999982886735898E-2</v>
      </c>
      <c r="G297" s="9"/>
      <c r="H297" s="10">
        <f t="shared" ref="H297:H325" si="76">IFERROR(-(B297-E297), "NA")</f>
        <v>8591.57</v>
      </c>
      <c r="I297" s="8">
        <f>IFERROR(H297/H444, "NA")</f>
        <v>-0.14964283873017384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28111.829999999998</v>
      </c>
      <c r="U297" s="8">
        <f>IFERROR(T297/T444, "NA")</f>
        <v>1.2999993997547577E-2</v>
      </c>
      <c r="V297" s="9"/>
      <c r="W297" s="10">
        <f t="shared" ref="W297:W325" si="78">IFERROR(-(Q297-T297), "NA")</f>
        <v>28111.829999999998</v>
      </c>
      <c r="X297" s="8">
        <f>IFERROR(W297/W444, "NA")</f>
        <v>0.28077673510174767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3026.8700000000003</v>
      </c>
      <c r="C299" s="8">
        <f>IFERROR(B299/B444, "NA")</f>
        <v>5.0157170025178924E-3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-3026.8700000000003</v>
      </c>
      <c r="I299" s="8">
        <f>IFERROR(H299/H444, "NA")</f>
        <v>5.2720215195499937E-2</v>
      </c>
      <c r="J299" s="9"/>
      <c r="K299" s="7">
        <v>1361.11</v>
      </c>
      <c r="L299" s="8">
        <f>IFERROR(K299/K444, "NA")</f>
        <v>2.4033119447027956E-3</v>
      </c>
      <c r="M299" s="9"/>
      <c r="N299" s="10">
        <f t="shared" si="77"/>
        <v>-1665.7600000000004</v>
      </c>
      <c r="O299" s="8">
        <f>IFERROR(N299/N444, "NA")</f>
        <v>-4.4863626973873243E-2</v>
      </c>
      <c r="P299" s="9"/>
      <c r="Q299" s="7">
        <v>8593.61</v>
      </c>
      <c r="R299" s="8">
        <f>IFERROR(Q299/Q444, "NA")</f>
        <v>3.7981612874036915E-3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-8593.61</v>
      </c>
      <c r="X299" s="8">
        <f>IFERROR(W299/W444, "NA")</f>
        <v>-8.5831685754279602E-2</v>
      </c>
      <c r="Y299" s="9"/>
      <c r="Z299" s="7">
        <v>4585.84</v>
      </c>
      <c r="AA299" s="8">
        <f>IFERROR(Z299/Z444, "NA")</f>
        <v>2.3815459087371087E-3</v>
      </c>
      <c r="AB299" s="9"/>
      <c r="AC299" s="10">
        <f t="shared" si="79"/>
        <v>-4007.7700000000004</v>
      </c>
      <c r="AD299" s="8">
        <f>IFERROR(AC299/AC444, "NA")</f>
        <v>-1.1892551867914347E-2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268.25</v>
      </c>
      <c r="C304" s="8">
        <f>IFERROR(B304/B444, "NA")</f>
        <v>4.4450739077840293E-4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-268.25</v>
      </c>
      <c r="I304" s="8">
        <f>IFERROR(H304/H444, "NA")</f>
        <v>4.6722184058756592E-3</v>
      </c>
      <c r="J304" s="9"/>
      <c r="K304" s="7">
        <v>451.25</v>
      </c>
      <c r="L304" s="8">
        <f>IFERROR(K304/K444, "NA")</f>
        <v>7.9677213086902347E-4</v>
      </c>
      <c r="M304" s="9"/>
      <c r="N304" s="10">
        <f t="shared" si="77"/>
        <v>183</v>
      </c>
      <c r="O304" s="8">
        <f>IFERROR(N304/N444, "NA")</f>
        <v>4.928707458588753E-3</v>
      </c>
      <c r="P304" s="9"/>
      <c r="Q304" s="7">
        <v>465.26</v>
      </c>
      <c r="R304" s="8">
        <f>IFERROR(Q304/Q444, "NA")</f>
        <v>2.0563331598448631E-4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-465.26</v>
      </c>
      <c r="X304" s="8">
        <f>IFERROR(W304/W444, "NA")</f>
        <v>-4.6469469889878785E-3</v>
      </c>
      <c r="Y304" s="9"/>
      <c r="Z304" s="7">
        <v>451.25</v>
      </c>
      <c r="AA304" s="8">
        <f>IFERROR(Z304/Z444, "NA")</f>
        <v>2.3434585404584992E-4</v>
      </c>
      <c r="AB304" s="9"/>
      <c r="AC304" s="10">
        <f t="shared" si="79"/>
        <v>-14.009999999999991</v>
      </c>
      <c r="AD304" s="8">
        <f>IFERROR(AC304/AC444, "NA")</f>
        <v>-4.1572907544464846E-5</v>
      </c>
    </row>
    <row r="305" spans="1:30" ht="16.5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43.33</v>
      </c>
      <c r="L305" s="8">
        <f>IFERROR(K305/K444, "NA")</f>
        <v>7.6507781563556323E-5</v>
      </c>
      <c r="M305" s="9"/>
      <c r="N305" s="10">
        <f t="shared" si="77"/>
        <v>43.33</v>
      </c>
      <c r="O305" s="8">
        <f>IFERROR(N305/N444, "NA")</f>
        <v>1.1669994217521895E-3</v>
      </c>
      <c r="P305" s="9"/>
      <c r="Q305" s="7">
        <v>-51.41</v>
      </c>
      <c r="R305" s="8">
        <f>IFERROR(Q305/Q444, "NA")</f>
        <v>-2.2721937786963076E-5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51.41</v>
      </c>
      <c r="X305" s="8">
        <f>IFERROR(W305/W444, "NA")</f>
        <v>5.1347535722793029E-4</v>
      </c>
      <c r="Y305" s="9"/>
      <c r="Z305" s="7">
        <v>218.32</v>
      </c>
      <c r="AA305" s="8">
        <f>IFERROR(Z305/Z444, "NA")</f>
        <v>1.13379250648842E-4</v>
      </c>
      <c r="AB305" s="9"/>
      <c r="AC305" s="10">
        <f t="shared" si="79"/>
        <v>269.73</v>
      </c>
      <c r="AD305" s="8">
        <f>IFERROR(AC305/AC444, "NA")</f>
        <v>8.0038974675007213E-4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306.11</v>
      </c>
      <c r="C310" s="8">
        <f>IFERROR(B310/B444, "NA")</f>
        <v>5.072438299764284E-4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-306.11</v>
      </c>
      <c r="I310" s="8">
        <f>IFERROR(H310/H444, "NA")</f>
        <v>5.3316412906713817E-3</v>
      </c>
      <c r="J310" s="9"/>
      <c r="K310" s="7">
        <v>86.89</v>
      </c>
      <c r="L310" s="8">
        <f>IFERROR(K310/K444, "NA")</f>
        <v>1.5342167413010405E-4</v>
      </c>
      <c r="M310" s="9"/>
      <c r="N310" s="10">
        <f t="shared" si="77"/>
        <v>-219.22000000000003</v>
      </c>
      <c r="O310" s="8">
        <f>IFERROR(N310/N444, "NA")</f>
        <v>-5.9042144758023312E-3</v>
      </c>
      <c r="P310" s="9"/>
      <c r="Q310" s="7">
        <v>615.48</v>
      </c>
      <c r="R310" s="8">
        <f>IFERROR(Q310/Q444, "NA")</f>
        <v>2.7202680935849123E-4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-615.48</v>
      </c>
      <c r="X310" s="8">
        <f>IFERROR(W310/W444, "NA")</f>
        <v>-6.1473217830508957E-3</v>
      </c>
      <c r="Y310" s="9"/>
      <c r="Z310" s="7">
        <v>328.37</v>
      </c>
      <c r="AA310" s="8">
        <f>IFERROR(Z310/Z444, "NA")</f>
        <v>1.7053107610645038E-4</v>
      </c>
      <c r="AB310" s="9"/>
      <c r="AC310" s="10">
        <f t="shared" si="79"/>
        <v>-287.11</v>
      </c>
      <c r="AD310" s="8">
        <f>IFERROR(AC310/AC444, "NA")</f>
        <v>-8.5196270414641755E-4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167.48</v>
      </c>
      <c r="R311" s="8">
        <f>IFERROR(Q311/Q444, "NA")</f>
        <v>7.4021982893611663E-5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-167.48</v>
      </c>
      <c r="X311" s="8">
        <f>IFERROR(W311/W444, "NA")</f>
        <v>-1.6727650812786183E-3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-167.48</v>
      </c>
      <c r="AD311" s="8">
        <f>IFERROR(AC311/AC444, "NA")</f>
        <v>-4.9697577127387417E-4</v>
      </c>
    </row>
    <row r="312" spans="1:30" ht="16.5" customHeight="1" x14ac:dyDescent="0.45">
      <c r="A312" s="6" t="s">
        <v>284</v>
      </c>
      <c r="B312" s="7">
        <v>699.28</v>
      </c>
      <c r="C312" s="8">
        <f>IFERROR(B312/B444, "NA")</f>
        <v>1.158751642958142E-3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-699.28</v>
      </c>
      <c r="I312" s="8">
        <f>IFERROR(H312/H444, "NA")</f>
        <v>1.2179641703115493E-2</v>
      </c>
      <c r="J312" s="9"/>
      <c r="K312" s="7">
        <v>376.64</v>
      </c>
      <c r="L312" s="8">
        <f>IFERROR(K312/K444, "NA")</f>
        <v>6.6503325289863496E-4</v>
      </c>
      <c r="M312" s="9"/>
      <c r="N312" s="10">
        <f t="shared" si="77"/>
        <v>-322.64</v>
      </c>
      <c r="O312" s="8">
        <f>IFERROR(N312/N444, "NA")</f>
        <v>-8.6896075105960396E-3</v>
      </c>
      <c r="P312" s="9"/>
      <c r="Q312" s="7">
        <v>2778.81</v>
      </c>
      <c r="R312" s="8">
        <f>IFERROR(Q312/Q444, "NA")</f>
        <v>1.228164713903732E-3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-2778.81</v>
      </c>
      <c r="X312" s="8">
        <f>IFERROR(W312/W444, "NA")</f>
        <v>-2.7754336849222818E-2</v>
      </c>
      <c r="Y312" s="9"/>
      <c r="Z312" s="7">
        <v>1146.92</v>
      </c>
      <c r="AA312" s="8">
        <f>IFERROR(Z312/Z444, "NA")</f>
        <v>5.9562536714075607E-4</v>
      </c>
      <c r="AB312" s="9"/>
      <c r="AC312" s="10">
        <f t="shared" si="79"/>
        <v>-1631.8899999999999</v>
      </c>
      <c r="AD312" s="8">
        <f>IFERROR(AC312/AC444, "NA")</f>
        <v>-4.842427701123253E-3</v>
      </c>
    </row>
    <row r="313" spans="1:30" ht="16.5" customHeight="1" x14ac:dyDescent="0.45">
      <c r="A313" s="6" t="s">
        <v>285</v>
      </c>
      <c r="B313" s="7">
        <v>334</v>
      </c>
      <c r="C313" s="8">
        <f>IFERROR(B313/B444, "NA")</f>
        <v>5.5345934210619414E-4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-334</v>
      </c>
      <c r="I313" s="8">
        <f>IFERROR(H313/H444, "NA")</f>
        <v>5.8174126656569247E-3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-334</v>
      </c>
      <c r="O313" s="8">
        <f>IFERROR(N313/N444, "NA")</f>
        <v>-8.9955644326155382E-3</v>
      </c>
      <c r="P313" s="9"/>
      <c r="Q313" s="7">
        <v>1108.8</v>
      </c>
      <c r="R313" s="8">
        <f>IFERROR(Q313/Q444, "NA")</f>
        <v>4.9006194550057689E-4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-1108.8</v>
      </c>
      <c r="X313" s="8">
        <f>IFERROR(W313/W444, "NA")</f>
        <v>-1.1074527836886386E-2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-1108.8</v>
      </c>
      <c r="AD313" s="8">
        <f>IFERROR(AC313/AC444, "NA")</f>
        <v>-3.2902241174377336E-3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1782.9700000000003</v>
      </c>
      <c r="C315" s="8">
        <f>IFERROR(B315/B444, "NA")</f>
        <v>2.9544952191469494E-3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-1782.9700000000003</v>
      </c>
      <c r="I315" s="8">
        <f>IFERROR(H315/H444, "NA")</f>
        <v>3.1054707366725536E-2</v>
      </c>
      <c r="J315" s="9"/>
      <c r="K315" s="7">
        <v>605.44000000000005</v>
      </c>
      <c r="L315" s="8">
        <f>IFERROR(K315/K444, "NA")</f>
        <v>1.0690254158744414E-3</v>
      </c>
      <c r="M315" s="9"/>
      <c r="N315" s="10">
        <f t="shared" si="77"/>
        <v>-1177.5300000000002</v>
      </c>
      <c r="O315" s="8">
        <f>IFERROR(N315/N444, "NA")</f>
        <v>-3.1714212533945442E-2</v>
      </c>
      <c r="P315" s="9"/>
      <c r="Q315" s="7">
        <v>5531.8600000000006</v>
      </c>
      <c r="R315" s="8">
        <f>IFERROR(Q315/Q444, "NA")</f>
        <v>2.4449441502857341E-3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-5531.8600000000006</v>
      </c>
      <c r="X315" s="8">
        <f>IFERROR(W315/W444, "NA")</f>
        <v>-5.5251386688093734E-2</v>
      </c>
      <c r="Y315" s="9"/>
      <c r="Z315" s="7">
        <v>2421.7600000000002</v>
      </c>
      <c r="AA315" s="8">
        <f>IFERROR(Z315/Z444, "NA")</f>
        <v>1.2576829152223324E-3</v>
      </c>
      <c r="AB315" s="9"/>
      <c r="AC315" s="10">
        <f t="shared" si="79"/>
        <v>-3110.1000000000004</v>
      </c>
      <c r="AD315" s="8">
        <f>IFERROR(AC315/AC444, "NA")</f>
        <v>-9.2288293900100078E-3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1319.75</v>
      </c>
      <c r="C318" s="8">
        <f>IFERROR(B318/B444, "NA")</f>
        <v>2.1869100800738016E-3</v>
      </c>
      <c r="D318" s="9"/>
      <c r="E318" s="7">
        <v>3210</v>
      </c>
      <c r="F318" s="8">
        <f>IFERROR(E318/E444, "NA")</f>
        <v>4.8570802619803174E-3</v>
      </c>
      <c r="G318" s="9"/>
      <c r="H318" s="10">
        <f t="shared" si="76"/>
        <v>1890.25</v>
      </c>
      <c r="I318" s="8">
        <f>IFERROR(H318/H444, "NA")</f>
        <v>-3.2923246381011982E-2</v>
      </c>
      <c r="J318" s="9"/>
      <c r="K318" s="7">
        <v>1319.75</v>
      </c>
      <c r="L318" s="8">
        <f>IFERROR(K318/K444, "NA")</f>
        <v>2.3302825921648618E-3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5279</v>
      </c>
      <c r="R318" s="8">
        <f>IFERROR(Q318/Q444, "NA")</f>
        <v>2.333186336848436E-3</v>
      </c>
      <c r="S318" s="9"/>
      <c r="T318" s="7">
        <v>12840</v>
      </c>
      <c r="U318" s="8">
        <f>IFERROR(T318/T444, "NA")</f>
        <v>5.9377110251631034E-3</v>
      </c>
      <c r="V318" s="9"/>
      <c r="W318" s="10">
        <f t="shared" si="78"/>
        <v>7561</v>
      </c>
      <c r="X318" s="8">
        <f>IFERROR(W318/W444, "NA")</f>
        <v>7.551813219218792E-2</v>
      </c>
      <c r="Y318" s="9"/>
      <c r="Z318" s="7">
        <v>5279</v>
      </c>
      <c r="AA318" s="8">
        <f>IFERROR(Z318/Z444, "NA")</f>
        <v>2.7415219135912281E-3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1197.77</v>
      </c>
      <c r="C319" s="8">
        <f>IFERROR(B319/B444, "NA")</f>
        <v>1.9847814257321441E-3</v>
      </c>
      <c r="D319" s="9"/>
      <c r="E319" s="7">
        <v>1084</v>
      </c>
      <c r="F319" s="8">
        <f>IFERROR(E319/E444, "NA")</f>
        <v>1.6402102816157832E-3</v>
      </c>
      <c r="G319" s="9"/>
      <c r="H319" s="10">
        <f t="shared" si="76"/>
        <v>-113.76999999999998</v>
      </c>
      <c r="I319" s="8">
        <f>IFERROR(H319/H444, "NA")</f>
        <v>1.9815779609933782E-3</v>
      </c>
      <c r="J319" s="9"/>
      <c r="K319" s="7">
        <v>1052.4299999999998</v>
      </c>
      <c r="L319" s="8">
        <f>IFERROR(K319/K444, "NA")</f>
        <v>1.8582756646880582E-3</v>
      </c>
      <c r="M319" s="9"/>
      <c r="N319" s="10">
        <f t="shared" si="77"/>
        <v>-145.34000000000015</v>
      </c>
      <c r="O319" s="8">
        <f>IFERROR(N319/N444, "NA")</f>
        <v>-3.914417169569891E-3</v>
      </c>
      <c r="P319" s="9"/>
      <c r="Q319" s="7">
        <v>4647.8500000000004</v>
      </c>
      <c r="R319" s="8">
        <f>IFERROR(Q319/Q444, "NA")</f>
        <v>2.0542337783142645E-3</v>
      </c>
      <c r="S319" s="9"/>
      <c r="T319" s="7">
        <v>4336</v>
      </c>
      <c r="U319" s="8">
        <f>IFERROR(T319/T444, "NA")</f>
        <v>2.0051335673759514E-3</v>
      </c>
      <c r="V319" s="9"/>
      <c r="W319" s="10">
        <f t="shared" si="78"/>
        <v>-311.85000000000036</v>
      </c>
      <c r="X319" s="8">
        <f>IFERROR(W319/W444, "NA")</f>
        <v>-3.1147109541242997E-3</v>
      </c>
      <c r="Y319" s="9"/>
      <c r="Z319" s="7">
        <v>4147.21</v>
      </c>
      <c r="AA319" s="8">
        <f>IFERROR(Z319/Z444, "NA")</f>
        <v>2.1537539487146576E-3</v>
      </c>
      <c r="AB319" s="9"/>
      <c r="AC319" s="10">
        <f t="shared" si="79"/>
        <v>-500.64000000000033</v>
      </c>
      <c r="AD319" s="8">
        <f>IFERROR(AC319/AC444, "NA")</f>
        <v>-1.485586040903705E-3</v>
      </c>
    </row>
    <row r="320" spans="1:30" ht="16.5" customHeight="1" x14ac:dyDescent="0.45">
      <c r="A320" s="6" t="s">
        <v>292</v>
      </c>
      <c r="B320" s="7">
        <v>6260.2700000000013</v>
      </c>
      <c r="C320" s="8">
        <f>IFERROR(B320/B444, "NA")</f>
        <v>1.0373667411997439E-2</v>
      </c>
      <c r="D320" s="9"/>
      <c r="E320" s="7">
        <v>4243</v>
      </c>
      <c r="F320" s="8">
        <f>IFERROR(E320/E444, "NA")</f>
        <v>6.420121978686133E-3</v>
      </c>
      <c r="G320" s="9"/>
      <c r="H320" s="10">
        <f t="shared" si="76"/>
        <v>-2017.2700000000013</v>
      </c>
      <c r="I320" s="8">
        <f>IFERROR(H320/H444, "NA")</f>
        <v>3.5135604934280695E-2</v>
      </c>
      <c r="J320" s="9"/>
      <c r="K320" s="7">
        <v>4321.87</v>
      </c>
      <c r="L320" s="8">
        <f>IFERROR(K320/K444, "NA")</f>
        <v>7.6311259152108731E-3</v>
      </c>
      <c r="M320" s="9"/>
      <c r="N320" s="10">
        <f t="shared" si="77"/>
        <v>-1938.4000000000015</v>
      </c>
      <c r="O320" s="8">
        <f>IFERROR(N320/N444, "NA")</f>
        <v>-5.2206593102341235E-2</v>
      </c>
      <c r="P320" s="9"/>
      <c r="Q320" s="7">
        <v>22049.03</v>
      </c>
      <c r="R320" s="8">
        <f>IFERROR(Q320/Q444, "NA")</f>
        <v>9.7451213367609896E-3</v>
      </c>
      <c r="S320" s="9"/>
      <c r="T320" s="7">
        <v>16972</v>
      </c>
      <c r="U320" s="8">
        <f>IFERROR(T320/T444, "NA")</f>
        <v>7.8485071276532866E-3</v>
      </c>
      <c r="V320" s="9"/>
      <c r="W320" s="10">
        <f t="shared" si="78"/>
        <v>-5077.0299999999988</v>
      </c>
      <c r="X320" s="8">
        <f>IFERROR(W320/W444, "NA")</f>
        <v>-5.0708612972318975E-2</v>
      </c>
      <c r="Y320" s="9"/>
      <c r="Z320" s="7">
        <v>17000.800000000003</v>
      </c>
      <c r="AA320" s="8">
        <f>IFERROR(Z320/Z444, "NA")</f>
        <v>8.8289573306652314E-3</v>
      </c>
      <c r="AB320" s="9"/>
      <c r="AC320" s="10">
        <f t="shared" si="79"/>
        <v>-5048.2299999999959</v>
      </c>
      <c r="AD320" s="8">
        <f>IFERROR(AC320/AC444, "NA")</f>
        <v>-1.4979985656901765E-2</v>
      </c>
    </row>
    <row r="321" spans="1:30" ht="16.5" customHeight="1" x14ac:dyDescent="0.45">
      <c r="A321" s="6" t="s">
        <v>293</v>
      </c>
      <c r="B321" s="7">
        <v>7008.26</v>
      </c>
      <c r="C321" s="8">
        <f>IFERROR(B321/B444, "NA")</f>
        <v>1.1613134637452564E-2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-7008.26</v>
      </c>
      <c r="I321" s="8">
        <f>IFERROR(H321/H444, "NA")</f>
        <v>0.12206569008448144</v>
      </c>
      <c r="J321" s="9"/>
      <c r="K321" s="7">
        <v>11319.34</v>
      </c>
      <c r="L321" s="8">
        <f>IFERROR(K321/K444, "NA")</f>
        <v>1.9986558785220994E-2</v>
      </c>
      <c r="M321" s="9"/>
      <c r="N321" s="10">
        <f t="shared" si="77"/>
        <v>4311.08</v>
      </c>
      <c r="O321" s="8">
        <f>IFERROR(N321/N444, "NA")</f>
        <v>0.116109574593294</v>
      </c>
      <c r="P321" s="9"/>
      <c r="Q321" s="7">
        <v>47192.5</v>
      </c>
      <c r="R321" s="8">
        <f>IFERROR(Q321/Q444, "NA")</f>
        <v>2.0857907975321048E-2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-47192.5</v>
      </c>
      <c r="X321" s="8">
        <f>IFERROR(W321/W444, "NA")</f>
        <v>-0.47135160077765226</v>
      </c>
      <c r="Y321" s="9"/>
      <c r="Z321" s="7">
        <v>41410.19</v>
      </c>
      <c r="AA321" s="8">
        <f>IFERROR(Z321/Z444, "NA")</f>
        <v>2.1505388014960474E-2</v>
      </c>
      <c r="AB321" s="9"/>
      <c r="AC321" s="10">
        <f t="shared" si="79"/>
        <v>-5782.3099999999977</v>
      </c>
      <c r="AD321" s="8">
        <f>IFERROR(AC321/AC444, "NA")</f>
        <v>-1.7158275447782624E-2</v>
      </c>
    </row>
    <row r="322" spans="1:30" ht="16.5" customHeight="1" x14ac:dyDescent="0.45">
      <c r="A322" s="6" t="s">
        <v>294</v>
      </c>
      <c r="B322" s="7">
        <v>1276.3399999999999</v>
      </c>
      <c r="C322" s="8">
        <f>IFERROR(B322/B444, "NA")</f>
        <v>2.1149769362389815E-3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-1276.3399999999999</v>
      </c>
      <c r="I322" s="8">
        <f>IFERROR(H322/H444, "NA")</f>
        <v>2.2230528388277125E-2</v>
      </c>
      <c r="J322" s="9"/>
      <c r="K322" s="7">
        <v>1463.35</v>
      </c>
      <c r="L322" s="8">
        <f>IFERROR(K322/K444, "NA")</f>
        <v>2.5838371140325441E-3</v>
      </c>
      <c r="M322" s="9"/>
      <c r="N322" s="10">
        <f t="shared" si="77"/>
        <v>187.01</v>
      </c>
      <c r="O322" s="8">
        <f>IFERROR(N322/N444, "NA")</f>
        <v>5.0367080974354243E-3</v>
      </c>
      <c r="P322" s="9"/>
      <c r="Q322" s="7">
        <v>6287.1</v>
      </c>
      <c r="R322" s="8">
        <f>IFERROR(Q322/Q444, "NA")</f>
        <v>2.7787413939003225E-3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-6287.1</v>
      </c>
      <c r="X322" s="8">
        <f>IFERROR(W322/W444, "NA")</f>
        <v>-6.2794610356501079E-2</v>
      </c>
      <c r="Y322" s="9"/>
      <c r="Z322" s="7">
        <v>5465.66</v>
      </c>
      <c r="AA322" s="8">
        <f>IFERROR(Z322/Z444, "NA")</f>
        <v>2.8384593033224156E-3</v>
      </c>
      <c r="AB322" s="9"/>
      <c r="AC322" s="10">
        <f t="shared" si="79"/>
        <v>-821.44000000000051</v>
      </c>
      <c r="AD322" s="8">
        <f>IFERROR(AC322/AC444, "NA")</f>
        <v>-2.4375195698304957E-3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-31.29</v>
      </c>
      <c r="AA323" s="8">
        <f>IFERROR(Z323/Z444, "NA")</f>
        <v>-1.6249710300486746E-5</v>
      </c>
      <c r="AB323" s="9"/>
      <c r="AC323" s="10">
        <f t="shared" si="79"/>
        <v>-31.29</v>
      </c>
      <c r="AD323" s="8">
        <f>IFERROR(AC323/AC444, "NA")</f>
        <v>-9.2849127556481509E-5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23479.87</v>
      </c>
      <c r="C324" s="15">
        <f>IFERROR(B324/B444, "NA")</f>
        <v>3.8907644918978933E-2</v>
      </c>
      <c r="D324" s="2"/>
      <c r="E324" s="14">
        <f>IFERROR(E297+E298+E299+E300+E301+E302+E303+E304+E305+E306+E307+E308+E309+E310+E311+E312+E313+E314+E315+E316+E317+E318+E319+E320+E321+E322+E323, "NA")</f>
        <v>17128.57</v>
      </c>
      <c r="F324" s="15">
        <f>IFERROR(E324/E444, "NA")</f>
        <v>2.5917395409018135E-2</v>
      </c>
      <c r="G324" s="2"/>
      <c r="H324" s="14">
        <f t="shared" si="76"/>
        <v>-6351.2999999999993</v>
      </c>
      <c r="I324" s="15">
        <f>IFERROR(H324/H444, "NA")</f>
        <v>0.11062315288439169</v>
      </c>
      <c r="J324" s="2"/>
      <c r="K324" s="14">
        <f>IFERROR(K297+K298+K299+K300+K301+K302+K303+K304+K305+K306+K307+K308+K309+K310+K311+K312+K313+K314+K315+K316+K317+K318+K319+K320+K321+K322+K323, "NA")</f>
        <v>22401.399999999998</v>
      </c>
      <c r="L324" s="15">
        <f>IFERROR(K324/K444, "NA")</f>
        <v>3.9554152271355884E-2</v>
      </c>
      <c r="M324" s="2"/>
      <c r="N324" s="14">
        <f t="shared" si="77"/>
        <v>-1078.4700000000012</v>
      </c>
      <c r="O324" s="15">
        <f>IFERROR(N324/N444, "NA")</f>
        <v>-2.9046246627673324E-2</v>
      </c>
      <c r="P324" s="2"/>
      <c r="Q324" s="14">
        <f>IFERROR(Q297+Q298+Q299+Q300+Q301+Q302+Q303+Q304+Q305+Q306+Q307+Q308+Q309+Q310+Q311+Q312+Q313+Q314+Q315+Q316+Q317+Q318+Q319+Q320+Q321+Q322+Q323, "NA")</f>
        <v>104665.37</v>
      </c>
      <c r="R324" s="15">
        <f>IFERROR(Q324/Q444, "NA")</f>
        <v>4.6259483088688415E-2</v>
      </c>
      <c r="S324" s="2"/>
      <c r="T324" s="14">
        <f>IFERROR(T297+T298+T299+T300+T301+T302+T303+T304+T305+T306+T307+T308+T309+T310+T311+T312+T313+T314+T315+T316+T317+T318+T319+T320+T321+T322+T323, "NA")</f>
        <v>62259.83</v>
      </c>
      <c r="U324" s="15">
        <f>IFERROR(T324/T444, "NA")</f>
        <v>2.8791345717739919E-2</v>
      </c>
      <c r="V324" s="2"/>
      <c r="W324" s="14">
        <f t="shared" si="78"/>
        <v>-42405.539999999994</v>
      </c>
      <c r="X324" s="15">
        <f>IFERROR(W324/W444, "NA")</f>
        <v>-0.4235401633912329</v>
      </c>
      <c r="Y324" s="2"/>
      <c r="Z324" s="14">
        <f>IFERROR(Z297+Z298+Z299+Z300+Z301+Z302+Z303+Z304+Z305+Z306+Z307+Z308+Z309+Z310+Z311+Z312+Z313+Z314+Z315+Z316+Z317+Z318+Z319+Z320+Z321+Z322+Z323, "NA")</f>
        <v>82424.030000000013</v>
      </c>
      <c r="AA324" s="15">
        <f>IFERROR(Z324/Z444, "NA")</f>
        <v>4.2804941172854861E-2</v>
      </c>
      <c r="AB324" s="2"/>
      <c r="AC324" s="14">
        <f t="shared" si="79"/>
        <v>-22241.339999999982</v>
      </c>
      <c r="AD324" s="15">
        <f>IFERROR(AC324/AC444, "NA")</f>
        <v>-6.5998370555675062E-2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144222.93000000002</v>
      </c>
      <c r="C325" s="15">
        <f>IFERROR(B325/B444, "NA")</f>
        <v>0.23898661064199911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139475.57999999999</v>
      </c>
      <c r="F325" s="15">
        <f>IFERROR(E325/E444, "NA")</f>
        <v>0.21104177154088993</v>
      </c>
      <c r="G325" s="2"/>
      <c r="H325" s="14">
        <f t="shared" si="76"/>
        <v>-4747.3500000000349</v>
      </c>
      <c r="I325" s="15">
        <f>IFERROR(H325/H444, "NA")</f>
        <v>8.2686509036846129E-2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125831.67999999998</v>
      </c>
      <c r="L325" s="15">
        <f>IFERROR(K325/K444, "NA")</f>
        <v>0.2221809990125852</v>
      </c>
      <c r="M325" s="2"/>
      <c r="N325" s="14">
        <f t="shared" si="77"/>
        <v>-18391.250000000044</v>
      </c>
      <c r="O325" s="15">
        <f>IFERROR(N325/N444, "NA")</f>
        <v>-0.49532836638126021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614400.96000000008</v>
      </c>
      <c r="R325" s="15">
        <f>IFERROR(Q325/Q444, "NA")</f>
        <v>0.27154990059074874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473660.8</v>
      </c>
      <c r="U325" s="15">
        <f>IFERROR(T325/T444, "NA")</f>
        <v>0.21903901513610405</v>
      </c>
      <c r="V325" s="2"/>
      <c r="W325" s="14">
        <f t="shared" si="78"/>
        <v>-140740.16000000009</v>
      </c>
      <c r="X325" s="15">
        <f>IFERROR(W325/W444, "NA")</f>
        <v>-1.4056915761975513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420189.27000000008</v>
      </c>
      <c r="AA325" s="15">
        <f>IFERROR(Z325/Z444, "NA")</f>
        <v>0.21821520961562824</v>
      </c>
      <c r="AB325" s="2"/>
      <c r="AC325" s="14">
        <f t="shared" si="79"/>
        <v>-194211.69</v>
      </c>
      <c r="AD325" s="15">
        <f>IFERROR(AC325/AC444, "NA")</f>
        <v>-0.57629868896675751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58545.11</v>
      </c>
      <c r="C329" s="8">
        <f>IFERROR(B329/B444, "NA")</f>
        <v>9.7012988215972359E-2</v>
      </c>
      <c r="D329" s="9"/>
      <c r="E329" s="7">
        <v>54678.84</v>
      </c>
      <c r="F329" s="8">
        <f>IFERROR(E329/E444, "NA")</f>
        <v>8.273505124983796E-2</v>
      </c>
      <c r="G329" s="9"/>
      <c r="H329" s="10">
        <f t="shared" si="80"/>
        <v>-3866.2700000000041</v>
      </c>
      <c r="I329" s="8">
        <f>IFERROR(H329/H444, "NA")</f>
        <v>6.7340383433680914E-2</v>
      </c>
      <c r="J329" s="9"/>
      <c r="K329" s="7">
        <v>52186.869999999995</v>
      </c>
      <c r="L329" s="8">
        <f>IFERROR(K329/K444, "NA")</f>
        <v>9.2146357037750065E-2</v>
      </c>
      <c r="M329" s="9"/>
      <c r="N329" s="10">
        <f t="shared" si="81"/>
        <v>-6358.2400000000052</v>
      </c>
      <c r="O329" s="8">
        <f>IFERROR(N329/N444, "NA")</f>
        <v>-0.17124538203004033</v>
      </c>
      <c r="P329" s="9"/>
      <c r="Q329" s="7">
        <v>217033.85</v>
      </c>
      <c r="R329" s="8">
        <f>IFERROR(Q329/Q444, "NA")</f>
        <v>9.5923548674675674E-2</v>
      </c>
      <c r="S329" s="9"/>
      <c r="T329" s="7">
        <v>213210.3</v>
      </c>
      <c r="U329" s="8">
        <f>IFERROR(T329/T444, "NA")</f>
        <v>9.8596662693795398E-2</v>
      </c>
      <c r="V329" s="9"/>
      <c r="W329" s="10">
        <f t="shared" si="82"/>
        <v>-3823.5500000000175</v>
      </c>
      <c r="X329" s="8">
        <f>IFERROR(W329/W444, "NA")</f>
        <v>-3.8189043029155066E-2</v>
      </c>
      <c r="Y329" s="9"/>
      <c r="Z329" s="7">
        <v>208747.47999999998</v>
      </c>
      <c r="AA329" s="8">
        <f>IFERROR(Z329/Z444, "NA")</f>
        <v>0.10840799220059605</v>
      </c>
      <c r="AB329" s="9"/>
      <c r="AC329" s="10">
        <f t="shared" si="83"/>
        <v>-8286.3700000000244</v>
      </c>
      <c r="AD329" s="8">
        <f>IFERROR(AC329/AC444, "NA")</f>
        <v>-2.4588757593806455E-2</v>
      </c>
    </row>
    <row r="330" spans="1:30" ht="16.5" customHeight="1" x14ac:dyDescent="0.45">
      <c r="A330" s="6" t="s">
        <v>301</v>
      </c>
      <c r="B330" s="7">
        <v>6225.6100000000006</v>
      </c>
      <c r="C330" s="8">
        <f>IFERROR(B330/B444, "NA")</f>
        <v>1.0316233577274682E-2</v>
      </c>
      <c r="D330" s="9"/>
      <c r="E330" s="7">
        <v>6065</v>
      </c>
      <c r="F330" s="8">
        <f>IFERROR(E330/E444, "NA")</f>
        <v>9.1770067878226246E-3</v>
      </c>
      <c r="G330" s="9"/>
      <c r="H330" s="10">
        <f t="shared" si="80"/>
        <v>-160.61000000000058</v>
      </c>
      <c r="I330" s="8">
        <f>IFERROR(H330/H444, "NA")</f>
        <v>2.7974091264406052E-3</v>
      </c>
      <c r="J330" s="9"/>
      <c r="K330" s="7">
        <v>6016.55</v>
      </c>
      <c r="L330" s="8">
        <f>IFERROR(K330/K444, "NA")</f>
        <v>1.0623422413252129E-2</v>
      </c>
      <c r="M330" s="9"/>
      <c r="N330" s="10">
        <f t="shared" si="81"/>
        <v>-209.0600000000004</v>
      </c>
      <c r="O330" s="8">
        <f>IFERROR(N330/N444, "NA")</f>
        <v>-5.6305769469539163E-3</v>
      </c>
      <c r="P330" s="9"/>
      <c r="Q330" s="7">
        <v>23943.85</v>
      </c>
      <c r="R330" s="8">
        <f>IFERROR(Q330/Q444, "NA")</f>
        <v>1.0582584518194434E-2</v>
      </c>
      <c r="S330" s="9"/>
      <c r="T330" s="7">
        <v>24260</v>
      </c>
      <c r="U330" s="8">
        <f>IFERROR(T330/T444, "NA")</f>
        <v>1.1218759304552718E-2</v>
      </c>
      <c r="V330" s="9"/>
      <c r="W330" s="10">
        <f t="shared" si="82"/>
        <v>316.15000000000146</v>
      </c>
      <c r="X330" s="8">
        <f>IFERROR(W330/W444, "NA")</f>
        <v>3.1576587081814998E-3</v>
      </c>
      <c r="Y330" s="9"/>
      <c r="Z330" s="7">
        <v>21644.039999999997</v>
      </c>
      <c r="AA330" s="8">
        <f>IFERROR(Z330/Z444, "NA")</f>
        <v>1.1240312551362961E-2</v>
      </c>
      <c r="AB330" s="9"/>
      <c r="AC330" s="10">
        <f t="shared" si="83"/>
        <v>-2299.8100000000013</v>
      </c>
      <c r="AD330" s="8">
        <f>IFERROR(AC330/AC444, "NA")</f>
        <v>-6.8243960385321783E-3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195.16</v>
      </c>
      <c r="C332" s="8">
        <f>IFERROR(B332/B444, "NA")</f>
        <v>3.2339259043546363E-4</v>
      </c>
      <c r="D332" s="9"/>
      <c r="E332" s="7">
        <v>195</v>
      </c>
      <c r="F332" s="8">
        <f>IFERROR(E332/E444, "NA")</f>
        <v>2.9505627759693516E-4</v>
      </c>
      <c r="G332" s="9"/>
      <c r="H332" s="10">
        <f t="shared" si="80"/>
        <v>-0.15999999999999659</v>
      </c>
      <c r="I332" s="8">
        <f>IFERROR(H332/H444, "NA")</f>
        <v>2.786784510494276E-6</v>
      </c>
      <c r="J332" s="9"/>
      <c r="K332" s="7">
        <v>195.16</v>
      </c>
      <c r="L332" s="8">
        <f>IFERROR(K332/K444, "NA")</f>
        <v>3.4459401453827953E-4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780.64</v>
      </c>
      <c r="R332" s="8">
        <f>IFERROR(Q332/Q444, "NA")</f>
        <v>3.4502341011505262E-4</v>
      </c>
      <c r="S332" s="9"/>
      <c r="T332" s="7">
        <v>780</v>
      </c>
      <c r="U332" s="8">
        <f>IFERROR(T332/T444, "NA")</f>
        <v>3.6070207162205769E-4</v>
      </c>
      <c r="V332" s="9"/>
      <c r="W332" s="10">
        <f t="shared" si="82"/>
        <v>-0.63999999999998636</v>
      </c>
      <c r="X332" s="8">
        <f>IFERROR(W332/W444, "NA")</f>
        <v>-6.3922238596745455E-6</v>
      </c>
      <c r="Y332" s="9"/>
      <c r="Z332" s="7">
        <v>780.64</v>
      </c>
      <c r="AA332" s="8">
        <f>IFERROR(Z332/Z444, "NA")</f>
        <v>4.0540664266449256E-4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4581.13</v>
      </c>
      <c r="C333" s="8">
        <f>IFERROR(B333/B444, "NA")</f>
        <v>7.5912251374339801E-3</v>
      </c>
      <c r="D333" s="9"/>
      <c r="E333" s="7">
        <v>5155</v>
      </c>
      <c r="F333" s="8">
        <f>IFERROR(E333/E444, "NA")</f>
        <v>7.8000774923702608E-3</v>
      </c>
      <c r="G333" s="9"/>
      <c r="H333" s="10">
        <f t="shared" si="80"/>
        <v>573.86999999999989</v>
      </c>
      <c r="I333" s="8">
        <f>IFERROR(H333/H444, "NA")</f>
        <v>-9.9953251689836493E-3</v>
      </c>
      <c r="J333" s="9"/>
      <c r="K333" s="7">
        <v>7444.0400000000009</v>
      </c>
      <c r="L333" s="8">
        <f>IFERROR(K333/K444, "NA")</f>
        <v>1.3143941524818275E-2</v>
      </c>
      <c r="M333" s="9"/>
      <c r="N333" s="10">
        <f t="shared" si="81"/>
        <v>2862.9100000000008</v>
      </c>
      <c r="O333" s="8">
        <f>IFERROR(N333/N444, "NA")</f>
        <v>7.710626158616575E-2</v>
      </c>
      <c r="P333" s="9"/>
      <c r="Q333" s="7">
        <v>22910.560000000001</v>
      </c>
      <c r="R333" s="8">
        <f>IFERROR(Q333/Q444, "NA")</f>
        <v>1.0125896109404489E-2</v>
      </c>
      <c r="S333" s="9"/>
      <c r="T333" s="7">
        <v>20620</v>
      </c>
      <c r="U333" s="8">
        <f>IFERROR(T333/T444, "NA")</f>
        <v>9.5354829703164484E-3</v>
      </c>
      <c r="V333" s="9"/>
      <c r="W333" s="10">
        <f t="shared" si="82"/>
        <v>-2290.5600000000013</v>
      </c>
      <c r="X333" s="8">
        <f>IFERROR(W333/W444, "NA")</f>
        <v>-2.28777691937757E-2</v>
      </c>
      <c r="Y333" s="9"/>
      <c r="Z333" s="7">
        <v>20459.25</v>
      </c>
      <c r="AA333" s="8">
        <f>IFERROR(Z333/Z444, "NA")</f>
        <v>1.0625020308892088E-2</v>
      </c>
      <c r="AB333" s="9"/>
      <c r="AC333" s="10">
        <f t="shared" si="83"/>
        <v>-2451.3100000000013</v>
      </c>
      <c r="AD333" s="8">
        <f>IFERROR(AC333/AC444, "NA")</f>
        <v>-7.2739531757903099E-3</v>
      </c>
    </row>
    <row r="334" spans="1:30" ht="16.5" customHeight="1" x14ac:dyDescent="0.45">
      <c r="A334" s="6" t="s">
        <v>305</v>
      </c>
      <c r="B334" s="7">
        <v>-4507.97</v>
      </c>
      <c r="C334" s="8">
        <f>IFERROR(B334/B444, "NA")</f>
        <v>-7.4699943426181446E-3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4507.97</v>
      </c>
      <c r="I334" s="8">
        <f>IFERROR(H334/H444, "NA")</f>
        <v>-7.8517131061082185E-2</v>
      </c>
      <c r="J334" s="9"/>
      <c r="K334" s="7">
        <v>-4018.39</v>
      </c>
      <c r="L334" s="8">
        <f>IFERROR(K334/K444, "NA")</f>
        <v>-7.0952712752637677E-3</v>
      </c>
      <c r="M334" s="9"/>
      <c r="N334" s="10">
        <f t="shared" si="81"/>
        <v>489.58000000000038</v>
      </c>
      <c r="O334" s="8">
        <f>IFERROR(N334/N444, "NA")</f>
        <v>1.3185773757245266E-2</v>
      </c>
      <c r="P334" s="9"/>
      <c r="Q334" s="7">
        <v>-4507.97</v>
      </c>
      <c r="R334" s="8">
        <f>IFERROR(Q334/Q444, "NA")</f>
        <v>-1.9924103070510786E-3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4507.97</v>
      </c>
      <c r="X334" s="8">
        <f>IFERROR(W334/W444, "NA")</f>
        <v>4.5024927176090121E-2</v>
      </c>
      <c r="Y334" s="9"/>
      <c r="Z334" s="7">
        <v>-4018.39</v>
      </c>
      <c r="AA334" s="8">
        <f>IFERROR(Z334/Z444, "NA")</f>
        <v>-2.0868543743807265E-3</v>
      </c>
      <c r="AB334" s="9"/>
      <c r="AC334" s="10">
        <f t="shared" si="83"/>
        <v>489.58000000000038</v>
      </c>
      <c r="AD334" s="8">
        <f>IFERROR(AC334/AC444, "NA")</f>
        <v>1.4527668861969399E-3</v>
      </c>
    </row>
    <row r="335" spans="1:30" ht="16.5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3309.62</v>
      </c>
      <c r="R335" s="8">
        <f>IFERROR(Q335/Q444, "NA")</f>
        <v>1.4627694950104793E-3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-3309.62</v>
      </c>
      <c r="X335" s="8">
        <f>IFERROR(W335/W444, "NA")</f>
        <v>-3.3055987391338311E-2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-3309.62</v>
      </c>
      <c r="AD335" s="8">
        <f>IFERROR(AC335/AC444, "NA")</f>
        <v>-9.8208798192228278E-3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15120.939999999999</v>
      </c>
      <c r="F337" s="8">
        <f>IFERROR(E337/E444, "NA")</f>
        <v>2.2879632154700517E-2</v>
      </c>
      <c r="G337" s="9"/>
      <c r="H337" s="10">
        <f t="shared" ref="H337:H344" si="84">IFERROR(-(B337-E337), "NA")</f>
        <v>15120.939999999999</v>
      </c>
      <c r="I337" s="8">
        <f>IFERROR(H337/H444, "NA")</f>
        <v>-0.26336750860071384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60603.590000000011</v>
      </c>
      <c r="U337" s="8">
        <f>IFERROR(T337/T444, "NA")</f>
        <v>2.8025436488120288E-2</v>
      </c>
      <c r="V337" s="9"/>
      <c r="W337" s="10">
        <f t="shared" ref="W337:W344" si="86">IFERROR(-(Q337-T337), "NA")</f>
        <v>60603.590000000011</v>
      </c>
      <c r="X337" s="8">
        <f>IFERROR(W337/W444, "NA")</f>
        <v>0.60529955309365946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8608.8700000000008</v>
      </c>
      <c r="C338" s="8">
        <f>IFERROR(B338/B444, "NA")</f>
        <v>1.4265447684065126E-2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-8608.8700000000008</v>
      </c>
      <c r="I338" s="8">
        <f>IFERROR(H338/H444, "NA")</f>
        <v>0.14994415980537107</v>
      </c>
      <c r="J338" s="9"/>
      <c r="K338" s="7">
        <v>6784.38</v>
      </c>
      <c r="L338" s="8">
        <f>IFERROR(K338/K444, "NA")</f>
        <v>1.1979179854238639E-2</v>
      </c>
      <c r="M338" s="9"/>
      <c r="N338" s="10">
        <f t="shared" si="85"/>
        <v>-1824.4900000000007</v>
      </c>
      <c r="O338" s="8">
        <f>IFERROR(N338/N444, "NA")</f>
        <v>-4.9138674705577035E-2</v>
      </c>
      <c r="P338" s="9"/>
      <c r="Q338" s="7">
        <v>38733.29</v>
      </c>
      <c r="R338" s="8">
        <f>IFERROR(Q338/Q444, "NA")</f>
        <v>1.711914813585682E-2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-38733.29</v>
      </c>
      <c r="X338" s="8">
        <f>IFERROR(W338/W444, "NA")</f>
        <v>-0.38686228203390433</v>
      </c>
      <c r="Y338" s="9"/>
      <c r="Z338" s="7">
        <v>29719.75</v>
      </c>
      <c r="AA338" s="8">
        <f>IFERROR(Z338/Z444, "NA")</f>
        <v>1.5434238661006421E-2</v>
      </c>
      <c r="AB338" s="9"/>
      <c r="AC338" s="10">
        <f t="shared" si="87"/>
        <v>-9013.5400000000009</v>
      </c>
      <c r="AD338" s="8">
        <f>IFERROR(AC338/AC444, "NA")</f>
        <v>-2.6746542831430117E-2</v>
      </c>
    </row>
    <row r="339" spans="1:30" ht="16.5" customHeight="1" x14ac:dyDescent="0.45">
      <c r="A339" s="12" t="s">
        <v>309</v>
      </c>
      <c r="B339" s="7">
        <v>2451.92</v>
      </c>
      <c r="C339" s="8">
        <f>IFERROR(B339/B444, "NA")</f>
        <v>4.0629881140629327E-3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-2451.92</v>
      </c>
      <c r="I339" s="8">
        <f>IFERROR(H339/H444, "NA")</f>
        <v>4.2706079231070442E-2</v>
      </c>
      <c r="J339" s="9"/>
      <c r="K339" s="7">
        <v>2370.3199999999997</v>
      </c>
      <c r="L339" s="8">
        <f>IFERROR(K339/K444, "NA")</f>
        <v>4.1852740548287285E-3</v>
      </c>
      <c r="M339" s="9"/>
      <c r="N339" s="10">
        <f t="shared" si="85"/>
        <v>-81.600000000000364</v>
      </c>
      <c r="O339" s="8">
        <f>IFERROR(N339/N444, "NA")</f>
        <v>-2.1977187356330276E-3</v>
      </c>
      <c r="P339" s="9"/>
      <c r="Q339" s="7">
        <v>11026.51</v>
      </c>
      <c r="R339" s="8">
        <f>IFERROR(Q339/Q444, "NA")</f>
        <v>4.8734424086233465E-3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-11026.51</v>
      </c>
      <c r="X339" s="8">
        <f>IFERROR(W339/W444, "NA")</f>
        <v>-0.11013112548584605</v>
      </c>
      <c r="Y339" s="9"/>
      <c r="Z339" s="7">
        <v>11010.43</v>
      </c>
      <c r="AA339" s="8">
        <f>IFERROR(Z339/Z444, "NA")</f>
        <v>5.7180024858992737E-3</v>
      </c>
      <c r="AB339" s="9"/>
      <c r="AC339" s="10">
        <f t="shared" si="87"/>
        <v>-16.079999999999927</v>
      </c>
      <c r="AD339" s="8">
        <f>IFERROR(AC339/AC444, "NA")</f>
        <v>-4.771537140007082E-5</v>
      </c>
    </row>
    <row r="340" spans="1:30" ht="16.5" customHeight="1" x14ac:dyDescent="0.45">
      <c r="A340" s="12" t="s">
        <v>310</v>
      </c>
      <c r="B340" s="7">
        <v>2695.02</v>
      </c>
      <c r="C340" s="8">
        <f>IFERROR(B340/B444, "NA")</f>
        <v>4.4658203477935185E-3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-2695.02</v>
      </c>
      <c r="I340" s="8">
        <f>IFERROR(H340/H444, "NA")</f>
        <v>4.6940249946702775E-2</v>
      </c>
      <c r="J340" s="9"/>
      <c r="K340" s="7">
        <v>2323.0699999999997</v>
      </c>
      <c r="L340" s="8">
        <f>IFERROR(K340/K444, "NA")</f>
        <v>4.1018447292141876E-3</v>
      </c>
      <c r="M340" s="9"/>
      <c r="N340" s="10">
        <f t="shared" si="85"/>
        <v>-371.95000000000027</v>
      </c>
      <c r="O340" s="8">
        <f>IFERROR(N340/N444, "NA")</f>
        <v>-1.0017665241650755E-2</v>
      </c>
      <c r="P340" s="9"/>
      <c r="Q340" s="7">
        <v>10683.54</v>
      </c>
      <c r="R340" s="8">
        <f>IFERROR(Q340/Q444, "NA")</f>
        <v>4.7218582226129452E-3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-10683.54</v>
      </c>
      <c r="X340" s="8">
        <f>IFERROR(W340/W444, "NA")</f>
        <v>-0.10670559264654508</v>
      </c>
      <c r="Y340" s="9"/>
      <c r="Z340" s="7">
        <v>9500.5499999999993</v>
      </c>
      <c r="AA340" s="8">
        <f>IFERROR(Z340/Z444, "NA")</f>
        <v>4.9338825565768398E-3</v>
      </c>
      <c r="AB340" s="9"/>
      <c r="AC340" s="10">
        <f t="shared" si="87"/>
        <v>-1182.9900000000016</v>
      </c>
      <c r="AD340" s="8">
        <f>IFERROR(AC340/AC444, "NA")</f>
        <v>-3.5103735828712753E-3</v>
      </c>
    </row>
    <row r="341" spans="1:30" ht="16.5" customHeight="1" x14ac:dyDescent="0.45">
      <c r="A341" s="12" t="s">
        <v>311</v>
      </c>
      <c r="B341" s="7">
        <v>1865.31</v>
      </c>
      <c r="C341" s="8">
        <f>IFERROR(B341/B444, "NA")</f>
        <v>3.0909378605512125E-3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-1865.31</v>
      </c>
      <c r="I341" s="8">
        <f>IFERROR(H341/H444, "NA")</f>
        <v>3.2488856345438681E-2</v>
      </c>
      <c r="J341" s="9"/>
      <c r="K341" s="7">
        <v>1751.35</v>
      </c>
      <c r="L341" s="8">
        <f>IFERROR(K341/K444, "NA")</f>
        <v>3.0923587177783141E-3</v>
      </c>
      <c r="M341" s="9"/>
      <c r="N341" s="10">
        <f t="shared" si="85"/>
        <v>-113.96000000000004</v>
      </c>
      <c r="O341" s="8">
        <f>IFERROR(N341/N444, "NA")</f>
        <v>-3.0692650381463089E-3</v>
      </c>
      <c r="P341" s="9"/>
      <c r="Q341" s="7">
        <v>7496.3</v>
      </c>
      <c r="R341" s="8">
        <f>IFERROR(Q341/Q444, "NA")</f>
        <v>3.3131776353318679E-3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-7496.3</v>
      </c>
      <c r="X341" s="8">
        <f>IFERROR(W341/W444, "NA")</f>
        <v>-7.4871918311373936E-2</v>
      </c>
      <c r="Y341" s="9"/>
      <c r="Z341" s="7">
        <v>6998.25</v>
      </c>
      <c r="AA341" s="8">
        <f>IFERROR(Z341/Z444, "NA")</f>
        <v>3.6343731259310119E-3</v>
      </c>
      <c r="AB341" s="9"/>
      <c r="AC341" s="10">
        <f t="shared" si="87"/>
        <v>-498.05000000000018</v>
      </c>
      <c r="AD341" s="8">
        <f>IFERROR(AC341/AC444, "NA")</f>
        <v>-1.4779005426495888E-3</v>
      </c>
    </row>
    <row r="342" spans="1:30" ht="16.5" customHeight="1" x14ac:dyDescent="0.45">
      <c r="A342" s="13" t="s">
        <v>312</v>
      </c>
      <c r="B342" s="14">
        <f>IFERROR(B337+B338+B339+B340+B341, "NA")</f>
        <v>15621.12</v>
      </c>
      <c r="C342" s="15">
        <f>IFERROR(B342/B444, "NA")</f>
        <v>2.5885194006472791E-2</v>
      </c>
      <c r="D342" s="2"/>
      <c r="E342" s="14">
        <f>IFERROR(E337+E338+E339+E340+E341, "NA")</f>
        <v>15120.939999999999</v>
      </c>
      <c r="F342" s="15">
        <f>IFERROR(E342/E444, "NA")</f>
        <v>2.2879632154700517E-2</v>
      </c>
      <c r="G342" s="2"/>
      <c r="H342" s="14">
        <f t="shared" si="84"/>
        <v>-500.18000000000211</v>
      </c>
      <c r="I342" s="15">
        <f>IFERROR(H342/H444, "NA")</f>
        <v>8.7118367278691405E-3</v>
      </c>
      <c r="J342" s="2"/>
      <c r="K342" s="14">
        <f>IFERROR(K337+K338+K339+K340+K341, "NA")</f>
        <v>13229.12</v>
      </c>
      <c r="L342" s="15">
        <f>IFERROR(K342/K444, "NA")</f>
        <v>2.3358657356059871E-2</v>
      </c>
      <c r="M342" s="2"/>
      <c r="N342" s="14">
        <f t="shared" si="85"/>
        <v>-2392</v>
      </c>
      <c r="O342" s="15">
        <f>IFERROR(N342/N444, "NA")</f>
        <v>-6.4423323721007092E-2</v>
      </c>
      <c r="P342" s="2"/>
      <c r="Q342" s="14">
        <f>IFERROR(Q337+Q338+Q339+Q340+Q341, "NA")</f>
        <v>67939.64</v>
      </c>
      <c r="R342" s="15">
        <f>IFERROR(Q342/Q444, "NA")</f>
        <v>3.0027626402424977E-2</v>
      </c>
      <c r="S342" s="2"/>
      <c r="T342" s="14">
        <f>IFERROR(T337+T338+T339+T340+T341, "NA")</f>
        <v>60603.590000000011</v>
      </c>
      <c r="U342" s="15">
        <f>IFERROR(T342/T444, "NA")</f>
        <v>2.8025436488120288E-2</v>
      </c>
      <c r="V342" s="2"/>
      <c r="W342" s="14">
        <f t="shared" si="86"/>
        <v>-7336.0499999999884</v>
      </c>
      <c r="X342" s="15">
        <f>IFERROR(W342/W444, "NA")</f>
        <v>-7.3271365384009968E-2</v>
      </c>
      <c r="Y342" s="2"/>
      <c r="Z342" s="14">
        <f>IFERROR(Z337+Z338+Z339+Z340+Z341, "NA")</f>
        <v>57228.979999999996</v>
      </c>
      <c r="AA342" s="15">
        <f>IFERROR(Z342/Z444, "NA")</f>
        <v>2.9720496829413544E-2</v>
      </c>
      <c r="AB342" s="2"/>
      <c r="AC342" s="14">
        <f t="shared" si="87"/>
        <v>-10710.660000000003</v>
      </c>
      <c r="AD342" s="15">
        <f>IFERROR(AC342/AC444, "NA")</f>
        <v>-3.1782532328351057E-2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80660.160000000003</v>
      </c>
      <c r="C343" s="15">
        <f>IFERROR(B343/B444, "NA")</f>
        <v>0.13365903918497113</v>
      </c>
      <c r="D343" s="2"/>
      <c r="E343" s="14">
        <f>IFERROR(E328+E329+E330+E331+E332+E333+E334+E335+E337+E338+E339+E340+E341, "NA")</f>
        <v>81214.78</v>
      </c>
      <c r="F343" s="15">
        <f>IFERROR(E343/E444, "NA")</f>
        <v>0.12288682396232831</v>
      </c>
      <c r="G343" s="2"/>
      <c r="H343" s="14">
        <f t="shared" si="84"/>
        <v>554.61999999999534</v>
      </c>
      <c r="I343" s="15">
        <f>IFERROR(H343/H444, "NA")</f>
        <v>-9.6600401575647199E-3</v>
      </c>
      <c r="J343" s="2"/>
      <c r="K343" s="14">
        <f>IFERROR(K328+K329+K330+K331+K332+K333+K334+K335+K337+K338+K339+K340+K341, "NA")</f>
        <v>75053.350000000006</v>
      </c>
      <c r="L343" s="15">
        <f>IFERROR(K343/K444, "NA")</f>
        <v>0.13252170107115485</v>
      </c>
      <c r="M343" s="2"/>
      <c r="N343" s="14">
        <f t="shared" si="85"/>
        <v>-5606.8099999999977</v>
      </c>
      <c r="O343" s="15">
        <f>IFERROR(N343/N444, "NA")</f>
        <v>-0.15100724735459015</v>
      </c>
      <c r="P343" s="2"/>
      <c r="Q343" s="14">
        <f>IFERROR(Q328+Q329+Q330+Q331+Q332+Q333+Q334+Q335+Q337+Q338+Q339+Q340+Q341, "NA")</f>
        <v>331410.19</v>
      </c>
      <c r="R343" s="15">
        <f>IFERROR(Q343/Q444, "NA")</f>
        <v>0.14647503830277403</v>
      </c>
      <c r="S343" s="2"/>
      <c r="T343" s="14">
        <f>IFERROR(T328+T329+T330+T331+T332+T333+T334+T335+T337+T338+T339+T340+T341, "NA")</f>
        <v>319473.89</v>
      </c>
      <c r="U343" s="15">
        <f>IFERROR(T343/T444, "NA")</f>
        <v>0.14773704352840691</v>
      </c>
      <c r="V343" s="2"/>
      <c r="W343" s="14">
        <f t="shared" si="86"/>
        <v>-11936.299999999988</v>
      </c>
      <c r="X343" s="15">
        <f>IFERROR(W343/W444, "NA")</f>
        <v>-0.11921797133786692</v>
      </c>
      <c r="Y343" s="2"/>
      <c r="Z343" s="14">
        <f>IFERROR(Z328+Z329+Z330+Z331+Z332+Z333+Z334+Z335+Z337+Z338+Z339+Z340+Z341, "NA")</f>
        <v>304842</v>
      </c>
      <c r="AA343" s="15">
        <f>IFERROR(Z343/Z444, "NA")</f>
        <v>0.15831237415854843</v>
      </c>
      <c r="AB343" s="2"/>
      <c r="AC343" s="14">
        <f t="shared" si="87"/>
        <v>-26568.190000000002</v>
      </c>
      <c r="AD343" s="15">
        <f>IFERROR(AC343/AC444, "NA")</f>
        <v>-7.8837752069505801E-2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80660.160000000003</v>
      </c>
      <c r="C344" s="15">
        <f>IFERROR(B344/B444, "NA")</f>
        <v>0.13365903918497113</v>
      </c>
      <c r="D344" s="2"/>
      <c r="E344" s="14">
        <f>IFERROR(E328+E329+E330+E331+E332+E333+E334+E335+E337+E338+E339+E340+E341, "NA")</f>
        <v>81214.78</v>
      </c>
      <c r="F344" s="15">
        <f>IFERROR(E344/E444, "NA")</f>
        <v>0.12288682396232831</v>
      </c>
      <c r="G344" s="2"/>
      <c r="H344" s="14">
        <f t="shared" si="84"/>
        <v>554.61999999999534</v>
      </c>
      <c r="I344" s="15">
        <f>IFERROR(H344/H444, "NA")</f>
        <v>-9.6600401575647199E-3</v>
      </c>
      <c r="J344" s="2"/>
      <c r="K344" s="14">
        <f>IFERROR(K328+K329+K330+K331+K332+K333+K334+K335+K337+K338+K339+K340+K341, "NA")</f>
        <v>75053.350000000006</v>
      </c>
      <c r="L344" s="15">
        <f>IFERROR(K344/K444, "NA")</f>
        <v>0.13252170107115485</v>
      </c>
      <c r="M344" s="2"/>
      <c r="N344" s="14">
        <f t="shared" si="85"/>
        <v>-5606.8099999999977</v>
      </c>
      <c r="O344" s="15">
        <f>IFERROR(N344/N444, "NA")</f>
        <v>-0.15100724735459015</v>
      </c>
      <c r="P344" s="2"/>
      <c r="Q344" s="14">
        <f>IFERROR(Q328+Q329+Q330+Q331+Q332+Q333+Q334+Q335+Q337+Q338+Q339+Q340+Q341, "NA")</f>
        <v>331410.19</v>
      </c>
      <c r="R344" s="15">
        <f>IFERROR(Q344/Q444, "NA")</f>
        <v>0.14647503830277403</v>
      </c>
      <c r="S344" s="2"/>
      <c r="T344" s="14">
        <f>IFERROR(T328+T329+T330+T331+T332+T333+T334+T335+T337+T338+T339+T340+T341, "NA")</f>
        <v>319473.89</v>
      </c>
      <c r="U344" s="15">
        <f>IFERROR(T344/T444, "NA")</f>
        <v>0.14773704352840691</v>
      </c>
      <c r="V344" s="2"/>
      <c r="W344" s="14">
        <f t="shared" si="86"/>
        <v>-11936.299999999988</v>
      </c>
      <c r="X344" s="15">
        <f>IFERROR(W344/W444, "NA")</f>
        <v>-0.11921797133786692</v>
      </c>
      <c r="Y344" s="2"/>
      <c r="Z344" s="14">
        <f>IFERROR(Z328+Z329+Z330+Z331+Z332+Z333+Z334+Z335+Z337+Z338+Z339+Z340+Z341, "NA")</f>
        <v>304842</v>
      </c>
      <c r="AA344" s="15">
        <f>IFERROR(Z344/Z444, "NA")</f>
        <v>0.15831237415854843</v>
      </c>
      <c r="AB344" s="2"/>
      <c r="AC344" s="14">
        <f t="shared" si="87"/>
        <v>-26568.190000000002</v>
      </c>
      <c r="AD344" s="15">
        <f>IFERROR(AC344/AC444, "NA")</f>
        <v>-7.8837752069505801E-2</v>
      </c>
    </row>
    <row r="345" spans="1:30" ht="16.5" customHeight="1" x14ac:dyDescent="0.45">
      <c r="A345" s="22" t="s">
        <v>315</v>
      </c>
      <c r="B345" s="23">
        <f>IFERROR(B198-B325-B344, "NA")</f>
        <v>30510.299999999872</v>
      </c>
      <c r="C345" s="24">
        <f>IFERROR(B345/B444, "NA")</f>
        <v>5.0557516663061512E-2</v>
      </c>
      <c r="D345" s="25"/>
      <c r="E345" s="23">
        <f>IFERROR(E198-E325-E344, "NA")</f>
        <v>102798.54999999999</v>
      </c>
      <c r="F345" s="24">
        <f>IFERROR(E345/E444, "NA")</f>
        <v>0.15554542310442265</v>
      </c>
      <c r="G345" s="25"/>
      <c r="H345" s="23">
        <f>IFERROR(B345-E345, "NA")</f>
        <v>-72288.250000000116</v>
      </c>
      <c r="I345" s="24">
        <f>IFERROR(H345/H444, "NA")</f>
        <v>1.2590735961921404</v>
      </c>
      <c r="J345" s="25"/>
      <c r="K345" s="23">
        <f>IFERROR(K198-K325-K344, "NA")</f>
        <v>60840.009999999864</v>
      </c>
      <c r="L345" s="24">
        <f>IFERROR(K345/K444, "NA")</f>
        <v>0.10742520644829383</v>
      </c>
      <c r="M345" s="25"/>
      <c r="N345" s="23">
        <f>IFERROR(B345-K345, "NA")</f>
        <v>-30329.709999999992</v>
      </c>
      <c r="O345" s="24">
        <f>IFERROR(N345/N444, "NA")</f>
        <v>-0.81686485187887348</v>
      </c>
      <c r="P345" s="25"/>
      <c r="Q345" s="23">
        <f>IFERROR(Q198-Q325-Q344, "NA")</f>
        <v>45185.050000001036</v>
      </c>
      <c r="R345" s="24">
        <f>IFERROR(Q345/Q444, "NA")</f>
        <v>1.9970665142984623E-2</v>
      </c>
      <c r="S345" s="25"/>
      <c r="T345" s="23">
        <f>IFERROR(T198-T325-T344, "NA")</f>
        <v>168808.37999999983</v>
      </c>
      <c r="U345" s="24">
        <f>IFERROR(T345/T444, "NA")</f>
        <v>7.8063503042517274E-2</v>
      </c>
      <c r="V345" s="25"/>
      <c r="W345" s="23">
        <f>IFERROR(Q345-T345, "NA")</f>
        <v>-123623.32999999879</v>
      </c>
      <c r="X345" s="24">
        <f>IFERROR(W345/W444, "NA")</f>
        <v>-1.2347312494350455</v>
      </c>
      <c r="Y345" s="25"/>
      <c r="Z345" s="23">
        <f>IFERROR(Z198-Z325-Z344, "NA")</f>
        <v>66151.249999999709</v>
      </c>
      <c r="AA345" s="24">
        <f>IFERROR(Z345/Z444, "NA")</f>
        <v>3.4354063551136751E-2</v>
      </c>
      <c r="AB345" s="25"/>
      <c r="AC345" s="23">
        <f>IFERROR(Q345-Z345, "NA")</f>
        <v>-20966.199999998673</v>
      </c>
      <c r="AD345" s="24">
        <f>IFERROR(AC345/AC444, "NA")</f>
        <v>-6.2214553473140914E-2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customHeight="1" x14ac:dyDescent="0.45">
      <c r="A350" s="6" t="s">
        <v>319</v>
      </c>
      <c r="B350" s="7">
        <v>42557.64</v>
      </c>
      <c r="C350" s="8">
        <f>IFERROR(B350/B444, "NA")</f>
        <v>7.0520728850276201E-2</v>
      </c>
      <c r="D350" s="9"/>
      <c r="E350" s="7">
        <v>62115</v>
      </c>
      <c r="F350" s="8">
        <f>IFERROR(E350/E444, "NA")</f>
        <v>9.3986772732992968E-2</v>
      </c>
      <c r="G350" s="9"/>
      <c r="H350" s="10">
        <f t="shared" si="88"/>
        <v>19557.36</v>
      </c>
      <c r="I350" s="8">
        <f>IFERROR(H350/H444, "NA")</f>
        <v>-0.34063842446350934</v>
      </c>
      <c r="J350" s="9"/>
      <c r="K350" s="7">
        <v>50423.040000000001</v>
      </c>
      <c r="L350" s="8">
        <f>IFERROR(K350/K444, "NA")</f>
        <v>8.9031962383809435E-2</v>
      </c>
      <c r="M350" s="9"/>
      <c r="N350" s="10">
        <f t="shared" si="89"/>
        <v>7865.4000000000015</v>
      </c>
      <c r="O350" s="8">
        <f>IFERROR(N350/N444, "NA")</f>
        <v>0.21183746253980321</v>
      </c>
      <c r="P350" s="9"/>
      <c r="Q350" s="7">
        <v>221429.61</v>
      </c>
      <c r="R350" s="8">
        <f>IFERROR(Q350/Q444, "NA")</f>
        <v>9.7866364960348118E-2</v>
      </c>
      <c r="S350" s="9"/>
      <c r="T350" s="7">
        <v>256682</v>
      </c>
      <c r="U350" s="8">
        <f>IFERROR(T350/T444, "NA")</f>
        <v>0.11869965275396541</v>
      </c>
      <c r="V350" s="9"/>
      <c r="W350" s="10">
        <f t="shared" si="90"/>
        <v>35252.390000000014</v>
      </c>
      <c r="X350" s="8">
        <f>IFERROR(W350/W444, "NA")</f>
        <v>0.35209557573212069</v>
      </c>
      <c r="Y350" s="9"/>
      <c r="Z350" s="7">
        <v>220128.38</v>
      </c>
      <c r="AA350" s="8">
        <f>IFERROR(Z350/Z444, "NA")</f>
        <v>0.11431838938687952</v>
      </c>
      <c r="AB350" s="9"/>
      <c r="AC350" s="10">
        <f t="shared" si="91"/>
        <v>-1301.2299999999814</v>
      </c>
      <c r="AD350" s="8">
        <f>IFERROR(AC350/AC444, "NA")</f>
        <v>-3.8612358661015882E-3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5500</v>
      </c>
      <c r="F352" s="8">
        <f>IFERROR(E352/E444, "NA")</f>
        <v>8.3221001373494537E-3</v>
      </c>
      <c r="G352" s="9"/>
      <c r="H352" s="10">
        <f t="shared" si="88"/>
        <v>5500</v>
      </c>
      <c r="I352" s="8">
        <f>IFERROR(H352/H444, "NA")</f>
        <v>-9.5795717548242773E-2</v>
      </c>
      <c r="J352" s="9"/>
      <c r="K352" s="7">
        <v>10000</v>
      </c>
      <c r="L352" s="8">
        <f>IFERROR(K352/K444, "NA")</f>
        <v>1.7657000130061464E-2</v>
      </c>
      <c r="M352" s="9"/>
      <c r="N352" s="10">
        <f t="shared" si="89"/>
        <v>10000</v>
      </c>
      <c r="O352" s="8">
        <f>IFERROR(N352/N444, "NA")</f>
        <v>0.26932827642561491</v>
      </c>
      <c r="P352" s="9"/>
      <c r="Q352" s="7">
        <v>0</v>
      </c>
      <c r="R352" s="8">
        <f>IFERROR(Q352/Q444, "NA")</f>
        <v>0</v>
      </c>
      <c r="S352" s="9"/>
      <c r="T352" s="7">
        <v>12375</v>
      </c>
      <c r="U352" s="8">
        <f>IFERROR(T352/T444, "NA")</f>
        <v>5.7226770978499536E-3</v>
      </c>
      <c r="V352" s="9"/>
      <c r="W352" s="10">
        <f t="shared" si="90"/>
        <v>12375</v>
      </c>
      <c r="X352" s="8">
        <f>IFERROR(W352/W444, "NA")</f>
        <v>0.12359964103667842</v>
      </c>
      <c r="Y352" s="9"/>
      <c r="Z352" s="7">
        <v>35769.25</v>
      </c>
      <c r="AA352" s="8">
        <f>IFERROR(Z352/Z444, "NA")</f>
        <v>1.8575901251699761E-2</v>
      </c>
      <c r="AB352" s="9"/>
      <c r="AC352" s="10">
        <f t="shared" si="91"/>
        <v>35769.25</v>
      </c>
      <c r="AD352" s="8">
        <f>IFERROR(AC352/AC444, "NA")</f>
        <v>0.10614073684402928</v>
      </c>
    </row>
    <row r="353" spans="1:30" ht="16.5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5443.97</v>
      </c>
      <c r="F353" s="8">
        <f>IFERROR(E353/E444, "NA")</f>
        <v>8.237320633586601E-3</v>
      </c>
      <c r="G353" s="9"/>
      <c r="H353" s="10">
        <f t="shared" si="88"/>
        <v>5443.97</v>
      </c>
      <c r="I353" s="8">
        <f>IFERROR(H353/H444, "NA")</f>
        <v>-9.4819820447474043E-2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6774.8</v>
      </c>
      <c r="R353" s="8">
        <f>IFERROR(Q353/Q444, "NA")</f>
        <v>2.9942926302104155E-3</v>
      </c>
      <c r="S353" s="9"/>
      <c r="T353" s="7">
        <v>18228.61</v>
      </c>
      <c r="U353" s="8">
        <f>IFERROR(T353/T444, "NA")</f>
        <v>8.4296120381930229E-3</v>
      </c>
      <c r="V353" s="9"/>
      <c r="W353" s="10">
        <f t="shared" si="90"/>
        <v>11453.810000000001</v>
      </c>
      <c r="X353" s="8">
        <f>IFERROR(W353/W444, "NA")</f>
        <v>0.11439893369715699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-6774.8</v>
      </c>
      <c r="AD353" s="8">
        <f>IFERROR(AC353/AC444, "NA")</f>
        <v>-2.0103364313507541E-2</v>
      </c>
    </row>
    <row r="354" spans="1:30" ht="16.5" customHeight="1" x14ac:dyDescent="0.45">
      <c r="A354" s="6" t="s">
        <v>323</v>
      </c>
      <c r="B354" s="7">
        <v>3476.68</v>
      </c>
      <c r="C354" s="8">
        <f>IFERROR(B354/B444, "NA")</f>
        <v>5.7610809147118653E-3</v>
      </c>
      <c r="D354" s="9"/>
      <c r="E354" s="7">
        <v>5066.7</v>
      </c>
      <c r="F354" s="8">
        <f>IFERROR(E354/E444, "NA")</f>
        <v>7.6664699574379045E-3</v>
      </c>
      <c r="G354" s="9"/>
      <c r="H354" s="10">
        <f t="shared" si="88"/>
        <v>1590.02</v>
      </c>
      <c r="I354" s="8">
        <f>IFERROR(H354/H444, "NA")</f>
        <v>-2.7694019421101269E-2</v>
      </c>
      <c r="J354" s="9"/>
      <c r="K354" s="7">
        <v>4499.3599999999997</v>
      </c>
      <c r="L354" s="8">
        <f>IFERROR(K354/K444, "NA")</f>
        <v>7.9445200105193337E-3</v>
      </c>
      <c r="M354" s="9"/>
      <c r="N354" s="10">
        <f t="shared" si="89"/>
        <v>1022.6799999999998</v>
      </c>
      <c r="O354" s="8">
        <f>IFERROR(N354/N444, "NA")</f>
        <v>2.7543664173494783E-2</v>
      </c>
      <c r="P354" s="9"/>
      <c r="Q354" s="7">
        <v>20206.98</v>
      </c>
      <c r="R354" s="8">
        <f>IFERROR(Q354/Q444, "NA")</f>
        <v>8.9309811791948475E-3</v>
      </c>
      <c r="S354" s="9"/>
      <c r="T354" s="7">
        <v>23708.12</v>
      </c>
      <c r="U354" s="8">
        <f>IFERROR(T354/T444, "NA")</f>
        <v>1.096354871572351E-2</v>
      </c>
      <c r="V354" s="9"/>
      <c r="W354" s="10">
        <f t="shared" si="90"/>
        <v>3501.1399999999994</v>
      </c>
      <c r="X354" s="8">
        <f>IFERROR(W354/W444, "NA")</f>
        <v>3.4968860381345959E-2</v>
      </c>
      <c r="Y354" s="9"/>
      <c r="Z354" s="7">
        <v>19883.669999999998</v>
      </c>
      <c r="AA354" s="8">
        <f>IFERROR(Z354/Z444, "NA")</f>
        <v>1.0326106654217937E-2</v>
      </c>
      <c r="AB354" s="9"/>
      <c r="AC354" s="10">
        <f t="shared" si="91"/>
        <v>-323.31000000000131</v>
      </c>
      <c r="AD354" s="8">
        <f>IFERROR(AC354/AC444, "NA")</f>
        <v>-9.5938163727344705E-4</v>
      </c>
    </row>
    <row r="355" spans="1:30" ht="16.5" customHeight="1" x14ac:dyDescent="0.45">
      <c r="A355" s="6" t="s">
        <v>324</v>
      </c>
      <c r="B355" s="7">
        <v>212</v>
      </c>
      <c r="C355" s="8">
        <f>IFERROR(B355/B444, "NA")</f>
        <v>3.5129754648656632E-4</v>
      </c>
      <c r="D355" s="9"/>
      <c r="E355" s="7">
        <v>280</v>
      </c>
      <c r="F355" s="8">
        <f>IFERROR(E355/E444, "NA")</f>
        <v>4.2367055244688128E-4</v>
      </c>
      <c r="G355" s="9"/>
      <c r="H355" s="10">
        <f t="shared" si="88"/>
        <v>68</v>
      </c>
      <c r="I355" s="8">
        <f>IFERROR(H355/H444, "NA")</f>
        <v>-1.1843834169600925E-3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-212</v>
      </c>
      <c r="O355" s="8">
        <f>IFERROR(N355/N444, "NA")</f>
        <v>-5.7097594602230368E-3</v>
      </c>
      <c r="P355" s="9"/>
      <c r="Q355" s="7">
        <v>1007</v>
      </c>
      <c r="R355" s="8">
        <f>IFERROR(Q355/Q444, "NA")</f>
        <v>4.4506888448690561E-4</v>
      </c>
      <c r="S355" s="9"/>
      <c r="T355" s="7">
        <v>1190</v>
      </c>
      <c r="U355" s="8">
        <f>IFERROR(T355/T444, "NA")</f>
        <v>5.5030187850031882E-4</v>
      </c>
      <c r="V355" s="9"/>
      <c r="W355" s="10">
        <f t="shared" si="90"/>
        <v>183</v>
      </c>
      <c r="X355" s="8">
        <f>IFERROR(W355/W444, "NA")</f>
        <v>1.8277765098757295E-3</v>
      </c>
      <c r="Y355" s="9"/>
      <c r="Z355" s="7">
        <v>775.92</v>
      </c>
      <c r="AA355" s="8">
        <f>IFERROR(Z355/Z444, "NA")</f>
        <v>4.029554239806224E-4</v>
      </c>
      <c r="AB355" s="9"/>
      <c r="AC355" s="10">
        <f t="shared" si="91"/>
        <v>-231.08000000000004</v>
      </c>
      <c r="AD355" s="8">
        <f>IFERROR(AC355/AC444, "NA")</f>
        <v>-6.8570074770699107E-4</v>
      </c>
    </row>
    <row r="356" spans="1:30" ht="16.5" customHeight="1" x14ac:dyDescent="0.45">
      <c r="A356" s="6" t="s">
        <v>325</v>
      </c>
      <c r="B356" s="7">
        <v>6515</v>
      </c>
      <c r="C356" s="8">
        <f>IFERROR(B356/B444, "NA")</f>
        <v>1.0795771298867829E-2</v>
      </c>
      <c r="D356" s="9"/>
      <c r="E356" s="7">
        <v>6187.5</v>
      </c>
      <c r="F356" s="8">
        <f>IFERROR(E356/E444, "NA")</f>
        <v>9.3623626545181349E-3</v>
      </c>
      <c r="G356" s="9"/>
      <c r="H356" s="10">
        <f t="shared" si="88"/>
        <v>-327.5</v>
      </c>
      <c r="I356" s="8">
        <f>IFERROR(H356/H444, "NA")</f>
        <v>5.7041995449180925E-3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-6515</v>
      </c>
      <c r="O356" s="8">
        <f>IFERROR(N356/N444, "NA")</f>
        <v>-0.17546737209128813</v>
      </c>
      <c r="P356" s="9"/>
      <c r="Q356" s="7">
        <v>27362.5</v>
      </c>
      <c r="R356" s="8">
        <f>IFERROR(Q356/Q444, "NA")</f>
        <v>1.2093542553895685E-2</v>
      </c>
      <c r="S356" s="9"/>
      <c r="T356" s="7">
        <v>24750</v>
      </c>
      <c r="U356" s="8">
        <f>IFERROR(T356/T444, "NA")</f>
        <v>1.1445354195699907E-2</v>
      </c>
      <c r="V356" s="9"/>
      <c r="W356" s="10">
        <f t="shared" si="90"/>
        <v>-2612.5</v>
      </c>
      <c r="X356" s="8">
        <f>IFERROR(W356/W444, "NA")</f>
        <v>-2.6093257552187665E-2</v>
      </c>
      <c r="Y356" s="9"/>
      <c r="Z356" s="7">
        <v>1800</v>
      </c>
      <c r="AA356" s="8">
        <f>IFERROR(Z356/Z444, "NA")</f>
        <v>9.3478678622167279E-4</v>
      </c>
      <c r="AB356" s="9"/>
      <c r="AC356" s="10">
        <f t="shared" si="91"/>
        <v>-25562.5</v>
      </c>
      <c r="AD356" s="8">
        <f>IFERROR(AC356/AC444, "NA")</f>
        <v>-7.5853493869049493E-2</v>
      </c>
    </row>
    <row r="357" spans="1:30" ht="16.5" customHeight="1" x14ac:dyDescent="0.45">
      <c r="A357" s="6" t="s">
        <v>326</v>
      </c>
      <c r="B357" s="7">
        <v>3674.43</v>
      </c>
      <c r="C357" s="8">
        <f>IFERROR(B357/B444, "NA")</f>
        <v>6.0887653006444992E-3</v>
      </c>
      <c r="D357" s="9"/>
      <c r="E357" s="7">
        <v>2546.7199999999998</v>
      </c>
      <c r="F357" s="8">
        <f>IFERROR(E357/E444, "NA")</f>
        <v>3.8534652475982908E-3</v>
      </c>
      <c r="G357" s="9"/>
      <c r="H357" s="10">
        <f t="shared" si="88"/>
        <v>-1127.71</v>
      </c>
      <c r="I357" s="8">
        <f>IFERROR(H357/H444, "NA")</f>
        <v>1.9641779752059794E-2</v>
      </c>
      <c r="J357" s="9"/>
      <c r="K357" s="7">
        <v>2976.76</v>
      </c>
      <c r="L357" s="8">
        <f>IFERROR(K357/K444, "NA")</f>
        <v>5.2560651707161763E-3</v>
      </c>
      <c r="M357" s="9"/>
      <c r="N357" s="10">
        <f t="shared" si="89"/>
        <v>-697.66999999999962</v>
      </c>
      <c r="O357" s="8">
        <f>IFERROR(N357/N444, "NA")</f>
        <v>-1.8790225861385866E-2</v>
      </c>
      <c r="P357" s="9"/>
      <c r="Q357" s="7">
        <v>13830.6</v>
      </c>
      <c r="R357" s="8">
        <f>IFERROR(Q357/Q444, "NA")</f>
        <v>6.1127802520204539E-3</v>
      </c>
      <c r="S357" s="9"/>
      <c r="T357" s="7">
        <v>10523.96</v>
      </c>
      <c r="U357" s="8">
        <f>IFERROR(T357/T444, "NA")</f>
        <v>4.8666848380354748E-3</v>
      </c>
      <c r="V357" s="9"/>
      <c r="W357" s="10">
        <f t="shared" si="90"/>
        <v>-3306.6400000000012</v>
      </c>
      <c r="X357" s="8">
        <f>IFERROR(W357/W444, "NA")</f>
        <v>-3.3026223598991718E-2</v>
      </c>
      <c r="Y357" s="9"/>
      <c r="Z357" s="7">
        <v>8988.49</v>
      </c>
      <c r="AA357" s="8">
        <f>IFERROR(Z357/Z444, "NA")</f>
        <v>4.6679564889364686E-3</v>
      </c>
      <c r="AB357" s="9"/>
      <c r="AC357" s="10">
        <f t="shared" si="91"/>
        <v>-4842.1100000000006</v>
      </c>
      <c r="AD357" s="8">
        <f>IFERROR(AC357/AC444, "NA")</f>
        <v>-1.4368350560323257E-2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56435.75</v>
      </c>
      <c r="C358" s="15">
        <f>IFERROR(B358/B444, "NA")</f>
        <v>9.3517643910986964E-2</v>
      </c>
      <c r="D358" s="2"/>
      <c r="E358" s="14">
        <f>IFERROR(E349+E350+E351+E352+E353+E354+E355+E356+E357, "NA")</f>
        <v>87139.89</v>
      </c>
      <c r="F358" s="15">
        <f>IFERROR(E358/E444, "NA")</f>
        <v>0.13185216191593024</v>
      </c>
      <c r="G358" s="2"/>
      <c r="H358" s="14">
        <f t="shared" si="88"/>
        <v>30704.14</v>
      </c>
      <c r="I358" s="15">
        <f>IFERROR(H358/H444, "NA")</f>
        <v>-0.53478638600030959</v>
      </c>
      <c r="J358" s="2"/>
      <c r="K358" s="14">
        <f>IFERROR(K349+K350+K351+K352+K353+K354+K355+K356+K357, "NA")</f>
        <v>67899.16</v>
      </c>
      <c r="L358" s="15">
        <f>IFERROR(K358/K444, "NA")</f>
        <v>0.11988954769510642</v>
      </c>
      <c r="M358" s="2"/>
      <c r="N358" s="14">
        <f t="shared" si="89"/>
        <v>11463.410000000003</v>
      </c>
      <c r="O358" s="15">
        <f>IFERROR(N358/N444, "NA")</f>
        <v>0.30874204572601593</v>
      </c>
      <c r="P358" s="2"/>
      <c r="Q358" s="14">
        <f>IFERROR(Q349+Q350+Q351+Q352+Q353+Q354+Q355+Q356+Q357, "NA")</f>
        <v>290611.49</v>
      </c>
      <c r="R358" s="15">
        <f>IFERROR(Q358/Q444, "NA")</f>
        <v>0.12844303046015643</v>
      </c>
      <c r="S358" s="2"/>
      <c r="T358" s="14">
        <f>IFERROR(T349+T350+T351+T352+T353+T354+T355+T356+T357, "NA")</f>
        <v>347457.69</v>
      </c>
      <c r="U358" s="15">
        <f>IFERROR(T358/T444, "NA")</f>
        <v>0.16067783151796761</v>
      </c>
      <c r="V358" s="2"/>
      <c r="W358" s="14">
        <f t="shared" si="90"/>
        <v>56846.200000000012</v>
      </c>
      <c r="X358" s="15">
        <f>IFERROR(W358/W444, "NA")</f>
        <v>0.56777130620599836</v>
      </c>
      <c r="Y358" s="2"/>
      <c r="Z358" s="14">
        <f>IFERROR(Z349+Z350+Z351+Z352+Z353+Z354+Z355+Z356+Z357, "NA")</f>
        <v>287345.70999999996</v>
      </c>
      <c r="AA358" s="15">
        <f>IFERROR(Z358/Z444, "NA")</f>
        <v>0.14922609599193595</v>
      </c>
      <c r="AB358" s="2"/>
      <c r="AC358" s="14">
        <f t="shared" si="91"/>
        <v>-3265.7800000000279</v>
      </c>
      <c r="AD358" s="15">
        <f>IFERROR(AC358/AC444, "NA")</f>
        <v>-9.6907901499331661E-3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1500</v>
      </c>
      <c r="F360" s="8">
        <f>IFERROR(E360/E444, "NA")</f>
        <v>2.2696636738225784E-3</v>
      </c>
      <c r="G360" s="9"/>
      <c r="H360" s="10">
        <f t="shared" ref="H360:H383" si="92">IFERROR(-(B360-E360), "NA")</f>
        <v>1500</v>
      </c>
      <c r="I360" s="8">
        <f>IFERROR(H360/H444, "NA")</f>
        <v>-2.6126104785884393E-2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5500</v>
      </c>
      <c r="U360" s="8">
        <f>IFERROR(T360/T444, "NA")</f>
        <v>2.5434120434888684E-3</v>
      </c>
      <c r="V360" s="9"/>
      <c r="W360" s="10">
        <f t="shared" ref="W360:W383" si="94">IFERROR(-(Q360-T360), "NA")</f>
        <v>5500</v>
      </c>
      <c r="X360" s="8">
        <f>IFERROR(W360/W444, "NA")</f>
        <v>5.4933173794079297E-2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990.39</v>
      </c>
      <c r="L361" s="8">
        <f>IFERROR(K361/K444, "NA")</f>
        <v>1.7487316358811573E-3</v>
      </c>
      <c r="M361" s="9"/>
      <c r="N361" s="10">
        <f t="shared" si="93"/>
        <v>990.39</v>
      </c>
      <c r="O361" s="8">
        <f>IFERROR(N361/N444, "NA")</f>
        <v>2.6674003168916476E-2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1642.54</v>
      </c>
      <c r="AA361" s="8">
        <f>IFERROR(Z361/Z444, "NA")</f>
        <v>8.5301371546697019E-4</v>
      </c>
      <c r="AB361" s="9"/>
      <c r="AC361" s="10">
        <f t="shared" si="95"/>
        <v>1642.54</v>
      </c>
      <c r="AD361" s="8">
        <f>IFERROR(AC361/AC444, "NA")</f>
        <v>4.8740302325542707E-3</v>
      </c>
    </row>
    <row r="362" spans="1:30" ht="16.5" customHeight="1" x14ac:dyDescent="0.45">
      <c r="A362" s="6" t="s">
        <v>330</v>
      </c>
      <c r="B362" s="7">
        <v>744.11</v>
      </c>
      <c r="C362" s="8">
        <f>IFERROR(B362/B444, "NA")</f>
        <v>1.2330378175288627E-3</v>
      </c>
      <c r="D362" s="9"/>
      <c r="E362" s="7">
        <v>500</v>
      </c>
      <c r="F362" s="8">
        <f>IFERROR(E362/E444, "NA")</f>
        <v>7.5655455794085941E-4</v>
      </c>
      <c r="G362" s="9"/>
      <c r="H362" s="10">
        <f t="shared" si="92"/>
        <v>-244.11</v>
      </c>
      <c r="I362" s="8">
        <f>IFERROR(H362/H444, "NA")</f>
        <v>4.2517622928548264E-3</v>
      </c>
      <c r="J362" s="9"/>
      <c r="K362" s="7">
        <v>371.74</v>
      </c>
      <c r="L362" s="8">
        <f>IFERROR(K362/K444, "NA")</f>
        <v>6.5638132283490479E-4</v>
      </c>
      <c r="M362" s="9"/>
      <c r="N362" s="10">
        <f t="shared" si="93"/>
        <v>-372.37</v>
      </c>
      <c r="O362" s="8">
        <f>IFERROR(N362/N444, "NA")</f>
        <v>-1.0028977029260623E-2</v>
      </c>
      <c r="P362" s="9"/>
      <c r="Q362" s="7">
        <v>3496.95</v>
      </c>
      <c r="R362" s="8">
        <f>IFERROR(Q362/Q444, "NA")</f>
        <v>1.5455646828266977E-3</v>
      </c>
      <c r="S362" s="9"/>
      <c r="T362" s="7">
        <v>1800</v>
      </c>
      <c r="U362" s="8">
        <f>IFERROR(T362/T444, "NA")</f>
        <v>8.3238939605090236E-4</v>
      </c>
      <c r="V362" s="9"/>
      <c r="W362" s="10">
        <f t="shared" si="94"/>
        <v>-1696.9499999999998</v>
      </c>
      <c r="X362" s="8">
        <f>IFERROR(W362/W444, "NA")</f>
        <v>-1.6948881685429611E-2</v>
      </c>
      <c r="Y362" s="9"/>
      <c r="Z362" s="7">
        <v>1517.84</v>
      </c>
      <c r="AA362" s="8">
        <f>IFERROR(Z362/Z444, "NA")</f>
        <v>7.882537642215021E-4</v>
      </c>
      <c r="AB362" s="9"/>
      <c r="AC362" s="10">
        <f t="shared" si="95"/>
        <v>-1979.11</v>
      </c>
      <c r="AD362" s="8">
        <f>IFERROR(AC362/AC444, "NA")</f>
        <v>-5.8727592469897125E-3</v>
      </c>
    </row>
    <row r="363" spans="1:30" ht="16.5" customHeight="1" x14ac:dyDescent="0.45">
      <c r="A363" s="6" t="s">
        <v>331</v>
      </c>
      <c r="B363" s="7">
        <v>732.85</v>
      </c>
      <c r="C363" s="8">
        <f>IFERROR(B363/B444, "NA")</f>
        <v>1.2143792780315102E-3</v>
      </c>
      <c r="D363" s="9"/>
      <c r="E363" s="7">
        <v>200</v>
      </c>
      <c r="F363" s="8">
        <f>IFERROR(E363/E444, "NA")</f>
        <v>3.0262182317634375E-4</v>
      </c>
      <c r="G363" s="9"/>
      <c r="H363" s="10">
        <f t="shared" si="92"/>
        <v>-532.85</v>
      </c>
      <c r="I363" s="8">
        <f>IFERROR(H363/H444, "NA")</f>
        <v>9.2808632901056672E-3</v>
      </c>
      <c r="J363" s="9"/>
      <c r="K363" s="7">
        <v>2533.33</v>
      </c>
      <c r="L363" s="8">
        <f>IFERROR(K363/K444, "NA")</f>
        <v>4.4731008139488604E-3</v>
      </c>
      <c r="M363" s="9"/>
      <c r="N363" s="10">
        <f t="shared" si="93"/>
        <v>1800.48</v>
      </c>
      <c r="O363" s="8">
        <f>IFERROR(N363/N444, "NA")</f>
        <v>4.8492017513879118E-2</v>
      </c>
      <c r="P363" s="9"/>
      <c r="Q363" s="7">
        <v>3427.7</v>
      </c>
      <c r="R363" s="8">
        <f>IFERROR(Q363/Q444, "NA")</f>
        <v>1.5149579099858652E-3</v>
      </c>
      <c r="S363" s="9"/>
      <c r="T363" s="7">
        <v>850</v>
      </c>
      <c r="U363" s="8">
        <f>IFERROR(T363/T444, "NA")</f>
        <v>3.9307277035737057E-4</v>
      </c>
      <c r="V363" s="9"/>
      <c r="W363" s="10">
        <f t="shared" si="94"/>
        <v>-2577.6999999999998</v>
      </c>
      <c r="X363" s="8">
        <f>IFERROR(W363/W444, "NA")</f>
        <v>-2.5745680379817854E-2</v>
      </c>
      <c r="Y363" s="9"/>
      <c r="Z363" s="7">
        <v>3922.93</v>
      </c>
      <c r="AA363" s="8">
        <f>IFERROR(Z363/Z444, "NA")</f>
        <v>2.037279515151437E-3</v>
      </c>
      <c r="AB363" s="9"/>
      <c r="AC363" s="10">
        <f t="shared" si="95"/>
        <v>495.23</v>
      </c>
      <c r="AD363" s="8">
        <f>IFERROR(AC363/AC444, "NA")</f>
        <v>1.469532548411516E-3</v>
      </c>
    </row>
    <row r="364" spans="1:30" ht="16.5" customHeight="1" x14ac:dyDescent="0.45">
      <c r="A364" s="6" t="s">
        <v>332</v>
      </c>
      <c r="B364" s="7">
        <v>338.78</v>
      </c>
      <c r="C364" s="8">
        <f>IFERROR(B364/B444, "NA")</f>
        <v>5.6138010754112704E-4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-338.78</v>
      </c>
      <c r="I364" s="8">
        <f>IFERROR(H364/H444, "NA")</f>
        <v>5.9006678529079431E-3</v>
      </c>
      <c r="J364" s="9"/>
      <c r="K364" s="7">
        <v>784.23</v>
      </c>
      <c r="L364" s="8">
        <f>IFERROR(K364/K444, "NA")</f>
        <v>1.3847149211998102E-3</v>
      </c>
      <c r="M364" s="9"/>
      <c r="N364" s="10">
        <f t="shared" si="93"/>
        <v>445.45000000000005</v>
      </c>
      <c r="O364" s="8">
        <f>IFERROR(N364/N444, "NA")</f>
        <v>1.1997228073379019E-2</v>
      </c>
      <c r="P364" s="9"/>
      <c r="Q364" s="7">
        <v>2924.75</v>
      </c>
      <c r="R364" s="8">
        <f>IFERROR(Q364/Q444, "NA")</f>
        <v>1.2926665540249028E-3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-2924.75</v>
      </c>
      <c r="X364" s="8">
        <f>IFERROR(W364/W444, "NA")</f>
        <v>-2.9211963646224259E-2</v>
      </c>
      <c r="Y364" s="9"/>
      <c r="Z364" s="7">
        <v>2403.3200000000002</v>
      </c>
      <c r="AA364" s="8">
        <f>IFERROR(Z364/Z444, "NA")</f>
        <v>1.2481065439234836E-3</v>
      </c>
      <c r="AB364" s="9"/>
      <c r="AC364" s="10">
        <f t="shared" si="95"/>
        <v>-521.42999999999984</v>
      </c>
      <c r="AD364" s="8">
        <f>IFERROR(AC364/AC444, "NA")</f>
        <v>-1.5472777431056611E-3</v>
      </c>
    </row>
    <row r="365" spans="1:30" ht="16.5" customHeight="1" x14ac:dyDescent="0.45">
      <c r="A365" s="6" t="s">
        <v>333</v>
      </c>
      <c r="B365" s="7">
        <v>1655.67</v>
      </c>
      <c r="C365" s="8">
        <f>IFERROR(B365/B444, "NA")</f>
        <v>2.7435509848651573E-3</v>
      </c>
      <c r="D365" s="9"/>
      <c r="E365" s="7">
        <v>420</v>
      </c>
      <c r="F365" s="8">
        <f>IFERROR(E365/E444, "NA")</f>
        <v>6.3550582867032189E-4</v>
      </c>
      <c r="G365" s="9"/>
      <c r="H365" s="10">
        <f t="shared" si="92"/>
        <v>-1235.67</v>
      </c>
      <c r="I365" s="8">
        <f>IFERROR(H365/H444, "NA")</f>
        <v>2.1522162600515846E-2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-1655.67</v>
      </c>
      <c r="O365" s="8">
        <f>IFERROR(N365/N444, "NA")</f>
        <v>-4.4591874742959788E-2</v>
      </c>
      <c r="P365" s="9"/>
      <c r="Q365" s="7">
        <v>2535.06</v>
      </c>
      <c r="R365" s="8">
        <f>IFERROR(Q365/Q444, "NA")</f>
        <v>1.1204332932545928E-3</v>
      </c>
      <c r="S365" s="9"/>
      <c r="T365" s="7">
        <v>630</v>
      </c>
      <c r="U365" s="8">
        <f>IFERROR(T365/T444, "NA")</f>
        <v>2.9133628861781585E-4</v>
      </c>
      <c r="V365" s="9"/>
      <c r="W365" s="10">
        <f t="shared" si="94"/>
        <v>-1905.06</v>
      </c>
      <c r="X365" s="8">
        <f>IFERROR(W365/W444, "NA")</f>
        <v>-1.9027453103299764E-2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-2535.06</v>
      </c>
      <c r="AD365" s="8">
        <f>IFERROR(AC365/AC444, "NA")</f>
        <v>-7.5224707351656756E-3</v>
      </c>
    </row>
    <row r="366" spans="1:30" ht="16.5" customHeight="1" x14ac:dyDescent="0.45">
      <c r="A366" s="6" t="s">
        <v>334</v>
      </c>
      <c r="B366" s="7">
        <v>1417.91</v>
      </c>
      <c r="C366" s="8">
        <f>IFERROR(B366/B444, "NA")</f>
        <v>2.349567472352676E-3</v>
      </c>
      <c r="D366" s="9"/>
      <c r="E366" s="7">
        <v>690</v>
      </c>
      <c r="F366" s="8">
        <f>IFERROR(E366/E444, "NA")</f>
        <v>1.044045289958386E-3</v>
      </c>
      <c r="G366" s="9"/>
      <c r="H366" s="10">
        <f t="shared" si="92"/>
        <v>-727.91000000000008</v>
      </c>
      <c r="I366" s="8">
        <f>IFERROR(H366/H444, "NA")</f>
        <v>1.2678301956462074E-2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-1417.91</v>
      </c>
      <c r="O366" s="8">
        <f>IFERROR(N366/N444, "NA")</f>
        <v>-3.8188325642664368E-2</v>
      </c>
      <c r="P366" s="9"/>
      <c r="Q366" s="7">
        <v>1417.91</v>
      </c>
      <c r="R366" s="8">
        <f>IFERROR(Q366/Q444, "NA")</f>
        <v>6.2668085601075318E-4</v>
      </c>
      <c r="S366" s="9"/>
      <c r="T366" s="7">
        <v>1380</v>
      </c>
      <c r="U366" s="8">
        <f>IFERROR(T366/T444, "NA")</f>
        <v>6.3816520363902513E-4</v>
      </c>
      <c r="V366" s="9"/>
      <c r="W366" s="10">
        <f t="shared" si="94"/>
        <v>-37.910000000000082</v>
      </c>
      <c r="X366" s="8">
        <f>IFERROR(W366/W444, "NA")</f>
        <v>-3.786393851879183E-4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-1417.91</v>
      </c>
      <c r="AD366" s="8">
        <f>IFERROR(AC366/AC444, "NA")</f>
        <v>-4.207469046136488E-3</v>
      </c>
    </row>
    <row r="367" spans="1:30" ht="16.5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5481.74</v>
      </c>
      <c r="R367" s="8">
        <f>IFERROR(Q367/Q444, "NA")</f>
        <v>2.4227923603249752E-3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-5481.74</v>
      </c>
      <c r="X367" s="8">
        <f>IFERROR(W367/W444, "NA")</f>
        <v>-5.4750795657082955E-2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-5481.74</v>
      </c>
      <c r="AD367" s="8">
        <f>IFERROR(AC367/AC444, "NA")</f>
        <v>-1.6266371891705558E-2</v>
      </c>
    </row>
    <row r="368" spans="1:30" ht="16.5" customHeight="1" x14ac:dyDescent="0.45">
      <c r="A368" s="19" t="s">
        <v>336</v>
      </c>
      <c r="B368" s="14">
        <f>IFERROR(B360+B361+B362+B363+B364+B365+B366+B367, "NA")</f>
        <v>4889.32</v>
      </c>
      <c r="C368" s="15">
        <f>IFERROR(B368/B444, "NA")</f>
        <v>8.1019156603193317E-3</v>
      </c>
      <c r="D368" s="2"/>
      <c r="E368" s="14">
        <f>IFERROR(E360+E361+E362+E363+E364+E365+E366+E367, "NA")</f>
        <v>3310</v>
      </c>
      <c r="F368" s="15">
        <f>IFERROR(E368/E444, "NA")</f>
        <v>5.0083911735684895E-3</v>
      </c>
      <c r="G368" s="2"/>
      <c r="H368" s="14">
        <f t="shared" si="92"/>
        <v>-1579.3199999999997</v>
      </c>
      <c r="I368" s="15">
        <f>IFERROR(H368/H444, "NA")</f>
        <v>2.7507653206961954E-2</v>
      </c>
      <c r="J368" s="2"/>
      <c r="K368" s="14">
        <f>IFERROR(K360+K361+K362+K363+K364+K365+K366+K367, "NA")</f>
        <v>4679.6900000000005</v>
      </c>
      <c r="L368" s="15">
        <f>IFERROR(K368/K444, "NA")</f>
        <v>8.262928693864734E-3</v>
      </c>
      <c r="M368" s="2"/>
      <c r="N368" s="14">
        <f t="shared" si="93"/>
        <v>-209.6299999999992</v>
      </c>
      <c r="O368" s="15">
        <f>IFERROR(N368/N444, "NA")</f>
        <v>-5.6459286587101443E-3</v>
      </c>
      <c r="P368" s="2"/>
      <c r="Q368" s="14">
        <f>IFERROR(Q360+Q361+Q362+Q363+Q364+Q365+Q366+Q367, "NA")</f>
        <v>19284.11</v>
      </c>
      <c r="R368" s="15">
        <f>IFERROR(Q368/Q444, "NA")</f>
        <v>8.5230956564277868E-3</v>
      </c>
      <c r="S368" s="2"/>
      <c r="T368" s="14">
        <f>IFERROR(T360+T361+T362+T363+T364+T365+T366+T367, "NA")</f>
        <v>10160</v>
      </c>
      <c r="U368" s="15">
        <f>IFERROR(T368/T444, "NA")</f>
        <v>4.6983757021539828E-3</v>
      </c>
      <c r="V368" s="2"/>
      <c r="W368" s="14">
        <f t="shared" si="94"/>
        <v>-9124.11</v>
      </c>
      <c r="X368" s="15">
        <f>IFERROR(W368/W444, "NA")</f>
        <v>-9.1130240062963067E-2</v>
      </c>
      <c r="Y368" s="2"/>
      <c r="Z368" s="14">
        <f>IFERROR(Z360+Z361+Z362+Z363+Z364+Z365+Z366+Z367, "NA")</f>
        <v>9486.6299999999992</v>
      </c>
      <c r="AA368" s="15">
        <f>IFERROR(Z368/Z444, "NA")</f>
        <v>4.9266535387633929E-3</v>
      </c>
      <c r="AB368" s="2"/>
      <c r="AC368" s="14">
        <f t="shared" si="95"/>
        <v>-9797.4800000000014</v>
      </c>
      <c r="AD368" s="15">
        <f>IFERROR(AC368/AC444, "NA")</f>
        <v>-2.9072785882137315E-2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customHeight="1" x14ac:dyDescent="0.45">
      <c r="A370" s="20" t="s">
        <v>338</v>
      </c>
      <c r="B370" s="7">
        <v>317</v>
      </c>
      <c r="C370" s="8">
        <f>IFERROR(B370/B444, "NA")</f>
        <v>5.2528925583132798E-4</v>
      </c>
      <c r="D370" s="9"/>
      <c r="E370" s="7">
        <v>635</v>
      </c>
      <c r="F370" s="8">
        <f>IFERROR(E370/E444, "NA")</f>
        <v>9.6082428858489154E-4</v>
      </c>
      <c r="G370" s="9"/>
      <c r="H370" s="10">
        <f t="shared" si="92"/>
        <v>318</v>
      </c>
      <c r="I370" s="8">
        <f>IFERROR(H370/H444, "NA")</f>
        <v>-5.5387342146074915E-3</v>
      </c>
      <c r="J370" s="9"/>
      <c r="K370" s="7">
        <v>467.5</v>
      </c>
      <c r="L370" s="8">
        <f>IFERROR(K370/K444, "NA")</f>
        <v>8.2546475608037337E-4</v>
      </c>
      <c r="M370" s="9"/>
      <c r="N370" s="10">
        <f t="shared" si="93"/>
        <v>150.5</v>
      </c>
      <c r="O370" s="8">
        <f>IFERROR(N370/N444, "NA")</f>
        <v>4.0533905602055048E-3</v>
      </c>
      <c r="P370" s="9"/>
      <c r="Q370" s="7">
        <v>1291</v>
      </c>
      <c r="R370" s="8">
        <f>IFERROR(Q370/Q444, "NA")</f>
        <v>5.7058980126374896E-4</v>
      </c>
      <c r="S370" s="9"/>
      <c r="T370" s="7">
        <v>2540</v>
      </c>
      <c r="U370" s="8">
        <f>IFERROR(T370/T444, "NA")</f>
        <v>1.1745939255384957E-3</v>
      </c>
      <c r="V370" s="9"/>
      <c r="W370" s="10">
        <f t="shared" si="94"/>
        <v>1249</v>
      </c>
      <c r="X370" s="8">
        <f>IFERROR(W370/W444, "NA")</f>
        <v>1.2474824376146372E-2</v>
      </c>
      <c r="Y370" s="9"/>
      <c r="Z370" s="7">
        <v>2350.1</v>
      </c>
      <c r="AA370" s="8">
        <f>IFERROR(Z370/Z444, "NA")</f>
        <v>1.2204680146108628E-3</v>
      </c>
      <c r="AB370" s="9"/>
      <c r="AC370" s="10">
        <f t="shared" si="95"/>
        <v>1059.0999999999999</v>
      </c>
      <c r="AD370" s="8">
        <f>IFERROR(AC370/AC444, "NA")</f>
        <v>3.1427456374263202E-3</v>
      </c>
    </row>
    <row r="371" spans="1:30" ht="16.5" customHeight="1" x14ac:dyDescent="0.45">
      <c r="A371" s="20" t="s">
        <v>339</v>
      </c>
      <c r="B371" s="7">
        <v>368.86</v>
      </c>
      <c r="C371" s="8">
        <f>IFERROR(B371/B444, "NA")</f>
        <v>6.1122458960865503E-4</v>
      </c>
      <c r="D371" s="9"/>
      <c r="E371" s="7">
        <v>100</v>
      </c>
      <c r="F371" s="8">
        <f>IFERROR(E371/E444, "NA")</f>
        <v>1.5131091158817188E-4</v>
      </c>
      <c r="G371" s="9"/>
      <c r="H371" s="10">
        <f t="shared" si="92"/>
        <v>-268.86</v>
      </c>
      <c r="I371" s="8">
        <f>IFERROR(H371/H444, "NA")</f>
        <v>4.6828430218219192E-3</v>
      </c>
      <c r="J371" s="9"/>
      <c r="K371" s="7">
        <v>1109.78</v>
      </c>
      <c r="L371" s="8">
        <f>IFERROR(K371/K444, "NA")</f>
        <v>1.9595385604339612E-3</v>
      </c>
      <c r="M371" s="9"/>
      <c r="N371" s="10">
        <f t="shared" si="93"/>
        <v>740.92</v>
      </c>
      <c r="O371" s="8">
        <f>IFERROR(N371/N444, "NA")</f>
        <v>1.9955070656926661E-2</v>
      </c>
      <c r="P371" s="9"/>
      <c r="Q371" s="7">
        <v>875.47</v>
      </c>
      <c r="R371" s="8">
        <f>IFERROR(Q371/Q444, "NA")</f>
        <v>3.8693590496698241E-4</v>
      </c>
      <c r="S371" s="9"/>
      <c r="T371" s="7">
        <v>400</v>
      </c>
      <c r="U371" s="8">
        <f>IFERROR(T371/T444, "NA")</f>
        <v>1.8497542134464498E-4</v>
      </c>
      <c r="V371" s="9"/>
      <c r="W371" s="10">
        <f t="shared" si="94"/>
        <v>-475.47</v>
      </c>
      <c r="X371" s="8">
        <f>IFERROR(W371/W444, "NA")</f>
        <v>-4.7489229352492522E-3</v>
      </c>
      <c r="Y371" s="9"/>
      <c r="Z371" s="7">
        <v>2209.3000000000002</v>
      </c>
      <c r="AA371" s="8">
        <f>IFERROR(Z371/Z444, "NA")</f>
        <v>1.1473469148886343E-3</v>
      </c>
      <c r="AB371" s="9"/>
      <c r="AC371" s="10">
        <f t="shared" si="95"/>
        <v>1333.8300000000002</v>
      </c>
      <c r="AD371" s="8">
        <f>IFERROR(AC371/AC444, "NA")</f>
        <v>3.9579722533928325E-3</v>
      </c>
    </row>
    <row r="372" spans="1:30" ht="16.5" customHeight="1" x14ac:dyDescent="0.45">
      <c r="A372" s="20" t="s">
        <v>340</v>
      </c>
      <c r="B372" s="7">
        <v>1277.17</v>
      </c>
      <c r="C372" s="8">
        <f>IFERROR(B372/B444, "NA")</f>
        <v>2.1163522992747544E-3</v>
      </c>
      <c r="D372" s="9"/>
      <c r="E372" s="7">
        <v>1000</v>
      </c>
      <c r="F372" s="8">
        <f>IFERROR(E372/E444, "NA")</f>
        <v>1.5131091158817188E-3</v>
      </c>
      <c r="G372" s="9"/>
      <c r="H372" s="10">
        <f t="shared" si="92"/>
        <v>-277.17000000000007</v>
      </c>
      <c r="I372" s="8">
        <f>IFERROR(H372/H444, "NA")</f>
        <v>4.8275816423357194E-3</v>
      </c>
      <c r="J372" s="9"/>
      <c r="K372" s="7">
        <v>1000</v>
      </c>
      <c r="L372" s="8">
        <f>IFERROR(K372/K444, "NA")</f>
        <v>1.7657000130061463E-3</v>
      </c>
      <c r="M372" s="9"/>
      <c r="N372" s="10">
        <f t="shared" si="93"/>
        <v>-277.17000000000007</v>
      </c>
      <c r="O372" s="8">
        <f>IFERROR(N372/N444, "NA")</f>
        <v>-7.4649718376887707E-3</v>
      </c>
      <c r="P372" s="9"/>
      <c r="Q372" s="7">
        <v>1831.51</v>
      </c>
      <c r="R372" s="8">
        <f>IFERROR(Q372/Q444, "NA")</f>
        <v>8.0948174044350796E-4</v>
      </c>
      <c r="S372" s="9"/>
      <c r="T372" s="7">
        <v>3500</v>
      </c>
      <c r="U372" s="8">
        <f>IFERROR(T372/T444, "NA")</f>
        <v>1.6185349367656436E-3</v>
      </c>
      <c r="V372" s="9"/>
      <c r="W372" s="10">
        <f t="shared" si="94"/>
        <v>1668.49</v>
      </c>
      <c r="X372" s="8">
        <f>IFERROR(W372/W444, "NA")</f>
        <v>1.6664627480669703E-2</v>
      </c>
      <c r="Y372" s="9"/>
      <c r="Z372" s="7">
        <v>3450</v>
      </c>
      <c r="AA372" s="8">
        <f>IFERROR(Z372/Z444, "NA")</f>
        <v>1.7916746735915394E-3</v>
      </c>
      <c r="AB372" s="9"/>
      <c r="AC372" s="10">
        <f t="shared" si="95"/>
        <v>1618.49</v>
      </c>
      <c r="AD372" s="8">
        <f>IFERROR(AC372/AC444, "NA")</f>
        <v>4.8026648916231944E-3</v>
      </c>
    </row>
    <row r="373" spans="1:30" ht="16.5" customHeight="1" x14ac:dyDescent="0.45">
      <c r="A373" s="20" t="s">
        <v>341</v>
      </c>
      <c r="B373" s="7">
        <v>337.08</v>
      </c>
      <c r="C373" s="8">
        <f>IFERROR(B373/B444, "NA")</f>
        <v>5.585630989136405E-4</v>
      </c>
      <c r="D373" s="9"/>
      <c r="E373" s="7">
        <v>325</v>
      </c>
      <c r="F373" s="8">
        <f>IFERROR(E373/E444, "NA")</f>
        <v>4.9176046266155864E-4</v>
      </c>
      <c r="G373" s="9"/>
      <c r="H373" s="10">
        <f t="shared" si="92"/>
        <v>-12.079999999999984</v>
      </c>
      <c r="I373" s="8">
        <f>IFERROR(H373/H444, "NA")</f>
        <v>2.1040223054232204E-4</v>
      </c>
      <c r="J373" s="9"/>
      <c r="K373" s="7">
        <v>930.61</v>
      </c>
      <c r="L373" s="8">
        <f>IFERROR(K373/K444, "NA")</f>
        <v>1.6431780891036499E-3</v>
      </c>
      <c r="M373" s="9"/>
      <c r="N373" s="10">
        <f t="shared" si="93"/>
        <v>593.53</v>
      </c>
      <c r="O373" s="8">
        <f>IFERROR(N373/N444, "NA")</f>
        <v>1.5985441190689523E-2</v>
      </c>
      <c r="P373" s="9"/>
      <c r="Q373" s="7">
        <v>1782.31</v>
      </c>
      <c r="R373" s="8">
        <f>IFERROR(Q373/Q444, "NA")</f>
        <v>7.8773656753709711E-4</v>
      </c>
      <c r="S373" s="9"/>
      <c r="T373" s="7">
        <v>1300</v>
      </c>
      <c r="U373" s="8">
        <f>IFERROR(T373/T444, "NA")</f>
        <v>6.0117011937009621E-4</v>
      </c>
      <c r="V373" s="9"/>
      <c r="W373" s="10">
        <f t="shared" si="94"/>
        <v>-482.30999999999995</v>
      </c>
      <c r="X373" s="8">
        <f>IFERROR(W373/W444, "NA")</f>
        <v>-4.8172398277495244E-3</v>
      </c>
      <c r="Y373" s="9"/>
      <c r="Z373" s="7">
        <v>3413.18</v>
      </c>
      <c r="AA373" s="8">
        <f>IFERROR(Z373/Z444, "NA")</f>
        <v>1.7725530905533828E-3</v>
      </c>
      <c r="AB373" s="9"/>
      <c r="AC373" s="10">
        <f t="shared" si="95"/>
        <v>1630.87</v>
      </c>
      <c r="AD373" s="8">
        <f>IFERROR(AC373/AC444, "NA")</f>
        <v>4.8394009798030995E-3</v>
      </c>
    </row>
    <row r="374" spans="1:30" ht="16.5" customHeight="1" x14ac:dyDescent="0.45">
      <c r="A374" s="20" t="s">
        <v>342</v>
      </c>
      <c r="B374" s="7">
        <v>1924.98</v>
      </c>
      <c r="C374" s="8">
        <f>IFERROR(B374/B444, "NA")</f>
        <v>3.1898148633759927E-3</v>
      </c>
      <c r="D374" s="9"/>
      <c r="E374" s="7">
        <v>1900</v>
      </c>
      <c r="F374" s="8">
        <f>IFERROR(E374/E444, "NA")</f>
        <v>2.874907320175266E-3</v>
      </c>
      <c r="G374" s="9"/>
      <c r="H374" s="10">
        <f t="shared" si="92"/>
        <v>-24.980000000000018</v>
      </c>
      <c r="I374" s="8">
        <f>IFERROR(H374/H444, "NA")</f>
        <v>4.3508673170092842E-4</v>
      </c>
      <c r="J374" s="9"/>
      <c r="K374" s="7">
        <v>1883.13</v>
      </c>
      <c r="L374" s="8">
        <f>IFERROR(K374/K444, "NA")</f>
        <v>3.3250426654922644E-3</v>
      </c>
      <c r="M374" s="9"/>
      <c r="N374" s="10">
        <f t="shared" si="93"/>
        <v>-41.849999999999909</v>
      </c>
      <c r="O374" s="8">
        <f>IFERROR(N374/N444, "NA")</f>
        <v>-1.1271388368411961E-3</v>
      </c>
      <c r="P374" s="9"/>
      <c r="Q374" s="7">
        <v>7659.01</v>
      </c>
      <c r="R374" s="8">
        <f>IFERROR(Q374/Q444, "NA")</f>
        <v>3.3850913971936992E-3</v>
      </c>
      <c r="S374" s="9"/>
      <c r="T374" s="7">
        <v>7600</v>
      </c>
      <c r="U374" s="8">
        <f>IFERROR(T374/T444, "NA")</f>
        <v>3.5145330055482544E-3</v>
      </c>
      <c r="V374" s="9"/>
      <c r="W374" s="10">
        <f t="shared" si="94"/>
        <v>-59.010000000000218</v>
      </c>
      <c r="X374" s="8">
        <f>IFERROR(W374/W444, "NA")</f>
        <v>-5.8938301556156936E-4</v>
      </c>
      <c r="Y374" s="9"/>
      <c r="Z374" s="7">
        <v>6943.59</v>
      </c>
      <c r="AA374" s="8">
        <f>IFERROR(Z374/Z444, "NA")</f>
        <v>3.6059867671894138E-3</v>
      </c>
      <c r="AB374" s="9"/>
      <c r="AC374" s="10">
        <f t="shared" si="95"/>
        <v>-715.42000000000007</v>
      </c>
      <c r="AD374" s="8">
        <f>IFERROR(AC374/AC444, "NA")</f>
        <v>-2.1229185949651007E-3</v>
      </c>
    </row>
    <row r="375" spans="1:30" ht="16.5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205.26</v>
      </c>
      <c r="R375" s="8">
        <f>IFERROR(Q375/Q444, "NA")</f>
        <v>9.0719800625404417E-5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-205.26</v>
      </c>
      <c r="X375" s="8">
        <f>IFERROR(W375/W444, "NA")</f>
        <v>-2.0501060459950393E-3</v>
      </c>
      <c r="Y375" s="9"/>
      <c r="Z375" s="7">
        <v>184.99</v>
      </c>
      <c r="AA375" s="8">
        <f>IFERROR(Z375/Z444, "NA")</f>
        <v>9.607011532397069E-5</v>
      </c>
      <c r="AB375" s="9"/>
      <c r="AC375" s="10">
        <f t="shared" si="95"/>
        <v>-20.269999999999982</v>
      </c>
      <c r="AD375" s="8">
        <f>IFERROR(AC375/AC444, "NA")</f>
        <v>-6.0148667803447693E-5</v>
      </c>
    </row>
    <row r="376" spans="1:30" ht="16.5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-2413</v>
      </c>
      <c r="R376" s="8">
        <f>IFERROR(Q376/Q444, "NA")</f>
        <v>-1.0664858175440945E-3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2413</v>
      </c>
      <c r="X376" s="8">
        <f>IFERROR(W376/W444, "NA")</f>
        <v>2.4100681520929701E-2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2413</v>
      </c>
      <c r="AD376" s="8">
        <f>IFERROR(AC376/AC444, "NA")</f>
        <v>7.1602730838539429E-3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customHeight="1" x14ac:dyDescent="0.45">
      <c r="A378" s="20" t="s">
        <v>346</v>
      </c>
      <c r="B378" s="7">
        <v>8749.64</v>
      </c>
      <c r="C378" s="8">
        <f>IFERROR(B378/B444, "NA")</f>
        <v>1.4498712569060001E-2</v>
      </c>
      <c r="D378" s="9"/>
      <c r="E378" s="7">
        <v>8470.33</v>
      </c>
      <c r="F378" s="8">
        <f>IFERROR(E378/E444, "NA")</f>
        <v>1.28165335375264E-2</v>
      </c>
      <c r="G378" s="9"/>
      <c r="H378" s="10">
        <f t="shared" si="92"/>
        <v>-279.30999999999949</v>
      </c>
      <c r="I378" s="8">
        <f>IFERROR(H378/H444, "NA")</f>
        <v>4.864854885163571E-3</v>
      </c>
      <c r="J378" s="9"/>
      <c r="K378" s="7">
        <v>5762.22</v>
      </c>
      <c r="L378" s="8">
        <f>IFERROR(K378/K444, "NA")</f>
        <v>1.0174351928944277E-2</v>
      </c>
      <c r="M378" s="9"/>
      <c r="N378" s="10">
        <f t="shared" si="93"/>
        <v>-2987.4199999999992</v>
      </c>
      <c r="O378" s="8">
        <f>IFERROR(N378/N444, "NA")</f>
        <v>-8.0459667955941033E-2</v>
      </c>
      <c r="P378" s="9"/>
      <c r="Q378" s="7">
        <v>34568.120000000003</v>
      </c>
      <c r="R378" s="8">
        <f>IFERROR(Q378/Q444, "NA")</f>
        <v>1.5278246879056101E-2</v>
      </c>
      <c r="S378" s="9"/>
      <c r="T378" s="7">
        <v>33881.32</v>
      </c>
      <c r="U378" s="8">
        <f>IFERROR(T378/T444, "NA")</f>
        <v>1.5668028606781868E-2</v>
      </c>
      <c r="V378" s="9"/>
      <c r="W378" s="10">
        <f t="shared" si="94"/>
        <v>-686.80000000000291</v>
      </c>
      <c r="X378" s="8">
        <f>IFERROR(W378/W444, "NA")</f>
        <v>-6.8596552294134224E-3</v>
      </c>
      <c r="Y378" s="9"/>
      <c r="Z378" s="7">
        <v>23119.29</v>
      </c>
      <c r="AA378" s="8">
        <f>IFERROR(Z378/Z444, "NA")</f>
        <v>1.2006448221570477E-2</v>
      </c>
      <c r="AB378" s="9"/>
      <c r="AC378" s="10">
        <f t="shared" si="95"/>
        <v>-11448.830000000002</v>
      </c>
      <c r="AD378" s="8">
        <f>IFERROR(AC378/AC444, "NA")</f>
        <v>-3.3972958678250953E-2</v>
      </c>
    </row>
    <row r="379" spans="1:30" ht="16.5" customHeight="1" x14ac:dyDescent="0.45">
      <c r="A379" s="20" t="s">
        <v>347</v>
      </c>
      <c r="B379" s="7">
        <v>2421.58</v>
      </c>
      <c r="C379" s="8">
        <f>IFERROR(B379/B444, "NA")</f>
        <v>4.012712795381789E-3</v>
      </c>
      <c r="D379" s="9"/>
      <c r="E379" s="7">
        <v>200</v>
      </c>
      <c r="F379" s="8">
        <f>IFERROR(E379/E444, "NA")</f>
        <v>3.0262182317634375E-4</v>
      </c>
      <c r="G379" s="9"/>
      <c r="H379" s="10">
        <f t="shared" si="92"/>
        <v>-2221.58</v>
      </c>
      <c r="I379" s="8">
        <f>IFERROR(H379/H444, "NA")</f>
        <v>3.8694154580150034E-2</v>
      </c>
      <c r="J379" s="9"/>
      <c r="K379" s="7">
        <v>208.94</v>
      </c>
      <c r="L379" s="8">
        <f>IFERROR(K379/K444, "NA")</f>
        <v>3.6892536071750419E-4</v>
      </c>
      <c r="M379" s="9"/>
      <c r="N379" s="10">
        <f t="shared" si="93"/>
        <v>-2212.64</v>
      </c>
      <c r="O379" s="8">
        <f>IFERROR(N379/N444, "NA")</f>
        <v>-5.9592651755037258E-2</v>
      </c>
      <c r="P379" s="9"/>
      <c r="Q379" s="7">
        <v>3811.64</v>
      </c>
      <c r="R379" s="8">
        <f>IFERROR(Q379/Q444, "NA")</f>
        <v>1.6846498141665034E-3</v>
      </c>
      <c r="S379" s="9"/>
      <c r="T379" s="7">
        <v>800</v>
      </c>
      <c r="U379" s="8">
        <f>IFERROR(T379/T444, "NA")</f>
        <v>3.6995084268928995E-4</v>
      </c>
      <c r="V379" s="9"/>
      <c r="W379" s="10">
        <f t="shared" si="94"/>
        <v>-3011.64</v>
      </c>
      <c r="X379" s="8">
        <f>IFERROR(W379/W444, "NA")</f>
        <v>-3.0079807913672905E-2</v>
      </c>
      <c r="Y379" s="9"/>
      <c r="Z379" s="7">
        <v>1358.23</v>
      </c>
      <c r="AA379" s="8">
        <f>IFERROR(Z379/Z444, "NA")</f>
        <v>7.0536414258325704E-4</v>
      </c>
      <c r="AB379" s="9"/>
      <c r="AC379" s="10">
        <f t="shared" si="95"/>
        <v>-2453.41</v>
      </c>
      <c r="AD379" s="8">
        <f>IFERROR(AC379/AC444, "NA")</f>
        <v>-7.2801846608612107E-3</v>
      </c>
    </row>
    <row r="380" spans="1:30" ht="16.5" customHeight="1" x14ac:dyDescent="0.45">
      <c r="A380" s="20" t="s">
        <v>348</v>
      </c>
      <c r="B380" s="7">
        <v>11500</v>
      </c>
      <c r="C380" s="8">
        <f>IFERROR(B380/B444, "NA")</f>
        <v>1.9056234832997704E-2</v>
      </c>
      <c r="D380" s="9"/>
      <c r="E380" s="7">
        <v>11500</v>
      </c>
      <c r="F380" s="8">
        <f>IFERROR(E380/E444, "NA")</f>
        <v>1.7400754832639767E-2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11500</v>
      </c>
      <c r="L380" s="8">
        <f>IFERROR(K380/K444, "NA")</f>
        <v>2.0305550149570684E-2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46000</v>
      </c>
      <c r="R380" s="8">
        <f>IFERROR(Q380/Q444, "NA")</f>
        <v>2.0330852717376027E-2</v>
      </c>
      <c r="S380" s="9"/>
      <c r="T380" s="7">
        <v>46000</v>
      </c>
      <c r="U380" s="8">
        <f>IFERROR(T380/T444, "NA")</f>
        <v>2.1272173454634172E-2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46000</v>
      </c>
      <c r="AA380" s="8">
        <f>IFERROR(Z380/Z444, "NA")</f>
        <v>2.3888995647887191E-2</v>
      </c>
      <c r="AB380" s="9"/>
      <c r="AC380" s="10">
        <f t="shared" si="95"/>
        <v>0</v>
      </c>
      <c r="AD380" s="8">
        <f>IFERROR(AC380/AC444, "NA")</f>
        <v>0</v>
      </c>
    </row>
    <row r="381" spans="1:30" ht="16.5" customHeight="1" x14ac:dyDescent="0.45">
      <c r="A381" s="20" t="s">
        <v>349</v>
      </c>
      <c r="B381" s="7">
        <v>4275</v>
      </c>
      <c r="C381" s="8">
        <f>IFERROR(B381/B444, "NA")</f>
        <v>7.083948166179581E-3</v>
      </c>
      <c r="D381" s="9"/>
      <c r="E381" s="7">
        <v>4000</v>
      </c>
      <c r="F381" s="8">
        <f>IFERROR(E381/E444, "NA")</f>
        <v>6.0524364635268753E-3</v>
      </c>
      <c r="G381" s="9"/>
      <c r="H381" s="10">
        <f t="shared" si="92"/>
        <v>-275</v>
      </c>
      <c r="I381" s="8">
        <f>IFERROR(H381/H444, "NA")</f>
        <v>4.789785877412139E-3</v>
      </c>
      <c r="J381" s="9"/>
      <c r="K381" s="7">
        <v>7667</v>
      </c>
      <c r="L381" s="8">
        <f>IFERROR(K381/K444, "NA")</f>
        <v>1.3537621999718124E-2</v>
      </c>
      <c r="M381" s="9"/>
      <c r="N381" s="10">
        <f t="shared" si="93"/>
        <v>3392</v>
      </c>
      <c r="O381" s="8">
        <f>IFERROR(N381/N444, "NA")</f>
        <v>9.1356151363568588E-2</v>
      </c>
      <c r="P381" s="9"/>
      <c r="Q381" s="7">
        <v>26491.51</v>
      </c>
      <c r="R381" s="8">
        <f>IFERROR(Q381/Q444, "NA")</f>
        <v>1.1708586697193352E-2</v>
      </c>
      <c r="S381" s="9"/>
      <c r="T381" s="7">
        <v>16000</v>
      </c>
      <c r="U381" s="8">
        <f>IFERROR(T381/T444, "NA")</f>
        <v>7.3990168537857995E-3</v>
      </c>
      <c r="V381" s="9"/>
      <c r="W381" s="10">
        <f t="shared" si="94"/>
        <v>-10491.509999999998</v>
      </c>
      <c r="X381" s="8">
        <f>IFERROR(W381/W444, "NA")</f>
        <v>-0.10478762585314924</v>
      </c>
      <c r="Y381" s="9"/>
      <c r="Z381" s="7">
        <v>35862.519999999997</v>
      </c>
      <c r="AA381" s="8">
        <f>IFERROR(Z381/Z444, "NA")</f>
        <v>1.8624338787005812E-2</v>
      </c>
      <c r="AB381" s="9"/>
      <c r="AC381" s="10">
        <f t="shared" si="95"/>
        <v>9371.0099999999984</v>
      </c>
      <c r="AD381" s="8">
        <f>IFERROR(AC381/AC444, "NA")</f>
        <v>2.7807289959190271E-2</v>
      </c>
    </row>
    <row r="382" spans="1:30" ht="16.5" customHeight="1" x14ac:dyDescent="0.45">
      <c r="A382" s="20" t="s">
        <v>350</v>
      </c>
      <c r="B382" s="7">
        <v>1131.8</v>
      </c>
      <c r="C382" s="8">
        <f>IFERROR(B382/B444, "NA")</f>
        <v>1.8754649203466781E-3</v>
      </c>
      <c r="D382" s="9"/>
      <c r="E382" s="7">
        <v>795</v>
      </c>
      <c r="F382" s="8">
        <f>IFERROR(E382/E444, "NA")</f>
        <v>1.2029217471259666E-3</v>
      </c>
      <c r="G382" s="9"/>
      <c r="H382" s="10">
        <f t="shared" si="92"/>
        <v>-336.79999999999995</v>
      </c>
      <c r="I382" s="8">
        <f>IFERROR(H382/H444, "NA")</f>
        <v>5.8661813945905753E-3</v>
      </c>
      <c r="J382" s="9"/>
      <c r="K382" s="7">
        <v>1267.71</v>
      </c>
      <c r="L382" s="8">
        <f>IFERROR(K382/K444, "NA")</f>
        <v>2.2383955634880217E-3</v>
      </c>
      <c r="M382" s="9"/>
      <c r="N382" s="10">
        <f t="shared" si="93"/>
        <v>135.91000000000008</v>
      </c>
      <c r="O382" s="8">
        <f>IFERROR(N382/N444, "NA")</f>
        <v>3.6604406049005347E-3</v>
      </c>
      <c r="P382" s="9"/>
      <c r="Q382" s="7">
        <v>2143.04</v>
      </c>
      <c r="R382" s="8">
        <f>IFERROR(Q382/Q444, "NA")</f>
        <v>9.4717023059664172E-4</v>
      </c>
      <c r="S382" s="9"/>
      <c r="T382" s="7">
        <v>3180</v>
      </c>
      <c r="U382" s="8">
        <f>IFERROR(T382/T444, "NA")</f>
        <v>1.4705545996899275E-3</v>
      </c>
      <c r="V382" s="9"/>
      <c r="W382" s="10">
        <f t="shared" si="94"/>
        <v>1036.96</v>
      </c>
      <c r="X382" s="8">
        <f>IFERROR(W382/W444, "NA")</f>
        <v>1.0357000708637903E-2</v>
      </c>
      <c r="Y382" s="9"/>
      <c r="Z382" s="7">
        <v>1479.69</v>
      </c>
      <c r="AA382" s="8">
        <f>IFERROR(Z382/Z444, "NA")</f>
        <v>7.6844147761352612E-4</v>
      </c>
      <c r="AB382" s="9"/>
      <c r="AC382" s="10">
        <f t="shared" si="95"/>
        <v>-663.34999999999991</v>
      </c>
      <c r="AD382" s="8">
        <f>IFERROR(AC382/AC444, "NA")</f>
        <v>-1.9684074389450944E-3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573.57000000000005</v>
      </c>
      <c r="C385" s="8">
        <f>IFERROR(B385/B444, "NA")</f>
        <v>9.5044214027499943E-4</v>
      </c>
      <c r="D385" s="9"/>
      <c r="E385" s="7">
        <v>4500</v>
      </c>
      <c r="F385" s="8">
        <f>IFERROR(E385/E444, "NA")</f>
        <v>6.8089910214677351E-3</v>
      </c>
      <c r="G385" s="9"/>
      <c r="H385" s="10">
        <f>IFERROR(-(B385-E385), "NA")</f>
        <v>3926.43</v>
      </c>
      <c r="I385" s="8">
        <f>IFERROR(H385/H444, "NA")</f>
        <v>-6.838821440962671E-2</v>
      </c>
      <c r="J385" s="9"/>
      <c r="K385" s="7">
        <v>3159.76</v>
      </c>
      <c r="L385" s="8">
        <f>IFERROR(K385/K444, "NA")</f>
        <v>5.5791882730963013E-3</v>
      </c>
      <c r="M385" s="9"/>
      <c r="N385" s="10">
        <f>IFERROR(-(B385-K385), "NA")</f>
        <v>2586.19</v>
      </c>
      <c r="O385" s="8">
        <f>IFERROR(N385/N444, "NA")</f>
        <v>6.9653409520916115E-2</v>
      </c>
      <c r="P385" s="9"/>
      <c r="Q385" s="7">
        <v>13817.76</v>
      </c>
      <c r="R385" s="8">
        <f>IFERROR(Q385/Q444, "NA")</f>
        <v>6.1071052922619514E-3</v>
      </c>
      <c r="S385" s="9"/>
      <c r="T385" s="7">
        <v>12172.12</v>
      </c>
      <c r="U385" s="8">
        <f>IFERROR(T385/T444, "NA")</f>
        <v>5.6288575641439504E-3</v>
      </c>
      <c r="V385" s="9"/>
      <c r="W385" s="10">
        <f>IFERROR(-(Q385-T385), "NA")</f>
        <v>-1645.6399999999994</v>
      </c>
      <c r="X385" s="8">
        <f>IFERROR(W385/W444, "NA")</f>
        <v>-1.6436405113179751E-2</v>
      </c>
      <c r="Y385" s="9"/>
      <c r="Z385" s="7">
        <v>10142.030000000001</v>
      </c>
      <c r="AA385" s="8">
        <f>IFERROR(Z385/Z444, "NA")</f>
        <v>5.267019794146551E-3</v>
      </c>
      <c r="AB385" s="9"/>
      <c r="AC385" s="10">
        <f>IFERROR(-(Q385-Z385), "NA")</f>
        <v>-3675.7299999999996</v>
      </c>
      <c r="AD385" s="8">
        <f>IFERROR(AC385/AC444, "NA")</f>
        <v>-1.0907265056988998E-2</v>
      </c>
    </row>
    <row r="386" spans="1:30" ht="16.5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7.39</v>
      </c>
      <c r="L386" s="8">
        <f>IFERROR(K386/K444, "NA")</f>
        <v>1.3048523096115421E-5</v>
      </c>
      <c r="M386" s="9"/>
      <c r="N386" s="10">
        <f>IFERROR(-(B386-K386), "NA")</f>
        <v>7.39</v>
      </c>
      <c r="O386" s="8">
        <f>IFERROR(N386/N444, "NA")</f>
        <v>1.9903359627852942E-4</v>
      </c>
      <c r="P386" s="9"/>
      <c r="Q386" s="7">
        <v>51.47</v>
      </c>
      <c r="R386" s="8">
        <f>IFERROR(Q386/Q444, "NA")</f>
        <v>2.274845629050748E-5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-51.47</v>
      </c>
      <c r="X386" s="8">
        <f>IFERROR(W386/W444, "NA")</f>
        <v>-5.1407462821477479E-4</v>
      </c>
      <c r="Y386" s="9"/>
      <c r="Z386" s="7">
        <v>2654.23</v>
      </c>
      <c r="AA386" s="8">
        <f>IFERROR(Z386/Z444, "NA")</f>
        <v>1.3784106286628614E-3</v>
      </c>
      <c r="AB386" s="9"/>
      <c r="AC386" s="10">
        <f>IFERROR(-(Q386-Z386), "NA")</f>
        <v>2602.7600000000002</v>
      </c>
      <c r="AD386" s="8">
        <f>IFERROR(AC386/AC444, "NA")</f>
        <v>7.7233619443562744E-3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customHeight="1" x14ac:dyDescent="0.45">
      <c r="A389" s="12" t="s">
        <v>355</v>
      </c>
      <c r="B389" s="7">
        <v>5544.91</v>
      </c>
      <c r="C389" s="8">
        <f>IFERROR(B389/B444, "NA")</f>
        <v>9.1882701815510677E-3</v>
      </c>
      <c r="D389" s="9"/>
      <c r="E389" s="7">
        <v>2966.31</v>
      </c>
      <c r="F389" s="8">
        <f>IFERROR(E389/E444, "NA")</f>
        <v>4.4883507015311018E-3</v>
      </c>
      <c r="G389" s="9"/>
      <c r="H389" s="10">
        <f t="shared" si="96"/>
        <v>-2578.6</v>
      </c>
      <c r="I389" s="8">
        <f>IFERROR(H389/H444, "NA")</f>
        <v>4.4912515867254331E-2</v>
      </c>
      <c r="J389" s="9"/>
      <c r="K389" s="7">
        <v>1360.4</v>
      </c>
      <c r="L389" s="8">
        <f>IFERROR(K389/K444, "NA")</f>
        <v>2.4020582976935615E-3</v>
      </c>
      <c r="M389" s="9"/>
      <c r="N389" s="10">
        <f t="shared" si="97"/>
        <v>-4184.51</v>
      </c>
      <c r="O389" s="8">
        <f>IFERROR(N389/N444, "NA")</f>
        <v>-0.112700686598575</v>
      </c>
      <c r="P389" s="9"/>
      <c r="Q389" s="7">
        <v>16542.3</v>
      </c>
      <c r="R389" s="8">
        <f>IFERROR(Q389/Q444, "NA")</f>
        <v>7.3112840197097706E-3</v>
      </c>
      <c r="S389" s="9"/>
      <c r="T389" s="7">
        <v>10085.42</v>
      </c>
      <c r="U389" s="8">
        <f>IFERROR(T389/T444, "NA")</f>
        <v>4.6638870348442735E-3</v>
      </c>
      <c r="V389" s="9"/>
      <c r="W389" s="10">
        <f t="shared" si="98"/>
        <v>-6456.8799999999992</v>
      </c>
      <c r="X389" s="8">
        <f>IFERROR(W389/W444, "NA")</f>
        <v>-6.4490347492275404E-2</v>
      </c>
      <c r="Y389" s="9"/>
      <c r="Z389" s="7">
        <v>4782.45</v>
      </c>
      <c r="AA389" s="8">
        <f>IFERROR(Z389/Z444, "NA")</f>
        <v>2.4836505920921327E-3</v>
      </c>
      <c r="AB389" s="9"/>
      <c r="AC389" s="10">
        <f t="shared" si="99"/>
        <v>-11759.849999999999</v>
      </c>
      <c r="AD389" s="8">
        <f>IFERROR(AC389/AC444, "NA")</f>
        <v>-3.489587129099038E-2</v>
      </c>
    </row>
    <row r="390" spans="1:30" ht="16.5" customHeight="1" x14ac:dyDescent="0.45">
      <c r="A390" s="12" t="s">
        <v>356</v>
      </c>
      <c r="B390" s="7">
        <v>8822.19</v>
      </c>
      <c r="C390" s="8">
        <f>IFERROR(B390/B444, "NA")</f>
        <v>1.461893255489774E-2</v>
      </c>
      <c r="D390" s="9"/>
      <c r="E390" s="7">
        <v>14413.65</v>
      </c>
      <c r="F390" s="8">
        <f>IFERROR(E390/E444, "NA")</f>
        <v>2.1809425208128536E-2</v>
      </c>
      <c r="G390" s="9"/>
      <c r="H390" s="10">
        <f t="shared" si="96"/>
        <v>5591.4599999999991</v>
      </c>
      <c r="I390" s="8">
        <f>IFERROR(H390/H444, "NA")</f>
        <v>-9.7388713244054084E-2</v>
      </c>
      <c r="J390" s="9"/>
      <c r="K390" s="7">
        <v>21815.3</v>
      </c>
      <c r="L390" s="8">
        <f>IFERROR(K390/K444, "NA")</f>
        <v>3.8519275493732984E-2</v>
      </c>
      <c r="M390" s="9"/>
      <c r="N390" s="10">
        <f t="shared" si="97"/>
        <v>12993.109999999999</v>
      </c>
      <c r="O390" s="8">
        <f>IFERROR(N390/N444, "NA")</f>
        <v>0.34994119217084213</v>
      </c>
      <c r="P390" s="9"/>
      <c r="Q390" s="7">
        <v>44969.22</v>
      </c>
      <c r="R390" s="8">
        <f>IFERROR(Q390/Q444, "NA")</f>
        <v>1.9875273665984357E-2</v>
      </c>
      <c r="S390" s="9"/>
      <c r="T390" s="7">
        <v>49006.19</v>
      </c>
      <c r="U390" s="8">
        <f>IFERROR(T390/T444, "NA")</f>
        <v>2.266235160936432E-2</v>
      </c>
      <c r="V390" s="9"/>
      <c r="W390" s="10">
        <f t="shared" si="98"/>
        <v>4036.9700000000012</v>
      </c>
      <c r="X390" s="8">
        <f>IFERROR(W390/W444, "NA")</f>
        <v>4.0320649929360797E-2</v>
      </c>
      <c r="Y390" s="9"/>
      <c r="Z390" s="7">
        <v>47519.65</v>
      </c>
      <c r="AA390" s="8">
        <f>IFERROR(Z390/Z444, "NA")</f>
        <v>2.467818939215484E-2</v>
      </c>
      <c r="AB390" s="9"/>
      <c r="AC390" s="10">
        <f t="shared" si="99"/>
        <v>2550.4300000000003</v>
      </c>
      <c r="AD390" s="8">
        <f>IFERROR(AC390/AC444, "NA")</f>
        <v>7.5680792711370131E-3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customHeight="1" x14ac:dyDescent="0.45">
      <c r="A392" s="12" t="s">
        <v>358</v>
      </c>
      <c r="B392" s="7">
        <v>4697.71</v>
      </c>
      <c r="C392" s="8">
        <f>IFERROR(B392/B444, "NA")</f>
        <v>7.7844056467236203E-3</v>
      </c>
      <c r="D392" s="9"/>
      <c r="E392" s="7">
        <v>2214.2800000000002</v>
      </c>
      <c r="F392" s="8">
        <f>IFERROR(E392/E444, "NA")</f>
        <v>3.3504472531145726E-3</v>
      </c>
      <c r="G392" s="9"/>
      <c r="H392" s="10">
        <f t="shared" si="96"/>
        <v>-2483.4299999999998</v>
      </c>
      <c r="I392" s="8">
        <f>IFERROR(H392/H444, "NA")</f>
        <v>4.3254901605605918E-2</v>
      </c>
      <c r="J392" s="9"/>
      <c r="K392" s="7">
        <v>3714.14</v>
      </c>
      <c r="L392" s="8">
        <f>IFERROR(K392/K444, "NA")</f>
        <v>6.5580570463066477E-3</v>
      </c>
      <c r="M392" s="9"/>
      <c r="N392" s="10">
        <f t="shared" si="97"/>
        <v>-983.57000000000016</v>
      </c>
      <c r="O392" s="8">
        <f>IFERROR(N392/N444, "NA")</f>
        <v>-2.6490321284394214E-2</v>
      </c>
      <c r="P392" s="9"/>
      <c r="Q392" s="7">
        <v>19974.88</v>
      </c>
      <c r="R392" s="8">
        <f>IFERROR(Q392/Q444, "NA")</f>
        <v>8.8283987679839138E-3</v>
      </c>
      <c r="S392" s="9"/>
      <c r="T392" s="7">
        <v>7528.52</v>
      </c>
      <c r="U392" s="8">
        <f>IFERROR(T392/T444, "NA")</f>
        <v>3.4814778977539668E-3</v>
      </c>
      <c r="V392" s="9"/>
      <c r="W392" s="10">
        <f t="shared" si="98"/>
        <v>-12446.36</v>
      </c>
      <c r="X392" s="8">
        <f>IFERROR(W392/W444, "NA")</f>
        <v>-0.12431237399703216</v>
      </c>
      <c r="Y392" s="9"/>
      <c r="Z392" s="7">
        <v>10077.969999999999</v>
      </c>
      <c r="AA392" s="8">
        <f>IFERROR(Z392/Z444, "NA")</f>
        <v>5.2337517710769063E-3</v>
      </c>
      <c r="AB392" s="9"/>
      <c r="AC392" s="10">
        <f t="shared" si="99"/>
        <v>-9896.9100000000017</v>
      </c>
      <c r="AD392" s="8">
        <f>IFERROR(AC392/AC444, "NA")</f>
        <v>-2.9367831863375441E-2</v>
      </c>
    </row>
    <row r="393" spans="1:30" ht="16.5" customHeight="1" x14ac:dyDescent="0.45">
      <c r="A393" s="13" t="s">
        <v>359</v>
      </c>
      <c r="B393" s="14">
        <f>IFERROR(B388+B389+B390+B391+B392, "NA")</f>
        <v>19064.810000000001</v>
      </c>
      <c r="C393" s="15">
        <f>IFERROR(B393/B444, "NA")</f>
        <v>3.1591608383172431E-2</v>
      </c>
      <c r="D393" s="2"/>
      <c r="E393" s="14">
        <f>IFERROR(E388+E389+E390+E391+E392, "NA")</f>
        <v>19594.239999999998</v>
      </c>
      <c r="F393" s="15">
        <f>IFERROR(E393/E444, "NA")</f>
        <v>2.9648223162774209E-2</v>
      </c>
      <c r="G393" s="2"/>
      <c r="H393" s="14">
        <f t="shared" si="96"/>
        <v>529.42999999999665</v>
      </c>
      <c r="I393" s="15">
        <f>IFERROR(H393/H444, "NA")</f>
        <v>-9.221295771193792E-3</v>
      </c>
      <c r="J393" s="2"/>
      <c r="K393" s="14">
        <f>IFERROR(K388+K389+K390+K391+K392, "NA")</f>
        <v>26889.84</v>
      </c>
      <c r="L393" s="15">
        <f>IFERROR(K393/K444, "NA")</f>
        <v>4.7479390837733192E-2</v>
      </c>
      <c r="M393" s="2"/>
      <c r="N393" s="14">
        <f t="shared" si="97"/>
        <v>7825.0299999999988</v>
      </c>
      <c r="O393" s="15">
        <f>IFERROR(N393/N444, "NA")</f>
        <v>0.21075018428787293</v>
      </c>
      <c r="P393" s="2"/>
      <c r="Q393" s="14">
        <f>IFERROR(Q388+Q389+Q390+Q391+Q392, "NA")</f>
        <v>81486.400000000009</v>
      </c>
      <c r="R393" s="15">
        <f>IFERROR(Q393/Q444, "NA")</f>
        <v>3.6014956453678047E-2</v>
      </c>
      <c r="S393" s="2"/>
      <c r="T393" s="14">
        <f>IFERROR(T388+T389+T390+T391+T392, "NA")</f>
        <v>66620.13</v>
      </c>
      <c r="U393" s="15">
        <f>IFERROR(T393/T444, "NA")</f>
        <v>3.0807716541962561E-2</v>
      </c>
      <c r="V393" s="2"/>
      <c r="W393" s="14">
        <f t="shared" si="98"/>
        <v>-14866.270000000004</v>
      </c>
      <c r="X393" s="15">
        <f>IFERROR(W393/W444, "NA")</f>
        <v>-0.1484820715599468</v>
      </c>
      <c r="Y393" s="2"/>
      <c r="Z393" s="14">
        <f>IFERROR(Z388+Z389+Z390+Z391+Z392, "NA")</f>
        <v>62380.07</v>
      </c>
      <c r="AA393" s="15">
        <f>IFERROR(Z393/Z444, "NA")</f>
        <v>3.2395591755323881E-2</v>
      </c>
      <c r="AB393" s="2"/>
      <c r="AC393" s="14">
        <f t="shared" si="99"/>
        <v>-19106.330000000009</v>
      </c>
      <c r="AD393" s="15">
        <f>IFERROR(AC393/AC444, "NA")</f>
        <v>-5.6695623883228831E-2</v>
      </c>
    </row>
    <row r="394" spans="1:30" ht="16.5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5948.02</v>
      </c>
      <c r="F394" s="8">
        <f>IFERROR(E394/E444, "NA")</f>
        <v>9.0000032834467829E-3</v>
      </c>
      <c r="G394" s="9"/>
      <c r="H394" s="10">
        <f t="shared" si="96"/>
        <v>5948.02</v>
      </c>
      <c r="I394" s="8">
        <f>IFERROR(H394/H444, "NA")</f>
        <v>-0.10359906252569073</v>
      </c>
      <c r="J394" s="9"/>
      <c r="K394" s="7">
        <v>2139.64</v>
      </c>
      <c r="L394" s="8">
        <f>IFERROR(K394/K444, "NA")</f>
        <v>3.7779623758284705E-3</v>
      </c>
      <c r="M394" s="9"/>
      <c r="N394" s="10">
        <f t="shared" si="97"/>
        <v>2139.64</v>
      </c>
      <c r="O394" s="8">
        <f>IFERROR(N394/N444, "NA")</f>
        <v>5.7626555337130271E-2</v>
      </c>
      <c r="P394" s="9"/>
      <c r="Q394" s="7">
        <v>6612.06</v>
      </c>
      <c r="R394" s="8">
        <f>IFERROR(Q394/Q444, "NA")</f>
        <v>2.9223656090968117E-3</v>
      </c>
      <c r="S394" s="9"/>
      <c r="T394" s="7">
        <v>15452.29</v>
      </c>
      <c r="U394" s="8">
        <f>IFERROR(T394/T444, "NA")</f>
        <v>7.1457346337241105E-3</v>
      </c>
      <c r="V394" s="9"/>
      <c r="W394" s="10">
        <f t="shared" si="98"/>
        <v>8840.23</v>
      </c>
      <c r="X394" s="8">
        <f>IFERROR(W394/W444, "NA")</f>
        <v>8.8294889267206106E-2</v>
      </c>
      <c r="Y394" s="9"/>
      <c r="Z394" s="7">
        <v>21285.94</v>
      </c>
      <c r="AA394" s="8">
        <f>IFERROR(Z394/Z444, "NA")</f>
        <v>1.1054341913504084E-2</v>
      </c>
      <c r="AB394" s="9"/>
      <c r="AC394" s="10">
        <f t="shared" si="99"/>
        <v>14673.879999999997</v>
      </c>
      <c r="AD394" s="8">
        <f>IFERROR(AC394/AC444, "NA")</f>
        <v>4.3542887691546905E-2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19638.38</v>
      </c>
      <c r="C396" s="15">
        <f>IFERROR(B396/B444, "NA")</f>
        <v>3.2542050523447427E-2</v>
      </c>
      <c r="D396" s="2"/>
      <c r="E396" s="14">
        <f>IFERROR(E385+E386+E388+E389+E390+E391+E392+E394+E395, "NA")</f>
        <v>30042.26</v>
      </c>
      <c r="F396" s="15">
        <f>IFERROR(E396/E444, "NA")</f>
        <v>4.5457217467688722E-2</v>
      </c>
      <c r="G396" s="2"/>
      <c r="H396" s="14">
        <f t="shared" si="96"/>
        <v>10403.879999999997</v>
      </c>
      <c r="I396" s="15">
        <f>IFERROR(H396/H444, "NA")</f>
        <v>-0.18120857270651125</v>
      </c>
      <c r="J396" s="2"/>
      <c r="K396" s="14">
        <f>IFERROR(K385+K386+K388+K389+K390+K391+K392+K394+K395, "NA")</f>
        <v>32196.629999999997</v>
      </c>
      <c r="L396" s="15">
        <f>IFERROR(K396/K444, "NA")</f>
        <v>5.6849590009754078E-2</v>
      </c>
      <c r="M396" s="2"/>
      <c r="N396" s="14">
        <f t="shared" si="97"/>
        <v>12558.249999999996</v>
      </c>
      <c r="O396" s="15">
        <f>IFERROR(N396/N444, "NA")</f>
        <v>0.33822918274219776</v>
      </c>
      <c r="P396" s="2"/>
      <c r="Q396" s="14">
        <f>IFERROR(Q385+Q386+Q388+Q389+Q390+Q391+Q392+Q394+Q395, "NA")</f>
        <v>101967.69</v>
      </c>
      <c r="R396" s="15">
        <f>IFERROR(Q396/Q444, "NA")</f>
        <v>4.5067175811327312E-2</v>
      </c>
      <c r="S396" s="2"/>
      <c r="T396" s="14">
        <f>IFERROR(T385+T386+T388+T389+T390+T391+T392+T394+T395, "NA")</f>
        <v>94244.540000000008</v>
      </c>
      <c r="U396" s="15">
        <f>IFERROR(T396/T444, "NA")</f>
        <v>4.3582308739830621E-2</v>
      </c>
      <c r="V396" s="2"/>
      <c r="W396" s="14">
        <f t="shared" si="98"/>
        <v>-7723.1499999999942</v>
      </c>
      <c r="X396" s="15">
        <f>IFERROR(W396/W444, "NA")</f>
        <v>-7.7137662034135135E-2</v>
      </c>
      <c r="Y396" s="2"/>
      <c r="Z396" s="14">
        <f>IFERROR(Z385+Z386+Z388+Z389+Z390+Z391+Z392+Z394+Z395, "NA")</f>
        <v>96462.27</v>
      </c>
      <c r="AA396" s="15">
        <f>IFERROR(Z396/Z444, "NA")</f>
        <v>5.0095364091637382E-2</v>
      </c>
      <c r="AB396" s="2"/>
      <c r="AC396" s="14">
        <f t="shared" si="99"/>
        <v>-5505.4199999999983</v>
      </c>
      <c r="AD396" s="15">
        <f>IFERROR(AC396/AC444, "NA")</f>
        <v>-1.6336639304314612E-2</v>
      </c>
    </row>
    <row r="397" spans="1:30" ht="16.5" customHeight="1" x14ac:dyDescent="0.45">
      <c r="A397" s="20" t="s">
        <v>363</v>
      </c>
      <c r="B397" s="7">
        <v>7124.99</v>
      </c>
      <c r="C397" s="8">
        <f>IFERROR(B397/B444, "NA")</f>
        <v>1.1806563706326982E-2</v>
      </c>
      <c r="D397" s="9"/>
      <c r="E397" s="7">
        <v>23224.240000000002</v>
      </c>
      <c r="F397" s="8">
        <f>IFERROR(E397/E444, "NA")</f>
        <v>3.5140809253424853E-2</v>
      </c>
      <c r="G397" s="9"/>
      <c r="H397" s="10">
        <f t="shared" si="96"/>
        <v>16099.250000000002</v>
      </c>
      <c r="I397" s="8">
        <f>IFERROR(H397/H444, "NA")</f>
        <v>-0.2804071283160996</v>
      </c>
      <c r="J397" s="9"/>
      <c r="K397" s="7">
        <v>7663.83</v>
      </c>
      <c r="L397" s="8">
        <f>IFERROR(K397/K444, "NA")</f>
        <v>1.3532024730676894E-2</v>
      </c>
      <c r="M397" s="9"/>
      <c r="N397" s="10">
        <f t="shared" si="97"/>
        <v>538.84000000000015</v>
      </c>
      <c r="O397" s="8">
        <f>IFERROR(N397/N444, "NA")</f>
        <v>1.4512484846917839E-2</v>
      </c>
      <c r="P397" s="9"/>
      <c r="Q397" s="7">
        <v>15800.27</v>
      </c>
      <c r="R397" s="8">
        <f>IFERROR(Q397/Q444, "NA")</f>
        <v>6.9833252666255414E-3</v>
      </c>
      <c r="S397" s="9"/>
      <c r="T397" s="7">
        <v>63306.05</v>
      </c>
      <c r="U397" s="8">
        <f>IFERROR(T397/T444, "NA")</f>
        <v>2.9275158181037906E-2</v>
      </c>
      <c r="V397" s="9"/>
      <c r="W397" s="10">
        <f t="shared" si="98"/>
        <v>47505.78</v>
      </c>
      <c r="X397" s="8">
        <f>IFERROR(W397/W444, "NA")</f>
        <v>0.47448059435696299</v>
      </c>
      <c r="Y397" s="9"/>
      <c r="Z397" s="7">
        <v>25653.94</v>
      </c>
      <c r="AA397" s="8">
        <f>IFERROR(Z397/Z444, "NA")</f>
        <v>1.3322757848068677E-2</v>
      </c>
      <c r="AB397" s="9"/>
      <c r="AC397" s="10">
        <f t="shared" si="99"/>
        <v>9853.6699999999983</v>
      </c>
      <c r="AD397" s="8">
        <f>IFERROR(AC397/AC444, "NA")</f>
        <v>2.9239522618391658E-2</v>
      </c>
    </row>
    <row r="398" spans="1:30" ht="16.5" customHeight="1" x14ac:dyDescent="0.45">
      <c r="A398" s="20" t="s">
        <v>364</v>
      </c>
      <c r="B398" s="7">
        <v>84.26</v>
      </c>
      <c r="C398" s="8">
        <f>IFERROR(B398/B444, "NA")</f>
        <v>1.3962420408942492E-4</v>
      </c>
      <c r="D398" s="9"/>
      <c r="E398" s="7">
        <v>75</v>
      </c>
      <c r="F398" s="8">
        <f>IFERROR(E398/E444, "NA")</f>
        <v>1.1348318369112891E-4</v>
      </c>
      <c r="G398" s="9"/>
      <c r="H398" s="10">
        <f t="shared" si="96"/>
        <v>-9.2600000000000051</v>
      </c>
      <c r="I398" s="8">
        <f>IFERROR(H398/H444, "NA")</f>
        <v>1.6128515354485974E-4</v>
      </c>
      <c r="J398" s="9"/>
      <c r="K398" s="7">
        <v>101.56</v>
      </c>
      <c r="L398" s="8">
        <f>IFERROR(K398/K444, "NA")</f>
        <v>1.7932449332090422E-4</v>
      </c>
      <c r="M398" s="9"/>
      <c r="N398" s="10">
        <f t="shared" si="97"/>
        <v>17.299999999999997</v>
      </c>
      <c r="O398" s="8">
        <f>IFERROR(N398/N444, "NA")</f>
        <v>4.6593791821631373E-4</v>
      </c>
      <c r="P398" s="9"/>
      <c r="Q398" s="7">
        <v>582.91</v>
      </c>
      <c r="R398" s="8">
        <f>IFERROR(Q398/Q444, "NA")</f>
        <v>2.5763168168447083E-4</v>
      </c>
      <c r="S398" s="9"/>
      <c r="T398" s="7">
        <v>300</v>
      </c>
      <c r="U398" s="8">
        <f>IFERROR(T398/T444, "NA")</f>
        <v>1.3873156600848375E-4</v>
      </c>
      <c r="V398" s="9"/>
      <c r="W398" s="10">
        <f t="shared" si="98"/>
        <v>-282.90999999999997</v>
      </c>
      <c r="X398" s="8">
        <f>IFERROR(W398/W444, "NA")</f>
        <v>-2.8256625814696312E-3</v>
      </c>
      <c r="Y398" s="9"/>
      <c r="Z398" s="7">
        <v>477.85</v>
      </c>
      <c r="AA398" s="8">
        <f>IFERROR(Z398/Z444, "NA")</f>
        <v>2.4815992544223686E-4</v>
      </c>
      <c r="AB398" s="9"/>
      <c r="AC398" s="10">
        <f t="shared" si="99"/>
        <v>-105.05999999999995</v>
      </c>
      <c r="AD398" s="8">
        <f>IFERROR(AC398/AC444, "NA")</f>
        <v>-3.1175229597583709E-4</v>
      </c>
    </row>
    <row r="399" spans="1:30" ht="16.5" customHeight="1" x14ac:dyDescent="0.45">
      <c r="A399" s="20" t="s">
        <v>365</v>
      </c>
      <c r="B399" s="7">
        <v>400</v>
      </c>
      <c r="C399" s="8">
        <f>IFERROR(B399/B444, "NA")</f>
        <v>6.628255594086157E-4</v>
      </c>
      <c r="D399" s="9"/>
      <c r="E399" s="7">
        <v>700</v>
      </c>
      <c r="F399" s="8">
        <f>IFERROR(E399/E444, "NA")</f>
        <v>1.0591763811172031E-3</v>
      </c>
      <c r="G399" s="9"/>
      <c r="H399" s="10">
        <f t="shared" si="96"/>
        <v>300</v>
      </c>
      <c r="I399" s="8">
        <f>IFERROR(H399/H444, "NA")</f>
        <v>-5.2252209571768786E-3</v>
      </c>
      <c r="J399" s="9"/>
      <c r="K399" s="7">
        <v>1457.5</v>
      </c>
      <c r="L399" s="8">
        <f>IFERROR(K399/K444, "NA")</f>
        <v>2.5735077689564585E-3</v>
      </c>
      <c r="M399" s="9"/>
      <c r="N399" s="10">
        <f t="shared" si="97"/>
        <v>1057.5</v>
      </c>
      <c r="O399" s="8">
        <f>IFERROR(N399/N444, "NA")</f>
        <v>2.8481465232008778E-2</v>
      </c>
      <c r="P399" s="9"/>
      <c r="Q399" s="7">
        <v>500</v>
      </c>
      <c r="R399" s="8">
        <f>IFERROR(Q399/Q444, "NA")</f>
        <v>2.2098752953669595E-4</v>
      </c>
      <c r="S399" s="9"/>
      <c r="T399" s="7">
        <v>2800</v>
      </c>
      <c r="U399" s="8">
        <f>IFERROR(T399/T444, "NA")</f>
        <v>1.2948279494125149E-3</v>
      </c>
      <c r="V399" s="9"/>
      <c r="W399" s="10">
        <f t="shared" si="98"/>
        <v>2300</v>
      </c>
      <c r="X399" s="8">
        <f>IFERROR(W399/W444, "NA")</f>
        <v>2.2972054495705888E-2</v>
      </c>
      <c r="Y399" s="9"/>
      <c r="Z399" s="7">
        <v>3020</v>
      </c>
      <c r="AA399" s="8">
        <f>IFERROR(Z399/Z444, "NA")</f>
        <v>1.5683644968830287E-3</v>
      </c>
      <c r="AB399" s="9"/>
      <c r="AC399" s="10">
        <f t="shared" si="99"/>
        <v>2520</v>
      </c>
      <c r="AD399" s="8">
        <f>IFERROR(AC399/AC444, "NA")</f>
        <v>7.4777820850857584E-3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8333.33</v>
      </c>
      <c r="L401" s="8">
        <f>IFERROR(K401/K444, "NA")</f>
        <v>1.4714160889384509E-2</v>
      </c>
      <c r="M401" s="9"/>
      <c r="N401" s="10">
        <f t="shared" si="97"/>
        <v>8333.33</v>
      </c>
      <c r="O401" s="8">
        <f>IFERROR(N401/N444, "NA")</f>
        <v>0.22444014057858697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33333.33</v>
      </c>
      <c r="AA401" s="8">
        <f>IFERROR(Z401/Z444, "NA")</f>
        <v>1.7310864680425819E-2</v>
      </c>
      <c r="AB401" s="9"/>
      <c r="AC401" s="10">
        <f t="shared" si="99"/>
        <v>33333.33</v>
      </c>
      <c r="AD401" s="8">
        <f>IFERROR(AC401/AC444, "NA")</f>
        <v>9.8912451551687181E-2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120875.81000000003</v>
      </c>
      <c r="C403" s="15">
        <f>IFERROR(B403/B444, "NA")</f>
        <v>0.20029894095554893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173416.71999999997</v>
      </c>
      <c r="F403" s="15">
        <f>IFERROR(E403/E444, "NA")</f>
        <v>0.26239841987830753</v>
      </c>
      <c r="G403" s="2"/>
      <c r="H403" s="14">
        <f t="shared" si="96"/>
        <v>52540.909999999945</v>
      </c>
      <c r="I403" s="15">
        <f>IFERROR(H403/H444, "NA")</f>
        <v>-0.91512621347047984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154128.59</v>
      </c>
      <c r="L403" s="15">
        <f>IFERROR(K403/K444, "NA")</f>
        <v>0.27214485336761901</v>
      </c>
      <c r="M403" s="2"/>
      <c r="N403" s="14">
        <f t="shared" si="97"/>
        <v>33252.77999999997</v>
      </c>
      <c r="O403" s="15">
        <f>IFERROR(N403/N444, "NA")</f>
        <v>0.89559139237601515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552992.34000000008</v>
      </c>
      <c r="R403" s="15">
        <f>IFERROR(Q403/Q444, "NA")</f>
        <v>0.24440882213863324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633469.60000000009</v>
      </c>
      <c r="U403" s="15">
        <f>IFERROR(T403/T444, "NA")</f>
        <v>0.29294076542255931</v>
      </c>
      <c r="V403" s="2"/>
      <c r="W403" s="14">
        <f t="shared" si="98"/>
        <v>80477.260000000009</v>
      </c>
      <c r="X403" s="15">
        <f>IFERROR(W403/W444, "NA")</f>
        <v>0.80379478364569212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582150.61999999988</v>
      </c>
      <c r="AA403" s="15">
        <f>IFERROR(Z403/Z444, "NA")</f>
        <v>0.30232594842597454</v>
      </c>
      <c r="AB403" s="2"/>
      <c r="AC403" s="14">
        <f t="shared" si="99"/>
        <v>29158.279999999795</v>
      </c>
      <c r="AD403" s="15">
        <f>IFERROR(AC403/AC444, "NA")</f>
        <v>8.6523517387267004E-2</v>
      </c>
    </row>
    <row r="404" spans="1:30" ht="16.5" customHeight="1" x14ac:dyDescent="0.45">
      <c r="A404" s="22" t="s">
        <v>370</v>
      </c>
      <c r="B404" s="23">
        <f>IFERROR(B345-B403, "NA")</f>
        <v>-90365.510000000155</v>
      </c>
      <c r="C404" s="24">
        <f>IFERROR(B404/B444, "NA")</f>
        <v>-0.14974142429248741</v>
      </c>
      <c r="D404" s="25"/>
      <c r="E404" s="23">
        <f>IFERROR(E345-E403, "NA")</f>
        <v>-70618.169999999984</v>
      </c>
      <c r="F404" s="24">
        <f>IFERROR(E404/E444, "NA")</f>
        <v>-0.10685299677388489</v>
      </c>
      <c r="G404" s="25"/>
      <c r="H404" s="23">
        <f>IFERROR(B404-E404, "NA")</f>
        <v>-19747.340000000171</v>
      </c>
      <c r="I404" s="24">
        <f>IFERROR(H404/H444, "NA")</f>
        <v>0.34394738272166053</v>
      </c>
      <c r="J404" s="25"/>
      <c r="K404" s="23">
        <f>IFERROR(K345-K403, "NA")</f>
        <v>-93288.580000000133</v>
      </c>
      <c r="L404" s="24">
        <f>IFERROR(K404/K444, "NA")</f>
        <v>-0.16471964691932514</v>
      </c>
      <c r="M404" s="25"/>
      <c r="N404" s="23">
        <f>IFERROR(B404-K404, "NA")</f>
        <v>2923.0699999999779</v>
      </c>
      <c r="O404" s="24">
        <f>IFERROR(N404/N444, "NA")</f>
        <v>7.8726540497141631E-2</v>
      </c>
      <c r="P404" s="25"/>
      <c r="Q404" s="23">
        <f>IFERROR(Q345-Q403, "NA")</f>
        <v>-507807.28999999905</v>
      </c>
      <c r="R404" s="24">
        <f>IFERROR(Q404/Q444, "NA")</f>
        <v>-0.22443815699564862</v>
      </c>
      <c r="S404" s="25"/>
      <c r="T404" s="23">
        <f>IFERROR(T345-T403, "NA")</f>
        <v>-464661.22000000026</v>
      </c>
      <c r="U404" s="24">
        <f>IFERROR(T404/T444, "NA")</f>
        <v>-0.21487726238004207</v>
      </c>
      <c r="V404" s="25"/>
      <c r="W404" s="23">
        <f>IFERROR(Q404-T404, "NA")</f>
        <v>-43146.069999998785</v>
      </c>
      <c r="X404" s="24">
        <f>IFERROR(W404/W444, "NA")</f>
        <v>-0.43093646578935352</v>
      </c>
      <c r="Y404" s="25"/>
      <c r="Z404" s="23">
        <f>IFERROR(Z345-Z403, "NA")</f>
        <v>-515999.37000000017</v>
      </c>
      <c r="AA404" s="24">
        <f>IFERROR(Z404/Z444, "NA")</f>
        <v>-0.26797188487483775</v>
      </c>
      <c r="AB404" s="25"/>
      <c r="AC404" s="23">
        <f>IFERROR(Q404-Z404, "NA")</f>
        <v>8192.0800000011222</v>
      </c>
      <c r="AD404" s="24">
        <f>IFERROR(AC404/AC444, "NA")</f>
        <v>2.4308963914126087E-2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-58938.32</v>
      </c>
      <c r="AA407" s="8">
        <f>IFERROR(Z407/Z444, "NA")</f>
        <v>-3.0608201521169189E-2</v>
      </c>
      <c r="AB407" s="9"/>
      <c r="AC407" s="10">
        <f t="shared" ref="AC407:AC429" si="103">IFERROR(-(Q407-Z407), "NA")</f>
        <v>-58938.32</v>
      </c>
      <c r="AD407" s="8">
        <f>IFERROR(AC407/AC444, "NA")</f>
        <v>-0.17489202913533797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1712</v>
      </c>
      <c r="L408" s="8">
        <f>IFERROR(K408/K444, "NA")</f>
        <v>3.0228784222665226E-3</v>
      </c>
      <c r="M408" s="9"/>
      <c r="N408" s="10">
        <f t="shared" si="101"/>
        <v>1712</v>
      </c>
      <c r="O408" s="8">
        <f>IFERROR(N408/N444, "NA")</f>
        <v>4.6109000924065273E-2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2043.69</v>
      </c>
      <c r="AA408" s="8">
        <f>IFERROR(Z408/Z444, "NA")</f>
        <v>1.0613413372963169E-3</v>
      </c>
      <c r="AB408" s="9"/>
      <c r="AC408" s="10">
        <f t="shared" si="103"/>
        <v>2043.69</v>
      </c>
      <c r="AD408" s="8">
        <f>IFERROR(AC408/AC444, "NA")</f>
        <v>6.0643922497892518E-3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28107.67</v>
      </c>
      <c r="C410" s="8">
        <f>IFERROR(B410/B444, "NA")</f>
        <v>4.6576205228556912E-2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-28107.67</v>
      </c>
      <c r="I410" s="8">
        <f>IFERROR(H410/H444, "NA")</f>
        <v>0.48956262113803944</v>
      </c>
      <c r="J410" s="9"/>
      <c r="K410" s="7">
        <v>34111.4</v>
      </c>
      <c r="L410" s="8">
        <f>IFERROR(K410/K444, "NA")</f>
        <v>6.0230499423657859E-2</v>
      </c>
      <c r="M410" s="9"/>
      <c r="N410" s="10">
        <f t="shared" si="101"/>
        <v>6003.7300000000032</v>
      </c>
      <c r="O410" s="8">
        <f>IFERROR(N410/N444, "NA")</f>
        <v>0.1616974253024758</v>
      </c>
      <c r="P410" s="9"/>
      <c r="Q410" s="7">
        <v>112052.04</v>
      </c>
      <c r="R410" s="8">
        <f>IFERROR(Q410/Q444, "NA")</f>
        <v>4.9524206998294067E-2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-112052.04</v>
      </c>
      <c r="X410" s="8">
        <f>IFERROR(W410/W444, "NA")</f>
        <v>-1.119158943145659</v>
      </c>
      <c r="Y410" s="9"/>
      <c r="Z410" s="7">
        <v>135604.21</v>
      </c>
      <c r="AA410" s="8">
        <f>IFERROR(Z410/Z444, "NA")</f>
        <v>7.0422790924460452E-2</v>
      </c>
      <c r="AB410" s="9"/>
      <c r="AC410" s="10">
        <f t="shared" si="103"/>
        <v>23552.17</v>
      </c>
      <c r="AD410" s="8">
        <f>IFERROR(AC410/AC444, "NA")</f>
        <v>6.9888093210672325E-2</v>
      </c>
    </row>
    <row r="411" spans="1:30" ht="16.5" customHeight="1" x14ac:dyDescent="0.45">
      <c r="A411" s="6" t="s">
        <v>376</v>
      </c>
      <c r="B411" s="7">
        <v>268.37</v>
      </c>
      <c r="C411" s="8">
        <f>IFERROR(B411/B444, "NA")</f>
        <v>4.447062384462255E-4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-268.37</v>
      </c>
      <c r="I411" s="8">
        <f>IFERROR(H411/H444, "NA")</f>
        <v>4.6743084942585302E-3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-268.37</v>
      </c>
      <c r="O411" s="8">
        <f>IFERROR(N411/N444, "NA")</f>
        <v>-7.2279629544342279E-3</v>
      </c>
      <c r="P411" s="9"/>
      <c r="Q411" s="7">
        <v>805.11</v>
      </c>
      <c r="R411" s="8">
        <f>IFERROR(Q411/Q444, "NA")</f>
        <v>3.5583853981057854E-4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-805.11</v>
      </c>
      <c r="X411" s="8">
        <f>IFERROR(W411/W444, "NA")</f>
        <v>-8.041317736972942E-3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-805.11</v>
      </c>
      <c r="AD411" s="8">
        <f>IFERROR(AC411/AC444, "NA")</f>
        <v>-2.3890623549696014E-3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-145.5</v>
      </c>
      <c r="C416" s="8">
        <f>IFERROR(B416/B444, "NA")</f>
        <v>-2.4110279723488397E-4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145.5</v>
      </c>
      <c r="I416" s="8">
        <f>IFERROR(H416/H444, "NA")</f>
        <v>-2.5342321642307861E-3</v>
      </c>
      <c r="J416" s="9"/>
      <c r="K416" s="7">
        <v>-227.65</v>
      </c>
      <c r="L416" s="8">
        <f>IFERROR(K416/K444, "NA")</f>
        <v>-4.0196160796084919E-4</v>
      </c>
      <c r="M416" s="9"/>
      <c r="N416" s="10">
        <f t="shared" si="101"/>
        <v>-82.15</v>
      </c>
      <c r="O416" s="8">
        <f>IFERROR(N416/N444, "NA")</f>
        <v>-2.2125317908364269E-3</v>
      </c>
      <c r="P416" s="9"/>
      <c r="Q416" s="7">
        <v>-10.899999999999977</v>
      </c>
      <c r="R416" s="8">
        <f>IFERROR(Q416/Q444, "NA")</f>
        <v>-4.8175281438999617E-6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10.899999999999977</v>
      </c>
      <c r="X416" s="8">
        <f>IFERROR(W416/W444, "NA")</f>
        <v>1.088675626100842E-4</v>
      </c>
      <c r="Y416" s="9"/>
      <c r="Z416" s="7">
        <v>-433.17999999999995</v>
      </c>
      <c r="AA416" s="8">
        <f>IFERROR(Z416/Z444, "NA")</f>
        <v>-2.2496163336416898E-4</v>
      </c>
      <c r="AB416" s="9"/>
      <c r="AC416" s="10">
        <f t="shared" si="103"/>
        <v>-422.28</v>
      </c>
      <c r="AD416" s="8">
        <f>IFERROR(AC416/AC444, "NA")</f>
        <v>-1.2530626265436565E-3</v>
      </c>
    </row>
    <row r="417" spans="1:30" ht="16.5" customHeight="1" x14ac:dyDescent="0.45">
      <c r="A417" s="6" t="s">
        <v>382</v>
      </c>
      <c r="B417" s="7">
        <v>-90.02000000000001</v>
      </c>
      <c r="C417" s="8">
        <f>IFERROR(B417/B444, "NA")</f>
        <v>-1.4916889214490898E-4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90.02000000000001</v>
      </c>
      <c r="I417" s="8">
        <f>IFERROR(H417/H444, "NA")</f>
        <v>-1.5679146352168755E-3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90.02000000000001</v>
      </c>
      <c r="O417" s="8">
        <f>IFERROR(N417/N444, "NA")</f>
        <v>2.4244931443833857E-3</v>
      </c>
      <c r="P417" s="9"/>
      <c r="Q417" s="7">
        <v>-356.47</v>
      </c>
      <c r="R417" s="8">
        <f>IFERROR(Q417/Q444, "NA")</f>
        <v>-1.5755084930789201E-4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356.47</v>
      </c>
      <c r="X417" s="8">
        <f>IFERROR(W417/W444, "NA")</f>
        <v>3.5603688113409909E-3</v>
      </c>
      <c r="Y417" s="9"/>
      <c r="Z417" s="7">
        <v>-10.940000000000001</v>
      </c>
      <c r="AA417" s="8">
        <f>IFERROR(Z417/Z444, "NA")</f>
        <v>-5.6814263562583898E-6</v>
      </c>
      <c r="AB417" s="9"/>
      <c r="AC417" s="10">
        <f t="shared" si="103"/>
        <v>345.53000000000003</v>
      </c>
      <c r="AD417" s="8">
        <f>IFERROR(AC417/AC444, "NA")</f>
        <v>1.0253166840713025E-3</v>
      </c>
    </row>
    <row r="418" spans="1:30" ht="16.5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-1725.69</v>
      </c>
      <c r="R418" s="8">
        <f>IFERROR(Q418/Q444, "NA")</f>
        <v>-7.6271193969236169E-4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1725.69</v>
      </c>
      <c r="X418" s="8">
        <f>IFERROR(W418/W444, "NA")</f>
        <v>1.7235932488128127E-2</v>
      </c>
      <c r="Y418" s="9"/>
      <c r="Z418" s="7">
        <v>-2278.69</v>
      </c>
      <c r="AA418" s="8">
        <f>IFERROR(Z418/Z444, "NA")</f>
        <v>-1.1833829454974798E-3</v>
      </c>
      <c r="AB418" s="9"/>
      <c r="AC418" s="10">
        <f t="shared" si="103"/>
        <v>-553</v>
      </c>
      <c r="AD418" s="8">
        <f>IFERROR(AC418/AC444, "NA")</f>
        <v>-1.6409577353382638E-3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-30</v>
      </c>
      <c r="C421" s="8">
        <f>IFERROR(B421/B444, "NA")</f>
        <v>-4.9711916955646178E-5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30</v>
      </c>
      <c r="I421" s="8">
        <f>IFERROR(H421/H444, "NA")</f>
        <v>-5.2252209571768788E-4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30</v>
      </c>
      <c r="O421" s="8">
        <f>IFERROR(N421/N444, "NA")</f>
        <v>8.0798482927684477E-4</v>
      </c>
      <c r="P421" s="9"/>
      <c r="Q421" s="7">
        <v>-50</v>
      </c>
      <c r="R421" s="8">
        <f>IFERROR(Q421/Q444, "NA")</f>
        <v>-2.2098752953669596E-5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50</v>
      </c>
      <c r="X421" s="8">
        <f>IFERROR(W421/W444, "NA")</f>
        <v>4.9939248903708457E-4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50</v>
      </c>
      <c r="AD421" s="8">
        <f>IFERROR(AC421/AC444, "NA")</f>
        <v>1.4836869216439997E-4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customHeight="1" x14ac:dyDescent="0.45">
      <c r="A423" s="6" t="s">
        <v>388</v>
      </c>
      <c r="B423" s="7">
        <v>-2.85</v>
      </c>
      <c r="C423" s="8">
        <f>IFERROR(B423/B444, "NA")</f>
        <v>-4.7226321107863872E-6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2.85</v>
      </c>
      <c r="I423" s="8">
        <f>IFERROR(H423/H444, "NA")</f>
        <v>-4.9639599093180348E-5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2.85</v>
      </c>
      <c r="O423" s="8">
        <f>IFERROR(N423/N444, "NA")</f>
        <v>7.6758558781300255E-5</v>
      </c>
      <c r="P423" s="9"/>
      <c r="Q423" s="7">
        <v>-3.84</v>
      </c>
      <c r="R423" s="8">
        <f>IFERROR(Q423/Q444, "NA")</f>
        <v>-1.6971842268418247E-6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3.84</v>
      </c>
      <c r="X423" s="8">
        <f>IFERROR(W423/W444, "NA")</f>
        <v>3.835334315804809E-5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3.84</v>
      </c>
      <c r="AD423" s="8">
        <f>IFERROR(AC423/AC444, "NA")</f>
        <v>1.1394715558225917E-5</v>
      </c>
    </row>
    <row r="424" spans="1:30" ht="16.5" customHeight="1" x14ac:dyDescent="0.45">
      <c r="A424" s="6" t="s">
        <v>389</v>
      </c>
      <c r="B424" s="7">
        <v>47.92</v>
      </c>
      <c r="C424" s="8">
        <f>IFERROR(B424/B444, "NA")</f>
        <v>7.9406502017152165E-5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-47.92</v>
      </c>
      <c r="I424" s="8">
        <f>IFERROR(H424/H444, "NA")</f>
        <v>8.346419608930535E-4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-47.92</v>
      </c>
      <c r="O424" s="8">
        <f>IFERROR(N424/N444, "NA")</f>
        <v>-1.2906211006315468E-3</v>
      </c>
      <c r="P424" s="9"/>
      <c r="Q424" s="7">
        <v>191.68</v>
      </c>
      <c r="R424" s="8">
        <f>IFERROR(Q424/Q444, "NA")</f>
        <v>8.4717779323187765E-5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-191.68</v>
      </c>
      <c r="X424" s="8">
        <f>IFERROR(W424/W444, "NA")</f>
        <v>-1.9144710459725674E-3</v>
      </c>
      <c r="Y424" s="9"/>
      <c r="Z424" s="7">
        <v>24.48</v>
      </c>
      <c r="AA424" s="8">
        <f>IFERROR(Z424/Z444, "NA")</f>
        <v>1.271310029261475E-5</v>
      </c>
      <c r="AB424" s="9"/>
      <c r="AC424" s="10">
        <f t="shared" si="103"/>
        <v>-167.20000000000002</v>
      </c>
      <c r="AD424" s="8">
        <f>IFERROR(AC424/AC444, "NA")</f>
        <v>-4.9614490659775359E-4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-17066.7</v>
      </c>
      <c r="C426" s="8">
        <f>IFERROR(B426/B444, "NA")</f>
        <v>-2.8280612436897556E-2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17066.7</v>
      </c>
      <c r="I426" s="8">
        <f>IFERROR(H426/H444, "NA")</f>
        <v>-0.2972575950328355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17066.7</v>
      </c>
      <c r="O426" s="8">
        <f>IFERROR(N426/N444, "NA")</f>
        <v>0.45965448952730426</v>
      </c>
      <c r="P426" s="9"/>
      <c r="Q426" s="7">
        <v>-29950.59</v>
      </c>
      <c r="R426" s="8">
        <f>IFERROR(Q426/Q444, "NA")</f>
        <v>-1.323741378453294E-2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29950.59</v>
      </c>
      <c r="X426" s="8">
        <f>IFERROR(W426/W444, "NA")</f>
        <v>0.29914199376458428</v>
      </c>
      <c r="Y426" s="9"/>
      <c r="Z426" s="7">
        <v>-2022.5</v>
      </c>
      <c r="AA426" s="8">
        <f>IFERROR(Z426/Z444, "NA")</f>
        <v>-1.0503368195185184E-3</v>
      </c>
      <c r="AB426" s="9"/>
      <c r="AC426" s="10">
        <f t="shared" si="103"/>
        <v>27928.09</v>
      </c>
      <c r="AD426" s="8">
        <f>IFERROR(AC426/AC444, "NA")</f>
        <v>8.2873083758993146E-2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11088.889999999996</v>
      </c>
      <c r="C428" s="15">
        <f>IFERROR(B428/B444, "NA")</f>
        <v>1.8374999293676506E-2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-11088.889999999996</v>
      </c>
      <c r="I428" s="15">
        <f>IFERROR(H428/H444, "NA")</f>
        <v>0.193139668066097</v>
      </c>
      <c r="J428" s="2"/>
      <c r="K428" s="14">
        <f>IFERROR(K407+K408+K409+K410+K411+K412+K413+K414+K415+K416+K417+K418+K419+K420+K421+K422+K423+K424+K425+K426+K427, "NA")</f>
        <v>35595.75</v>
      </c>
      <c r="L428" s="15">
        <f>IFERROR(K428/K444, "NA")</f>
        <v>6.2851416237963531E-2</v>
      </c>
      <c r="M428" s="2"/>
      <c r="N428" s="14">
        <f t="shared" si="101"/>
        <v>24506.860000000004</v>
      </c>
      <c r="O428" s="15">
        <f>IFERROR(N428/N444, "NA")</f>
        <v>0.66003903644038464</v>
      </c>
      <c r="P428" s="2"/>
      <c r="Q428" s="14">
        <f>IFERROR(Q407+Q408+Q409+Q410+Q411+Q412+Q413+Q414+Q415+Q416+Q417+Q418+Q419+Q420+Q421+Q422+Q423+Q424+Q425+Q426+Q427, "NA")</f>
        <v>80951.34</v>
      </c>
      <c r="R428" s="15">
        <f>IFERROR(Q428/Q444, "NA")</f>
        <v>3.5778473278570228E-2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-80951.34</v>
      </c>
      <c r="X428" s="15">
        <f>IFERROR(W428/W444, "NA")</f>
        <v>-0.808529823469746</v>
      </c>
      <c r="Y428" s="2"/>
      <c r="Z428" s="14">
        <f>IFERROR(Z407+Z408+Z409+Z410+Z411+Z412+Z413+Z414+Z415+Z416+Z417+Z418+Z419+Z420+Z421+Z422+Z423+Z424+Z425+Z426+Z427, "NA")</f>
        <v>73988.749999999985</v>
      </c>
      <c r="AA428" s="15">
        <f>IFERROR(Z428/Z444, "NA")</f>
        <v>3.8424281016143765E-2</v>
      </c>
      <c r="AB428" s="2"/>
      <c r="AC428" s="14">
        <f t="shared" si="103"/>
        <v>-6962.5900000000111</v>
      </c>
      <c r="AD428" s="15">
        <f>IFERROR(AC428/AC444, "NA")</f>
        <v>-2.0660607447538625E-2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11088.889999999996</v>
      </c>
      <c r="C429" s="15">
        <f>IFERROR(B429/B444, "NA")</f>
        <v>1.8374999293676506E-2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-11088.889999999996</v>
      </c>
      <c r="I429" s="15">
        <f>IFERROR(H429/H444, "NA")</f>
        <v>0.193139668066097</v>
      </c>
      <c r="J429" s="2"/>
      <c r="K429" s="14">
        <f>IFERROR(K407+K408+K409+K410+K411+K412+K413+K414+K415+K416+K417+K418+K419+K420+K421+K422+K423+K424+K425+K426+K427, "NA")</f>
        <v>35595.75</v>
      </c>
      <c r="L429" s="15">
        <f>IFERROR(K429/K444, "NA")</f>
        <v>6.2851416237963531E-2</v>
      </c>
      <c r="M429" s="2"/>
      <c r="N429" s="14">
        <f t="shared" si="101"/>
        <v>24506.860000000004</v>
      </c>
      <c r="O429" s="15">
        <f>IFERROR(N429/N444, "NA")</f>
        <v>0.66003903644038464</v>
      </c>
      <c r="P429" s="2"/>
      <c r="Q429" s="14">
        <f>IFERROR(Q407+Q408+Q409+Q410+Q411+Q412+Q413+Q414+Q415+Q416+Q417+Q418+Q419+Q420+Q421+Q422+Q423+Q424+Q425+Q426+Q427, "NA")</f>
        <v>80951.34</v>
      </c>
      <c r="R429" s="15">
        <f>IFERROR(Q429/Q444, "NA")</f>
        <v>3.5778473278570228E-2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-80951.34</v>
      </c>
      <c r="X429" s="15">
        <f>IFERROR(W429/W444, "NA")</f>
        <v>-0.808529823469746</v>
      </c>
      <c r="Y429" s="2"/>
      <c r="Z429" s="14">
        <f>IFERROR(Z407+Z408+Z409+Z410+Z411+Z412+Z413+Z414+Z415+Z416+Z417+Z418+Z419+Z420+Z421+Z422+Z423+Z424+Z425+Z426+Z427, "NA")</f>
        <v>73988.749999999985</v>
      </c>
      <c r="AA429" s="15">
        <f>IFERROR(Z429/Z444, "NA")</f>
        <v>3.8424281016143765E-2</v>
      </c>
      <c r="AB429" s="2"/>
      <c r="AC429" s="14">
        <f t="shared" si="103"/>
        <v>-6962.5900000000111</v>
      </c>
      <c r="AD429" s="15">
        <f>IFERROR(AC429/AC444, "NA")</f>
        <v>-2.0660607447538625E-2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-101454.40000000015</v>
      </c>
      <c r="C443" s="24">
        <f>IFERROR(B443/B444, "NA")</f>
        <v>-0.16811642358616391</v>
      </c>
      <c r="D443" s="25"/>
      <c r="E443" s="23">
        <f>IFERROR(E404-E429-E442, "NA")</f>
        <v>-70618.169999999984</v>
      </c>
      <c r="F443" s="24">
        <f>IFERROR(E443/E444, "NA")</f>
        <v>-0.10685299677388489</v>
      </c>
      <c r="G443" s="25"/>
      <c r="H443" s="23">
        <f>IFERROR(B443-E443, "NA")</f>
        <v>-30836.230000000171</v>
      </c>
      <c r="I443" s="24">
        <f>IFERROR(H443/H444, "NA")</f>
        <v>0.53708705078775754</v>
      </c>
      <c r="J443" s="25"/>
      <c r="K443" s="23">
        <f>IFERROR(K404-K429-K442, "NA")</f>
        <v>-128884.33000000013</v>
      </c>
      <c r="L443" s="24">
        <f>IFERROR(K443/K444, "NA")</f>
        <v>-0.2275710631572887</v>
      </c>
      <c r="M443" s="25"/>
      <c r="N443" s="23">
        <f>IFERROR(B443-K443, "NA")</f>
        <v>27429.929999999978</v>
      </c>
      <c r="O443" s="24">
        <f>IFERROR(N443/N444, "NA")</f>
        <v>0.7387655769375262</v>
      </c>
      <c r="P443" s="25"/>
      <c r="Q443" s="23">
        <f>IFERROR(Q404-Q429-Q442, "NA")</f>
        <v>-588758.62999999907</v>
      </c>
      <c r="R443" s="24">
        <f>IFERROR(Q443/Q444, "NA")</f>
        <v>-0.26021663027421887</v>
      </c>
      <c r="S443" s="25"/>
      <c r="T443" s="23">
        <f>IFERROR(T404-T429-T442, "NA")</f>
        <v>-464661.22000000026</v>
      </c>
      <c r="U443" s="24">
        <f>IFERROR(T443/T444, "NA")</f>
        <v>-0.21487726238004207</v>
      </c>
      <c r="V443" s="25"/>
      <c r="W443" s="23">
        <f>IFERROR(Q443-T443, "NA")</f>
        <v>-124097.40999999881</v>
      </c>
      <c r="X443" s="24">
        <f>IFERROR(W443/W444, "NA")</f>
        <v>-1.2394662892590997</v>
      </c>
      <c r="Y443" s="25"/>
      <c r="Z443" s="23">
        <f>IFERROR(Z404-Z429-Z442, "NA")</f>
        <v>-589988.12000000011</v>
      </c>
      <c r="AA443" s="24">
        <f>IFERROR(Z443/Z444, "NA")</f>
        <v>-0.30639616589098151</v>
      </c>
      <c r="AB443" s="25"/>
      <c r="AC443" s="23">
        <f>IFERROR(Q443-Z443, "NA")</f>
        <v>1229.4900000010384</v>
      </c>
      <c r="AD443" s="24">
        <f>IFERROR(AC443/AC444, "NA")</f>
        <v>3.6483564665872438E-3</v>
      </c>
    </row>
    <row r="444" spans="1:30" ht="15.75" hidden="1" x14ac:dyDescent="0.45">
      <c r="A444" s="26" t="s">
        <v>117</v>
      </c>
      <c r="B444" s="7">
        <v>603477.03</v>
      </c>
      <c r="C444" s="27"/>
      <c r="D444" s="9"/>
      <c r="E444" s="7">
        <v>660890.87</v>
      </c>
      <c r="F444" s="27"/>
      <c r="G444" s="9"/>
      <c r="H444" s="10">
        <f>IFERROR(B444-E444, "NA")</f>
        <v>-57413.839999999967</v>
      </c>
      <c r="I444" s="27"/>
      <c r="J444" s="9"/>
      <c r="K444" s="7">
        <v>566347.62</v>
      </c>
      <c r="L444" s="27"/>
      <c r="M444" s="9"/>
      <c r="N444" s="10">
        <f>IFERROR(B444-K444, "NA")</f>
        <v>37129.410000000033</v>
      </c>
      <c r="O444" s="27"/>
      <c r="P444" s="9"/>
      <c r="Q444" s="7">
        <v>2262571.1100000003</v>
      </c>
      <c r="R444" s="27"/>
      <c r="S444" s="9"/>
      <c r="T444" s="7">
        <v>2162449.46</v>
      </c>
      <c r="U444" s="27"/>
      <c r="V444" s="9"/>
      <c r="W444" s="10">
        <f>IFERROR(Q444-T444, "NA")</f>
        <v>100121.65000000037</v>
      </c>
      <c r="X444" s="27"/>
      <c r="Y444" s="9"/>
      <c r="Z444" s="7">
        <v>1925572.79</v>
      </c>
      <c r="AA444" s="27"/>
      <c r="AB444" s="9"/>
      <c r="AC444" s="10">
        <f>IFERROR(Q444-Z444, "NA")</f>
        <v>336998.3200000003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411</v>
      </c>
      <c r="B3" s="31" t="s">
        <v>411</v>
      </c>
      <c r="C3" s="31" t="s">
        <v>411</v>
      </c>
      <c r="D3" s="31" t="s">
        <v>411</v>
      </c>
      <c r="E3" s="31" t="s">
        <v>411</v>
      </c>
      <c r="F3" s="31" t="s">
        <v>411</v>
      </c>
      <c r="G3" s="31" t="s">
        <v>411</v>
      </c>
      <c r="H3" s="31" t="s">
        <v>411</v>
      </c>
      <c r="I3" s="31" t="s">
        <v>411</v>
      </c>
      <c r="J3" s="31" t="s">
        <v>411</v>
      </c>
      <c r="K3" s="31" t="s">
        <v>411</v>
      </c>
      <c r="L3" s="31" t="s">
        <v>411</v>
      </c>
      <c r="M3" s="31" t="s">
        <v>411</v>
      </c>
      <c r="N3" s="31" t="s">
        <v>411</v>
      </c>
      <c r="O3" s="31" t="s">
        <v>411</v>
      </c>
      <c r="P3" s="31" t="s">
        <v>411</v>
      </c>
      <c r="Q3" s="31" t="s">
        <v>411</v>
      </c>
      <c r="R3" s="31" t="s">
        <v>411</v>
      </c>
      <c r="S3" s="31" t="s">
        <v>411</v>
      </c>
      <c r="T3" s="31" t="s">
        <v>411</v>
      </c>
      <c r="U3" s="31" t="s">
        <v>411</v>
      </c>
      <c r="V3" s="31" t="s">
        <v>411</v>
      </c>
      <c r="W3" s="31" t="s">
        <v>411</v>
      </c>
      <c r="X3" s="31" t="s">
        <v>411</v>
      </c>
      <c r="Y3" s="31" t="s">
        <v>411</v>
      </c>
      <c r="Z3" s="31" t="s">
        <v>411</v>
      </c>
      <c r="AA3" s="31" t="s">
        <v>411</v>
      </c>
      <c r="AB3" s="31" t="s">
        <v>411</v>
      </c>
      <c r="AC3" s="31" t="s">
        <v>411</v>
      </c>
      <c r="AD3" s="31" t="s">
        <v>411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 t="str">
        <f>IFERROR(B8/B444, "NA")</f>
        <v>NA</v>
      </c>
      <c r="D8" s="9"/>
      <c r="E8" s="7">
        <v>0</v>
      </c>
      <c r="F8" s="8" t="str">
        <f>IFERROR(E8/E444, "NA")</f>
        <v>NA</v>
      </c>
      <c r="G8" s="9"/>
      <c r="H8" s="10">
        <f>IFERROR(B8-E8, "NA")</f>
        <v>0</v>
      </c>
      <c r="I8" s="8" t="str">
        <f>IFERROR(H8/H444, "NA")</f>
        <v>NA</v>
      </c>
      <c r="J8" s="9"/>
      <c r="K8" s="7">
        <v>0</v>
      </c>
      <c r="L8" s="8" t="str">
        <f>IFERROR(K8/K444, "NA")</f>
        <v>NA</v>
      </c>
      <c r="M8" s="9"/>
      <c r="N8" s="10">
        <f>IFERROR(B8-K8, "NA")</f>
        <v>0</v>
      </c>
      <c r="O8" s="8" t="str">
        <f>IFERROR(N8/N444, "NA")</f>
        <v>NA</v>
      </c>
      <c r="P8" s="9"/>
      <c r="Q8" s="7">
        <v>0</v>
      </c>
      <c r="R8" s="8" t="str">
        <f>IFERROR(Q8/Q444, "NA")</f>
        <v>NA</v>
      </c>
      <c r="S8" s="9"/>
      <c r="T8" s="7">
        <v>0</v>
      </c>
      <c r="U8" s="8" t="str">
        <f>IFERROR(T8/T444, "NA")</f>
        <v>NA</v>
      </c>
      <c r="V8" s="9"/>
      <c r="W8" s="10">
        <f>IFERROR(Q8-T8, "NA")</f>
        <v>0</v>
      </c>
      <c r="X8" s="8" t="str">
        <f>IFERROR(W8/W444, "NA")</f>
        <v>NA</v>
      </c>
      <c r="Y8" s="9"/>
      <c r="Z8" s="7">
        <v>0</v>
      </c>
      <c r="AA8" s="8" t="str">
        <f>IFERROR(Z8/Z444, "NA")</f>
        <v>NA</v>
      </c>
      <c r="AB8" s="9"/>
      <c r="AC8" s="10">
        <f>IFERROR(Q8-Z8, "NA")</f>
        <v>0</v>
      </c>
      <c r="AD8" s="8" t="str">
        <f>IFERROR(AC8/AC444, "NA")</f>
        <v>NA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hidden="1" customHeight="1" x14ac:dyDescent="0.45">
      <c r="A10" s="12" t="s">
        <v>12</v>
      </c>
      <c r="B10" s="7">
        <v>0</v>
      </c>
      <c r="C10" s="8" t="str">
        <f>IFERROR(B10/B444, "NA")</f>
        <v>NA</v>
      </c>
      <c r="D10" s="9"/>
      <c r="E10" s="7">
        <v>0</v>
      </c>
      <c r="F10" s="8" t="str">
        <f>IFERROR(E10/E444, "NA")</f>
        <v>NA</v>
      </c>
      <c r="G10" s="9"/>
      <c r="H10" s="10">
        <f t="shared" ref="H10:H19" si="0">IFERROR(B10-E10, "NA")</f>
        <v>0</v>
      </c>
      <c r="I10" s="8" t="str">
        <f>IFERROR(H10/H444, "NA")</f>
        <v>NA</v>
      </c>
      <c r="J10" s="9"/>
      <c r="K10" s="7">
        <v>0</v>
      </c>
      <c r="L10" s="8" t="str">
        <f>IFERROR(K10/K444, "NA")</f>
        <v>NA</v>
      </c>
      <c r="M10" s="9"/>
      <c r="N10" s="10">
        <f t="shared" ref="N10:N19" si="1">IFERROR(B10-K10, "NA")</f>
        <v>0</v>
      </c>
      <c r="O10" s="8" t="str">
        <f>IFERROR(N10/N444, "NA")</f>
        <v>NA</v>
      </c>
      <c r="P10" s="9"/>
      <c r="Q10" s="7">
        <v>0</v>
      </c>
      <c r="R10" s="8" t="str">
        <f>IFERROR(Q10/Q444, "NA")</f>
        <v>NA</v>
      </c>
      <c r="S10" s="9"/>
      <c r="T10" s="7">
        <v>0</v>
      </c>
      <c r="U10" s="8" t="str">
        <f>IFERROR(T10/T444, "NA")</f>
        <v>NA</v>
      </c>
      <c r="V10" s="9"/>
      <c r="W10" s="10">
        <f t="shared" ref="W10:W19" si="2">IFERROR(Q10-T10, "NA")</f>
        <v>0</v>
      </c>
      <c r="X10" s="8" t="str">
        <f>IFERROR(W10/W444, "NA")</f>
        <v>NA</v>
      </c>
      <c r="Y10" s="9"/>
      <c r="Z10" s="7">
        <v>0</v>
      </c>
      <c r="AA10" s="8" t="str">
        <f>IFERROR(Z10/Z444, "NA")</f>
        <v>NA</v>
      </c>
      <c r="AB10" s="9"/>
      <c r="AC10" s="10">
        <f t="shared" ref="AC10:AC19" si="3">IFERROR(Q10-Z10, "NA")</f>
        <v>0</v>
      </c>
      <c r="AD10" s="8" t="str">
        <f>IFERROR(AC10/AC444, "NA")</f>
        <v>NA</v>
      </c>
    </row>
    <row r="11" spans="1:30" ht="16.5" hidden="1" customHeight="1" x14ac:dyDescent="0.45">
      <c r="A11" s="12" t="s">
        <v>13</v>
      </c>
      <c r="B11" s="7">
        <v>0</v>
      </c>
      <c r="C11" s="8" t="str">
        <f>IFERROR(B11/B444, "NA")</f>
        <v>NA</v>
      </c>
      <c r="D11" s="9"/>
      <c r="E11" s="7">
        <v>0</v>
      </c>
      <c r="F11" s="8" t="str">
        <f>IFERROR(E11/E444, "NA")</f>
        <v>NA</v>
      </c>
      <c r="G11" s="9"/>
      <c r="H11" s="10">
        <f t="shared" si="0"/>
        <v>0</v>
      </c>
      <c r="I11" s="8" t="str">
        <f>IFERROR(H11/H444, "NA")</f>
        <v>NA</v>
      </c>
      <c r="J11" s="9"/>
      <c r="K11" s="7">
        <v>0</v>
      </c>
      <c r="L11" s="8" t="str">
        <f>IFERROR(K11/K444, "NA")</f>
        <v>NA</v>
      </c>
      <c r="M11" s="9"/>
      <c r="N11" s="10">
        <f t="shared" si="1"/>
        <v>0</v>
      </c>
      <c r="O11" s="8" t="str">
        <f>IFERROR(N11/N444, "NA")</f>
        <v>NA</v>
      </c>
      <c r="P11" s="9"/>
      <c r="Q11" s="7">
        <v>0</v>
      </c>
      <c r="R11" s="8" t="str">
        <f>IFERROR(Q11/Q444, "NA")</f>
        <v>NA</v>
      </c>
      <c r="S11" s="9"/>
      <c r="T11" s="7">
        <v>0</v>
      </c>
      <c r="U11" s="8" t="str">
        <f>IFERROR(T11/T444, "NA")</f>
        <v>NA</v>
      </c>
      <c r="V11" s="9"/>
      <c r="W11" s="10">
        <f t="shared" si="2"/>
        <v>0</v>
      </c>
      <c r="X11" s="8" t="str">
        <f>IFERROR(W11/W444, "NA")</f>
        <v>NA</v>
      </c>
      <c r="Y11" s="9"/>
      <c r="Z11" s="7">
        <v>0</v>
      </c>
      <c r="AA11" s="8" t="str">
        <f>IFERROR(Z11/Z444, "NA")</f>
        <v>NA</v>
      </c>
      <c r="AB11" s="9"/>
      <c r="AC11" s="10">
        <f t="shared" si="3"/>
        <v>0</v>
      </c>
      <c r="AD11" s="8" t="str">
        <f>IFERROR(AC11/AC444, "NA")</f>
        <v>NA</v>
      </c>
    </row>
    <row r="12" spans="1:30" ht="16.5" hidden="1" customHeight="1" x14ac:dyDescent="0.45">
      <c r="A12" s="12" t="s">
        <v>14</v>
      </c>
      <c r="B12" s="7">
        <v>0</v>
      </c>
      <c r="C12" s="8" t="str">
        <f>IFERROR(B12/B444, "NA")</f>
        <v>NA</v>
      </c>
      <c r="D12" s="9"/>
      <c r="E12" s="7">
        <v>0</v>
      </c>
      <c r="F12" s="8" t="str">
        <f>IFERROR(E12/E444, "NA")</f>
        <v>NA</v>
      </c>
      <c r="G12" s="9"/>
      <c r="H12" s="10">
        <f t="shared" si="0"/>
        <v>0</v>
      </c>
      <c r="I12" s="8" t="str">
        <f>IFERROR(H12/H444, "NA")</f>
        <v>NA</v>
      </c>
      <c r="J12" s="9"/>
      <c r="K12" s="7">
        <v>0</v>
      </c>
      <c r="L12" s="8" t="str">
        <f>IFERROR(K12/K444, "NA")</f>
        <v>NA</v>
      </c>
      <c r="M12" s="9"/>
      <c r="N12" s="10">
        <f t="shared" si="1"/>
        <v>0</v>
      </c>
      <c r="O12" s="8" t="str">
        <f>IFERROR(N12/N444, "NA")</f>
        <v>NA</v>
      </c>
      <c r="P12" s="9"/>
      <c r="Q12" s="7">
        <v>0</v>
      </c>
      <c r="R12" s="8" t="str">
        <f>IFERROR(Q12/Q444, "NA")</f>
        <v>NA</v>
      </c>
      <c r="S12" s="9"/>
      <c r="T12" s="7">
        <v>0</v>
      </c>
      <c r="U12" s="8" t="str">
        <f>IFERROR(T12/T444, "NA")</f>
        <v>NA</v>
      </c>
      <c r="V12" s="9"/>
      <c r="W12" s="10">
        <f t="shared" si="2"/>
        <v>0</v>
      </c>
      <c r="X12" s="8" t="str">
        <f>IFERROR(W12/W444, "NA")</f>
        <v>NA</v>
      </c>
      <c r="Y12" s="9"/>
      <c r="Z12" s="7">
        <v>0</v>
      </c>
      <c r="AA12" s="8" t="str">
        <f>IFERROR(Z12/Z444, "NA")</f>
        <v>NA</v>
      </c>
      <c r="AB12" s="9"/>
      <c r="AC12" s="10">
        <f t="shared" si="3"/>
        <v>0</v>
      </c>
      <c r="AD12" s="8" t="str">
        <f>IFERROR(AC12/AC444, "NA")</f>
        <v>NA</v>
      </c>
    </row>
    <row r="13" spans="1:30" ht="16.5" hidden="1" customHeight="1" x14ac:dyDescent="0.45">
      <c r="A13" s="12" t="s">
        <v>15</v>
      </c>
      <c r="B13" s="7">
        <v>0</v>
      </c>
      <c r="C13" s="8" t="str">
        <f>IFERROR(B13/B444, "NA")</f>
        <v>NA</v>
      </c>
      <c r="D13" s="9"/>
      <c r="E13" s="7">
        <v>0</v>
      </c>
      <c r="F13" s="8" t="str">
        <f>IFERROR(E13/E444, "NA")</f>
        <v>NA</v>
      </c>
      <c r="G13" s="9"/>
      <c r="H13" s="10">
        <f t="shared" si="0"/>
        <v>0</v>
      </c>
      <c r="I13" s="8" t="str">
        <f>IFERROR(H13/H444, "NA")</f>
        <v>NA</v>
      </c>
      <c r="J13" s="9"/>
      <c r="K13" s="7">
        <v>0</v>
      </c>
      <c r="L13" s="8" t="str">
        <f>IFERROR(K13/K444, "NA")</f>
        <v>NA</v>
      </c>
      <c r="M13" s="9"/>
      <c r="N13" s="10">
        <f t="shared" si="1"/>
        <v>0</v>
      </c>
      <c r="O13" s="8" t="str">
        <f>IFERROR(N13/N444, "NA")</f>
        <v>NA</v>
      </c>
      <c r="P13" s="9"/>
      <c r="Q13" s="7">
        <v>0</v>
      </c>
      <c r="R13" s="8" t="str">
        <f>IFERROR(Q13/Q444, "NA")</f>
        <v>NA</v>
      </c>
      <c r="S13" s="9"/>
      <c r="T13" s="7">
        <v>0</v>
      </c>
      <c r="U13" s="8" t="str">
        <f>IFERROR(T13/T444, "NA")</f>
        <v>NA</v>
      </c>
      <c r="V13" s="9"/>
      <c r="W13" s="10">
        <f t="shared" si="2"/>
        <v>0</v>
      </c>
      <c r="X13" s="8" t="str">
        <f>IFERROR(W13/W444, "NA")</f>
        <v>NA</v>
      </c>
      <c r="Y13" s="9"/>
      <c r="Z13" s="7">
        <v>0</v>
      </c>
      <c r="AA13" s="8" t="str">
        <f>IFERROR(Z13/Z444, "NA")</f>
        <v>NA</v>
      </c>
      <c r="AB13" s="9"/>
      <c r="AC13" s="10">
        <f t="shared" si="3"/>
        <v>0</v>
      </c>
      <c r="AD13" s="8" t="str">
        <f>IFERROR(AC13/AC444, "NA")</f>
        <v>NA</v>
      </c>
    </row>
    <row r="14" spans="1:30" ht="16.5" hidden="1" customHeight="1" x14ac:dyDescent="0.45">
      <c r="A14" s="12" t="s">
        <v>16</v>
      </c>
      <c r="B14" s="7">
        <v>0</v>
      </c>
      <c r="C14" s="8" t="str">
        <f>IFERROR(B14/B444, "NA")</f>
        <v>NA</v>
      </c>
      <c r="D14" s="9"/>
      <c r="E14" s="7">
        <v>0</v>
      </c>
      <c r="F14" s="8" t="str">
        <f>IFERROR(E14/E444, "NA")</f>
        <v>NA</v>
      </c>
      <c r="G14" s="9"/>
      <c r="H14" s="10">
        <f t="shared" si="0"/>
        <v>0</v>
      </c>
      <c r="I14" s="8" t="str">
        <f>IFERROR(H14/H444, "NA")</f>
        <v>NA</v>
      </c>
      <c r="J14" s="9"/>
      <c r="K14" s="7">
        <v>0</v>
      </c>
      <c r="L14" s="8" t="str">
        <f>IFERROR(K14/K444, "NA")</f>
        <v>NA</v>
      </c>
      <c r="M14" s="9"/>
      <c r="N14" s="10">
        <f t="shared" si="1"/>
        <v>0</v>
      </c>
      <c r="O14" s="8" t="str">
        <f>IFERROR(N14/N444, "NA")</f>
        <v>NA</v>
      </c>
      <c r="P14" s="9"/>
      <c r="Q14" s="7">
        <v>0</v>
      </c>
      <c r="R14" s="8" t="str">
        <f>IFERROR(Q14/Q444, "NA")</f>
        <v>NA</v>
      </c>
      <c r="S14" s="9"/>
      <c r="T14" s="7">
        <v>0</v>
      </c>
      <c r="U14" s="8" t="str">
        <f>IFERROR(T14/T444, "NA")</f>
        <v>NA</v>
      </c>
      <c r="V14" s="9"/>
      <c r="W14" s="10">
        <f t="shared" si="2"/>
        <v>0</v>
      </c>
      <c r="X14" s="8" t="str">
        <f>IFERROR(W14/W444, "NA")</f>
        <v>NA</v>
      </c>
      <c r="Y14" s="9"/>
      <c r="Z14" s="7">
        <v>0</v>
      </c>
      <c r="AA14" s="8" t="str">
        <f>IFERROR(Z14/Z444, "NA")</f>
        <v>NA</v>
      </c>
      <c r="AB14" s="9"/>
      <c r="AC14" s="10">
        <f t="shared" si="3"/>
        <v>0</v>
      </c>
      <c r="AD14" s="8" t="str">
        <f>IFERROR(AC14/AC444, "NA")</f>
        <v>NA</v>
      </c>
    </row>
    <row r="15" spans="1:30" ht="16.5" hidden="1" customHeight="1" x14ac:dyDescent="0.45">
      <c r="A15" s="12" t="s">
        <v>17</v>
      </c>
      <c r="B15" s="7">
        <v>0</v>
      </c>
      <c r="C15" s="8" t="str">
        <f>IFERROR(B15/B444, "NA")</f>
        <v>NA</v>
      </c>
      <c r="D15" s="9"/>
      <c r="E15" s="7">
        <v>0</v>
      </c>
      <c r="F15" s="8" t="str">
        <f>IFERROR(E15/E444, "NA")</f>
        <v>NA</v>
      </c>
      <c r="G15" s="9"/>
      <c r="H15" s="10">
        <f t="shared" si="0"/>
        <v>0</v>
      </c>
      <c r="I15" s="8" t="str">
        <f>IFERROR(H15/H444, "NA")</f>
        <v>NA</v>
      </c>
      <c r="J15" s="9"/>
      <c r="K15" s="7">
        <v>0</v>
      </c>
      <c r="L15" s="8" t="str">
        <f>IFERROR(K15/K444, "NA")</f>
        <v>NA</v>
      </c>
      <c r="M15" s="9"/>
      <c r="N15" s="10">
        <f t="shared" si="1"/>
        <v>0</v>
      </c>
      <c r="O15" s="8" t="str">
        <f>IFERROR(N15/N444, "NA")</f>
        <v>NA</v>
      </c>
      <c r="P15" s="9"/>
      <c r="Q15" s="7">
        <v>0</v>
      </c>
      <c r="R15" s="8" t="str">
        <f>IFERROR(Q15/Q444, "NA")</f>
        <v>NA</v>
      </c>
      <c r="S15" s="9"/>
      <c r="T15" s="7">
        <v>0</v>
      </c>
      <c r="U15" s="8" t="str">
        <f>IFERROR(T15/T444, "NA")</f>
        <v>NA</v>
      </c>
      <c r="V15" s="9"/>
      <c r="W15" s="10">
        <f t="shared" si="2"/>
        <v>0</v>
      </c>
      <c r="X15" s="8" t="str">
        <f>IFERROR(W15/W444, "NA")</f>
        <v>NA</v>
      </c>
      <c r="Y15" s="9"/>
      <c r="Z15" s="7">
        <v>0</v>
      </c>
      <c r="AA15" s="8" t="str">
        <f>IFERROR(Z15/Z444, "NA")</f>
        <v>NA</v>
      </c>
      <c r="AB15" s="9"/>
      <c r="AC15" s="10">
        <f t="shared" si="3"/>
        <v>0</v>
      </c>
      <c r="AD15" s="8" t="str">
        <f>IFERROR(AC15/AC444, "NA")</f>
        <v>NA</v>
      </c>
    </row>
    <row r="16" spans="1:30" ht="16.5" hidden="1" customHeight="1" x14ac:dyDescent="0.45">
      <c r="A16" s="12" t="s">
        <v>18</v>
      </c>
      <c r="B16" s="7">
        <v>0</v>
      </c>
      <c r="C16" s="8" t="str">
        <f>IFERROR(B16/B444, "NA")</f>
        <v>NA</v>
      </c>
      <c r="D16" s="9"/>
      <c r="E16" s="7">
        <v>0</v>
      </c>
      <c r="F16" s="8" t="str">
        <f>IFERROR(E16/E444, "NA")</f>
        <v>NA</v>
      </c>
      <c r="G16" s="9"/>
      <c r="H16" s="10">
        <f t="shared" si="0"/>
        <v>0</v>
      </c>
      <c r="I16" s="8" t="str">
        <f>IFERROR(H16/H444, "NA")</f>
        <v>NA</v>
      </c>
      <c r="J16" s="9"/>
      <c r="K16" s="7">
        <v>0</v>
      </c>
      <c r="L16" s="8" t="str">
        <f>IFERROR(K16/K444, "NA")</f>
        <v>NA</v>
      </c>
      <c r="M16" s="9"/>
      <c r="N16" s="10">
        <f t="shared" si="1"/>
        <v>0</v>
      </c>
      <c r="O16" s="8" t="str">
        <f>IFERROR(N16/N444, "NA")</f>
        <v>NA</v>
      </c>
      <c r="P16" s="9"/>
      <c r="Q16" s="7">
        <v>0</v>
      </c>
      <c r="R16" s="8" t="str">
        <f>IFERROR(Q16/Q444, "NA")</f>
        <v>NA</v>
      </c>
      <c r="S16" s="9"/>
      <c r="T16" s="7">
        <v>0</v>
      </c>
      <c r="U16" s="8" t="str">
        <f>IFERROR(T16/T444, "NA")</f>
        <v>NA</v>
      </c>
      <c r="V16" s="9"/>
      <c r="W16" s="10">
        <f t="shared" si="2"/>
        <v>0</v>
      </c>
      <c r="X16" s="8" t="str">
        <f>IFERROR(W16/W444, "NA")</f>
        <v>NA</v>
      </c>
      <c r="Y16" s="9"/>
      <c r="Z16" s="7">
        <v>0</v>
      </c>
      <c r="AA16" s="8" t="str">
        <f>IFERROR(Z16/Z444, "NA")</f>
        <v>NA</v>
      </c>
      <c r="AB16" s="9"/>
      <c r="AC16" s="10">
        <f t="shared" si="3"/>
        <v>0</v>
      </c>
      <c r="AD16" s="8" t="str">
        <f>IFERROR(AC16/AC444, "NA")</f>
        <v>NA</v>
      </c>
    </row>
    <row r="17" spans="1:30" ht="16.5" hidden="1" customHeight="1" x14ac:dyDescent="0.45">
      <c r="A17" s="12" t="s">
        <v>19</v>
      </c>
      <c r="B17" s="7">
        <v>0</v>
      </c>
      <c r="C17" s="8" t="str">
        <f>IFERROR(B17/B444, "NA")</f>
        <v>NA</v>
      </c>
      <c r="D17" s="9"/>
      <c r="E17" s="7">
        <v>0</v>
      </c>
      <c r="F17" s="8" t="str">
        <f>IFERROR(E17/E444, "NA")</f>
        <v>NA</v>
      </c>
      <c r="G17" s="9"/>
      <c r="H17" s="10">
        <f t="shared" si="0"/>
        <v>0</v>
      </c>
      <c r="I17" s="8" t="str">
        <f>IFERROR(H17/H444, "NA")</f>
        <v>NA</v>
      </c>
      <c r="J17" s="9"/>
      <c r="K17" s="7">
        <v>0</v>
      </c>
      <c r="L17" s="8" t="str">
        <f>IFERROR(K17/K444, "NA")</f>
        <v>NA</v>
      </c>
      <c r="M17" s="9"/>
      <c r="N17" s="10">
        <f t="shared" si="1"/>
        <v>0</v>
      </c>
      <c r="O17" s="8" t="str">
        <f>IFERROR(N17/N444, "NA")</f>
        <v>NA</v>
      </c>
      <c r="P17" s="9"/>
      <c r="Q17" s="7">
        <v>0</v>
      </c>
      <c r="R17" s="8" t="str">
        <f>IFERROR(Q17/Q444, "NA")</f>
        <v>NA</v>
      </c>
      <c r="S17" s="9"/>
      <c r="T17" s="7">
        <v>0</v>
      </c>
      <c r="U17" s="8" t="str">
        <f>IFERROR(T17/T444, "NA")</f>
        <v>NA</v>
      </c>
      <c r="V17" s="9"/>
      <c r="W17" s="10">
        <f t="shared" si="2"/>
        <v>0</v>
      </c>
      <c r="X17" s="8" t="str">
        <f>IFERROR(W17/W444, "NA")</f>
        <v>NA</v>
      </c>
      <c r="Y17" s="9"/>
      <c r="Z17" s="7">
        <v>0</v>
      </c>
      <c r="AA17" s="8" t="str">
        <f>IFERROR(Z17/Z444, "NA")</f>
        <v>NA</v>
      </c>
      <c r="AB17" s="9"/>
      <c r="AC17" s="10">
        <f t="shared" si="3"/>
        <v>0</v>
      </c>
      <c r="AD17" s="8" t="str">
        <f>IFERROR(AC17/AC444, "NA")</f>
        <v>NA</v>
      </c>
    </row>
    <row r="18" spans="1:30" ht="16.5" customHeight="1" x14ac:dyDescent="0.45">
      <c r="A18" s="13" t="s">
        <v>20</v>
      </c>
      <c r="B18" s="14">
        <f>IFERROR(B10+B11+B12+B13+B14+B15+B16+B17, "NA")</f>
        <v>0</v>
      </c>
      <c r="C18" s="15" t="str">
        <f>IFERROR(B18/B444, "NA")</f>
        <v>NA</v>
      </c>
      <c r="D18" s="2"/>
      <c r="E18" s="14">
        <f>IFERROR(E10+E11+E12+E13+E14+E15+E16+E17, "NA")</f>
        <v>0</v>
      </c>
      <c r="F18" s="15" t="str">
        <f>IFERROR(E18/E444, "NA")</f>
        <v>NA</v>
      </c>
      <c r="G18" s="2"/>
      <c r="H18" s="14">
        <f t="shared" si="0"/>
        <v>0</v>
      </c>
      <c r="I18" s="15" t="str">
        <f>IFERROR(H18/H444, "NA")</f>
        <v>NA</v>
      </c>
      <c r="J18" s="2"/>
      <c r="K18" s="14">
        <f>IFERROR(K10+K11+K12+K13+K14+K15+K16+K17, "NA")</f>
        <v>0</v>
      </c>
      <c r="L18" s="15" t="str">
        <f>IFERROR(K18/K444, "NA")</f>
        <v>NA</v>
      </c>
      <c r="M18" s="2"/>
      <c r="N18" s="14">
        <f t="shared" si="1"/>
        <v>0</v>
      </c>
      <c r="O18" s="15" t="str">
        <f>IFERROR(N18/N444, "NA")</f>
        <v>NA</v>
      </c>
      <c r="P18" s="2"/>
      <c r="Q18" s="14">
        <f>IFERROR(Q10+Q11+Q12+Q13+Q14+Q15+Q16+Q17, "NA")</f>
        <v>0</v>
      </c>
      <c r="R18" s="15" t="str">
        <f>IFERROR(Q18/Q444, "NA")</f>
        <v>NA</v>
      </c>
      <c r="S18" s="2"/>
      <c r="T18" s="14">
        <f>IFERROR(T10+T11+T12+T13+T14+T15+T16+T17, "NA")</f>
        <v>0</v>
      </c>
      <c r="U18" s="15" t="str">
        <f>IFERROR(T18/T444, "NA")</f>
        <v>NA</v>
      </c>
      <c r="V18" s="2"/>
      <c r="W18" s="14">
        <f t="shared" si="2"/>
        <v>0</v>
      </c>
      <c r="X18" s="15" t="str">
        <f>IFERROR(W18/W444, "NA")</f>
        <v>NA</v>
      </c>
      <c r="Y18" s="2"/>
      <c r="Z18" s="14">
        <f>IFERROR(Z10+Z11+Z12+Z13+Z14+Z15+Z16+Z17, "NA")</f>
        <v>0</v>
      </c>
      <c r="AA18" s="15" t="str">
        <f>IFERROR(Z18/Z444, "NA")</f>
        <v>NA</v>
      </c>
      <c r="AB18" s="2"/>
      <c r="AC18" s="14">
        <f t="shared" si="3"/>
        <v>0</v>
      </c>
      <c r="AD18" s="15" t="str">
        <f>IFERROR(AC18/AC444, "NA")</f>
        <v>NA</v>
      </c>
    </row>
    <row r="19" spans="1:30" ht="16.5" hidden="1" customHeight="1" x14ac:dyDescent="0.45">
      <c r="A19" s="6" t="s">
        <v>21</v>
      </c>
      <c r="B19" s="7">
        <v>0</v>
      </c>
      <c r="C19" s="8" t="str">
        <f>IFERROR(B19/B444, "NA")</f>
        <v>NA</v>
      </c>
      <c r="D19" s="9"/>
      <c r="E19" s="7">
        <v>0</v>
      </c>
      <c r="F19" s="8" t="str">
        <f>IFERROR(E19/E444, "NA")</f>
        <v>NA</v>
      </c>
      <c r="G19" s="9"/>
      <c r="H19" s="10">
        <f t="shared" si="0"/>
        <v>0</v>
      </c>
      <c r="I19" s="8" t="str">
        <f>IFERROR(H19/H444, "NA")</f>
        <v>NA</v>
      </c>
      <c r="J19" s="9"/>
      <c r="K19" s="7">
        <v>0</v>
      </c>
      <c r="L19" s="8" t="str">
        <f>IFERROR(K19/K444, "NA")</f>
        <v>NA</v>
      </c>
      <c r="M19" s="9"/>
      <c r="N19" s="10">
        <f t="shared" si="1"/>
        <v>0</v>
      </c>
      <c r="O19" s="8" t="str">
        <f>IFERROR(N19/N444, "NA")</f>
        <v>NA</v>
      </c>
      <c r="P19" s="9"/>
      <c r="Q19" s="7">
        <v>0</v>
      </c>
      <c r="R19" s="8" t="str">
        <f>IFERROR(Q19/Q444, "NA")</f>
        <v>NA</v>
      </c>
      <c r="S19" s="9"/>
      <c r="T19" s="7">
        <v>0</v>
      </c>
      <c r="U19" s="8" t="str">
        <f>IFERROR(T19/T444, "NA")</f>
        <v>NA</v>
      </c>
      <c r="V19" s="9"/>
      <c r="W19" s="10">
        <f t="shared" si="2"/>
        <v>0</v>
      </c>
      <c r="X19" s="8" t="str">
        <f>IFERROR(W19/W444, "NA")</f>
        <v>NA</v>
      </c>
      <c r="Y19" s="9"/>
      <c r="Z19" s="7">
        <v>0</v>
      </c>
      <c r="AA19" s="8" t="str">
        <f>IFERROR(Z19/Z444, "NA")</f>
        <v>NA</v>
      </c>
      <c r="AB19" s="9"/>
      <c r="AC19" s="10">
        <f t="shared" si="3"/>
        <v>0</v>
      </c>
      <c r="AD19" s="8" t="str">
        <f>IFERROR(AC19/AC444, "NA")</f>
        <v>NA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hidden="1" customHeight="1" x14ac:dyDescent="0.45">
      <c r="A21" s="12" t="s">
        <v>22</v>
      </c>
      <c r="B21" s="7">
        <v>0</v>
      </c>
      <c r="C21" s="8" t="str">
        <f>IFERROR(B21/B444, "NA")</f>
        <v>NA</v>
      </c>
      <c r="D21" s="9"/>
      <c r="E21" s="7">
        <v>0</v>
      </c>
      <c r="F21" s="8" t="str">
        <f>IFERROR(E21/E444, "NA")</f>
        <v>NA</v>
      </c>
      <c r="G21" s="9"/>
      <c r="H21" s="10">
        <f t="shared" ref="H21:H29" si="4">IFERROR(B21-E21, "NA")</f>
        <v>0</v>
      </c>
      <c r="I21" s="8" t="str">
        <f>IFERROR(H21/H444, "NA")</f>
        <v>NA</v>
      </c>
      <c r="J21" s="9"/>
      <c r="K21" s="7">
        <v>0</v>
      </c>
      <c r="L21" s="8" t="str">
        <f>IFERROR(K21/K444, "NA")</f>
        <v>NA</v>
      </c>
      <c r="M21" s="9"/>
      <c r="N21" s="10">
        <f t="shared" ref="N21:N29" si="5">IFERROR(B21-K21, "NA")</f>
        <v>0</v>
      </c>
      <c r="O21" s="8" t="str">
        <f>IFERROR(N21/N444, "NA")</f>
        <v>NA</v>
      </c>
      <c r="P21" s="9"/>
      <c r="Q21" s="7">
        <v>0</v>
      </c>
      <c r="R21" s="8" t="str">
        <f>IFERROR(Q21/Q444, "NA")</f>
        <v>NA</v>
      </c>
      <c r="S21" s="9"/>
      <c r="T21" s="7">
        <v>0</v>
      </c>
      <c r="U21" s="8" t="str">
        <f>IFERROR(T21/T444, "NA")</f>
        <v>NA</v>
      </c>
      <c r="V21" s="9"/>
      <c r="W21" s="10">
        <f t="shared" ref="W21:W29" si="6">IFERROR(Q21-T21, "NA")</f>
        <v>0</v>
      </c>
      <c r="X21" s="8" t="str">
        <f>IFERROR(W21/W444, "NA")</f>
        <v>NA</v>
      </c>
      <c r="Y21" s="9"/>
      <c r="Z21" s="7">
        <v>0</v>
      </c>
      <c r="AA21" s="8" t="str">
        <f>IFERROR(Z21/Z444, "NA")</f>
        <v>NA</v>
      </c>
      <c r="AB21" s="9"/>
      <c r="AC21" s="10">
        <f t="shared" ref="AC21:AC29" si="7">IFERROR(Q21-Z21, "NA")</f>
        <v>0</v>
      </c>
      <c r="AD21" s="8" t="str">
        <f>IFERROR(AC21/AC444, "NA")</f>
        <v>NA</v>
      </c>
    </row>
    <row r="22" spans="1:30" ht="16.5" hidden="1" customHeight="1" x14ac:dyDescent="0.45">
      <c r="A22" s="12" t="s">
        <v>23</v>
      </c>
      <c r="B22" s="7">
        <v>0</v>
      </c>
      <c r="C22" s="8" t="str">
        <f>IFERROR(B22/B444, "NA")</f>
        <v>NA</v>
      </c>
      <c r="D22" s="9"/>
      <c r="E22" s="7">
        <v>0</v>
      </c>
      <c r="F22" s="8" t="str">
        <f>IFERROR(E22/E444, "NA")</f>
        <v>NA</v>
      </c>
      <c r="G22" s="9"/>
      <c r="H22" s="10">
        <f t="shared" si="4"/>
        <v>0</v>
      </c>
      <c r="I22" s="8" t="str">
        <f>IFERROR(H22/H444, "NA")</f>
        <v>NA</v>
      </c>
      <c r="J22" s="9"/>
      <c r="K22" s="7">
        <v>0</v>
      </c>
      <c r="L22" s="8" t="str">
        <f>IFERROR(K22/K444, "NA")</f>
        <v>NA</v>
      </c>
      <c r="M22" s="9"/>
      <c r="N22" s="10">
        <f t="shared" si="5"/>
        <v>0</v>
      </c>
      <c r="O22" s="8" t="str">
        <f>IFERROR(N22/N444, "NA")</f>
        <v>NA</v>
      </c>
      <c r="P22" s="9"/>
      <c r="Q22" s="7">
        <v>0</v>
      </c>
      <c r="R22" s="8" t="str">
        <f>IFERROR(Q22/Q444, "NA")</f>
        <v>NA</v>
      </c>
      <c r="S22" s="9"/>
      <c r="T22" s="7">
        <v>0</v>
      </c>
      <c r="U22" s="8" t="str">
        <f>IFERROR(T22/T444, "NA")</f>
        <v>NA</v>
      </c>
      <c r="V22" s="9"/>
      <c r="W22" s="10">
        <f t="shared" si="6"/>
        <v>0</v>
      </c>
      <c r="X22" s="8" t="str">
        <f>IFERROR(W22/W444, "NA")</f>
        <v>NA</v>
      </c>
      <c r="Y22" s="9"/>
      <c r="Z22" s="7">
        <v>0</v>
      </c>
      <c r="AA22" s="8" t="str">
        <f>IFERROR(Z22/Z444, "NA")</f>
        <v>NA</v>
      </c>
      <c r="AB22" s="9"/>
      <c r="AC22" s="10">
        <f t="shared" si="7"/>
        <v>0</v>
      </c>
      <c r="AD22" s="8" t="str">
        <f>IFERROR(AC22/AC444, "NA")</f>
        <v>NA</v>
      </c>
    </row>
    <row r="23" spans="1:30" ht="16.5" hidden="1" customHeight="1" x14ac:dyDescent="0.45">
      <c r="A23" s="12" t="s">
        <v>24</v>
      </c>
      <c r="B23" s="7">
        <v>0</v>
      </c>
      <c r="C23" s="8" t="str">
        <f>IFERROR(B23/B444, "NA")</f>
        <v>NA</v>
      </c>
      <c r="D23" s="9"/>
      <c r="E23" s="7">
        <v>0</v>
      </c>
      <c r="F23" s="8" t="str">
        <f>IFERROR(E23/E444, "NA")</f>
        <v>NA</v>
      </c>
      <c r="G23" s="9"/>
      <c r="H23" s="10">
        <f t="shared" si="4"/>
        <v>0</v>
      </c>
      <c r="I23" s="8" t="str">
        <f>IFERROR(H23/H444, "NA")</f>
        <v>NA</v>
      </c>
      <c r="J23" s="9"/>
      <c r="K23" s="7">
        <v>0</v>
      </c>
      <c r="L23" s="8" t="str">
        <f>IFERROR(K23/K444, "NA")</f>
        <v>NA</v>
      </c>
      <c r="M23" s="9"/>
      <c r="N23" s="10">
        <f t="shared" si="5"/>
        <v>0</v>
      </c>
      <c r="O23" s="8" t="str">
        <f>IFERROR(N23/N444, "NA")</f>
        <v>NA</v>
      </c>
      <c r="P23" s="9"/>
      <c r="Q23" s="7">
        <v>0</v>
      </c>
      <c r="R23" s="8" t="str">
        <f>IFERROR(Q23/Q444, "NA")</f>
        <v>NA</v>
      </c>
      <c r="S23" s="9"/>
      <c r="T23" s="7">
        <v>0</v>
      </c>
      <c r="U23" s="8" t="str">
        <f>IFERROR(T23/T444, "NA")</f>
        <v>NA</v>
      </c>
      <c r="V23" s="9"/>
      <c r="W23" s="10">
        <f t="shared" si="6"/>
        <v>0</v>
      </c>
      <c r="X23" s="8" t="str">
        <f>IFERROR(W23/W444, "NA")</f>
        <v>NA</v>
      </c>
      <c r="Y23" s="9"/>
      <c r="Z23" s="7">
        <v>0</v>
      </c>
      <c r="AA23" s="8" t="str">
        <f>IFERROR(Z23/Z444, "NA")</f>
        <v>NA</v>
      </c>
      <c r="AB23" s="9"/>
      <c r="AC23" s="10">
        <f t="shared" si="7"/>
        <v>0</v>
      </c>
      <c r="AD23" s="8" t="str">
        <f>IFERROR(AC23/AC444, "NA")</f>
        <v>NA</v>
      </c>
    </row>
    <row r="24" spans="1:30" ht="16.5" hidden="1" customHeight="1" x14ac:dyDescent="0.45">
      <c r="A24" s="12" t="s">
        <v>25</v>
      </c>
      <c r="B24" s="7">
        <v>0</v>
      </c>
      <c r="C24" s="8" t="str">
        <f>IFERROR(B24/B444, "NA")</f>
        <v>NA</v>
      </c>
      <c r="D24" s="9"/>
      <c r="E24" s="7">
        <v>0</v>
      </c>
      <c r="F24" s="8" t="str">
        <f>IFERROR(E24/E444, "NA")</f>
        <v>NA</v>
      </c>
      <c r="G24" s="9"/>
      <c r="H24" s="10">
        <f t="shared" si="4"/>
        <v>0</v>
      </c>
      <c r="I24" s="8" t="str">
        <f>IFERROR(H24/H444, "NA")</f>
        <v>NA</v>
      </c>
      <c r="J24" s="9"/>
      <c r="K24" s="7">
        <v>0</v>
      </c>
      <c r="L24" s="8" t="str">
        <f>IFERROR(K24/K444, "NA")</f>
        <v>NA</v>
      </c>
      <c r="M24" s="9"/>
      <c r="N24" s="10">
        <f t="shared" si="5"/>
        <v>0</v>
      </c>
      <c r="O24" s="8" t="str">
        <f>IFERROR(N24/N444, "NA")</f>
        <v>NA</v>
      </c>
      <c r="P24" s="9"/>
      <c r="Q24" s="7">
        <v>0</v>
      </c>
      <c r="R24" s="8" t="str">
        <f>IFERROR(Q24/Q444, "NA")</f>
        <v>NA</v>
      </c>
      <c r="S24" s="9"/>
      <c r="T24" s="7">
        <v>0</v>
      </c>
      <c r="U24" s="8" t="str">
        <f>IFERROR(T24/T444, "NA")</f>
        <v>NA</v>
      </c>
      <c r="V24" s="9"/>
      <c r="W24" s="10">
        <f t="shared" si="6"/>
        <v>0</v>
      </c>
      <c r="X24" s="8" t="str">
        <f>IFERROR(W24/W444, "NA")</f>
        <v>NA</v>
      </c>
      <c r="Y24" s="9"/>
      <c r="Z24" s="7">
        <v>0</v>
      </c>
      <c r="AA24" s="8" t="str">
        <f>IFERROR(Z24/Z444, "NA")</f>
        <v>NA</v>
      </c>
      <c r="AB24" s="9"/>
      <c r="AC24" s="10">
        <f t="shared" si="7"/>
        <v>0</v>
      </c>
      <c r="AD24" s="8" t="str">
        <f>IFERROR(AC24/AC444, "NA")</f>
        <v>NA</v>
      </c>
    </row>
    <row r="25" spans="1:30" ht="16.5" hidden="1" customHeight="1" x14ac:dyDescent="0.45">
      <c r="A25" s="12" t="s">
        <v>26</v>
      </c>
      <c r="B25" s="7">
        <v>0</v>
      </c>
      <c r="C25" s="8" t="str">
        <f>IFERROR(B25/B444, "NA")</f>
        <v>NA</v>
      </c>
      <c r="D25" s="9"/>
      <c r="E25" s="7">
        <v>0</v>
      </c>
      <c r="F25" s="8" t="str">
        <f>IFERROR(E25/E444, "NA")</f>
        <v>NA</v>
      </c>
      <c r="G25" s="9"/>
      <c r="H25" s="10">
        <f t="shared" si="4"/>
        <v>0</v>
      </c>
      <c r="I25" s="8" t="str">
        <f>IFERROR(H25/H444, "NA")</f>
        <v>NA</v>
      </c>
      <c r="J25" s="9"/>
      <c r="K25" s="7">
        <v>0</v>
      </c>
      <c r="L25" s="8" t="str">
        <f>IFERROR(K25/K444, "NA")</f>
        <v>NA</v>
      </c>
      <c r="M25" s="9"/>
      <c r="N25" s="10">
        <f t="shared" si="5"/>
        <v>0</v>
      </c>
      <c r="O25" s="8" t="str">
        <f>IFERROR(N25/N444, "NA")</f>
        <v>NA</v>
      </c>
      <c r="P25" s="9"/>
      <c r="Q25" s="7">
        <v>0</v>
      </c>
      <c r="R25" s="8" t="str">
        <f>IFERROR(Q25/Q444, "NA")</f>
        <v>NA</v>
      </c>
      <c r="S25" s="9"/>
      <c r="T25" s="7">
        <v>0</v>
      </c>
      <c r="U25" s="8" t="str">
        <f>IFERROR(T25/T444, "NA")</f>
        <v>NA</v>
      </c>
      <c r="V25" s="9"/>
      <c r="W25" s="10">
        <f t="shared" si="6"/>
        <v>0</v>
      </c>
      <c r="X25" s="8" t="str">
        <f>IFERROR(W25/W444, "NA")</f>
        <v>NA</v>
      </c>
      <c r="Y25" s="9"/>
      <c r="Z25" s="7">
        <v>0</v>
      </c>
      <c r="AA25" s="8" t="str">
        <f>IFERROR(Z25/Z444, "NA")</f>
        <v>NA</v>
      </c>
      <c r="AB25" s="9"/>
      <c r="AC25" s="10">
        <f t="shared" si="7"/>
        <v>0</v>
      </c>
      <c r="AD25" s="8" t="str">
        <f>IFERROR(AC25/AC444, "NA")</f>
        <v>NA</v>
      </c>
    </row>
    <row r="26" spans="1:30" ht="16.5" hidden="1" customHeight="1" x14ac:dyDescent="0.45">
      <c r="A26" s="12" t="s">
        <v>27</v>
      </c>
      <c r="B26" s="7">
        <v>0</v>
      </c>
      <c r="C26" s="8" t="str">
        <f>IFERROR(B26/B444, "NA")</f>
        <v>NA</v>
      </c>
      <c r="D26" s="9"/>
      <c r="E26" s="7">
        <v>0</v>
      </c>
      <c r="F26" s="8" t="str">
        <f>IFERROR(E26/E444, "NA")</f>
        <v>NA</v>
      </c>
      <c r="G26" s="9"/>
      <c r="H26" s="10">
        <f t="shared" si="4"/>
        <v>0</v>
      </c>
      <c r="I26" s="8" t="str">
        <f>IFERROR(H26/H444, "NA")</f>
        <v>NA</v>
      </c>
      <c r="J26" s="9"/>
      <c r="K26" s="7">
        <v>0</v>
      </c>
      <c r="L26" s="8" t="str">
        <f>IFERROR(K26/K444, "NA")</f>
        <v>NA</v>
      </c>
      <c r="M26" s="9"/>
      <c r="N26" s="10">
        <f t="shared" si="5"/>
        <v>0</v>
      </c>
      <c r="O26" s="8" t="str">
        <f>IFERROR(N26/N444, "NA")</f>
        <v>NA</v>
      </c>
      <c r="P26" s="9"/>
      <c r="Q26" s="7">
        <v>0</v>
      </c>
      <c r="R26" s="8" t="str">
        <f>IFERROR(Q26/Q444, "NA")</f>
        <v>NA</v>
      </c>
      <c r="S26" s="9"/>
      <c r="T26" s="7">
        <v>0</v>
      </c>
      <c r="U26" s="8" t="str">
        <f>IFERROR(T26/T444, "NA")</f>
        <v>NA</v>
      </c>
      <c r="V26" s="9"/>
      <c r="W26" s="10">
        <f t="shared" si="6"/>
        <v>0</v>
      </c>
      <c r="X26" s="8" t="str">
        <f>IFERROR(W26/W444, "NA")</f>
        <v>NA</v>
      </c>
      <c r="Y26" s="9"/>
      <c r="Z26" s="7">
        <v>0</v>
      </c>
      <c r="AA26" s="8" t="str">
        <f>IFERROR(Z26/Z444, "NA")</f>
        <v>NA</v>
      </c>
      <c r="AB26" s="9"/>
      <c r="AC26" s="10">
        <f t="shared" si="7"/>
        <v>0</v>
      </c>
      <c r="AD26" s="8" t="str">
        <f>IFERROR(AC26/AC444, "NA")</f>
        <v>NA</v>
      </c>
    </row>
    <row r="27" spans="1:30" ht="16.5" hidden="1" customHeight="1" x14ac:dyDescent="0.45">
      <c r="A27" s="12" t="s">
        <v>28</v>
      </c>
      <c r="B27" s="7">
        <v>0</v>
      </c>
      <c r="C27" s="8" t="str">
        <f>IFERROR(B27/B444, "NA")</f>
        <v>NA</v>
      </c>
      <c r="D27" s="9"/>
      <c r="E27" s="7">
        <v>0</v>
      </c>
      <c r="F27" s="8" t="str">
        <f>IFERROR(E27/E444, "NA")</f>
        <v>NA</v>
      </c>
      <c r="G27" s="9"/>
      <c r="H27" s="10">
        <f t="shared" si="4"/>
        <v>0</v>
      </c>
      <c r="I27" s="8" t="str">
        <f>IFERROR(H27/H444, "NA")</f>
        <v>NA</v>
      </c>
      <c r="J27" s="9"/>
      <c r="K27" s="7">
        <v>0</v>
      </c>
      <c r="L27" s="8" t="str">
        <f>IFERROR(K27/K444, "NA")</f>
        <v>NA</v>
      </c>
      <c r="M27" s="9"/>
      <c r="N27" s="10">
        <f t="shared" si="5"/>
        <v>0</v>
      </c>
      <c r="O27" s="8" t="str">
        <f>IFERROR(N27/N444, "NA")</f>
        <v>NA</v>
      </c>
      <c r="P27" s="9"/>
      <c r="Q27" s="7">
        <v>0</v>
      </c>
      <c r="R27" s="8" t="str">
        <f>IFERROR(Q27/Q444, "NA")</f>
        <v>NA</v>
      </c>
      <c r="S27" s="9"/>
      <c r="T27" s="7">
        <v>0</v>
      </c>
      <c r="U27" s="8" t="str">
        <f>IFERROR(T27/T444, "NA")</f>
        <v>NA</v>
      </c>
      <c r="V27" s="9"/>
      <c r="W27" s="10">
        <f t="shared" si="6"/>
        <v>0</v>
      </c>
      <c r="X27" s="8" t="str">
        <f>IFERROR(W27/W444, "NA")</f>
        <v>NA</v>
      </c>
      <c r="Y27" s="9"/>
      <c r="Z27" s="7">
        <v>0</v>
      </c>
      <c r="AA27" s="8" t="str">
        <f>IFERROR(Z27/Z444, "NA")</f>
        <v>NA</v>
      </c>
      <c r="AB27" s="9"/>
      <c r="AC27" s="10">
        <f t="shared" si="7"/>
        <v>0</v>
      </c>
      <c r="AD27" s="8" t="str">
        <f>IFERROR(AC27/AC444, "NA")</f>
        <v>NA</v>
      </c>
    </row>
    <row r="28" spans="1:30" ht="16.5" hidden="1" customHeight="1" x14ac:dyDescent="0.45">
      <c r="A28" s="12" t="s">
        <v>29</v>
      </c>
      <c r="B28" s="7">
        <v>0</v>
      </c>
      <c r="C28" s="8" t="str">
        <f>IFERROR(B28/B444, "NA")</f>
        <v>NA</v>
      </c>
      <c r="D28" s="9"/>
      <c r="E28" s="7">
        <v>0</v>
      </c>
      <c r="F28" s="8" t="str">
        <f>IFERROR(E28/E444, "NA")</f>
        <v>NA</v>
      </c>
      <c r="G28" s="9"/>
      <c r="H28" s="10">
        <f t="shared" si="4"/>
        <v>0</v>
      </c>
      <c r="I28" s="8" t="str">
        <f>IFERROR(H28/H444, "NA")</f>
        <v>NA</v>
      </c>
      <c r="J28" s="9"/>
      <c r="K28" s="7">
        <v>0</v>
      </c>
      <c r="L28" s="8" t="str">
        <f>IFERROR(K28/K444, "NA")</f>
        <v>NA</v>
      </c>
      <c r="M28" s="9"/>
      <c r="N28" s="10">
        <f t="shared" si="5"/>
        <v>0</v>
      </c>
      <c r="O28" s="8" t="str">
        <f>IFERROR(N28/N444, "NA")</f>
        <v>NA</v>
      </c>
      <c r="P28" s="9"/>
      <c r="Q28" s="7">
        <v>0</v>
      </c>
      <c r="R28" s="8" t="str">
        <f>IFERROR(Q28/Q444, "NA")</f>
        <v>NA</v>
      </c>
      <c r="S28" s="9"/>
      <c r="T28" s="7">
        <v>0</v>
      </c>
      <c r="U28" s="8" t="str">
        <f>IFERROR(T28/T444, "NA")</f>
        <v>NA</v>
      </c>
      <c r="V28" s="9"/>
      <c r="W28" s="10">
        <f t="shared" si="6"/>
        <v>0</v>
      </c>
      <c r="X28" s="8" t="str">
        <f>IFERROR(W28/W444, "NA")</f>
        <v>NA</v>
      </c>
      <c r="Y28" s="9"/>
      <c r="Z28" s="7">
        <v>0</v>
      </c>
      <c r="AA28" s="8" t="str">
        <f>IFERROR(Z28/Z444, "NA")</f>
        <v>NA</v>
      </c>
      <c r="AB28" s="9"/>
      <c r="AC28" s="10">
        <f t="shared" si="7"/>
        <v>0</v>
      </c>
      <c r="AD28" s="8" t="str">
        <f>IFERROR(AC28/AC444, "NA")</f>
        <v>NA</v>
      </c>
    </row>
    <row r="29" spans="1:30" ht="16.5" customHeight="1" x14ac:dyDescent="0.45">
      <c r="A29" s="13" t="s">
        <v>30</v>
      </c>
      <c r="B29" s="14">
        <f>IFERROR(B21+B22+B23+B24+B25+B26+B27+B28, "NA")</f>
        <v>0</v>
      </c>
      <c r="C29" s="15" t="str">
        <f>IFERROR(B29/B444, "NA")</f>
        <v>NA</v>
      </c>
      <c r="D29" s="2"/>
      <c r="E29" s="14">
        <f>IFERROR(E21+E22+E23+E24+E25+E26+E27+E28, "NA")</f>
        <v>0</v>
      </c>
      <c r="F29" s="15" t="str">
        <f>IFERROR(E29/E444, "NA")</f>
        <v>NA</v>
      </c>
      <c r="G29" s="2"/>
      <c r="H29" s="14">
        <f t="shared" si="4"/>
        <v>0</v>
      </c>
      <c r="I29" s="15" t="str">
        <f>IFERROR(H29/H444, "NA")</f>
        <v>NA</v>
      </c>
      <c r="J29" s="2"/>
      <c r="K29" s="14">
        <f>IFERROR(K21+K22+K23+K24+K25+K26+K27+K28, "NA")</f>
        <v>0</v>
      </c>
      <c r="L29" s="15" t="str">
        <f>IFERROR(K29/K444, "NA")</f>
        <v>NA</v>
      </c>
      <c r="M29" s="2"/>
      <c r="N29" s="14">
        <f t="shared" si="5"/>
        <v>0</v>
      </c>
      <c r="O29" s="15" t="str">
        <f>IFERROR(N29/N444, "NA")</f>
        <v>NA</v>
      </c>
      <c r="P29" s="2"/>
      <c r="Q29" s="14">
        <f>IFERROR(Q21+Q22+Q23+Q24+Q25+Q26+Q27+Q28, "NA")</f>
        <v>0</v>
      </c>
      <c r="R29" s="15" t="str">
        <f>IFERROR(Q29/Q444, "NA")</f>
        <v>NA</v>
      </c>
      <c r="S29" s="2"/>
      <c r="T29" s="14">
        <f>IFERROR(T21+T22+T23+T24+T25+T26+T27+T28, "NA")</f>
        <v>0</v>
      </c>
      <c r="U29" s="15" t="str">
        <f>IFERROR(T29/T444, "NA")</f>
        <v>NA</v>
      </c>
      <c r="V29" s="2"/>
      <c r="W29" s="14">
        <f t="shared" si="6"/>
        <v>0</v>
      </c>
      <c r="X29" s="15" t="str">
        <f>IFERROR(W29/W444, "NA")</f>
        <v>NA</v>
      </c>
      <c r="Y29" s="2"/>
      <c r="Z29" s="14">
        <f>IFERROR(Z21+Z22+Z23+Z24+Z25+Z26+Z27+Z28, "NA")</f>
        <v>0</v>
      </c>
      <c r="AA29" s="15" t="str">
        <f>IFERROR(Z29/Z444, "NA")</f>
        <v>NA</v>
      </c>
      <c r="AB29" s="2"/>
      <c r="AC29" s="14">
        <f t="shared" si="7"/>
        <v>0</v>
      </c>
      <c r="AD29" s="15" t="str">
        <f>IFERROR(AC29/AC444, "NA")</f>
        <v>NA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hidden="1" customHeight="1" x14ac:dyDescent="0.45">
      <c r="A31" s="12" t="s">
        <v>31</v>
      </c>
      <c r="B31" s="7">
        <v>0</v>
      </c>
      <c r="C31" s="8" t="str">
        <f>IFERROR(B31/B444, "NA")</f>
        <v>NA</v>
      </c>
      <c r="D31" s="9"/>
      <c r="E31" s="7">
        <v>0</v>
      </c>
      <c r="F31" s="8" t="str">
        <f>IFERROR(E31/E444, "NA")</f>
        <v>NA</v>
      </c>
      <c r="G31" s="9"/>
      <c r="H31" s="10">
        <f t="shared" ref="H31:H40" si="8">IFERROR(B31-E31, "NA")</f>
        <v>0</v>
      </c>
      <c r="I31" s="8" t="str">
        <f>IFERROR(H31/H444, "NA")</f>
        <v>NA</v>
      </c>
      <c r="J31" s="9"/>
      <c r="K31" s="7">
        <v>0</v>
      </c>
      <c r="L31" s="8" t="str">
        <f>IFERROR(K31/K444, "NA")</f>
        <v>NA</v>
      </c>
      <c r="M31" s="9"/>
      <c r="N31" s="10">
        <f t="shared" ref="N31:N40" si="9">IFERROR(B31-K31, "NA")</f>
        <v>0</v>
      </c>
      <c r="O31" s="8" t="str">
        <f>IFERROR(N31/N444, "NA")</f>
        <v>NA</v>
      </c>
      <c r="P31" s="9"/>
      <c r="Q31" s="7">
        <v>0</v>
      </c>
      <c r="R31" s="8" t="str">
        <f>IFERROR(Q31/Q444, "NA")</f>
        <v>NA</v>
      </c>
      <c r="S31" s="9"/>
      <c r="T31" s="7">
        <v>0</v>
      </c>
      <c r="U31" s="8" t="str">
        <f>IFERROR(T31/T444, "NA")</f>
        <v>NA</v>
      </c>
      <c r="V31" s="9"/>
      <c r="W31" s="10">
        <f t="shared" ref="W31:W40" si="10">IFERROR(Q31-T31, "NA")</f>
        <v>0</v>
      </c>
      <c r="X31" s="8" t="str">
        <f>IFERROR(W31/W444, "NA")</f>
        <v>NA</v>
      </c>
      <c r="Y31" s="9"/>
      <c r="Z31" s="7">
        <v>0</v>
      </c>
      <c r="AA31" s="8" t="str">
        <f>IFERROR(Z31/Z444, "NA")</f>
        <v>NA</v>
      </c>
      <c r="AB31" s="9"/>
      <c r="AC31" s="10">
        <f t="shared" ref="AC31:AC40" si="11">IFERROR(Q31-Z31, "NA")</f>
        <v>0</v>
      </c>
      <c r="AD31" s="8" t="str">
        <f>IFERROR(AC31/AC444, "NA")</f>
        <v>NA</v>
      </c>
    </row>
    <row r="32" spans="1:30" ht="16.5" hidden="1" customHeight="1" x14ac:dyDescent="0.45">
      <c r="A32" s="12" t="s">
        <v>32</v>
      </c>
      <c r="B32" s="7">
        <v>0</v>
      </c>
      <c r="C32" s="8" t="str">
        <f>IFERROR(B32/B444, "NA")</f>
        <v>NA</v>
      </c>
      <c r="D32" s="9"/>
      <c r="E32" s="7">
        <v>0</v>
      </c>
      <c r="F32" s="8" t="str">
        <f>IFERROR(E32/E444, "NA")</f>
        <v>NA</v>
      </c>
      <c r="G32" s="9"/>
      <c r="H32" s="10">
        <f t="shared" si="8"/>
        <v>0</v>
      </c>
      <c r="I32" s="8" t="str">
        <f>IFERROR(H32/H444, "NA")</f>
        <v>NA</v>
      </c>
      <c r="J32" s="9"/>
      <c r="K32" s="7">
        <v>0</v>
      </c>
      <c r="L32" s="8" t="str">
        <f>IFERROR(K32/K444, "NA")</f>
        <v>NA</v>
      </c>
      <c r="M32" s="9"/>
      <c r="N32" s="10">
        <f t="shared" si="9"/>
        <v>0</v>
      </c>
      <c r="O32" s="8" t="str">
        <f>IFERROR(N32/N444, "NA")</f>
        <v>NA</v>
      </c>
      <c r="P32" s="9"/>
      <c r="Q32" s="7">
        <v>0</v>
      </c>
      <c r="R32" s="8" t="str">
        <f>IFERROR(Q32/Q444, "NA")</f>
        <v>NA</v>
      </c>
      <c r="S32" s="9"/>
      <c r="T32" s="7">
        <v>0</v>
      </c>
      <c r="U32" s="8" t="str">
        <f>IFERROR(T32/T444, "NA")</f>
        <v>NA</v>
      </c>
      <c r="V32" s="9"/>
      <c r="W32" s="10">
        <f t="shared" si="10"/>
        <v>0</v>
      </c>
      <c r="X32" s="8" t="str">
        <f>IFERROR(W32/W444, "NA")</f>
        <v>NA</v>
      </c>
      <c r="Y32" s="9"/>
      <c r="Z32" s="7">
        <v>0</v>
      </c>
      <c r="AA32" s="8" t="str">
        <f>IFERROR(Z32/Z444, "NA")</f>
        <v>NA</v>
      </c>
      <c r="AB32" s="9"/>
      <c r="AC32" s="10">
        <f t="shared" si="11"/>
        <v>0</v>
      </c>
      <c r="AD32" s="8" t="str">
        <f>IFERROR(AC32/AC444, "NA")</f>
        <v>NA</v>
      </c>
    </row>
    <row r="33" spans="1:30" ht="16.5" hidden="1" customHeight="1" x14ac:dyDescent="0.45">
      <c r="A33" s="12" t="s">
        <v>33</v>
      </c>
      <c r="B33" s="7">
        <v>0</v>
      </c>
      <c r="C33" s="8" t="str">
        <f>IFERROR(B33/B444, "NA")</f>
        <v>NA</v>
      </c>
      <c r="D33" s="9"/>
      <c r="E33" s="7">
        <v>0</v>
      </c>
      <c r="F33" s="8" t="str">
        <f>IFERROR(E33/E444, "NA")</f>
        <v>NA</v>
      </c>
      <c r="G33" s="9"/>
      <c r="H33" s="10">
        <f t="shared" si="8"/>
        <v>0</v>
      </c>
      <c r="I33" s="8" t="str">
        <f>IFERROR(H33/H444, "NA")</f>
        <v>NA</v>
      </c>
      <c r="J33" s="9"/>
      <c r="K33" s="7">
        <v>0</v>
      </c>
      <c r="L33" s="8" t="str">
        <f>IFERROR(K33/K444, "NA")</f>
        <v>NA</v>
      </c>
      <c r="M33" s="9"/>
      <c r="N33" s="10">
        <f t="shared" si="9"/>
        <v>0</v>
      </c>
      <c r="O33" s="8" t="str">
        <f>IFERROR(N33/N444, "NA")</f>
        <v>NA</v>
      </c>
      <c r="P33" s="9"/>
      <c r="Q33" s="7">
        <v>0</v>
      </c>
      <c r="R33" s="8" t="str">
        <f>IFERROR(Q33/Q444, "NA")</f>
        <v>NA</v>
      </c>
      <c r="S33" s="9"/>
      <c r="T33" s="7">
        <v>0</v>
      </c>
      <c r="U33" s="8" t="str">
        <f>IFERROR(T33/T444, "NA")</f>
        <v>NA</v>
      </c>
      <c r="V33" s="9"/>
      <c r="W33" s="10">
        <f t="shared" si="10"/>
        <v>0</v>
      </c>
      <c r="X33" s="8" t="str">
        <f>IFERROR(W33/W444, "NA")</f>
        <v>NA</v>
      </c>
      <c r="Y33" s="9"/>
      <c r="Z33" s="7">
        <v>0</v>
      </c>
      <c r="AA33" s="8" t="str">
        <f>IFERROR(Z33/Z444, "NA")</f>
        <v>NA</v>
      </c>
      <c r="AB33" s="9"/>
      <c r="AC33" s="10">
        <f t="shared" si="11"/>
        <v>0</v>
      </c>
      <c r="AD33" s="8" t="str">
        <f>IFERROR(AC33/AC444, "NA")</f>
        <v>NA</v>
      </c>
    </row>
    <row r="34" spans="1:30" ht="16.5" hidden="1" customHeight="1" x14ac:dyDescent="0.45">
      <c r="A34" s="12" t="s">
        <v>34</v>
      </c>
      <c r="B34" s="7">
        <v>0</v>
      </c>
      <c r="C34" s="8" t="str">
        <f>IFERROR(B34/B444, "NA")</f>
        <v>NA</v>
      </c>
      <c r="D34" s="9"/>
      <c r="E34" s="7">
        <v>0</v>
      </c>
      <c r="F34" s="8" t="str">
        <f>IFERROR(E34/E444, "NA")</f>
        <v>NA</v>
      </c>
      <c r="G34" s="9"/>
      <c r="H34" s="10">
        <f t="shared" si="8"/>
        <v>0</v>
      </c>
      <c r="I34" s="8" t="str">
        <f>IFERROR(H34/H444, "NA")</f>
        <v>NA</v>
      </c>
      <c r="J34" s="9"/>
      <c r="K34" s="7">
        <v>0</v>
      </c>
      <c r="L34" s="8" t="str">
        <f>IFERROR(K34/K444, "NA")</f>
        <v>NA</v>
      </c>
      <c r="M34" s="9"/>
      <c r="N34" s="10">
        <f t="shared" si="9"/>
        <v>0</v>
      </c>
      <c r="O34" s="8" t="str">
        <f>IFERROR(N34/N444, "NA")</f>
        <v>NA</v>
      </c>
      <c r="P34" s="9"/>
      <c r="Q34" s="7">
        <v>0</v>
      </c>
      <c r="R34" s="8" t="str">
        <f>IFERROR(Q34/Q444, "NA")</f>
        <v>NA</v>
      </c>
      <c r="S34" s="9"/>
      <c r="T34" s="7">
        <v>0</v>
      </c>
      <c r="U34" s="8" t="str">
        <f>IFERROR(T34/T444, "NA")</f>
        <v>NA</v>
      </c>
      <c r="V34" s="9"/>
      <c r="W34" s="10">
        <f t="shared" si="10"/>
        <v>0</v>
      </c>
      <c r="X34" s="8" t="str">
        <f>IFERROR(W34/W444, "NA")</f>
        <v>NA</v>
      </c>
      <c r="Y34" s="9"/>
      <c r="Z34" s="7">
        <v>0</v>
      </c>
      <c r="AA34" s="8" t="str">
        <f>IFERROR(Z34/Z444, "NA")</f>
        <v>NA</v>
      </c>
      <c r="AB34" s="9"/>
      <c r="AC34" s="10">
        <f t="shared" si="11"/>
        <v>0</v>
      </c>
      <c r="AD34" s="8" t="str">
        <f>IFERROR(AC34/AC444, "NA")</f>
        <v>NA</v>
      </c>
    </row>
    <row r="35" spans="1:30" ht="16.5" hidden="1" customHeight="1" x14ac:dyDescent="0.45">
      <c r="A35" s="12" t="s">
        <v>35</v>
      </c>
      <c r="B35" s="7">
        <v>0</v>
      </c>
      <c r="C35" s="8" t="str">
        <f>IFERROR(B35/B444, "NA")</f>
        <v>NA</v>
      </c>
      <c r="D35" s="9"/>
      <c r="E35" s="7">
        <v>0</v>
      </c>
      <c r="F35" s="8" t="str">
        <f>IFERROR(E35/E444, "NA")</f>
        <v>NA</v>
      </c>
      <c r="G35" s="9"/>
      <c r="H35" s="10">
        <f t="shared" si="8"/>
        <v>0</v>
      </c>
      <c r="I35" s="8" t="str">
        <f>IFERROR(H35/H444, "NA")</f>
        <v>NA</v>
      </c>
      <c r="J35" s="9"/>
      <c r="K35" s="7">
        <v>0</v>
      </c>
      <c r="L35" s="8" t="str">
        <f>IFERROR(K35/K444, "NA")</f>
        <v>NA</v>
      </c>
      <c r="M35" s="9"/>
      <c r="N35" s="10">
        <f t="shared" si="9"/>
        <v>0</v>
      </c>
      <c r="O35" s="8" t="str">
        <f>IFERROR(N35/N444, "NA")</f>
        <v>NA</v>
      </c>
      <c r="P35" s="9"/>
      <c r="Q35" s="7">
        <v>0</v>
      </c>
      <c r="R35" s="8" t="str">
        <f>IFERROR(Q35/Q444, "NA")</f>
        <v>NA</v>
      </c>
      <c r="S35" s="9"/>
      <c r="T35" s="7">
        <v>0</v>
      </c>
      <c r="U35" s="8" t="str">
        <f>IFERROR(T35/T444, "NA")</f>
        <v>NA</v>
      </c>
      <c r="V35" s="9"/>
      <c r="W35" s="10">
        <f t="shared" si="10"/>
        <v>0</v>
      </c>
      <c r="X35" s="8" t="str">
        <f>IFERROR(W35/W444, "NA")</f>
        <v>NA</v>
      </c>
      <c r="Y35" s="9"/>
      <c r="Z35" s="7">
        <v>0</v>
      </c>
      <c r="AA35" s="8" t="str">
        <f>IFERROR(Z35/Z444, "NA")</f>
        <v>NA</v>
      </c>
      <c r="AB35" s="9"/>
      <c r="AC35" s="10">
        <f t="shared" si="11"/>
        <v>0</v>
      </c>
      <c r="AD35" s="8" t="str">
        <f>IFERROR(AC35/AC444, "NA")</f>
        <v>NA</v>
      </c>
    </row>
    <row r="36" spans="1:30" ht="16.5" hidden="1" customHeight="1" x14ac:dyDescent="0.45">
      <c r="A36" s="12" t="s">
        <v>36</v>
      </c>
      <c r="B36" s="7">
        <v>0</v>
      </c>
      <c r="C36" s="8" t="str">
        <f>IFERROR(B36/B444, "NA")</f>
        <v>NA</v>
      </c>
      <c r="D36" s="9"/>
      <c r="E36" s="7">
        <v>0</v>
      </c>
      <c r="F36" s="8" t="str">
        <f>IFERROR(E36/E444, "NA")</f>
        <v>NA</v>
      </c>
      <c r="G36" s="9"/>
      <c r="H36" s="10">
        <f t="shared" si="8"/>
        <v>0</v>
      </c>
      <c r="I36" s="8" t="str">
        <f>IFERROR(H36/H444, "NA")</f>
        <v>NA</v>
      </c>
      <c r="J36" s="9"/>
      <c r="K36" s="7">
        <v>0</v>
      </c>
      <c r="L36" s="8" t="str">
        <f>IFERROR(K36/K444, "NA")</f>
        <v>NA</v>
      </c>
      <c r="M36" s="9"/>
      <c r="N36" s="10">
        <f t="shared" si="9"/>
        <v>0</v>
      </c>
      <c r="O36" s="8" t="str">
        <f>IFERROR(N36/N444, "NA")</f>
        <v>NA</v>
      </c>
      <c r="P36" s="9"/>
      <c r="Q36" s="7">
        <v>0</v>
      </c>
      <c r="R36" s="8" t="str">
        <f>IFERROR(Q36/Q444, "NA")</f>
        <v>NA</v>
      </c>
      <c r="S36" s="9"/>
      <c r="T36" s="7">
        <v>0</v>
      </c>
      <c r="U36" s="8" t="str">
        <f>IFERROR(T36/T444, "NA")</f>
        <v>NA</v>
      </c>
      <c r="V36" s="9"/>
      <c r="W36" s="10">
        <f t="shared" si="10"/>
        <v>0</v>
      </c>
      <c r="X36" s="8" t="str">
        <f>IFERROR(W36/W444, "NA")</f>
        <v>NA</v>
      </c>
      <c r="Y36" s="9"/>
      <c r="Z36" s="7">
        <v>0</v>
      </c>
      <c r="AA36" s="8" t="str">
        <f>IFERROR(Z36/Z444, "NA")</f>
        <v>NA</v>
      </c>
      <c r="AB36" s="9"/>
      <c r="AC36" s="10">
        <f t="shared" si="11"/>
        <v>0</v>
      </c>
      <c r="AD36" s="8" t="str">
        <f>IFERROR(AC36/AC444, "NA")</f>
        <v>NA</v>
      </c>
    </row>
    <row r="37" spans="1:30" ht="16.5" hidden="1" customHeight="1" x14ac:dyDescent="0.45">
      <c r="A37" s="12" t="s">
        <v>37</v>
      </c>
      <c r="B37" s="7">
        <v>0</v>
      </c>
      <c r="C37" s="8" t="str">
        <f>IFERROR(B37/B444, "NA")</f>
        <v>NA</v>
      </c>
      <c r="D37" s="9"/>
      <c r="E37" s="7">
        <v>0</v>
      </c>
      <c r="F37" s="8" t="str">
        <f>IFERROR(E37/E444, "NA")</f>
        <v>NA</v>
      </c>
      <c r="G37" s="9"/>
      <c r="H37" s="10">
        <f t="shared" si="8"/>
        <v>0</v>
      </c>
      <c r="I37" s="8" t="str">
        <f>IFERROR(H37/H444, "NA")</f>
        <v>NA</v>
      </c>
      <c r="J37" s="9"/>
      <c r="K37" s="7">
        <v>0</v>
      </c>
      <c r="L37" s="8" t="str">
        <f>IFERROR(K37/K444, "NA")</f>
        <v>NA</v>
      </c>
      <c r="M37" s="9"/>
      <c r="N37" s="10">
        <f t="shared" si="9"/>
        <v>0</v>
      </c>
      <c r="O37" s="8" t="str">
        <f>IFERROR(N37/N444, "NA")</f>
        <v>NA</v>
      </c>
      <c r="P37" s="9"/>
      <c r="Q37" s="7">
        <v>0</v>
      </c>
      <c r="R37" s="8" t="str">
        <f>IFERROR(Q37/Q444, "NA")</f>
        <v>NA</v>
      </c>
      <c r="S37" s="9"/>
      <c r="T37" s="7">
        <v>0</v>
      </c>
      <c r="U37" s="8" t="str">
        <f>IFERROR(T37/T444, "NA")</f>
        <v>NA</v>
      </c>
      <c r="V37" s="9"/>
      <c r="W37" s="10">
        <f t="shared" si="10"/>
        <v>0</v>
      </c>
      <c r="X37" s="8" t="str">
        <f>IFERROR(W37/W444, "NA")</f>
        <v>NA</v>
      </c>
      <c r="Y37" s="9"/>
      <c r="Z37" s="7">
        <v>0</v>
      </c>
      <c r="AA37" s="8" t="str">
        <f>IFERROR(Z37/Z444, "NA")</f>
        <v>NA</v>
      </c>
      <c r="AB37" s="9"/>
      <c r="AC37" s="10">
        <f t="shared" si="11"/>
        <v>0</v>
      </c>
      <c r="AD37" s="8" t="str">
        <f>IFERROR(AC37/AC444, "NA")</f>
        <v>NA</v>
      </c>
    </row>
    <row r="38" spans="1:30" ht="16.5" hidden="1" customHeight="1" x14ac:dyDescent="0.45">
      <c r="A38" s="12" t="s">
        <v>38</v>
      </c>
      <c r="B38" s="7">
        <v>0</v>
      </c>
      <c r="C38" s="8" t="str">
        <f>IFERROR(B38/B444, "NA")</f>
        <v>NA</v>
      </c>
      <c r="D38" s="9"/>
      <c r="E38" s="7">
        <v>0</v>
      </c>
      <c r="F38" s="8" t="str">
        <f>IFERROR(E38/E444, "NA")</f>
        <v>NA</v>
      </c>
      <c r="G38" s="9"/>
      <c r="H38" s="10">
        <f t="shared" si="8"/>
        <v>0</v>
      </c>
      <c r="I38" s="8" t="str">
        <f>IFERROR(H38/H444, "NA")</f>
        <v>NA</v>
      </c>
      <c r="J38" s="9"/>
      <c r="K38" s="7">
        <v>0</v>
      </c>
      <c r="L38" s="8" t="str">
        <f>IFERROR(K38/K444, "NA")</f>
        <v>NA</v>
      </c>
      <c r="M38" s="9"/>
      <c r="N38" s="10">
        <f t="shared" si="9"/>
        <v>0</v>
      </c>
      <c r="O38" s="8" t="str">
        <f>IFERROR(N38/N444, "NA")</f>
        <v>NA</v>
      </c>
      <c r="P38" s="9"/>
      <c r="Q38" s="7">
        <v>0</v>
      </c>
      <c r="R38" s="8" t="str">
        <f>IFERROR(Q38/Q444, "NA")</f>
        <v>NA</v>
      </c>
      <c r="S38" s="9"/>
      <c r="T38" s="7">
        <v>0</v>
      </c>
      <c r="U38" s="8" t="str">
        <f>IFERROR(T38/T444, "NA")</f>
        <v>NA</v>
      </c>
      <c r="V38" s="9"/>
      <c r="W38" s="10">
        <f t="shared" si="10"/>
        <v>0</v>
      </c>
      <c r="X38" s="8" t="str">
        <f>IFERROR(W38/W444, "NA")</f>
        <v>NA</v>
      </c>
      <c r="Y38" s="9"/>
      <c r="Z38" s="7">
        <v>0</v>
      </c>
      <c r="AA38" s="8" t="str">
        <f>IFERROR(Z38/Z444, "NA")</f>
        <v>NA</v>
      </c>
      <c r="AB38" s="9"/>
      <c r="AC38" s="10">
        <f t="shared" si="11"/>
        <v>0</v>
      </c>
      <c r="AD38" s="8" t="str">
        <f>IFERROR(AC38/AC444, "NA")</f>
        <v>NA</v>
      </c>
    </row>
    <row r="39" spans="1:30" ht="16.5" hidden="1" customHeight="1" x14ac:dyDescent="0.45">
      <c r="A39" s="12" t="s">
        <v>39</v>
      </c>
      <c r="B39" s="7">
        <v>0</v>
      </c>
      <c r="C39" s="8" t="str">
        <f>IFERROR(B39/B444, "NA")</f>
        <v>NA</v>
      </c>
      <c r="D39" s="9"/>
      <c r="E39" s="7">
        <v>0</v>
      </c>
      <c r="F39" s="8" t="str">
        <f>IFERROR(E39/E444, "NA")</f>
        <v>NA</v>
      </c>
      <c r="G39" s="9"/>
      <c r="H39" s="10">
        <f t="shared" si="8"/>
        <v>0</v>
      </c>
      <c r="I39" s="8" t="str">
        <f>IFERROR(H39/H444, "NA")</f>
        <v>NA</v>
      </c>
      <c r="J39" s="9"/>
      <c r="K39" s="7">
        <v>0</v>
      </c>
      <c r="L39" s="8" t="str">
        <f>IFERROR(K39/K444, "NA")</f>
        <v>NA</v>
      </c>
      <c r="M39" s="9"/>
      <c r="N39" s="10">
        <f t="shared" si="9"/>
        <v>0</v>
      </c>
      <c r="O39" s="8" t="str">
        <f>IFERROR(N39/N444, "NA")</f>
        <v>NA</v>
      </c>
      <c r="P39" s="9"/>
      <c r="Q39" s="7">
        <v>0</v>
      </c>
      <c r="R39" s="8" t="str">
        <f>IFERROR(Q39/Q444, "NA")</f>
        <v>NA</v>
      </c>
      <c r="S39" s="9"/>
      <c r="T39" s="7">
        <v>0</v>
      </c>
      <c r="U39" s="8" t="str">
        <f>IFERROR(T39/T444, "NA")</f>
        <v>NA</v>
      </c>
      <c r="V39" s="9"/>
      <c r="W39" s="10">
        <f t="shared" si="10"/>
        <v>0</v>
      </c>
      <c r="X39" s="8" t="str">
        <f>IFERROR(W39/W444, "NA")</f>
        <v>NA</v>
      </c>
      <c r="Y39" s="9"/>
      <c r="Z39" s="7">
        <v>0</v>
      </c>
      <c r="AA39" s="8" t="str">
        <f>IFERROR(Z39/Z444, "NA")</f>
        <v>NA</v>
      </c>
      <c r="AB39" s="9"/>
      <c r="AC39" s="10">
        <f t="shared" si="11"/>
        <v>0</v>
      </c>
      <c r="AD39" s="8" t="str">
        <f>IFERROR(AC39/AC444, "NA")</f>
        <v>NA</v>
      </c>
    </row>
    <row r="40" spans="1:30" ht="16.5" customHeight="1" x14ac:dyDescent="0.45">
      <c r="A40" s="13" t="s">
        <v>40</v>
      </c>
      <c r="B40" s="14">
        <f>IFERROR(B31+B32+B33+B34+B35+B36+B37+B38+B39, "NA")</f>
        <v>0</v>
      </c>
      <c r="C40" s="15" t="str">
        <f>IFERROR(B40/B444, "NA")</f>
        <v>NA</v>
      </c>
      <c r="D40" s="2"/>
      <c r="E40" s="14">
        <f>IFERROR(E31+E32+E33+E34+E35+E36+E37+E38+E39, "NA")</f>
        <v>0</v>
      </c>
      <c r="F40" s="15" t="str">
        <f>IFERROR(E40/E444, "NA")</f>
        <v>NA</v>
      </c>
      <c r="G40" s="2"/>
      <c r="H40" s="14">
        <f t="shared" si="8"/>
        <v>0</v>
      </c>
      <c r="I40" s="15" t="str">
        <f>IFERROR(H40/H444, "NA")</f>
        <v>NA</v>
      </c>
      <c r="J40" s="2"/>
      <c r="K40" s="14">
        <f>IFERROR(K31+K32+K33+K34+K35+K36+K37+K38+K39, "NA")</f>
        <v>0</v>
      </c>
      <c r="L40" s="15" t="str">
        <f>IFERROR(K40/K444, "NA")</f>
        <v>NA</v>
      </c>
      <c r="M40" s="2"/>
      <c r="N40" s="14">
        <f t="shared" si="9"/>
        <v>0</v>
      </c>
      <c r="O40" s="15" t="str">
        <f>IFERROR(N40/N444, "NA")</f>
        <v>NA</v>
      </c>
      <c r="P40" s="2"/>
      <c r="Q40" s="14">
        <f>IFERROR(Q31+Q32+Q33+Q34+Q35+Q36+Q37+Q38+Q39, "NA")</f>
        <v>0</v>
      </c>
      <c r="R40" s="15" t="str">
        <f>IFERROR(Q40/Q444, "NA")</f>
        <v>NA</v>
      </c>
      <c r="S40" s="2"/>
      <c r="T40" s="14">
        <f>IFERROR(T31+T32+T33+T34+T35+T36+T37+T38+T39, "NA")</f>
        <v>0</v>
      </c>
      <c r="U40" s="15" t="str">
        <f>IFERROR(T40/T444, "NA")</f>
        <v>NA</v>
      </c>
      <c r="V40" s="2"/>
      <c r="W40" s="14">
        <f t="shared" si="10"/>
        <v>0</v>
      </c>
      <c r="X40" s="15" t="str">
        <f>IFERROR(W40/W444, "NA")</f>
        <v>NA</v>
      </c>
      <c r="Y40" s="2"/>
      <c r="Z40" s="14">
        <f>IFERROR(Z31+Z32+Z33+Z34+Z35+Z36+Z37+Z38+Z39, "NA")</f>
        <v>0</v>
      </c>
      <c r="AA40" s="15" t="str">
        <f>IFERROR(Z40/Z444, "NA")</f>
        <v>NA</v>
      </c>
      <c r="AB40" s="2"/>
      <c r="AC40" s="14">
        <f t="shared" si="11"/>
        <v>0</v>
      </c>
      <c r="AD40" s="15" t="str">
        <f>IFERROR(AC40/AC444, "NA")</f>
        <v>NA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 t="str">
        <f>IFERROR(B42/B444, "NA")</f>
        <v>NA</v>
      </c>
      <c r="D42" s="9"/>
      <c r="E42" s="7">
        <v>0</v>
      </c>
      <c r="F42" s="8" t="str">
        <f>IFERROR(E42/E444, "NA")</f>
        <v>NA</v>
      </c>
      <c r="G42" s="9"/>
      <c r="H42" s="10">
        <f>IFERROR(B42-E42, "NA")</f>
        <v>0</v>
      </c>
      <c r="I42" s="8" t="str">
        <f>IFERROR(H42/H444, "NA")</f>
        <v>NA</v>
      </c>
      <c r="J42" s="9"/>
      <c r="K42" s="7">
        <v>0</v>
      </c>
      <c r="L42" s="8" t="str">
        <f>IFERROR(K42/K444, "NA")</f>
        <v>NA</v>
      </c>
      <c r="M42" s="9"/>
      <c r="N42" s="10">
        <f>IFERROR(B42-K42, "NA")</f>
        <v>0</v>
      </c>
      <c r="O42" s="8" t="str">
        <f>IFERROR(N42/N444, "NA")</f>
        <v>NA</v>
      </c>
      <c r="P42" s="9"/>
      <c r="Q42" s="7">
        <v>0</v>
      </c>
      <c r="R42" s="8" t="str">
        <f>IFERROR(Q42/Q444, "NA")</f>
        <v>NA</v>
      </c>
      <c r="S42" s="9"/>
      <c r="T42" s="7">
        <v>0</v>
      </c>
      <c r="U42" s="8" t="str">
        <f>IFERROR(T42/T444, "NA")</f>
        <v>NA</v>
      </c>
      <c r="V42" s="9"/>
      <c r="W42" s="10">
        <f>IFERROR(Q42-T42, "NA")</f>
        <v>0</v>
      </c>
      <c r="X42" s="8" t="str">
        <f>IFERROR(W42/W444, "NA")</f>
        <v>NA</v>
      </c>
      <c r="Y42" s="9"/>
      <c r="Z42" s="7">
        <v>0</v>
      </c>
      <c r="AA42" s="8" t="str">
        <f>IFERROR(Z42/Z444, "NA")</f>
        <v>NA</v>
      </c>
      <c r="AB42" s="9"/>
      <c r="AC42" s="10">
        <f>IFERROR(Q42-Z42, "NA")</f>
        <v>0</v>
      </c>
      <c r="AD42" s="8" t="str">
        <f>IFERROR(AC42/AC444, "NA")</f>
        <v>NA</v>
      </c>
    </row>
    <row r="43" spans="1:30" ht="16.5" hidden="1" customHeight="1" x14ac:dyDescent="0.45">
      <c r="A43" s="12" t="s">
        <v>42</v>
      </c>
      <c r="B43" s="7">
        <v>0</v>
      </c>
      <c r="C43" s="8" t="str">
        <f>IFERROR(B43/B444, "NA")</f>
        <v>NA</v>
      </c>
      <c r="D43" s="9"/>
      <c r="E43" s="7">
        <v>0</v>
      </c>
      <c r="F43" s="8" t="str">
        <f>IFERROR(E43/E444, "NA")</f>
        <v>NA</v>
      </c>
      <c r="G43" s="9"/>
      <c r="H43" s="10">
        <f>IFERROR(B43-E43, "NA")</f>
        <v>0</v>
      </c>
      <c r="I43" s="8" t="str">
        <f>IFERROR(H43/H444, "NA")</f>
        <v>NA</v>
      </c>
      <c r="J43" s="9"/>
      <c r="K43" s="7">
        <v>0</v>
      </c>
      <c r="L43" s="8" t="str">
        <f>IFERROR(K43/K444, "NA")</f>
        <v>NA</v>
      </c>
      <c r="M43" s="9"/>
      <c r="N43" s="10">
        <f>IFERROR(B43-K43, "NA")</f>
        <v>0</v>
      </c>
      <c r="O43" s="8" t="str">
        <f>IFERROR(N43/N444, "NA")</f>
        <v>NA</v>
      </c>
      <c r="P43" s="9"/>
      <c r="Q43" s="7">
        <v>0</v>
      </c>
      <c r="R43" s="8" t="str">
        <f>IFERROR(Q43/Q444, "NA")</f>
        <v>NA</v>
      </c>
      <c r="S43" s="9"/>
      <c r="T43" s="7">
        <v>0</v>
      </c>
      <c r="U43" s="8" t="str">
        <f>IFERROR(T43/T444, "NA")</f>
        <v>NA</v>
      </c>
      <c r="V43" s="9"/>
      <c r="W43" s="10">
        <f>IFERROR(Q43-T43, "NA")</f>
        <v>0</v>
      </c>
      <c r="X43" s="8" t="str">
        <f>IFERROR(W43/W444, "NA")</f>
        <v>NA</v>
      </c>
      <c r="Y43" s="9"/>
      <c r="Z43" s="7">
        <v>0</v>
      </c>
      <c r="AA43" s="8" t="str">
        <f>IFERROR(Z43/Z444, "NA")</f>
        <v>NA</v>
      </c>
      <c r="AB43" s="9"/>
      <c r="AC43" s="10">
        <f>IFERROR(Q43-Z43, "NA")</f>
        <v>0</v>
      </c>
      <c r="AD43" s="8" t="str">
        <f>IFERROR(AC43/AC444, "NA")</f>
        <v>NA</v>
      </c>
    </row>
    <row r="44" spans="1:30" ht="16.5" hidden="1" customHeight="1" x14ac:dyDescent="0.45">
      <c r="A44" s="12" t="s">
        <v>43</v>
      </c>
      <c r="B44" s="7">
        <v>0</v>
      </c>
      <c r="C44" s="8" t="str">
        <f>IFERROR(B44/B444, "NA")</f>
        <v>NA</v>
      </c>
      <c r="D44" s="9"/>
      <c r="E44" s="7">
        <v>0</v>
      </c>
      <c r="F44" s="8" t="str">
        <f>IFERROR(E44/E444, "NA")</f>
        <v>NA</v>
      </c>
      <c r="G44" s="9"/>
      <c r="H44" s="10">
        <f>IFERROR(B44-E44, "NA")</f>
        <v>0</v>
      </c>
      <c r="I44" s="8" t="str">
        <f>IFERROR(H44/H444, "NA")</f>
        <v>NA</v>
      </c>
      <c r="J44" s="9"/>
      <c r="K44" s="7">
        <v>0</v>
      </c>
      <c r="L44" s="8" t="str">
        <f>IFERROR(K44/K444, "NA")</f>
        <v>NA</v>
      </c>
      <c r="M44" s="9"/>
      <c r="N44" s="10">
        <f>IFERROR(B44-K44, "NA")</f>
        <v>0</v>
      </c>
      <c r="O44" s="8" t="str">
        <f>IFERROR(N44/N444, "NA")</f>
        <v>NA</v>
      </c>
      <c r="P44" s="9"/>
      <c r="Q44" s="7">
        <v>0</v>
      </c>
      <c r="R44" s="8" t="str">
        <f>IFERROR(Q44/Q444, "NA")</f>
        <v>NA</v>
      </c>
      <c r="S44" s="9"/>
      <c r="T44" s="7">
        <v>0</v>
      </c>
      <c r="U44" s="8" t="str">
        <f>IFERROR(T44/T444, "NA")</f>
        <v>NA</v>
      </c>
      <c r="V44" s="9"/>
      <c r="W44" s="10">
        <f>IFERROR(Q44-T44, "NA")</f>
        <v>0</v>
      </c>
      <c r="X44" s="8" t="str">
        <f>IFERROR(W44/W444, "NA")</f>
        <v>NA</v>
      </c>
      <c r="Y44" s="9"/>
      <c r="Z44" s="7">
        <v>0</v>
      </c>
      <c r="AA44" s="8" t="str">
        <f>IFERROR(Z44/Z444, "NA")</f>
        <v>NA</v>
      </c>
      <c r="AB44" s="9"/>
      <c r="AC44" s="10">
        <f>IFERROR(Q44-Z44, "NA")</f>
        <v>0</v>
      </c>
      <c r="AD44" s="8" t="str">
        <f>IFERROR(AC44/AC444, "NA")</f>
        <v>NA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 t="str">
        <f>IFERROR(B46/B444, "NA")</f>
        <v>NA</v>
      </c>
      <c r="D46" s="9"/>
      <c r="E46" s="7">
        <v>0</v>
      </c>
      <c r="F46" s="8" t="str">
        <f>IFERROR(E46/E444, "NA")</f>
        <v>NA</v>
      </c>
      <c r="G46" s="9"/>
      <c r="H46" s="10">
        <f t="shared" ref="H46:H62" si="12">IFERROR(B46-E46, "NA")</f>
        <v>0</v>
      </c>
      <c r="I46" s="8" t="str">
        <f>IFERROR(H46/H444, "NA")</f>
        <v>NA</v>
      </c>
      <c r="J46" s="9"/>
      <c r="K46" s="7">
        <v>0</v>
      </c>
      <c r="L46" s="8" t="str">
        <f>IFERROR(K46/K444, "NA")</f>
        <v>NA</v>
      </c>
      <c r="M46" s="9"/>
      <c r="N46" s="10">
        <f t="shared" ref="N46:N62" si="13">IFERROR(B46-K46, "NA")</f>
        <v>0</v>
      </c>
      <c r="O46" s="8" t="str">
        <f>IFERROR(N46/N444, "NA")</f>
        <v>NA</v>
      </c>
      <c r="P46" s="9"/>
      <c r="Q46" s="7">
        <v>0</v>
      </c>
      <c r="R46" s="8" t="str">
        <f>IFERROR(Q46/Q444, "NA")</f>
        <v>NA</v>
      </c>
      <c r="S46" s="9"/>
      <c r="T46" s="7">
        <v>0</v>
      </c>
      <c r="U46" s="8" t="str">
        <f>IFERROR(T46/T444, "NA")</f>
        <v>NA</v>
      </c>
      <c r="V46" s="9"/>
      <c r="W46" s="10">
        <f t="shared" ref="W46:W62" si="14">IFERROR(Q46-T46, "NA")</f>
        <v>0</v>
      </c>
      <c r="X46" s="8" t="str">
        <f>IFERROR(W46/W444, "NA")</f>
        <v>NA</v>
      </c>
      <c r="Y46" s="9"/>
      <c r="Z46" s="7">
        <v>0</v>
      </c>
      <c r="AA46" s="8" t="str">
        <f>IFERROR(Z46/Z444, "NA")</f>
        <v>NA</v>
      </c>
      <c r="AB46" s="9"/>
      <c r="AC46" s="10">
        <f t="shared" ref="AC46:AC62" si="15">IFERROR(Q46-Z46, "NA")</f>
        <v>0</v>
      </c>
      <c r="AD46" s="8" t="str">
        <f>IFERROR(AC46/AC444, "NA")</f>
        <v>NA</v>
      </c>
    </row>
    <row r="47" spans="1:30" ht="16.5" hidden="1" customHeight="1" x14ac:dyDescent="0.45">
      <c r="A47" s="17" t="s">
        <v>45</v>
      </c>
      <c r="B47" s="7">
        <v>0</v>
      </c>
      <c r="C47" s="8" t="str">
        <f>IFERROR(B47/B444, "NA")</f>
        <v>NA</v>
      </c>
      <c r="D47" s="9"/>
      <c r="E47" s="7">
        <v>0</v>
      </c>
      <c r="F47" s="8" t="str">
        <f>IFERROR(E47/E444, "NA")</f>
        <v>NA</v>
      </c>
      <c r="G47" s="9"/>
      <c r="H47" s="10">
        <f t="shared" si="12"/>
        <v>0</v>
      </c>
      <c r="I47" s="8" t="str">
        <f>IFERROR(H47/H444, "NA")</f>
        <v>NA</v>
      </c>
      <c r="J47" s="9"/>
      <c r="K47" s="7">
        <v>0</v>
      </c>
      <c r="L47" s="8" t="str">
        <f>IFERROR(K47/K444, "NA")</f>
        <v>NA</v>
      </c>
      <c r="M47" s="9"/>
      <c r="N47" s="10">
        <f t="shared" si="13"/>
        <v>0</v>
      </c>
      <c r="O47" s="8" t="str">
        <f>IFERROR(N47/N444, "NA")</f>
        <v>NA</v>
      </c>
      <c r="P47" s="9"/>
      <c r="Q47" s="7">
        <v>0</v>
      </c>
      <c r="R47" s="8" t="str">
        <f>IFERROR(Q47/Q444, "NA")</f>
        <v>NA</v>
      </c>
      <c r="S47" s="9"/>
      <c r="T47" s="7">
        <v>0</v>
      </c>
      <c r="U47" s="8" t="str">
        <f>IFERROR(T47/T444, "NA")</f>
        <v>NA</v>
      </c>
      <c r="V47" s="9"/>
      <c r="W47" s="10">
        <f t="shared" si="14"/>
        <v>0</v>
      </c>
      <c r="X47" s="8" t="str">
        <f>IFERROR(W47/W444, "NA")</f>
        <v>NA</v>
      </c>
      <c r="Y47" s="9"/>
      <c r="Z47" s="7">
        <v>0</v>
      </c>
      <c r="AA47" s="8" t="str">
        <f>IFERROR(Z47/Z444, "NA")</f>
        <v>NA</v>
      </c>
      <c r="AB47" s="9"/>
      <c r="AC47" s="10">
        <f t="shared" si="15"/>
        <v>0</v>
      </c>
      <c r="AD47" s="8" t="str">
        <f>IFERROR(AC47/AC444, "NA")</f>
        <v>NA</v>
      </c>
    </row>
    <row r="48" spans="1:30" ht="16.5" hidden="1" customHeight="1" x14ac:dyDescent="0.45">
      <c r="A48" s="17" t="s">
        <v>46</v>
      </c>
      <c r="B48" s="7">
        <v>0</v>
      </c>
      <c r="C48" s="8" t="str">
        <f>IFERROR(B48/B444, "NA")</f>
        <v>NA</v>
      </c>
      <c r="D48" s="9"/>
      <c r="E48" s="7">
        <v>0</v>
      </c>
      <c r="F48" s="8" t="str">
        <f>IFERROR(E48/E444, "NA")</f>
        <v>NA</v>
      </c>
      <c r="G48" s="9"/>
      <c r="H48" s="10">
        <f t="shared" si="12"/>
        <v>0</v>
      </c>
      <c r="I48" s="8" t="str">
        <f>IFERROR(H48/H444, "NA")</f>
        <v>NA</v>
      </c>
      <c r="J48" s="9"/>
      <c r="K48" s="7">
        <v>0</v>
      </c>
      <c r="L48" s="8" t="str">
        <f>IFERROR(K48/K444, "NA")</f>
        <v>NA</v>
      </c>
      <c r="M48" s="9"/>
      <c r="N48" s="10">
        <f t="shared" si="13"/>
        <v>0</v>
      </c>
      <c r="O48" s="8" t="str">
        <f>IFERROR(N48/N444, "NA")</f>
        <v>NA</v>
      </c>
      <c r="P48" s="9"/>
      <c r="Q48" s="7">
        <v>0</v>
      </c>
      <c r="R48" s="8" t="str">
        <f>IFERROR(Q48/Q444, "NA")</f>
        <v>NA</v>
      </c>
      <c r="S48" s="9"/>
      <c r="T48" s="7">
        <v>0</v>
      </c>
      <c r="U48" s="8" t="str">
        <f>IFERROR(T48/T444, "NA")</f>
        <v>NA</v>
      </c>
      <c r="V48" s="9"/>
      <c r="W48" s="10">
        <f t="shared" si="14"/>
        <v>0</v>
      </c>
      <c r="X48" s="8" t="str">
        <f>IFERROR(W48/W444, "NA")</f>
        <v>NA</v>
      </c>
      <c r="Y48" s="9"/>
      <c r="Z48" s="7">
        <v>0</v>
      </c>
      <c r="AA48" s="8" t="str">
        <f>IFERROR(Z48/Z444, "NA")</f>
        <v>NA</v>
      </c>
      <c r="AB48" s="9"/>
      <c r="AC48" s="10">
        <f t="shared" si="15"/>
        <v>0</v>
      </c>
      <c r="AD48" s="8" t="str">
        <f>IFERROR(AC48/AC444, "NA")</f>
        <v>NA</v>
      </c>
    </row>
    <row r="49" spans="1:30" ht="16.5" hidden="1" customHeight="1" x14ac:dyDescent="0.45">
      <c r="A49" s="17" t="s">
        <v>47</v>
      </c>
      <c r="B49" s="7">
        <v>0</v>
      </c>
      <c r="C49" s="8" t="str">
        <f>IFERROR(B49/B444, "NA")</f>
        <v>NA</v>
      </c>
      <c r="D49" s="9"/>
      <c r="E49" s="7">
        <v>0</v>
      </c>
      <c r="F49" s="8" t="str">
        <f>IFERROR(E49/E444, "NA")</f>
        <v>NA</v>
      </c>
      <c r="G49" s="9"/>
      <c r="H49" s="10">
        <f t="shared" si="12"/>
        <v>0</v>
      </c>
      <c r="I49" s="8" t="str">
        <f>IFERROR(H49/H444, "NA")</f>
        <v>NA</v>
      </c>
      <c r="J49" s="9"/>
      <c r="K49" s="7">
        <v>0</v>
      </c>
      <c r="L49" s="8" t="str">
        <f>IFERROR(K49/K444, "NA")</f>
        <v>NA</v>
      </c>
      <c r="M49" s="9"/>
      <c r="N49" s="10">
        <f t="shared" si="13"/>
        <v>0</v>
      </c>
      <c r="O49" s="8" t="str">
        <f>IFERROR(N49/N444, "NA")</f>
        <v>NA</v>
      </c>
      <c r="P49" s="9"/>
      <c r="Q49" s="7">
        <v>0</v>
      </c>
      <c r="R49" s="8" t="str">
        <f>IFERROR(Q49/Q444, "NA")</f>
        <v>NA</v>
      </c>
      <c r="S49" s="9"/>
      <c r="T49" s="7">
        <v>0</v>
      </c>
      <c r="U49" s="8" t="str">
        <f>IFERROR(T49/T444, "NA")</f>
        <v>NA</v>
      </c>
      <c r="V49" s="9"/>
      <c r="W49" s="10">
        <f t="shared" si="14"/>
        <v>0</v>
      </c>
      <c r="X49" s="8" t="str">
        <f>IFERROR(W49/W444, "NA")</f>
        <v>NA</v>
      </c>
      <c r="Y49" s="9"/>
      <c r="Z49" s="7">
        <v>0</v>
      </c>
      <c r="AA49" s="8" t="str">
        <f>IFERROR(Z49/Z444, "NA")</f>
        <v>NA</v>
      </c>
      <c r="AB49" s="9"/>
      <c r="AC49" s="10">
        <f t="shared" si="15"/>
        <v>0</v>
      </c>
      <c r="AD49" s="8" t="str">
        <f>IFERROR(AC49/AC444, "NA")</f>
        <v>NA</v>
      </c>
    </row>
    <row r="50" spans="1:30" ht="16.5" hidden="1" customHeight="1" x14ac:dyDescent="0.45">
      <c r="A50" s="17" t="s">
        <v>48</v>
      </c>
      <c r="B50" s="7">
        <v>0</v>
      </c>
      <c r="C50" s="8" t="str">
        <f>IFERROR(B50/B444, "NA")</f>
        <v>NA</v>
      </c>
      <c r="D50" s="9"/>
      <c r="E50" s="7">
        <v>0</v>
      </c>
      <c r="F50" s="8" t="str">
        <f>IFERROR(E50/E444, "NA")</f>
        <v>NA</v>
      </c>
      <c r="G50" s="9"/>
      <c r="H50" s="10">
        <f t="shared" si="12"/>
        <v>0</v>
      </c>
      <c r="I50" s="8" t="str">
        <f>IFERROR(H50/H444, "NA")</f>
        <v>NA</v>
      </c>
      <c r="J50" s="9"/>
      <c r="K50" s="7">
        <v>0</v>
      </c>
      <c r="L50" s="8" t="str">
        <f>IFERROR(K50/K444, "NA")</f>
        <v>NA</v>
      </c>
      <c r="M50" s="9"/>
      <c r="N50" s="10">
        <f t="shared" si="13"/>
        <v>0</v>
      </c>
      <c r="O50" s="8" t="str">
        <f>IFERROR(N50/N444, "NA")</f>
        <v>NA</v>
      </c>
      <c r="P50" s="9"/>
      <c r="Q50" s="7">
        <v>0</v>
      </c>
      <c r="R50" s="8" t="str">
        <f>IFERROR(Q50/Q444, "NA")</f>
        <v>NA</v>
      </c>
      <c r="S50" s="9"/>
      <c r="T50" s="7">
        <v>0</v>
      </c>
      <c r="U50" s="8" t="str">
        <f>IFERROR(T50/T444, "NA")</f>
        <v>NA</v>
      </c>
      <c r="V50" s="9"/>
      <c r="W50" s="10">
        <f t="shared" si="14"/>
        <v>0</v>
      </c>
      <c r="X50" s="8" t="str">
        <f>IFERROR(W50/W444, "NA")</f>
        <v>NA</v>
      </c>
      <c r="Y50" s="9"/>
      <c r="Z50" s="7">
        <v>0</v>
      </c>
      <c r="AA50" s="8" t="str">
        <f>IFERROR(Z50/Z444, "NA")</f>
        <v>NA</v>
      </c>
      <c r="AB50" s="9"/>
      <c r="AC50" s="10">
        <f t="shared" si="15"/>
        <v>0</v>
      </c>
      <c r="AD50" s="8" t="str">
        <f>IFERROR(AC50/AC444, "NA")</f>
        <v>NA</v>
      </c>
    </row>
    <row r="51" spans="1:30" ht="16.5" hidden="1" customHeight="1" x14ac:dyDescent="0.45">
      <c r="A51" s="17" t="s">
        <v>49</v>
      </c>
      <c r="B51" s="7">
        <v>0</v>
      </c>
      <c r="C51" s="8" t="str">
        <f>IFERROR(B51/B444, "NA")</f>
        <v>NA</v>
      </c>
      <c r="D51" s="9"/>
      <c r="E51" s="7">
        <v>0</v>
      </c>
      <c r="F51" s="8" t="str">
        <f>IFERROR(E51/E444, "NA")</f>
        <v>NA</v>
      </c>
      <c r="G51" s="9"/>
      <c r="H51" s="10">
        <f t="shared" si="12"/>
        <v>0</v>
      </c>
      <c r="I51" s="8" t="str">
        <f>IFERROR(H51/H444, "NA")</f>
        <v>NA</v>
      </c>
      <c r="J51" s="9"/>
      <c r="K51" s="7">
        <v>0</v>
      </c>
      <c r="L51" s="8" t="str">
        <f>IFERROR(K51/K444, "NA")</f>
        <v>NA</v>
      </c>
      <c r="M51" s="9"/>
      <c r="N51" s="10">
        <f t="shared" si="13"/>
        <v>0</v>
      </c>
      <c r="O51" s="8" t="str">
        <f>IFERROR(N51/N444, "NA")</f>
        <v>NA</v>
      </c>
      <c r="P51" s="9"/>
      <c r="Q51" s="7">
        <v>0</v>
      </c>
      <c r="R51" s="8" t="str">
        <f>IFERROR(Q51/Q444, "NA")</f>
        <v>NA</v>
      </c>
      <c r="S51" s="9"/>
      <c r="T51" s="7">
        <v>0</v>
      </c>
      <c r="U51" s="8" t="str">
        <f>IFERROR(T51/T444, "NA")</f>
        <v>NA</v>
      </c>
      <c r="V51" s="9"/>
      <c r="W51" s="10">
        <f t="shared" si="14"/>
        <v>0</v>
      </c>
      <c r="X51" s="8" t="str">
        <f>IFERROR(W51/W444, "NA")</f>
        <v>NA</v>
      </c>
      <c r="Y51" s="9"/>
      <c r="Z51" s="7">
        <v>0</v>
      </c>
      <c r="AA51" s="8" t="str">
        <f>IFERROR(Z51/Z444, "NA")</f>
        <v>NA</v>
      </c>
      <c r="AB51" s="9"/>
      <c r="AC51" s="10">
        <f t="shared" si="15"/>
        <v>0</v>
      </c>
      <c r="AD51" s="8" t="str">
        <f>IFERROR(AC51/AC444, "NA")</f>
        <v>NA</v>
      </c>
    </row>
    <row r="52" spans="1:30" ht="16.5" hidden="1" customHeight="1" x14ac:dyDescent="0.45">
      <c r="A52" s="17" t="s">
        <v>50</v>
      </c>
      <c r="B52" s="7">
        <v>0</v>
      </c>
      <c r="C52" s="8" t="str">
        <f>IFERROR(B52/B444, "NA")</f>
        <v>NA</v>
      </c>
      <c r="D52" s="9"/>
      <c r="E52" s="7">
        <v>0</v>
      </c>
      <c r="F52" s="8" t="str">
        <f>IFERROR(E52/E444, "NA")</f>
        <v>NA</v>
      </c>
      <c r="G52" s="9"/>
      <c r="H52" s="10">
        <f t="shared" si="12"/>
        <v>0</v>
      </c>
      <c r="I52" s="8" t="str">
        <f>IFERROR(H52/H444, "NA")</f>
        <v>NA</v>
      </c>
      <c r="J52" s="9"/>
      <c r="K52" s="7">
        <v>0</v>
      </c>
      <c r="L52" s="8" t="str">
        <f>IFERROR(K52/K444, "NA")</f>
        <v>NA</v>
      </c>
      <c r="M52" s="9"/>
      <c r="N52" s="10">
        <f t="shared" si="13"/>
        <v>0</v>
      </c>
      <c r="O52" s="8" t="str">
        <f>IFERROR(N52/N444, "NA")</f>
        <v>NA</v>
      </c>
      <c r="P52" s="9"/>
      <c r="Q52" s="7">
        <v>0</v>
      </c>
      <c r="R52" s="8" t="str">
        <f>IFERROR(Q52/Q444, "NA")</f>
        <v>NA</v>
      </c>
      <c r="S52" s="9"/>
      <c r="T52" s="7">
        <v>0</v>
      </c>
      <c r="U52" s="8" t="str">
        <f>IFERROR(T52/T444, "NA")</f>
        <v>NA</v>
      </c>
      <c r="V52" s="9"/>
      <c r="W52" s="10">
        <f t="shared" si="14"/>
        <v>0</v>
      </c>
      <c r="X52" s="8" t="str">
        <f>IFERROR(W52/W444, "NA")</f>
        <v>NA</v>
      </c>
      <c r="Y52" s="9"/>
      <c r="Z52" s="7">
        <v>0</v>
      </c>
      <c r="AA52" s="8" t="str">
        <f>IFERROR(Z52/Z444, "NA")</f>
        <v>NA</v>
      </c>
      <c r="AB52" s="9"/>
      <c r="AC52" s="10">
        <f t="shared" si="15"/>
        <v>0</v>
      </c>
      <c r="AD52" s="8" t="str">
        <f>IFERROR(AC52/AC444, "NA")</f>
        <v>NA</v>
      </c>
    </row>
    <row r="53" spans="1:30" ht="16.5" hidden="1" customHeight="1" x14ac:dyDescent="0.45">
      <c r="A53" s="17" t="s">
        <v>51</v>
      </c>
      <c r="B53" s="7">
        <v>0</v>
      </c>
      <c r="C53" s="8" t="str">
        <f>IFERROR(B53/B444, "NA")</f>
        <v>NA</v>
      </c>
      <c r="D53" s="9"/>
      <c r="E53" s="7">
        <v>0</v>
      </c>
      <c r="F53" s="8" t="str">
        <f>IFERROR(E53/E444, "NA")</f>
        <v>NA</v>
      </c>
      <c r="G53" s="9"/>
      <c r="H53" s="10">
        <f t="shared" si="12"/>
        <v>0</v>
      </c>
      <c r="I53" s="8" t="str">
        <f>IFERROR(H53/H444, "NA")</f>
        <v>NA</v>
      </c>
      <c r="J53" s="9"/>
      <c r="K53" s="7">
        <v>0</v>
      </c>
      <c r="L53" s="8" t="str">
        <f>IFERROR(K53/K444, "NA")</f>
        <v>NA</v>
      </c>
      <c r="M53" s="9"/>
      <c r="N53" s="10">
        <f t="shared" si="13"/>
        <v>0</v>
      </c>
      <c r="O53" s="8" t="str">
        <f>IFERROR(N53/N444, "NA")</f>
        <v>NA</v>
      </c>
      <c r="P53" s="9"/>
      <c r="Q53" s="7">
        <v>0</v>
      </c>
      <c r="R53" s="8" t="str">
        <f>IFERROR(Q53/Q444, "NA")</f>
        <v>NA</v>
      </c>
      <c r="S53" s="9"/>
      <c r="T53" s="7">
        <v>0</v>
      </c>
      <c r="U53" s="8" t="str">
        <f>IFERROR(T53/T444, "NA")</f>
        <v>NA</v>
      </c>
      <c r="V53" s="9"/>
      <c r="W53" s="10">
        <f t="shared" si="14"/>
        <v>0</v>
      </c>
      <c r="X53" s="8" t="str">
        <f>IFERROR(W53/W444, "NA")</f>
        <v>NA</v>
      </c>
      <c r="Y53" s="9"/>
      <c r="Z53" s="7">
        <v>0</v>
      </c>
      <c r="AA53" s="8" t="str">
        <f>IFERROR(Z53/Z444, "NA")</f>
        <v>NA</v>
      </c>
      <c r="AB53" s="9"/>
      <c r="AC53" s="10">
        <f t="shared" si="15"/>
        <v>0</v>
      </c>
      <c r="AD53" s="8" t="str">
        <f>IFERROR(AC53/AC444, "NA")</f>
        <v>NA</v>
      </c>
    </row>
    <row r="54" spans="1:30" ht="16.5" hidden="1" customHeight="1" x14ac:dyDescent="0.45">
      <c r="A54" s="17" t="s">
        <v>52</v>
      </c>
      <c r="B54" s="7">
        <v>0</v>
      </c>
      <c r="C54" s="8" t="str">
        <f>IFERROR(B54/B444, "NA")</f>
        <v>NA</v>
      </c>
      <c r="D54" s="9"/>
      <c r="E54" s="7">
        <v>0</v>
      </c>
      <c r="F54" s="8" t="str">
        <f>IFERROR(E54/E444, "NA")</f>
        <v>NA</v>
      </c>
      <c r="G54" s="9"/>
      <c r="H54" s="10">
        <f t="shared" si="12"/>
        <v>0</v>
      </c>
      <c r="I54" s="8" t="str">
        <f>IFERROR(H54/H444, "NA")</f>
        <v>NA</v>
      </c>
      <c r="J54" s="9"/>
      <c r="K54" s="7">
        <v>0</v>
      </c>
      <c r="L54" s="8" t="str">
        <f>IFERROR(K54/K444, "NA")</f>
        <v>NA</v>
      </c>
      <c r="M54" s="9"/>
      <c r="N54" s="10">
        <f t="shared" si="13"/>
        <v>0</v>
      </c>
      <c r="O54" s="8" t="str">
        <f>IFERROR(N54/N444, "NA")</f>
        <v>NA</v>
      </c>
      <c r="P54" s="9"/>
      <c r="Q54" s="7">
        <v>0</v>
      </c>
      <c r="R54" s="8" t="str">
        <f>IFERROR(Q54/Q444, "NA")</f>
        <v>NA</v>
      </c>
      <c r="S54" s="9"/>
      <c r="T54" s="7">
        <v>0</v>
      </c>
      <c r="U54" s="8" t="str">
        <f>IFERROR(T54/T444, "NA")</f>
        <v>NA</v>
      </c>
      <c r="V54" s="9"/>
      <c r="W54" s="10">
        <f t="shared" si="14"/>
        <v>0</v>
      </c>
      <c r="X54" s="8" t="str">
        <f>IFERROR(W54/W444, "NA")</f>
        <v>NA</v>
      </c>
      <c r="Y54" s="9"/>
      <c r="Z54" s="7">
        <v>0</v>
      </c>
      <c r="AA54" s="8" t="str">
        <f>IFERROR(Z54/Z444, "NA")</f>
        <v>NA</v>
      </c>
      <c r="AB54" s="9"/>
      <c r="AC54" s="10">
        <f t="shared" si="15"/>
        <v>0</v>
      </c>
      <c r="AD54" s="8" t="str">
        <f>IFERROR(AC54/AC444, "NA")</f>
        <v>NA</v>
      </c>
    </row>
    <row r="55" spans="1:30" ht="16.5" hidden="1" customHeight="1" x14ac:dyDescent="0.45">
      <c r="A55" s="17" t="s">
        <v>53</v>
      </c>
      <c r="B55" s="7">
        <v>0</v>
      </c>
      <c r="C55" s="8" t="str">
        <f>IFERROR(B55/B444, "NA")</f>
        <v>NA</v>
      </c>
      <c r="D55" s="9"/>
      <c r="E55" s="7">
        <v>0</v>
      </c>
      <c r="F55" s="8" t="str">
        <f>IFERROR(E55/E444, "NA")</f>
        <v>NA</v>
      </c>
      <c r="G55" s="9"/>
      <c r="H55" s="10">
        <f t="shared" si="12"/>
        <v>0</v>
      </c>
      <c r="I55" s="8" t="str">
        <f>IFERROR(H55/H444, "NA")</f>
        <v>NA</v>
      </c>
      <c r="J55" s="9"/>
      <c r="K55" s="7">
        <v>0</v>
      </c>
      <c r="L55" s="8" t="str">
        <f>IFERROR(K55/K444, "NA")</f>
        <v>NA</v>
      </c>
      <c r="M55" s="9"/>
      <c r="N55" s="10">
        <f t="shared" si="13"/>
        <v>0</v>
      </c>
      <c r="O55" s="8" t="str">
        <f>IFERROR(N55/N444, "NA")</f>
        <v>NA</v>
      </c>
      <c r="P55" s="9"/>
      <c r="Q55" s="7">
        <v>0</v>
      </c>
      <c r="R55" s="8" t="str">
        <f>IFERROR(Q55/Q444, "NA")</f>
        <v>NA</v>
      </c>
      <c r="S55" s="9"/>
      <c r="T55" s="7">
        <v>0</v>
      </c>
      <c r="U55" s="8" t="str">
        <f>IFERROR(T55/T444, "NA")</f>
        <v>NA</v>
      </c>
      <c r="V55" s="9"/>
      <c r="W55" s="10">
        <f t="shared" si="14"/>
        <v>0</v>
      </c>
      <c r="X55" s="8" t="str">
        <f>IFERROR(W55/W444, "NA")</f>
        <v>NA</v>
      </c>
      <c r="Y55" s="9"/>
      <c r="Z55" s="7">
        <v>0</v>
      </c>
      <c r="AA55" s="8" t="str">
        <f>IFERROR(Z55/Z444, "NA")</f>
        <v>NA</v>
      </c>
      <c r="AB55" s="9"/>
      <c r="AC55" s="10">
        <f t="shared" si="15"/>
        <v>0</v>
      </c>
      <c r="AD55" s="8" t="str">
        <f>IFERROR(AC55/AC444, "NA")</f>
        <v>NA</v>
      </c>
    </row>
    <row r="56" spans="1:30" ht="16.5" hidden="1" customHeight="1" x14ac:dyDescent="0.45">
      <c r="A56" s="17" t="s">
        <v>54</v>
      </c>
      <c r="B56" s="7">
        <v>0</v>
      </c>
      <c r="C56" s="8" t="str">
        <f>IFERROR(B56/B444, "NA")</f>
        <v>NA</v>
      </c>
      <c r="D56" s="9"/>
      <c r="E56" s="7">
        <v>0</v>
      </c>
      <c r="F56" s="8" t="str">
        <f>IFERROR(E56/E444, "NA")</f>
        <v>NA</v>
      </c>
      <c r="G56" s="9"/>
      <c r="H56" s="10">
        <f t="shared" si="12"/>
        <v>0</v>
      </c>
      <c r="I56" s="8" t="str">
        <f>IFERROR(H56/H444, "NA")</f>
        <v>NA</v>
      </c>
      <c r="J56" s="9"/>
      <c r="K56" s="7">
        <v>0</v>
      </c>
      <c r="L56" s="8" t="str">
        <f>IFERROR(K56/K444, "NA")</f>
        <v>NA</v>
      </c>
      <c r="M56" s="9"/>
      <c r="N56" s="10">
        <f t="shared" si="13"/>
        <v>0</v>
      </c>
      <c r="O56" s="8" t="str">
        <f>IFERROR(N56/N444, "NA")</f>
        <v>NA</v>
      </c>
      <c r="P56" s="9"/>
      <c r="Q56" s="7">
        <v>0</v>
      </c>
      <c r="R56" s="8" t="str">
        <f>IFERROR(Q56/Q444, "NA")</f>
        <v>NA</v>
      </c>
      <c r="S56" s="9"/>
      <c r="T56" s="7">
        <v>0</v>
      </c>
      <c r="U56" s="8" t="str">
        <f>IFERROR(T56/T444, "NA")</f>
        <v>NA</v>
      </c>
      <c r="V56" s="9"/>
      <c r="W56" s="10">
        <f t="shared" si="14"/>
        <v>0</v>
      </c>
      <c r="X56" s="8" t="str">
        <f>IFERROR(W56/W444, "NA")</f>
        <v>NA</v>
      </c>
      <c r="Y56" s="9"/>
      <c r="Z56" s="7">
        <v>0</v>
      </c>
      <c r="AA56" s="8" t="str">
        <f>IFERROR(Z56/Z444, "NA")</f>
        <v>NA</v>
      </c>
      <c r="AB56" s="9"/>
      <c r="AC56" s="10">
        <f t="shared" si="15"/>
        <v>0</v>
      </c>
      <c r="AD56" s="8" t="str">
        <f>IFERROR(AC56/AC444, "NA")</f>
        <v>NA</v>
      </c>
    </row>
    <row r="57" spans="1:30" ht="16.5" hidden="1" customHeight="1" x14ac:dyDescent="0.45">
      <c r="A57" s="17" t="s">
        <v>55</v>
      </c>
      <c r="B57" s="7">
        <v>0</v>
      </c>
      <c r="C57" s="8" t="str">
        <f>IFERROR(B57/B444, "NA")</f>
        <v>NA</v>
      </c>
      <c r="D57" s="9"/>
      <c r="E57" s="7">
        <v>0</v>
      </c>
      <c r="F57" s="8" t="str">
        <f>IFERROR(E57/E444, "NA")</f>
        <v>NA</v>
      </c>
      <c r="G57" s="9"/>
      <c r="H57" s="10">
        <f t="shared" si="12"/>
        <v>0</v>
      </c>
      <c r="I57" s="8" t="str">
        <f>IFERROR(H57/H444, "NA")</f>
        <v>NA</v>
      </c>
      <c r="J57" s="9"/>
      <c r="K57" s="7">
        <v>0</v>
      </c>
      <c r="L57" s="8" t="str">
        <f>IFERROR(K57/K444, "NA")</f>
        <v>NA</v>
      </c>
      <c r="M57" s="9"/>
      <c r="N57" s="10">
        <f t="shared" si="13"/>
        <v>0</v>
      </c>
      <c r="O57" s="8" t="str">
        <f>IFERROR(N57/N444, "NA")</f>
        <v>NA</v>
      </c>
      <c r="P57" s="9"/>
      <c r="Q57" s="7">
        <v>0</v>
      </c>
      <c r="R57" s="8" t="str">
        <f>IFERROR(Q57/Q444, "NA")</f>
        <v>NA</v>
      </c>
      <c r="S57" s="9"/>
      <c r="T57" s="7">
        <v>0</v>
      </c>
      <c r="U57" s="8" t="str">
        <f>IFERROR(T57/T444, "NA")</f>
        <v>NA</v>
      </c>
      <c r="V57" s="9"/>
      <c r="W57" s="10">
        <f t="shared" si="14"/>
        <v>0</v>
      </c>
      <c r="X57" s="8" t="str">
        <f>IFERROR(W57/W444, "NA")</f>
        <v>NA</v>
      </c>
      <c r="Y57" s="9"/>
      <c r="Z57" s="7">
        <v>0</v>
      </c>
      <c r="AA57" s="8" t="str">
        <f>IFERROR(Z57/Z444, "NA")</f>
        <v>NA</v>
      </c>
      <c r="AB57" s="9"/>
      <c r="AC57" s="10">
        <f t="shared" si="15"/>
        <v>0</v>
      </c>
      <c r="AD57" s="8" t="str">
        <f>IFERROR(AC57/AC444, "NA")</f>
        <v>NA</v>
      </c>
    </row>
    <row r="58" spans="1:30" ht="16.5" hidden="1" customHeight="1" x14ac:dyDescent="0.45">
      <c r="A58" s="17" t="s">
        <v>56</v>
      </c>
      <c r="B58" s="7">
        <v>0</v>
      </c>
      <c r="C58" s="8" t="str">
        <f>IFERROR(B58/B444, "NA")</f>
        <v>NA</v>
      </c>
      <c r="D58" s="9"/>
      <c r="E58" s="7">
        <v>0</v>
      </c>
      <c r="F58" s="8" t="str">
        <f>IFERROR(E58/E444, "NA")</f>
        <v>NA</v>
      </c>
      <c r="G58" s="9"/>
      <c r="H58" s="10">
        <f t="shared" si="12"/>
        <v>0</v>
      </c>
      <c r="I58" s="8" t="str">
        <f>IFERROR(H58/H444, "NA")</f>
        <v>NA</v>
      </c>
      <c r="J58" s="9"/>
      <c r="K58" s="7">
        <v>0</v>
      </c>
      <c r="L58" s="8" t="str">
        <f>IFERROR(K58/K444, "NA")</f>
        <v>NA</v>
      </c>
      <c r="M58" s="9"/>
      <c r="N58" s="10">
        <f t="shared" si="13"/>
        <v>0</v>
      </c>
      <c r="O58" s="8" t="str">
        <f>IFERROR(N58/N444, "NA")</f>
        <v>NA</v>
      </c>
      <c r="P58" s="9"/>
      <c r="Q58" s="7">
        <v>0</v>
      </c>
      <c r="R58" s="8" t="str">
        <f>IFERROR(Q58/Q444, "NA")</f>
        <v>NA</v>
      </c>
      <c r="S58" s="9"/>
      <c r="T58" s="7">
        <v>0</v>
      </c>
      <c r="U58" s="8" t="str">
        <f>IFERROR(T58/T444, "NA")</f>
        <v>NA</v>
      </c>
      <c r="V58" s="9"/>
      <c r="W58" s="10">
        <f t="shared" si="14"/>
        <v>0</v>
      </c>
      <c r="X58" s="8" t="str">
        <f>IFERROR(W58/W444, "NA")</f>
        <v>NA</v>
      </c>
      <c r="Y58" s="9"/>
      <c r="Z58" s="7">
        <v>0</v>
      </c>
      <c r="AA58" s="8" t="str">
        <f>IFERROR(Z58/Z444, "NA")</f>
        <v>NA</v>
      </c>
      <c r="AB58" s="9"/>
      <c r="AC58" s="10">
        <f t="shared" si="15"/>
        <v>0</v>
      </c>
      <c r="AD58" s="8" t="str">
        <f>IFERROR(AC58/AC444, "NA")</f>
        <v>NA</v>
      </c>
    </row>
    <row r="59" spans="1:30" ht="16.5" hidden="1" customHeight="1" x14ac:dyDescent="0.45">
      <c r="A59" s="17" t="s">
        <v>57</v>
      </c>
      <c r="B59" s="7">
        <v>0</v>
      </c>
      <c r="C59" s="8" t="str">
        <f>IFERROR(B59/B444, "NA")</f>
        <v>NA</v>
      </c>
      <c r="D59" s="9"/>
      <c r="E59" s="7">
        <v>0</v>
      </c>
      <c r="F59" s="8" t="str">
        <f>IFERROR(E59/E444, "NA")</f>
        <v>NA</v>
      </c>
      <c r="G59" s="9"/>
      <c r="H59" s="10">
        <f t="shared" si="12"/>
        <v>0</v>
      </c>
      <c r="I59" s="8" t="str">
        <f>IFERROR(H59/H444, "NA")</f>
        <v>NA</v>
      </c>
      <c r="J59" s="9"/>
      <c r="K59" s="7">
        <v>0</v>
      </c>
      <c r="L59" s="8" t="str">
        <f>IFERROR(K59/K444, "NA")</f>
        <v>NA</v>
      </c>
      <c r="M59" s="9"/>
      <c r="N59" s="10">
        <f t="shared" si="13"/>
        <v>0</v>
      </c>
      <c r="O59" s="8" t="str">
        <f>IFERROR(N59/N444, "NA")</f>
        <v>NA</v>
      </c>
      <c r="P59" s="9"/>
      <c r="Q59" s="7">
        <v>0</v>
      </c>
      <c r="R59" s="8" t="str">
        <f>IFERROR(Q59/Q444, "NA")</f>
        <v>NA</v>
      </c>
      <c r="S59" s="9"/>
      <c r="T59" s="7">
        <v>0</v>
      </c>
      <c r="U59" s="8" t="str">
        <f>IFERROR(T59/T444, "NA")</f>
        <v>NA</v>
      </c>
      <c r="V59" s="9"/>
      <c r="W59" s="10">
        <f t="shared" si="14"/>
        <v>0</v>
      </c>
      <c r="X59" s="8" t="str">
        <f>IFERROR(W59/W444, "NA")</f>
        <v>NA</v>
      </c>
      <c r="Y59" s="9"/>
      <c r="Z59" s="7">
        <v>0</v>
      </c>
      <c r="AA59" s="8" t="str">
        <f>IFERROR(Z59/Z444, "NA")</f>
        <v>NA</v>
      </c>
      <c r="AB59" s="9"/>
      <c r="AC59" s="10">
        <f t="shared" si="15"/>
        <v>0</v>
      </c>
      <c r="AD59" s="8" t="str">
        <f>IFERROR(AC59/AC444, "NA")</f>
        <v>NA</v>
      </c>
    </row>
    <row r="60" spans="1:30" ht="16.5" hidden="1" customHeight="1" x14ac:dyDescent="0.45">
      <c r="A60" s="17" t="s">
        <v>58</v>
      </c>
      <c r="B60" s="7">
        <v>0</v>
      </c>
      <c r="C60" s="8" t="str">
        <f>IFERROR(B60/B444, "NA")</f>
        <v>NA</v>
      </c>
      <c r="D60" s="9"/>
      <c r="E60" s="7">
        <v>0</v>
      </c>
      <c r="F60" s="8" t="str">
        <f>IFERROR(E60/E444, "NA")</f>
        <v>NA</v>
      </c>
      <c r="G60" s="9"/>
      <c r="H60" s="10">
        <f t="shared" si="12"/>
        <v>0</v>
      </c>
      <c r="I60" s="8" t="str">
        <f>IFERROR(H60/H444, "NA")</f>
        <v>NA</v>
      </c>
      <c r="J60" s="9"/>
      <c r="K60" s="7">
        <v>0</v>
      </c>
      <c r="L60" s="8" t="str">
        <f>IFERROR(K60/K444, "NA")</f>
        <v>NA</v>
      </c>
      <c r="M60" s="9"/>
      <c r="N60" s="10">
        <f t="shared" si="13"/>
        <v>0</v>
      </c>
      <c r="O60" s="8" t="str">
        <f>IFERROR(N60/N444, "NA")</f>
        <v>NA</v>
      </c>
      <c r="P60" s="9"/>
      <c r="Q60" s="7">
        <v>0</v>
      </c>
      <c r="R60" s="8" t="str">
        <f>IFERROR(Q60/Q444, "NA")</f>
        <v>NA</v>
      </c>
      <c r="S60" s="9"/>
      <c r="T60" s="7">
        <v>0</v>
      </c>
      <c r="U60" s="8" t="str">
        <f>IFERROR(T60/T444, "NA")</f>
        <v>NA</v>
      </c>
      <c r="V60" s="9"/>
      <c r="W60" s="10">
        <f t="shared" si="14"/>
        <v>0</v>
      </c>
      <c r="X60" s="8" t="str">
        <f>IFERROR(W60/W444, "NA")</f>
        <v>NA</v>
      </c>
      <c r="Y60" s="9"/>
      <c r="Z60" s="7">
        <v>0</v>
      </c>
      <c r="AA60" s="8" t="str">
        <f>IFERROR(Z60/Z444, "NA")</f>
        <v>NA</v>
      </c>
      <c r="AB60" s="9"/>
      <c r="AC60" s="10">
        <f t="shared" si="15"/>
        <v>0</v>
      </c>
      <c r="AD60" s="8" t="str">
        <f>IFERROR(AC60/AC444, "NA")</f>
        <v>NA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0</v>
      </c>
      <c r="C61" s="15" t="str">
        <f>IFERROR(B61/B444, "NA")</f>
        <v>NA</v>
      </c>
      <c r="D61" s="2"/>
      <c r="E61" s="14">
        <f>IFERROR(E46+E47+E48+E49+E50+E51+E52+E53+E54+E55+E56+E57+E58+E59+E60, "NA")</f>
        <v>0</v>
      </c>
      <c r="F61" s="15" t="str">
        <f>IFERROR(E61/E444, "NA")</f>
        <v>NA</v>
      </c>
      <c r="G61" s="2"/>
      <c r="H61" s="14">
        <f t="shared" si="12"/>
        <v>0</v>
      </c>
      <c r="I61" s="15" t="str">
        <f>IFERROR(H61/H444, "NA")</f>
        <v>NA</v>
      </c>
      <c r="J61" s="2"/>
      <c r="K61" s="14">
        <f>IFERROR(K46+K47+K48+K49+K50+K51+K52+K53+K54+K55+K56+K57+K58+K59+K60, "NA")</f>
        <v>0</v>
      </c>
      <c r="L61" s="15" t="str">
        <f>IFERROR(K61/K444, "NA")</f>
        <v>NA</v>
      </c>
      <c r="M61" s="2"/>
      <c r="N61" s="14">
        <f t="shared" si="13"/>
        <v>0</v>
      </c>
      <c r="O61" s="15" t="str">
        <f>IFERROR(N61/N444, "NA")</f>
        <v>NA</v>
      </c>
      <c r="P61" s="2"/>
      <c r="Q61" s="14">
        <f>IFERROR(Q46+Q47+Q48+Q49+Q50+Q51+Q52+Q53+Q54+Q55+Q56+Q57+Q58+Q59+Q60, "NA")</f>
        <v>0</v>
      </c>
      <c r="R61" s="15" t="str">
        <f>IFERROR(Q61/Q444, "NA")</f>
        <v>NA</v>
      </c>
      <c r="S61" s="2"/>
      <c r="T61" s="14">
        <f>IFERROR(T46+T47+T48+T49+T50+T51+T52+T53+T54+T55+T56+T57+T58+T59+T60, "NA")</f>
        <v>0</v>
      </c>
      <c r="U61" s="15" t="str">
        <f>IFERROR(T61/T444, "NA")</f>
        <v>NA</v>
      </c>
      <c r="V61" s="2"/>
      <c r="W61" s="14">
        <f t="shared" si="14"/>
        <v>0</v>
      </c>
      <c r="X61" s="15" t="str">
        <f>IFERROR(W61/W444, "NA")</f>
        <v>NA</v>
      </c>
      <c r="Y61" s="2"/>
      <c r="Z61" s="14">
        <f>IFERROR(Z46+Z47+Z48+Z49+Z50+Z51+Z52+Z53+Z54+Z55+Z56+Z57+Z58+Z59+Z60, "NA")</f>
        <v>0</v>
      </c>
      <c r="AA61" s="15" t="str">
        <f>IFERROR(Z61/Z444, "NA")</f>
        <v>NA</v>
      </c>
      <c r="AB61" s="2"/>
      <c r="AC61" s="14">
        <f t="shared" si="15"/>
        <v>0</v>
      </c>
      <c r="AD61" s="15" t="str">
        <f>IFERROR(AC61/AC444, "NA")</f>
        <v>NA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0</v>
      </c>
      <c r="C62" s="15" t="str">
        <f>IFERROR(B62/B444, "NA")</f>
        <v>NA</v>
      </c>
      <c r="D62" s="2"/>
      <c r="E62" s="14">
        <f>IFERROR(E42+E43+E44+E46+E47+E48+E49+E50+E51+E52+E53+E54+E55+E56+E57+E58+E59+E60, "NA")</f>
        <v>0</v>
      </c>
      <c r="F62" s="15" t="str">
        <f>IFERROR(E62/E444, "NA")</f>
        <v>NA</v>
      </c>
      <c r="G62" s="2"/>
      <c r="H62" s="14">
        <f t="shared" si="12"/>
        <v>0</v>
      </c>
      <c r="I62" s="15" t="str">
        <f>IFERROR(H62/H444, "NA")</f>
        <v>NA</v>
      </c>
      <c r="J62" s="2"/>
      <c r="K62" s="14">
        <f>IFERROR(K42+K43+K44+K46+K47+K48+K49+K50+K51+K52+K53+K54+K55+K56+K57+K58+K59+K60, "NA")</f>
        <v>0</v>
      </c>
      <c r="L62" s="15" t="str">
        <f>IFERROR(K62/K444, "NA")</f>
        <v>NA</v>
      </c>
      <c r="M62" s="2"/>
      <c r="N62" s="14">
        <f t="shared" si="13"/>
        <v>0</v>
      </c>
      <c r="O62" s="15" t="str">
        <f>IFERROR(N62/N444, "NA")</f>
        <v>NA</v>
      </c>
      <c r="P62" s="2"/>
      <c r="Q62" s="14">
        <f>IFERROR(Q42+Q43+Q44+Q46+Q47+Q48+Q49+Q50+Q51+Q52+Q53+Q54+Q55+Q56+Q57+Q58+Q59+Q60, "NA")</f>
        <v>0</v>
      </c>
      <c r="R62" s="15" t="str">
        <f>IFERROR(Q62/Q444, "NA")</f>
        <v>NA</v>
      </c>
      <c r="S62" s="2"/>
      <c r="T62" s="14">
        <f>IFERROR(T42+T43+T44+T46+T47+T48+T49+T50+T51+T52+T53+T54+T55+T56+T57+T58+T59+T60, "NA")</f>
        <v>0</v>
      </c>
      <c r="U62" s="15" t="str">
        <f>IFERROR(T62/T444, "NA")</f>
        <v>NA</v>
      </c>
      <c r="V62" s="2"/>
      <c r="W62" s="14">
        <f t="shared" si="14"/>
        <v>0</v>
      </c>
      <c r="X62" s="15" t="str">
        <f>IFERROR(W62/W444, "NA")</f>
        <v>NA</v>
      </c>
      <c r="Y62" s="2"/>
      <c r="Z62" s="14">
        <f>IFERROR(Z42+Z43+Z44+Z46+Z47+Z48+Z49+Z50+Z51+Z52+Z53+Z54+Z55+Z56+Z57+Z58+Z59+Z60, "NA")</f>
        <v>0</v>
      </c>
      <c r="AA62" s="15" t="str">
        <f>IFERROR(Z62/Z444, "NA")</f>
        <v>NA</v>
      </c>
      <c r="AB62" s="2"/>
      <c r="AC62" s="14">
        <f t="shared" si="15"/>
        <v>0</v>
      </c>
      <c r="AD62" s="15" t="str">
        <f>IFERROR(AC62/AC444, "NA")</f>
        <v>NA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 t="str">
        <f>IFERROR(B64/B444, "NA")</f>
        <v>NA</v>
      </c>
      <c r="D64" s="9"/>
      <c r="E64" s="7">
        <v>0</v>
      </c>
      <c r="F64" s="8" t="str">
        <f>IFERROR(E64/E444, "NA")</f>
        <v>NA</v>
      </c>
      <c r="G64" s="9"/>
      <c r="H64" s="10">
        <f t="shared" ref="H64:H73" si="16">IFERROR(B64-E64, "NA")</f>
        <v>0</v>
      </c>
      <c r="I64" s="8" t="str">
        <f>IFERROR(H64/H444, "NA")</f>
        <v>NA</v>
      </c>
      <c r="J64" s="9"/>
      <c r="K64" s="7">
        <v>0</v>
      </c>
      <c r="L64" s="8" t="str">
        <f>IFERROR(K64/K444, "NA")</f>
        <v>NA</v>
      </c>
      <c r="M64" s="9"/>
      <c r="N64" s="10">
        <f t="shared" ref="N64:N73" si="17">IFERROR(B64-K64, "NA")</f>
        <v>0</v>
      </c>
      <c r="O64" s="8" t="str">
        <f>IFERROR(N64/N444, "NA")</f>
        <v>NA</v>
      </c>
      <c r="P64" s="9"/>
      <c r="Q64" s="7">
        <v>0</v>
      </c>
      <c r="R64" s="8" t="str">
        <f>IFERROR(Q64/Q444, "NA")</f>
        <v>NA</v>
      </c>
      <c r="S64" s="9"/>
      <c r="T64" s="7">
        <v>0</v>
      </c>
      <c r="U64" s="8" t="str">
        <f>IFERROR(T64/T444, "NA")</f>
        <v>NA</v>
      </c>
      <c r="V64" s="9"/>
      <c r="W64" s="10">
        <f t="shared" ref="W64:W73" si="18">IFERROR(Q64-T64, "NA")</f>
        <v>0</v>
      </c>
      <c r="X64" s="8" t="str">
        <f>IFERROR(W64/W444, "NA")</f>
        <v>NA</v>
      </c>
      <c r="Y64" s="9"/>
      <c r="Z64" s="7">
        <v>0</v>
      </c>
      <c r="AA64" s="8" t="str">
        <f>IFERROR(Z64/Z444, "NA")</f>
        <v>NA</v>
      </c>
      <c r="AB64" s="9"/>
      <c r="AC64" s="10">
        <f t="shared" ref="AC64:AC73" si="19">IFERROR(Q64-Z64, "NA")</f>
        <v>0</v>
      </c>
      <c r="AD64" s="8" t="str">
        <f>IFERROR(AC64/AC444, "NA")</f>
        <v>NA</v>
      </c>
    </row>
    <row r="65" spans="1:30" ht="16.5" hidden="1" customHeight="1" x14ac:dyDescent="0.45">
      <c r="A65" s="12" t="s">
        <v>62</v>
      </c>
      <c r="B65" s="7">
        <v>0</v>
      </c>
      <c r="C65" s="8" t="str">
        <f>IFERROR(B65/B444, "NA")</f>
        <v>NA</v>
      </c>
      <c r="D65" s="9"/>
      <c r="E65" s="7">
        <v>0</v>
      </c>
      <c r="F65" s="8" t="str">
        <f>IFERROR(E65/E444, "NA")</f>
        <v>NA</v>
      </c>
      <c r="G65" s="9"/>
      <c r="H65" s="10">
        <f t="shared" si="16"/>
        <v>0</v>
      </c>
      <c r="I65" s="8" t="str">
        <f>IFERROR(H65/H444, "NA")</f>
        <v>NA</v>
      </c>
      <c r="J65" s="9"/>
      <c r="K65" s="7">
        <v>0</v>
      </c>
      <c r="L65" s="8" t="str">
        <f>IFERROR(K65/K444, "NA")</f>
        <v>NA</v>
      </c>
      <c r="M65" s="9"/>
      <c r="N65" s="10">
        <f t="shared" si="17"/>
        <v>0</v>
      </c>
      <c r="O65" s="8" t="str">
        <f>IFERROR(N65/N444, "NA")</f>
        <v>NA</v>
      </c>
      <c r="P65" s="9"/>
      <c r="Q65" s="7">
        <v>0</v>
      </c>
      <c r="R65" s="8" t="str">
        <f>IFERROR(Q65/Q444, "NA")</f>
        <v>NA</v>
      </c>
      <c r="S65" s="9"/>
      <c r="T65" s="7">
        <v>0</v>
      </c>
      <c r="U65" s="8" t="str">
        <f>IFERROR(T65/T444, "NA")</f>
        <v>NA</v>
      </c>
      <c r="V65" s="9"/>
      <c r="W65" s="10">
        <f t="shared" si="18"/>
        <v>0</v>
      </c>
      <c r="X65" s="8" t="str">
        <f>IFERROR(W65/W444, "NA")</f>
        <v>NA</v>
      </c>
      <c r="Y65" s="9"/>
      <c r="Z65" s="7">
        <v>0</v>
      </c>
      <c r="AA65" s="8" t="str">
        <f>IFERROR(Z65/Z444, "NA")</f>
        <v>NA</v>
      </c>
      <c r="AB65" s="9"/>
      <c r="AC65" s="10">
        <f t="shared" si="19"/>
        <v>0</v>
      </c>
      <c r="AD65" s="8" t="str">
        <f>IFERROR(AC65/AC444, "NA")</f>
        <v>NA</v>
      </c>
    </row>
    <row r="66" spans="1:30" ht="16.5" hidden="1" customHeight="1" x14ac:dyDescent="0.45">
      <c r="A66" s="12" t="s">
        <v>63</v>
      </c>
      <c r="B66" s="7">
        <v>0</v>
      </c>
      <c r="C66" s="8" t="str">
        <f>IFERROR(B66/B444, "NA")</f>
        <v>NA</v>
      </c>
      <c r="D66" s="9"/>
      <c r="E66" s="7">
        <v>0</v>
      </c>
      <c r="F66" s="8" t="str">
        <f>IFERROR(E66/E444, "NA")</f>
        <v>NA</v>
      </c>
      <c r="G66" s="9"/>
      <c r="H66" s="10">
        <f t="shared" si="16"/>
        <v>0</v>
      </c>
      <c r="I66" s="8" t="str">
        <f>IFERROR(H66/H444, "NA")</f>
        <v>NA</v>
      </c>
      <c r="J66" s="9"/>
      <c r="K66" s="7">
        <v>0</v>
      </c>
      <c r="L66" s="8" t="str">
        <f>IFERROR(K66/K444, "NA")</f>
        <v>NA</v>
      </c>
      <c r="M66" s="9"/>
      <c r="N66" s="10">
        <f t="shared" si="17"/>
        <v>0</v>
      </c>
      <c r="O66" s="8" t="str">
        <f>IFERROR(N66/N444, "NA")</f>
        <v>NA</v>
      </c>
      <c r="P66" s="9"/>
      <c r="Q66" s="7">
        <v>0</v>
      </c>
      <c r="R66" s="8" t="str">
        <f>IFERROR(Q66/Q444, "NA")</f>
        <v>NA</v>
      </c>
      <c r="S66" s="9"/>
      <c r="T66" s="7">
        <v>0</v>
      </c>
      <c r="U66" s="8" t="str">
        <f>IFERROR(T66/T444, "NA")</f>
        <v>NA</v>
      </c>
      <c r="V66" s="9"/>
      <c r="W66" s="10">
        <f t="shared" si="18"/>
        <v>0</v>
      </c>
      <c r="X66" s="8" t="str">
        <f>IFERROR(W66/W444, "NA")</f>
        <v>NA</v>
      </c>
      <c r="Y66" s="9"/>
      <c r="Z66" s="7">
        <v>0</v>
      </c>
      <c r="AA66" s="8" t="str">
        <f>IFERROR(Z66/Z444, "NA")</f>
        <v>NA</v>
      </c>
      <c r="AB66" s="9"/>
      <c r="AC66" s="10">
        <f t="shared" si="19"/>
        <v>0</v>
      </c>
      <c r="AD66" s="8" t="str">
        <f>IFERROR(AC66/AC444, "NA")</f>
        <v>NA</v>
      </c>
    </row>
    <row r="67" spans="1:30" ht="16.5" hidden="1" customHeight="1" x14ac:dyDescent="0.45">
      <c r="A67" s="12" t="s">
        <v>64</v>
      </c>
      <c r="B67" s="7">
        <v>0</v>
      </c>
      <c r="C67" s="8" t="str">
        <f>IFERROR(B67/B444, "NA")</f>
        <v>NA</v>
      </c>
      <c r="D67" s="9"/>
      <c r="E67" s="7">
        <v>0</v>
      </c>
      <c r="F67" s="8" t="str">
        <f>IFERROR(E67/E444, "NA")</f>
        <v>NA</v>
      </c>
      <c r="G67" s="9"/>
      <c r="H67" s="10">
        <f t="shared" si="16"/>
        <v>0</v>
      </c>
      <c r="I67" s="8" t="str">
        <f>IFERROR(H67/H444, "NA")</f>
        <v>NA</v>
      </c>
      <c r="J67" s="9"/>
      <c r="K67" s="7">
        <v>0</v>
      </c>
      <c r="L67" s="8" t="str">
        <f>IFERROR(K67/K444, "NA")</f>
        <v>NA</v>
      </c>
      <c r="M67" s="9"/>
      <c r="N67" s="10">
        <f t="shared" si="17"/>
        <v>0</v>
      </c>
      <c r="O67" s="8" t="str">
        <f>IFERROR(N67/N444, "NA")</f>
        <v>NA</v>
      </c>
      <c r="P67" s="9"/>
      <c r="Q67" s="7">
        <v>0</v>
      </c>
      <c r="R67" s="8" t="str">
        <f>IFERROR(Q67/Q444, "NA")</f>
        <v>NA</v>
      </c>
      <c r="S67" s="9"/>
      <c r="T67" s="7">
        <v>0</v>
      </c>
      <c r="U67" s="8" t="str">
        <f>IFERROR(T67/T444, "NA")</f>
        <v>NA</v>
      </c>
      <c r="V67" s="9"/>
      <c r="W67" s="10">
        <f t="shared" si="18"/>
        <v>0</v>
      </c>
      <c r="X67" s="8" t="str">
        <f>IFERROR(W67/W444, "NA")</f>
        <v>NA</v>
      </c>
      <c r="Y67" s="9"/>
      <c r="Z67" s="7">
        <v>0</v>
      </c>
      <c r="AA67" s="8" t="str">
        <f>IFERROR(Z67/Z444, "NA")</f>
        <v>NA</v>
      </c>
      <c r="AB67" s="9"/>
      <c r="AC67" s="10">
        <f t="shared" si="19"/>
        <v>0</v>
      </c>
      <c r="AD67" s="8" t="str">
        <f>IFERROR(AC67/AC444, "NA")</f>
        <v>NA</v>
      </c>
    </row>
    <row r="68" spans="1:30" ht="16.5" hidden="1" customHeight="1" x14ac:dyDescent="0.45">
      <c r="A68" s="12" t="s">
        <v>65</v>
      </c>
      <c r="B68" s="7">
        <v>0</v>
      </c>
      <c r="C68" s="8" t="str">
        <f>IFERROR(B68/B444, "NA")</f>
        <v>NA</v>
      </c>
      <c r="D68" s="9"/>
      <c r="E68" s="7">
        <v>0</v>
      </c>
      <c r="F68" s="8" t="str">
        <f>IFERROR(E68/E444, "NA")</f>
        <v>NA</v>
      </c>
      <c r="G68" s="9"/>
      <c r="H68" s="10">
        <f t="shared" si="16"/>
        <v>0</v>
      </c>
      <c r="I68" s="8" t="str">
        <f>IFERROR(H68/H444, "NA")</f>
        <v>NA</v>
      </c>
      <c r="J68" s="9"/>
      <c r="K68" s="7">
        <v>0</v>
      </c>
      <c r="L68" s="8" t="str">
        <f>IFERROR(K68/K444, "NA")</f>
        <v>NA</v>
      </c>
      <c r="M68" s="9"/>
      <c r="N68" s="10">
        <f t="shared" si="17"/>
        <v>0</v>
      </c>
      <c r="O68" s="8" t="str">
        <f>IFERROR(N68/N444, "NA")</f>
        <v>NA</v>
      </c>
      <c r="P68" s="9"/>
      <c r="Q68" s="7">
        <v>0</v>
      </c>
      <c r="R68" s="8" t="str">
        <f>IFERROR(Q68/Q444, "NA")</f>
        <v>NA</v>
      </c>
      <c r="S68" s="9"/>
      <c r="T68" s="7">
        <v>0</v>
      </c>
      <c r="U68" s="8" t="str">
        <f>IFERROR(T68/T444, "NA")</f>
        <v>NA</v>
      </c>
      <c r="V68" s="9"/>
      <c r="W68" s="10">
        <f t="shared" si="18"/>
        <v>0</v>
      </c>
      <c r="X68" s="8" t="str">
        <f>IFERROR(W68/W444, "NA")</f>
        <v>NA</v>
      </c>
      <c r="Y68" s="9"/>
      <c r="Z68" s="7">
        <v>0</v>
      </c>
      <c r="AA68" s="8" t="str">
        <f>IFERROR(Z68/Z444, "NA")</f>
        <v>NA</v>
      </c>
      <c r="AB68" s="9"/>
      <c r="AC68" s="10">
        <f t="shared" si="19"/>
        <v>0</v>
      </c>
      <c r="AD68" s="8" t="str">
        <f>IFERROR(AC68/AC444, "NA")</f>
        <v>NA</v>
      </c>
    </row>
    <row r="69" spans="1:30" ht="16.5" hidden="1" customHeight="1" x14ac:dyDescent="0.45">
      <c r="A69" s="12" t="s">
        <v>66</v>
      </c>
      <c r="B69" s="7">
        <v>0</v>
      </c>
      <c r="C69" s="8" t="str">
        <f>IFERROR(B69/B444, "NA")</f>
        <v>NA</v>
      </c>
      <c r="D69" s="9"/>
      <c r="E69" s="7">
        <v>0</v>
      </c>
      <c r="F69" s="8" t="str">
        <f>IFERROR(E69/E444, "NA")</f>
        <v>NA</v>
      </c>
      <c r="G69" s="9"/>
      <c r="H69" s="10">
        <f t="shared" si="16"/>
        <v>0</v>
      </c>
      <c r="I69" s="8" t="str">
        <f>IFERROR(H69/H444, "NA")</f>
        <v>NA</v>
      </c>
      <c r="J69" s="9"/>
      <c r="K69" s="7">
        <v>0</v>
      </c>
      <c r="L69" s="8" t="str">
        <f>IFERROR(K69/K444, "NA")</f>
        <v>NA</v>
      </c>
      <c r="M69" s="9"/>
      <c r="N69" s="10">
        <f t="shared" si="17"/>
        <v>0</v>
      </c>
      <c r="O69" s="8" t="str">
        <f>IFERROR(N69/N444, "NA")</f>
        <v>NA</v>
      </c>
      <c r="P69" s="9"/>
      <c r="Q69" s="7">
        <v>0</v>
      </c>
      <c r="R69" s="8" t="str">
        <f>IFERROR(Q69/Q444, "NA")</f>
        <v>NA</v>
      </c>
      <c r="S69" s="9"/>
      <c r="T69" s="7">
        <v>0</v>
      </c>
      <c r="U69" s="8" t="str">
        <f>IFERROR(T69/T444, "NA")</f>
        <v>NA</v>
      </c>
      <c r="V69" s="9"/>
      <c r="W69" s="10">
        <f t="shared" si="18"/>
        <v>0</v>
      </c>
      <c r="X69" s="8" t="str">
        <f>IFERROR(W69/W444, "NA")</f>
        <v>NA</v>
      </c>
      <c r="Y69" s="9"/>
      <c r="Z69" s="7">
        <v>0</v>
      </c>
      <c r="AA69" s="8" t="str">
        <f>IFERROR(Z69/Z444, "NA")</f>
        <v>NA</v>
      </c>
      <c r="AB69" s="9"/>
      <c r="AC69" s="10">
        <f t="shared" si="19"/>
        <v>0</v>
      </c>
      <c r="AD69" s="8" t="str">
        <f>IFERROR(AC69/AC444, "NA")</f>
        <v>NA</v>
      </c>
    </row>
    <row r="70" spans="1:30" ht="16.5" hidden="1" customHeight="1" x14ac:dyDescent="0.45">
      <c r="A70" s="12" t="s">
        <v>67</v>
      </c>
      <c r="B70" s="7">
        <v>0</v>
      </c>
      <c r="C70" s="8" t="str">
        <f>IFERROR(B70/B444, "NA")</f>
        <v>NA</v>
      </c>
      <c r="D70" s="9"/>
      <c r="E70" s="7">
        <v>0</v>
      </c>
      <c r="F70" s="8" t="str">
        <f>IFERROR(E70/E444, "NA")</f>
        <v>NA</v>
      </c>
      <c r="G70" s="9"/>
      <c r="H70" s="10">
        <f t="shared" si="16"/>
        <v>0</v>
      </c>
      <c r="I70" s="8" t="str">
        <f>IFERROR(H70/H444, "NA")</f>
        <v>NA</v>
      </c>
      <c r="J70" s="9"/>
      <c r="K70" s="7">
        <v>0</v>
      </c>
      <c r="L70" s="8" t="str">
        <f>IFERROR(K70/K444, "NA")</f>
        <v>NA</v>
      </c>
      <c r="M70" s="9"/>
      <c r="N70" s="10">
        <f t="shared" si="17"/>
        <v>0</v>
      </c>
      <c r="O70" s="8" t="str">
        <f>IFERROR(N70/N444, "NA")</f>
        <v>NA</v>
      </c>
      <c r="P70" s="9"/>
      <c r="Q70" s="7">
        <v>0</v>
      </c>
      <c r="R70" s="8" t="str">
        <f>IFERROR(Q70/Q444, "NA")</f>
        <v>NA</v>
      </c>
      <c r="S70" s="9"/>
      <c r="T70" s="7">
        <v>0</v>
      </c>
      <c r="U70" s="8" t="str">
        <f>IFERROR(T70/T444, "NA")</f>
        <v>NA</v>
      </c>
      <c r="V70" s="9"/>
      <c r="W70" s="10">
        <f t="shared" si="18"/>
        <v>0</v>
      </c>
      <c r="X70" s="8" t="str">
        <f>IFERROR(W70/W444, "NA")</f>
        <v>NA</v>
      </c>
      <c r="Y70" s="9"/>
      <c r="Z70" s="7">
        <v>0</v>
      </c>
      <c r="AA70" s="8" t="str">
        <f>IFERROR(Z70/Z444, "NA")</f>
        <v>NA</v>
      </c>
      <c r="AB70" s="9"/>
      <c r="AC70" s="10">
        <f t="shared" si="19"/>
        <v>0</v>
      </c>
      <c r="AD70" s="8" t="str">
        <f>IFERROR(AC70/AC444, "NA")</f>
        <v>NA</v>
      </c>
    </row>
    <row r="71" spans="1:30" ht="16.5" hidden="1" customHeight="1" x14ac:dyDescent="0.45">
      <c r="A71" s="12" t="s">
        <v>68</v>
      </c>
      <c r="B71" s="7">
        <v>0</v>
      </c>
      <c r="C71" s="8" t="str">
        <f>IFERROR(B71/B444, "NA")</f>
        <v>NA</v>
      </c>
      <c r="D71" s="9"/>
      <c r="E71" s="7">
        <v>0</v>
      </c>
      <c r="F71" s="8" t="str">
        <f>IFERROR(E71/E444, "NA")</f>
        <v>NA</v>
      </c>
      <c r="G71" s="9"/>
      <c r="H71" s="10">
        <f t="shared" si="16"/>
        <v>0</v>
      </c>
      <c r="I71" s="8" t="str">
        <f>IFERROR(H71/H444, "NA")</f>
        <v>NA</v>
      </c>
      <c r="J71" s="9"/>
      <c r="K71" s="7">
        <v>0</v>
      </c>
      <c r="L71" s="8" t="str">
        <f>IFERROR(K71/K444, "NA")</f>
        <v>NA</v>
      </c>
      <c r="M71" s="9"/>
      <c r="N71" s="10">
        <f t="shared" si="17"/>
        <v>0</v>
      </c>
      <c r="O71" s="8" t="str">
        <f>IFERROR(N71/N444, "NA")</f>
        <v>NA</v>
      </c>
      <c r="P71" s="9"/>
      <c r="Q71" s="7">
        <v>0</v>
      </c>
      <c r="R71" s="8" t="str">
        <f>IFERROR(Q71/Q444, "NA")</f>
        <v>NA</v>
      </c>
      <c r="S71" s="9"/>
      <c r="T71" s="7">
        <v>0</v>
      </c>
      <c r="U71" s="8" t="str">
        <f>IFERROR(T71/T444, "NA")</f>
        <v>NA</v>
      </c>
      <c r="V71" s="9"/>
      <c r="W71" s="10">
        <f t="shared" si="18"/>
        <v>0</v>
      </c>
      <c r="X71" s="8" t="str">
        <f>IFERROR(W71/W444, "NA")</f>
        <v>NA</v>
      </c>
      <c r="Y71" s="9"/>
      <c r="Z71" s="7">
        <v>0</v>
      </c>
      <c r="AA71" s="8" t="str">
        <f>IFERROR(Z71/Z444, "NA")</f>
        <v>NA</v>
      </c>
      <c r="AB71" s="9"/>
      <c r="AC71" s="10">
        <f t="shared" si="19"/>
        <v>0</v>
      </c>
      <c r="AD71" s="8" t="str">
        <f>IFERROR(AC71/AC444, "NA")</f>
        <v>NA</v>
      </c>
    </row>
    <row r="72" spans="1:30" ht="16.5" hidden="1" customHeight="1" x14ac:dyDescent="0.45">
      <c r="A72" s="12" t="s">
        <v>69</v>
      </c>
      <c r="B72" s="7">
        <v>0</v>
      </c>
      <c r="C72" s="8" t="str">
        <f>IFERROR(B72/B444, "NA")</f>
        <v>NA</v>
      </c>
      <c r="D72" s="9"/>
      <c r="E72" s="7">
        <v>0</v>
      </c>
      <c r="F72" s="8" t="str">
        <f>IFERROR(E72/E444, "NA")</f>
        <v>NA</v>
      </c>
      <c r="G72" s="9"/>
      <c r="H72" s="10">
        <f t="shared" si="16"/>
        <v>0</v>
      </c>
      <c r="I72" s="8" t="str">
        <f>IFERROR(H72/H444, "NA")</f>
        <v>NA</v>
      </c>
      <c r="J72" s="9"/>
      <c r="K72" s="7">
        <v>0</v>
      </c>
      <c r="L72" s="8" t="str">
        <f>IFERROR(K72/K444, "NA")</f>
        <v>NA</v>
      </c>
      <c r="M72" s="9"/>
      <c r="N72" s="10">
        <f t="shared" si="17"/>
        <v>0</v>
      </c>
      <c r="O72" s="8" t="str">
        <f>IFERROR(N72/N444, "NA")</f>
        <v>NA</v>
      </c>
      <c r="P72" s="9"/>
      <c r="Q72" s="7">
        <v>0</v>
      </c>
      <c r="R72" s="8" t="str">
        <f>IFERROR(Q72/Q444, "NA")</f>
        <v>NA</v>
      </c>
      <c r="S72" s="9"/>
      <c r="T72" s="7">
        <v>0</v>
      </c>
      <c r="U72" s="8" t="str">
        <f>IFERROR(T72/T444, "NA")</f>
        <v>NA</v>
      </c>
      <c r="V72" s="9"/>
      <c r="W72" s="10">
        <f t="shared" si="18"/>
        <v>0</v>
      </c>
      <c r="X72" s="8" t="str">
        <f>IFERROR(W72/W444, "NA")</f>
        <v>NA</v>
      </c>
      <c r="Y72" s="9"/>
      <c r="Z72" s="7">
        <v>0</v>
      </c>
      <c r="AA72" s="8" t="str">
        <f>IFERROR(Z72/Z444, "NA")</f>
        <v>NA</v>
      </c>
      <c r="AB72" s="9"/>
      <c r="AC72" s="10">
        <f t="shared" si="19"/>
        <v>0</v>
      </c>
      <c r="AD72" s="8" t="str">
        <f>IFERROR(AC72/AC444, "NA")</f>
        <v>NA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 t="str">
        <f>IFERROR(B73/B444, "NA")</f>
        <v>NA</v>
      </c>
      <c r="D73" s="2"/>
      <c r="E73" s="14">
        <f>IFERROR(E64+E65+E66+E67+E68+E69+E70+E71+E72, "NA")</f>
        <v>0</v>
      </c>
      <c r="F73" s="15" t="str">
        <f>IFERROR(E73/E444, "NA")</f>
        <v>NA</v>
      </c>
      <c r="G73" s="2"/>
      <c r="H73" s="14">
        <f t="shared" si="16"/>
        <v>0</v>
      </c>
      <c r="I73" s="15" t="str">
        <f>IFERROR(H73/H444, "NA")</f>
        <v>NA</v>
      </c>
      <c r="J73" s="2"/>
      <c r="K73" s="14">
        <f>IFERROR(K64+K65+K66+K67+K68+K69+K70+K71+K72, "NA")</f>
        <v>0</v>
      </c>
      <c r="L73" s="15" t="str">
        <f>IFERROR(K73/K444, "NA")</f>
        <v>NA</v>
      </c>
      <c r="M73" s="2"/>
      <c r="N73" s="14">
        <f t="shared" si="17"/>
        <v>0</v>
      </c>
      <c r="O73" s="15" t="str">
        <f>IFERROR(N73/N444, "NA")</f>
        <v>NA</v>
      </c>
      <c r="P73" s="2"/>
      <c r="Q73" s="14">
        <f>IFERROR(Q64+Q65+Q66+Q67+Q68+Q69+Q70+Q71+Q72, "NA")</f>
        <v>0</v>
      </c>
      <c r="R73" s="15" t="str">
        <f>IFERROR(Q73/Q444, "NA")</f>
        <v>NA</v>
      </c>
      <c r="S73" s="2"/>
      <c r="T73" s="14">
        <f>IFERROR(T64+T65+T66+T67+T68+T69+T70+T71+T72, "NA")</f>
        <v>0</v>
      </c>
      <c r="U73" s="15" t="str">
        <f>IFERROR(T73/T444, "NA")</f>
        <v>NA</v>
      </c>
      <c r="V73" s="2"/>
      <c r="W73" s="14">
        <f t="shared" si="18"/>
        <v>0</v>
      </c>
      <c r="X73" s="15" t="str">
        <f>IFERROR(W73/W444, "NA")</f>
        <v>NA</v>
      </c>
      <c r="Y73" s="2"/>
      <c r="Z73" s="14">
        <f>IFERROR(Z64+Z65+Z66+Z67+Z68+Z69+Z70+Z71+Z72, "NA")</f>
        <v>0</v>
      </c>
      <c r="AA73" s="15" t="str">
        <f>IFERROR(Z73/Z444, "NA")</f>
        <v>NA</v>
      </c>
      <c r="AB73" s="2"/>
      <c r="AC73" s="14">
        <f t="shared" si="19"/>
        <v>0</v>
      </c>
      <c r="AD73" s="15" t="str">
        <f>IFERROR(AC73/AC444, "NA")</f>
        <v>NA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hidden="1" customHeight="1" x14ac:dyDescent="0.45">
      <c r="A75" s="12" t="s">
        <v>71</v>
      </c>
      <c r="B75" s="7">
        <v>0</v>
      </c>
      <c r="C75" s="8" t="str">
        <f>IFERROR(B75/B444, "NA")</f>
        <v>NA</v>
      </c>
      <c r="D75" s="9"/>
      <c r="E75" s="7">
        <v>0</v>
      </c>
      <c r="F75" s="8" t="str">
        <f>IFERROR(E75/E444, "NA")</f>
        <v>NA</v>
      </c>
      <c r="G75" s="9"/>
      <c r="H75" s="10">
        <f t="shared" ref="H75:H92" si="20">IFERROR(B75-E75, "NA")</f>
        <v>0</v>
      </c>
      <c r="I75" s="8" t="str">
        <f>IFERROR(H75/H444, "NA")</f>
        <v>NA</v>
      </c>
      <c r="J75" s="9"/>
      <c r="K75" s="7">
        <v>0</v>
      </c>
      <c r="L75" s="8" t="str">
        <f>IFERROR(K75/K444, "NA")</f>
        <v>NA</v>
      </c>
      <c r="M75" s="9"/>
      <c r="N75" s="10">
        <f t="shared" ref="N75:N92" si="21">IFERROR(B75-K75, "NA")</f>
        <v>0</v>
      </c>
      <c r="O75" s="8" t="str">
        <f>IFERROR(N75/N444, "NA")</f>
        <v>NA</v>
      </c>
      <c r="P75" s="9"/>
      <c r="Q75" s="7">
        <v>0</v>
      </c>
      <c r="R75" s="8" t="str">
        <f>IFERROR(Q75/Q444, "NA")</f>
        <v>NA</v>
      </c>
      <c r="S75" s="9"/>
      <c r="T75" s="7">
        <v>0</v>
      </c>
      <c r="U75" s="8" t="str">
        <f>IFERROR(T75/T444, "NA")</f>
        <v>NA</v>
      </c>
      <c r="V75" s="9"/>
      <c r="W75" s="10">
        <f t="shared" ref="W75:W92" si="22">IFERROR(Q75-T75, "NA")</f>
        <v>0</v>
      </c>
      <c r="X75" s="8" t="str">
        <f>IFERROR(W75/W444, "NA")</f>
        <v>NA</v>
      </c>
      <c r="Y75" s="9"/>
      <c r="Z75" s="7">
        <v>0</v>
      </c>
      <c r="AA75" s="8" t="str">
        <f>IFERROR(Z75/Z444, "NA")</f>
        <v>NA</v>
      </c>
      <c r="AB75" s="9"/>
      <c r="AC75" s="10">
        <f t="shared" ref="AC75:AC92" si="23">IFERROR(Q75-Z75, "NA")</f>
        <v>0</v>
      </c>
      <c r="AD75" s="8" t="str">
        <f>IFERROR(AC75/AC444, "NA")</f>
        <v>NA</v>
      </c>
    </row>
    <row r="76" spans="1:30" ht="16.5" hidden="1" customHeight="1" x14ac:dyDescent="0.45">
      <c r="A76" s="12" t="s">
        <v>72</v>
      </c>
      <c r="B76" s="7">
        <v>0</v>
      </c>
      <c r="C76" s="8" t="str">
        <f>IFERROR(B76/B444, "NA")</f>
        <v>NA</v>
      </c>
      <c r="D76" s="9"/>
      <c r="E76" s="7">
        <v>0</v>
      </c>
      <c r="F76" s="8" t="str">
        <f>IFERROR(E76/E444, "NA")</f>
        <v>NA</v>
      </c>
      <c r="G76" s="9"/>
      <c r="H76" s="10">
        <f t="shared" si="20"/>
        <v>0</v>
      </c>
      <c r="I76" s="8" t="str">
        <f>IFERROR(H76/H444, "NA")</f>
        <v>NA</v>
      </c>
      <c r="J76" s="9"/>
      <c r="K76" s="7">
        <v>0</v>
      </c>
      <c r="L76" s="8" t="str">
        <f>IFERROR(K76/K444, "NA")</f>
        <v>NA</v>
      </c>
      <c r="M76" s="9"/>
      <c r="N76" s="10">
        <f t="shared" si="21"/>
        <v>0</v>
      </c>
      <c r="O76" s="8" t="str">
        <f>IFERROR(N76/N444, "NA")</f>
        <v>NA</v>
      </c>
      <c r="P76" s="9"/>
      <c r="Q76" s="7">
        <v>0</v>
      </c>
      <c r="R76" s="8" t="str">
        <f>IFERROR(Q76/Q444, "NA")</f>
        <v>NA</v>
      </c>
      <c r="S76" s="9"/>
      <c r="T76" s="7">
        <v>0</v>
      </c>
      <c r="U76" s="8" t="str">
        <f>IFERROR(T76/T444, "NA")</f>
        <v>NA</v>
      </c>
      <c r="V76" s="9"/>
      <c r="W76" s="10">
        <f t="shared" si="22"/>
        <v>0</v>
      </c>
      <c r="X76" s="8" t="str">
        <f>IFERROR(W76/W444, "NA")</f>
        <v>NA</v>
      </c>
      <c r="Y76" s="9"/>
      <c r="Z76" s="7">
        <v>0</v>
      </c>
      <c r="AA76" s="8" t="str">
        <f>IFERROR(Z76/Z444, "NA")</f>
        <v>NA</v>
      </c>
      <c r="AB76" s="9"/>
      <c r="AC76" s="10">
        <f t="shared" si="23"/>
        <v>0</v>
      </c>
      <c r="AD76" s="8" t="str">
        <f>IFERROR(AC76/AC444, "NA")</f>
        <v>NA</v>
      </c>
    </row>
    <row r="77" spans="1:30" ht="16.5" hidden="1" customHeight="1" x14ac:dyDescent="0.45">
      <c r="A77" s="12" t="s">
        <v>73</v>
      </c>
      <c r="B77" s="7">
        <v>0</v>
      </c>
      <c r="C77" s="8" t="str">
        <f>IFERROR(B77/B444, "NA")</f>
        <v>NA</v>
      </c>
      <c r="D77" s="9"/>
      <c r="E77" s="7">
        <v>0</v>
      </c>
      <c r="F77" s="8" t="str">
        <f>IFERROR(E77/E444, "NA")</f>
        <v>NA</v>
      </c>
      <c r="G77" s="9"/>
      <c r="H77" s="10">
        <f t="shared" si="20"/>
        <v>0</v>
      </c>
      <c r="I77" s="8" t="str">
        <f>IFERROR(H77/H444, "NA")</f>
        <v>NA</v>
      </c>
      <c r="J77" s="9"/>
      <c r="K77" s="7">
        <v>0</v>
      </c>
      <c r="L77" s="8" t="str">
        <f>IFERROR(K77/K444, "NA")</f>
        <v>NA</v>
      </c>
      <c r="M77" s="9"/>
      <c r="N77" s="10">
        <f t="shared" si="21"/>
        <v>0</v>
      </c>
      <c r="O77" s="8" t="str">
        <f>IFERROR(N77/N444, "NA")</f>
        <v>NA</v>
      </c>
      <c r="P77" s="9"/>
      <c r="Q77" s="7">
        <v>0</v>
      </c>
      <c r="R77" s="8" t="str">
        <f>IFERROR(Q77/Q444, "NA")</f>
        <v>NA</v>
      </c>
      <c r="S77" s="9"/>
      <c r="T77" s="7">
        <v>0</v>
      </c>
      <c r="U77" s="8" t="str">
        <f>IFERROR(T77/T444, "NA")</f>
        <v>NA</v>
      </c>
      <c r="V77" s="9"/>
      <c r="W77" s="10">
        <f t="shared" si="22"/>
        <v>0</v>
      </c>
      <c r="X77" s="8" t="str">
        <f>IFERROR(W77/W444, "NA")</f>
        <v>NA</v>
      </c>
      <c r="Y77" s="9"/>
      <c r="Z77" s="7">
        <v>0</v>
      </c>
      <c r="AA77" s="8" t="str">
        <f>IFERROR(Z77/Z444, "NA")</f>
        <v>NA</v>
      </c>
      <c r="AB77" s="9"/>
      <c r="AC77" s="10">
        <f t="shared" si="23"/>
        <v>0</v>
      </c>
      <c r="AD77" s="8" t="str">
        <f>IFERROR(AC77/AC444, "NA")</f>
        <v>NA</v>
      </c>
    </row>
    <row r="78" spans="1:30" ht="16.5" hidden="1" customHeight="1" x14ac:dyDescent="0.45">
      <c r="A78" s="12" t="s">
        <v>74</v>
      </c>
      <c r="B78" s="7">
        <v>0</v>
      </c>
      <c r="C78" s="8" t="str">
        <f>IFERROR(B78/B444, "NA")</f>
        <v>NA</v>
      </c>
      <c r="D78" s="9"/>
      <c r="E78" s="7">
        <v>0</v>
      </c>
      <c r="F78" s="8" t="str">
        <f>IFERROR(E78/E444, "NA")</f>
        <v>NA</v>
      </c>
      <c r="G78" s="9"/>
      <c r="H78" s="10">
        <f t="shared" si="20"/>
        <v>0</v>
      </c>
      <c r="I78" s="8" t="str">
        <f>IFERROR(H78/H444, "NA")</f>
        <v>NA</v>
      </c>
      <c r="J78" s="9"/>
      <c r="K78" s="7">
        <v>0</v>
      </c>
      <c r="L78" s="8" t="str">
        <f>IFERROR(K78/K444, "NA")</f>
        <v>NA</v>
      </c>
      <c r="M78" s="9"/>
      <c r="N78" s="10">
        <f t="shared" si="21"/>
        <v>0</v>
      </c>
      <c r="O78" s="8" t="str">
        <f>IFERROR(N78/N444, "NA")</f>
        <v>NA</v>
      </c>
      <c r="P78" s="9"/>
      <c r="Q78" s="7">
        <v>0</v>
      </c>
      <c r="R78" s="8" t="str">
        <f>IFERROR(Q78/Q444, "NA")</f>
        <v>NA</v>
      </c>
      <c r="S78" s="9"/>
      <c r="T78" s="7">
        <v>0</v>
      </c>
      <c r="U78" s="8" t="str">
        <f>IFERROR(T78/T444, "NA")</f>
        <v>NA</v>
      </c>
      <c r="V78" s="9"/>
      <c r="W78" s="10">
        <f t="shared" si="22"/>
        <v>0</v>
      </c>
      <c r="X78" s="8" t="str">
        <f>IFERROR(W78/W444, "NA")</f>
        <v>NA</v>
      </c>
      <c r="Y78" s="9"/>
      <c r="Z78" s="7">
        <v>0</v>
      </c>
      <c r="AA78" s="8" t="str">
        <f>IFERROR(Z78/Z444, "NA")</f>
        <v>NA</v>
      </c>
      <c r="AB78" s="9"/>
      <c r="AC78" s="10">
        <f t="shared" si="23"/>
        <v>0</v>
      </c>
      <c r="AD78" s="8" t="str">
        <f>IFERROR(AC78/AC444, "NA")</f>
        <v>NA</v>
      </c>
    </row>
    <row r="79" spans="1:30" ht="16.5" hidden="1" customHeight="1" x14ac:dyDescent="0.45">
      <c r="A79" s="12" t="s">
        <v>75</v>
      </c>
      <c r="B79" s="7">
        <v>0</v>
      </c>
      <c r="C79" s="8" t="str">
        <f>IFERROR(B79/B444, "NA")</f>
        <v>NA</v>
      </c>
      <c r="D79" s="9"/>
      <c r="E79" s="7">
        <v>0</v>
      </c>
      <c r="F79" s="8" t="str">
        <f>IFERROR(E79/E444, "NA")</f>
        <v>NA</v>
      </c>
      <c r="G79" s="9"/>
      <c r="H79" s="10">
        <f t="shared" si="20"/>
        <v>0</v>
      </c>
      <c r="I79" s="8" t="str">
        <f>IFERROR(H79/H444, "NA")</f>
        <v>NA</v>
      </c>
      <c r="J79" s="9"/>
      <c r="K79" s="7">
        <v>0</v>
      </c>
      <c r="L79" s="8" t="str">
        <f>IFERROR(K79/K444, "NA")</f>
        <v>NA</v>
      </c>
      <c r="M79" s="9"/>
      <c r="N79" s="10">
        <f t="shared" si="21"/>
        <v>0</v>
      </c>
      <c r="O79" s="8" t="str">
        <f>IFERROR(N79/N444, "NA")</f>
        <v>NA</v>
      </c>
      <c r="P79" s="9"/>
      <c r="Q79" s="7">
        <v>0</v>
      </c>
      <c r="R79" s="8" t="str">
        <f>IFERROR(Q79/Q444, "NA")</f>
        <v>NA</v>
      </c>
      <c r="S79" s="9"/>
      <c r="T79" s="7">
        <v>0</v>
      </c>
      <c r="U79" s="8" t="str">
        <f>IFERROR(T79/T444, "NA")</f>
        <v>NA</v>
      </c>
      <c r="V79" s="9"/>
      <c r="W79" s="10">
        <f t="shared" si="22"/>
        <v>0</v>
      </c>
      <c r="X79" s="8" t="str">
        <f>IFERROR(W79/W444, "NA")</f>
        <v>NA</v>
      </c>
      <c r="Y79" s="9"/>
      <c r="Z79" s="7">
        <v>0</v>
      </c>
      <c r="AA79" s="8" t="str">
        <f>IFERROR(Z79/Z444, "NA")</f>
        <v>NA</v>
      </c>
      <c r="AB79" s="9"/>
      <c r="AC79" s="10">
        <f t="shared" si="23"/>
        <v>0</v>
      </c>
      <c r="AD79" s="8" t="str">
        <f>IFERROR(AC79/AC444, "NA")</f>
        <v>NA</v>
      </c>
    </row>
    <row r="80" spans="1:30" ht="16.5" hidden="1" customHeight="1" x14ac:dyDescent="0.45">
      <c r="A80" s="12" t="s">
        <v>76</v>
      </c>
      <c r="B80" s="7">
        <v>0</v>
      </c>
      <c r="C80" s="8" t="str">
        <f>IFERROR(B80/B444, "NA")</f>
        <v>NA</v>
      </c>
      <c r="D80" s="9"/>
      <c r="E80" s="7">
        <v>0</v>
      </c>
      <c r="F80" s="8" t="str">
        <f>IFERROR(E80/E444, "NA")</f>
        <v>NA</v>
      </c>
      <c r="G80" s="9"/>
      <c r="H80" s="10">
        <f t="shared" si="20"/>
        <v>0</v>
      </c>
      <c r="I80" s="8" t="str">
        <f>IFERROR(H80/H444, "NA")</f>
        <v>NA</v>
      </c>
      <c r="J80" s="9"/>
      <c r="K80" s="7">
        <v>0</v>
      </c>
      <c r="L80" s="8" t="str">
        <f>IFERROR(K80/K444, "NA")</f>
        <v>NA</v>
      </c>
      <c r="M80" s="9"/>
      <c r="N80" s="10">
        <f t="shared" si="21"/>
        <v>0</v>
      </c>
      <c r="O80" s="8" t="str">
        <f>IFERROR(N80/N444, "NA")</f>
        <v>NA</v>
      </c>
      <c r="P80" s="9"/>
      <c r="Q80" s="7">
        <v>0</v>
      </c>
      <c r="R80" s="8" t="str">
        <f>IFERROR(Q80/Q444, "NA")</f>
        <v>NA</v>
      </c>
      <c r="S80" s="9"/>
      <c r="T80" s="7">
        <v>0</v>
      </c>
      <c r="U80" s="8" t="str">
        <f>IFERROR(T80/T444, "NA")</f>
        <v>NA</v>
      </c>
      <c r="V80" s="9"/>
      <c r="W80" s="10">
        <f t="shared" si="22"/>
        <v>0</v>
      </c>
      <c r="X80" s="8" t="str">
        <f>IFERROR(W80/W444, "NA")</f>
        <v>NA</v>
      </c>
      <c r="Y80" s="9"/>
      <c r="Z80" s="7">
        <v>0</v>
      </c>
      <c r="AA80" s="8" t="str">
        <f>IFERROR(Z80/Z444, "NA")</f>
        <v>NA</v>
      </c>
      <c r="AB80" s="9"/>
      <c r="AC80" s="10">
        <f t="shared" si="23"/>
        <v>0</v>
      </c>
      <c r="AD80" s="8" t="str">
        <f>IFERROR(AC80/AC444, "NA")</f>
        <v>NA</v>
      </c>
    </row>
    <row r="81" spans="1:30" ht="16.5" hidden="1" customHeight="1" x14ac:dyDescent="0.45">
      <c r="A81" s="12" t="s">
        <v>77</v>
      </c>
      <c r="B81" s="7">
        <v>0</v>
      </c>
      <c r="C81" s="8" t="str">
        <f>IFERROR(B81/B444, "NA")</f>
        <v>NA</v>
      </c>
      <c r="D81" s="9"/>
      <c r="E81" s="7">
        <v>0</v>
      </c>
      <c r="F81" s="8" t="str">
        <f>IFERROR(E81/E444, "NA")</f>
        <v>NA</v>
      </c>
      <c r="G81" s="9"/>
      <c r="H81" s="10">
        <f t="shared" si="20"/>
        <v>0</v>
      </c>
      <c r="I81" s="8" t="str">
        <f>IFERROR(H81/H444, "NA")</f>
        <v>NA</v>
      </c>
      <c r="J81" s="9"/>
      <c r="K81" s="7">
        <v>0</v>
      </c>
      <c r="L81" s="8" t="str">
        <f>IFERROR(K81/K444, "NA")</f>
        <v>NA</v>
      </c>
      <c r="M81" s="9"/>
      <c r="N81" s="10">
        <f t="shared" si="21"/>
        <v>0</v>
      </c>
      <c r="O81" s="8" t="str">
        <f>IFERROR(N81/N444, "NA")</f>
        <v>NA</v>
      </c>
      <c r="P81" s="9"/>
      <c r="Q81" s="7">
        <v>0</v>
      </c>
      <c r="R81" s="8" t="str">
        <f>IFERROR(Q81/Q444, "NA")</f>
        <v>NA</v>
      </c>
      <c r="S81" s="9"/>
      <c r="T81" s="7">
        <v>0</v>
      </c>
      <c r="U81" s="8" t="str">
        <f>IFERROR(T81/T444, "NA")</f>
        <v>NA</v>
      </c>
      <c r="V81" s="9"/>
      <c r="W81" s="10">
        <f t="shared" si="22"/>
        <v>0</v>
      </c>
      <c r="X81" s="8" t="str">
        <f>IFERROR(W81/W444, "NA")</f>
        <v>NA</v>
      </c>
      <c r="Y81" s="9"/>
      <c r="Z81" s="7">
        <v>0</v>
      </c>
      <c r="AA81" s="8" t="str">
        <f>IFERROR(Z81/Z444, "NA")</f>
        <v>NA</v>
      </c>
      <c r="AB81" s="9"/>
      <c r="AC81" s="10">
        <f t="shared" si="23"/>
        <v>0</v>
      </c>
      <c r="AD81" s="8" t="str">
        <f>IFERROR(AC81/AC444, "NA")</f>
        <v>NA</v>
      </c>
    </row>
    <row r="82" spans="1:30" ht="16.5" hidden="1" customHeight="1" x14ac:dyDescent="0.45">
      <c r="A82" s="12" t="s">
        <v>78</v>
      </c>
      <c r="B82" s="7">
        <v>0</v>
      </c>
      <c r="C82" s="8" t="str">
        <f>IFERROR(B82/B444, "NA")</f>
        <v>NA</v>
      </c>
      <c r="D82" s="9"/>
      <c r="E82" s="7">
        <v>0</v>
      </c>
      <c r="F82" s="8" t="str">
        <f>IFERROR(E82/E444, "NA")</f>
        <v>NA</v>
      </c>
      <c r="G82" s="9"/>
      <c r="H82" s="10">
        <f t="shared" si="20"/>
        <v>0</v>
      </c>
      <c r="I82" s="8" t="str">
        <f>IFERROR(H82/H444, "NA")</f>
        <v>NA</v>
      </c>
      <c r="J82" s="9"/>
      <c r="K82" s="7">
        <v>0</v>
      </c>
      <c r="L82" s="8" t="str">
        <f>IFERROR(K82/K444, "NA")</f>
        <v>NA</v>
      </c>
      <c r="M82" s="9"/>
      <c r="N82" s="10">
        <f t="shared" si="21"/>
        <v>0</v>
      </c>
      <c r="O82" s="8" t="str">
        <f>IFERROR(N82/N444, "NA")</f>
        <v>NA</v>
      </c>
      <c r="P82" s="9"/>
      <c r="Q82" s="7">
        <v>0</v>
      </c>
      <c r="R82" s="8" t="str">
        <f>IFERROR(Q82/Q444, "NA")</f>
        <v>NA</v>
      </c>
      <c r="S82" s="9"/>
      <c r="T82" s="7">
        <v>0</v>
      </c>
      <c r="U82" s="8" t="str">
        <f>IFERROR(T82/T444, "NA")</f>
        <v>NA</v>
      </c>
      <c r="V82" s="9"/>
      <c r="W82" s="10">
        <f t="shared" si="22"/>
        <v>0</v>
      </c>
      <c r="X82" s="8" t="str">
        <f>IFERROR(W82/W444, "NA")</f>
        <v>NA</v>
      </c>
      <c r="Y82" s="9"/>
      <c r="Z82" s="7">
        <v>0</v>
      </c>
      <c r="AA82" s="8" t="str">
        <f>IFERROR(Z82/Z444, "NA")</f>
        <v>NA</v>
      </c>
      <c r="AB82" s="9"/>
      <c r="AC82" s="10">
        <f t="shared" si="23"/>
        <v>0</v>
      </c>
      <c r="AD82" s="8" t="str">
        <f>IFERROR(AC82/AC444, "NA")</f>
        <v>NA</v>
      </c>
    </row>
    <row r="83" spans="1:30" ht="16.5" hidden="1" customHeight="1" x14ac:dyDescent="0.45">
      <c r="A83" s="12" t="s">
        <v>79</v>
      </c>
      <c r="B83" s="7">
        <v>0</v>
      </c>
      <c r="C83" s="8" t="str">
        <f>IFERROR(B83/B444, "NA")</f>
        <v>NA</v>
      </c>
      <c r="D83" s="9"/>
      <c r="E83" s="7">
        <v>0</v>
      </c>
      <c r="F83" s="8" t="str">
        <f>IFERROR(E83/E444, "NA")</f>
        <v>NA</v>
      </c>
      <c r="G83" s="9"/>
      <c r="H83" s="10">
        <f t="shared" si="20"/>
        <v>0</v>
      </c>
      <c r="I83" s="8" t="str">
        <f>IFERROR(H83/H444, "NA")</f>
        <v>NA</v>
      </c>
      <c r="J83" s="9"/>
      <c r="K83" s="7">
        <v>0</v>
      </c>
      <c r="L83" s="8" t="str">
        <f>IFERROR(K83/K444, "NA")</f>
        <v>NA</v>
      </c>
      <c r="M83" s="9"/>
      <c r="N83" s="10">
        <f t="shared" si="21"/>
        <v>0</v>
      </c>
      <c r="O83" s="8" t="str">
        <f>IFERROR(N83/N444, "NA")</f>
        <v>NA</v>
      </c>
      <c r="P83" s="9"/>
      <c r="Q83" s="7">
        <v>0</v>
      </c>
      <c r="R83" s="8" t="str">
        <f>IFERROR(Q83/Q444, "NA")</f>
        <v>NA</v>
      </c>
      <c r="S83" s="9"/>
      <c r="T83" s="7">
        <v>0</v>
      </c>
      <c r="U83" s="8" t="str">
        <f>IFERROR(T83/T444, "NA")</f>
        <v>NA</v>
      </c>
      <c r="V83" s="9"/>
      <c r="W83" s="10">
        <f t="shared" si="22"/>
        <v>0</v>
      </c>
      <c r="X83" s="8" t="str">
        <f>IFERROR(W83/W444, "NA")</f>
        <v>NA</v>
      </c>
      <c r="Y83" s="9"/>
      <c r="Z83" s="7">
        <v>0</v>
      </c>
      <c r="AA83" s="8" t="str">
        <f>IFERROR(Z83/Z444, "NA")</f>
        <v>NA</v>
      </c>
      <c r="AB83" s="9"/>
      <c r="AC83" s="10">
        <f t="shared" si="23"/>
        <v>0</v>
      </c>
      <c r="AD83" s="8" t="str">
        <f>IFERROR(AC83/AC444, "NA")</f>
        <v>NA</v>
      </c>
    </row>
    <row r="84" spans="1:30" ht="16.5" hidden="1" customHeight="1" x14ac:dyDescent="0.45">
      <c r="A84" s="12" t="s">
        <v>80</v>
      </c>
      <c r="B84" s="7">
        <v>0</v>
      </c>
      <c r="C84" s="8" t="str">
        <f>IFERROR(B84/B444, "NA")</f>
        <v>NA</v>
      </c>
      <c r="D84" s="9"/>
      <c r="E84" s="7">
        <v>0</v>
      </c>
      <c r="F84" s="8" t="str">
        <f>IFERROR(E84/E444, "NA")</f>
        <v>NA</v>
      </c>
      <c r="G84" s="9"/>
      <c r="H84" s="10">
        <f t="shared" si="20"/>
        <v>0</v>
      </c>
      <c r="I84" s="8" t="str">
        <f>IFERROR(H84/H444, "NA")</f>
        <v>NA</v>
      </c>
      <c r="J84" s="9"/>
      <c r="K84" s="7">
        <v>0</v>
      </c>
      <c r="L84" s="8" t="str">
        <f>IFERROR(K84/K444, "NA")</f>
        <v>NA</v>
      </c>
      <c r="M84" s="9"/>
      <c r="N84" s="10">
        <f t="shared" si="21"/>
        <v>0</v>
      </c>
      <c r="O84" s="8" t="str">
        <f>IFERROR(N84/N444, "NA")</f>
        <v>NA</v>
      </c>
      <c r="P84" s="9"/>
      <c r="Q84" s="7">
        <v>0</v>
      </c>
      <c r="R84" s="8" t="str">
        <f>IFERROR(Q84/Q444, "NA")</f>
        <v>NA</v>
      </c>
      <c r="S84" s="9"/>
      <c r="T84" s="7">
        <v>0</v>
      </c>
      <c r="U84" s="8" t="str">
        <f>IFERROR(T84/T444, "NA")</f>
        <v>NA</v>
      </c>
      <c r="V84" s="9"/>
      <c r="W84" s="10">
        <f t="shared" si="22"/>
        <v>0</v>
      </c>
      <c r="X84" s="8" t="str">
        <f>IFERROR(W84/W444, "NA")</f>
        <v>NA</v>
      </c>
      <c r="Y84" s="9"/>
      <c r="Z84" s="7">
        <v>0</v>
      </c>
      <c r="AA84" s="8" t="str">
        <f>IFERROR(Z84/Z444, "NA")</f>
        <v>NA</v>
      </c>
      <c r="AB84" s="9"/>
      <c r="AC84" s="10">
        <f t="shared" si="23"/>
        <v>0</v>
      </c>
      <c r="AD84" s="8" t="str">
        <f>IFERROR(AC84/AC444, "NA")</f>
        <v>NA</v>
      </c>
    </row>
    <row r="85" spans="1:30" ht="16.5" hidden="1" customHeight="1" x14ac:dyDescent="0.45">
      <c r="A85" s="12" t="s">
        <v>81</v>
      </c>
      <c r="B85" s="7">
        <v>0</v>
      </c>
      <c r="C85" s="8" t="str">
        <f>IFERROR(B85/B444, "NA")</f>
        <v>NA</v>
      </c>
      <c r="D85" s="9"/>
      <c r="E85" s="7">
        <v>0</v>
      </c>
      <c r="F85" s="8" t="str">
        <f>IFERROR(E85/E444, "NA")</f>
        <v>NA</v>
      </c>
      <c r="G85" s="9"/>
      <c r="H85" s="10">
        <f t="shared" si="20"/>
        <v>0</v>
      </c>
      <c r="I85" s="8" t="str">
        <f>IFERROR(H85/H444, "NA")</f>
        <v>NA</v>
      </c>
      <c r="J85" s="9"/>
      <c r="K85" s="7">
        <v>0</v>
      </c>
      <c r="L85" s="8" t="str">
        <f>IFERROR(K85/K444, "NA")</f>
        <v>NA</v>
      </c>
      <c r="M85" s="9"/>
      <c r="N85" s="10">
        <f t="shared" si="21"/>
        <v>0</v>
      </c>
      <c r="O85" s="8" t="str">
        <f>IFERROR(N85/N444, "NA")</f>
        <v>NA</v>
      </c>
      <c r="P85" s="9"/>
      <c r="Q85" s="7">
        <v>0</v>
      </c>
      <c r="R85" s="8" t="str">
        <f>IFERROR(Q85/Q444, "NA")</f>
        <v>NA</v>
      </c>
      <c r="S85" s="9"/>
      <c r="T85" s="7">
        <v>0</v>
      </c>
      <c r="U85" s="8" t="str">
        <f>IFERROR(T85/T444, "NA")</f>
        <v>NA</v>
      </c>
      <c r="V85" s="9"/>
      <c r="W85" s="10">
        <f t="shared" si="22"/>
        <v>0</v>
      </c>
      <c r="X85" s="8" t="str">
        <f>IFERROR(W85/W444, "NA")</f>
        <v>NA</v>
      </c>
      <c r="Y85" s="9"/>
      <c r="Z85" s="7">
        <v>0</v>
      </c>
      <c r="AA85" s="8" t="str">
        <f>IFERROR(Z85/Z444, "NA")</f>
        <v>NA</v>
      </c>
      <c r="AB85" s="9"/>
      <c r="AC85" s="10">
        <f t="shared" si="23"/>
        <v>0</v>
      </c>
      <c r="AD85" s="8" t="str">
        <f>IFERROR(AC85/AC444, "NA")</f>
        <v>NA</v>
      </c>
    </row>
    <row r="86" spans="1:30" ht="16.5" hidden="1" customHeight="1" x14ac:dyDescent="0.45">
      <c r="A86" s="12" t="s">
        <v>82</v>
      </c>
      <c r="B86" s="7">
        <v>0</v>
      </c>
      <c r="C86" s="8" t="str">
        <f>IFERROR(B86/B444, "NA")</f>
        <v>NA</v>
      </c>
      <c r="D86" s="9"/>
      <c r="E86" s="7">
        <v>0</v>
      </c>
      <c r="F86" s="8" t="str">
        <f>IFERROR(E86/E444, "NA")</f>
        <v>NA</v>
      </c>
      <c r="G86" s="9"/>
      <c r="H86" s="10">
        <f t="shared" si="20"/>
        <v>0</v>
      </c>
      <c r="I86" s="8" t="str">
        <f>IFERROR(H86/H444, "NA")</f>
        <v>NA</v>
      </c>
      <c r="J86" s="9"/>
      <c r="K86" s="7">
        <v>0</v>
      </c>
      <c r="L86" s="8" t="str">
        <f>IFERROR(K86/K444, "NA")</f>
        <v>NA</v>
      </c>
      <c r="M86" s="9"/>
      <c r="N86" s="10">
        <f t="shared" si="21"/>
        <v>0</v>
      </c>
      <c r="O86" s="8" t="str">
        <f>IFERROR(N86/N444, "NA")</f>
        <v>NA</v>
      </c>
      <c r="P86" s="9"/>
      <c r="Q86" s="7">
        <v>0</v>
      </c>
      <c r="R86" s="8" t="str">
        <f>IFERROR(Q86/Q444, "NA")</f>
        <v>NA</v>
      </c>
      <c r="S86" s="9"/>
      <c r="T86" s="7">
        <v>0</v>
      </c>
      <c r="U86" s="8" t="str">
        <f>IFERROR(T86/T444, "NA")</f>
        <v>NA</v>
      </c>
      <c r="V86" s="9"/>
      <c r="W86" s="10">
        <f t="shared" si="22"/>
        <v>0</v>
      </c>
      <c r="X86" s="8" t="str">
        <f>IFERROR(W86/W444, "NA")</f>
        <v>NA</v>
      </c>
      <c r="Y86" s="9"/>
      <c r="Z86" s="7">
        <v>0</v>
      </c>
      <c r="AA86" s="8" t="str">
        <f>IFERROR(Z86/Z444, "NA")</f>
        <v>NA</v>
      </c>
      <c r="AB86" s="9"/>
      <c r="AC86" s="10">
        <f t="shared" si="23"/>
        <v>0</v>
      </c>
      <c r="AD86" s="8" t="str">
        <f>IFERROR(AC86/AC444, "NA")</f>
        <v>NA</v>
      </c>
    </row>
    <row r="87" spans="1:30" ht="16.5" hidden="1" customHeight="1" x14ac:dyDescent="0.45">
      <c r="A87" s="12" t="s">
        <v>83</v>
      </c>
      <c r="B87" s="7">
        <v>0</v>
      </c>
      <c r="C87" s="8" t="str">
        <f>IFERROR(B87/B444, "NA")</f>
        <v>NA</v>
      </c>
      <c r="D87" s="9"/>
      <c r="E87" s="7">
        <v>0</v>
      </c>
      <c r="F87" s="8" t="str">
        <f>IFERROR(E87/E444, "NA")</f>
        <v>NA</v>
      </c>
      <c r="G87" s="9"/>
      <c r="H87" s="10">
        <f t="shared" si="20"/>
        <v>0</v>
      </c>
      <c r="I87" s="8" t="str">
        <f>IFERROR(H87/H444, "NA")</f>
        <v>NA</v>
      </c>
      <c r="J87" s="9"/>
      <c r="K87" s="7">
        <v>0</v>
      </c>
      <c r="L87" s="8" t="str">
        <f>IFERROR(K87/K444, "NA")</f>
        <v>NA</v>
      </c>
      <c r="M87" s="9"/>
      <c r="N87" s="10">
        <f t="shared" si="21"/>
        <v>0</v>
      </c>
      <c r="O87" s="8" t="str">
        <f>IFERROR(N87/N444, "NA")</f>
        <v>NA</v>
      </c>
      <c r="P87" s="9"/>
      <c r="Q87" s="7">
        <v>0</v>
      </c>
      <c r="R87" s="8" t="str">
        <f>IFERROR(Q87/Q444, "NA")</f>
        <v>NA</v>
      </c>
      <c r="S87" s="9"/>
      <c r="T87" s="7">
        <v>0</v>
      </c>
      <c r="U87" s="8" t="str">
        <f>IFERROR(T87/T444, "NA")</f>
        <v>NA</v>
      </c>
      <c r="V87" s="9"/>
      <c r="W87" s="10">
        <f t="shared" si="22"/>
        <v>0</v>
      </c>
      <c r="X87" s="8" t="str">
        <f>IFERROR(W87/W444, "NA")</f>
        <v>NA</v>
      </c>
      <c r="Y87" s="9"/>
      <c r="Z87" s="7">
        <v>0</v>
      </c>
      <c r="AA87" s="8" t="str">
        <f>IFERROR(Z87/Z444, "NA")</f>
        <v>NA</v>
      </c>
      <c r="AB87" s="9"/>
      <c r="AC87" s="10">
        <f t="shared" si="23"/>
        <v>0</v>
      </c>
      <c r="AD87" s="8" t="str">
        <f>IFERROR(AC87/AC444, "NA")</f>
        <v>NA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0</v>
      </c>
      <c r="C88" s="15" t="str">
        <f>IFERROR(B88/B444, "NA")</f>
        <v>NA</v>
      </c>
      <c r="D88" s="2"/>
      <c r="E88" s="14">
        <f>IFERROR(E75+E76+E77+E78+E79+E80+E81+E82+E83+E84+E85+E86+E87, "NA")</f>
        <v>0</v>
      </c>
      <c r="F88" s="15" t="str">
        <f>IFERROR(E88/E444, "NA")</f>
        <v>NA</v>
      </c>
      <c r="G88" s="2"/>
      <c r="H88" s="14">
        <f t="shared" si="20"/>
        <v>0</v>
      </c>
      <c r="I88" s="15" t="str">
        <f>IFERROR(H88/H444, "NA")</f>
        <v>NA</v>
      </c>
      <c r="J88" s="2"/>
      <c r="K88" s="14">
        <f>IFERROR(K75+K76+K77+K78+K79+K80+K81+K82+K83+K84+K85+K86+K87, "NA")</f>
        <v>0</v>
      </c>
      <c r="L88" s="15" t="str">
        <f>IFERROR(K88/K444, "NA")</f>
        <v>NA</v>
      </c>
      <c r="M88" s="2"/>
      <c r="N88" s="14">
        <f t="shared" si="21"/>
        <v>0</v>
      </c>
      <c r="O88" s="15" t="str">
        <f>IFERROR(N88/N444, "NA")</f>
        <v>NA</v>
      </c>
      <c r="P88" s="2"/>
      <c r="Q88" s="14">
        <f>IFERROR(Q75+Q76+Q77+Q78+Q79+Q80+Q81+Q82+Q83+Q84+Q85+Q86+Q87, "NA")</f>
        <v>0</v>
      </c>
      <c r="R88" s="15" t="str">
        <f>IFERROR(Q88/Q444, "NA")</f>
        <v>NA</v>
      </c>
      <c r="S88" s="2"/>
      <c r="T88" s="14">
        <f>IFERROR(T75+T76+T77+T78+T79+T80+T81+T82+T83+T84+T85+T86+T87, "NA")</f>
        <v>0</v>
      </c>
      <c r="U88" s="15" t="str">
        <f>IFERROR(T88/T444, "NA")</f>
        <v>NA</v>
      </c>
      <c r="V88" s="2"/>
      <c r="W88" s="14">
        <f t="shared" si="22"/>
        <v>0</v>
      </c>
      <c r="X88" s="15" t="str">
        <f>IFERROR(W88/W444, "NA")</f>
        <v>NA</v>
      </c>
      <c r="Y88" s="2"/>
      <c r="Z88" s="14">
        <f>IFERROR(Z75+Z76+Z77+Z78+Z79+Z80+Z81+Z82+Z83+Z84+Z85+Z86+Z87, "NA")</f>
        <v>0</v>
      </c>
      <c r="AA88" s="15" t="str">
        <f>IFERROR(Z88/Z444, "NA")</f>
        <v>NA</v>
      </c>
      <c r="AB88" s="2"/>
      <c r="AC88" s="14">
        <f t="shared" si="23"/>
        <v>0</v>
      </c>
      <c r="AD88" s="15" t="str">
        <f>IFERROR(AC88/AC444, "NA")</f>
        <v>NA</v>
      </c>
    </row>
    <row r="89" spans="1:30" ht="16.5" hidden="1" customHeight="1" x14ac:dyDescent="0.45">
      <c r="A89" s="6" t="s">
        <v>85</v>
      </c>
      <c r="B89" s="7">
        <v>0</v>
      </c>
      <c r="C89" s="8" t="str">
        <f>IFERROR(B89/B444, "NA")</f>
        <v>NA</v>
      </c>
      <c r="D89" s="9"/>
      <c r="E89" s="7">
        <v>0</v>
      </c>
      <c r="F89" s="8" t="str">
        <f>IFERROR(E89/E444, "NA")</f>
        <v>NA</v>
      </c>
      <c r="G89" s="9"/>
      <c r="H89" s="10">
        <f t="shared" si="20"/>
        <v>0</v>
      </c>
      <c r="I89" s="8" t="str">
        <f>IFERROR(H89/H444, "NA")</f>
        <v>NA</v>
      </c>
      <c r="J89" s="9"/>
      <c r="K89" s="7">
        <v>0</v>
      </c>
      <c r="L89" s="8" t="str">
        <f>IFERROR(K89/K444, "NA")</f>
        <v>NA</v>
      </c>
      <c r="M89" s="9"/>
      <c r="N89" s="10">
        <f t="shared" si="21"/>
        <v>0</v>
      </c>
      <c r="O89" s="8" t="str">
        <f>IFERROR(N89/N444, "NA")</f>
        <v>NA</v>
      </c>
      <c r="P89" s="9"/>
      <c r="Q89" s="7">
        <v>0</v>
      </c>
      <c r="R89" s="8" t="str">
        <f>IFERROR(Q89/Q444, "NA")</f>
        <v>NA</v>
      </c>
      <c r="S89" s="9"/>
      <c r="T89" s="7">
        <v>0</v>
      </c>
      <c r="U89" s="8" t="str">
        <f>IFERROR(T89/T444, "NA")</f>
        <v>NA</v>
      </c>
      <c r="V89" s="9"/>
      <c r="W89" s="10">
        <f t="shared" si="22"/>
        <v>0</v>
      </c>
      <c r="X89" s="8" t="str">
        <f>IFERROR(W89/W444, "NA")</f>
        <v>NA</v>
      </c>
      <c r="Y89" s="9"/>
      <c r="Z89" s="7">
        <v>0</v>
      </c>
      <c r="AA89" s="8" t="str">
        <f>IFERROR(Z89/Z444, "NA")</f>
        <v>NA</v>
      </c>
      <c r="AB89" s="9"/>
      <c r="AC89" s="10">
        <f t="shared" si="23"/>
        <v>0</v>
      </c>
      <c r="AD89" s="8" t="str">
        <f>IFERROR(AC89/AC444, "NA")</f>
        <v>NA</v>
      </c>
    </row>
    <row r="90" spans="1:30" ht="16.5" hidden="1" customHeight="1" x14ac:dyDescent="0.45">
      <c r="A90" s="6" t="s">
        <v>86</v>
      </c>
      <c r="B90" s="7">
        <v>0</v>
      </c>
      <c r="C90" s="8" t="str">
        <f>IFERROR(B90/B444, "NA")</f>
        <v>NA</v>
      </c>
      <c r="D90" s="9"/>
      <c r="E90" s="7">
        <v>0</v>
      </c>
      <c r="F90" s="8" t="str">
        <f>IFERROR(E90/E444, "NA")</f>
        <v>NA</v>
      </c>
      <c r="G90" s="9"/>
      <c r="H90" s="10">
        <f t="shared" si="20"/>
        <v>0</v>
      </c>
      <c r="I90" s="8" t="str">
        <f>IFERROR(H90/H444, "NA")</f>
        <v>NA</v>
      </c>
      <c r="J90" s="9"/>
      <c r="K90" s="7">
        <v>0</v>
      </c>
      <c r="L90" s="8" t="str">
        <f>IFERROR(K90/K444, "NA")</f>
        <v>NA</v>
      </c>
      <c r="M90" s="9"/>
      <c r="N90" s="10">
        <f t="shared" si="21"/>
        <v>0</v>
      </c>
      <c r="O90" s="8" t="str">
        <f>IFERROR(N90/N444, "NA")</f>
        <v>NA</v>
      </c>
      <c r="P90" s="9"/>
      <c r="Q90" s="7">
        <v>0</v>
      </c>
      <c r="R90" s="8" t="str">
        <f>IFERROR(Q90/Q444, "NA")</f>
        <v>NA</v>
      </c>
      <c r="S90" s="9"/>
      <c r="T90" s="7">
        <v>0</v>
      </c>
      <c r="U90" s="8" t="str">
        <f>IFERROR(T90/T444, "NA")</f>
        <v>NA</v>
      </c>
      <c r="V90" s="9"/>
      <c r="W90" s="10">
        <f t="shared" si="22"/>
        <v>0</v>
      </c>
      <c r="X90" s="8" t="str">
        <f>IFERROR(W90/W444, "NA")</f>
        <v>NA</v>
      </c>
      <c r="Y90" s="9"/>
      <c r="Z90" s="7">
        <v>0</v>
      </c>
      <c r="AA90" s="8" t="str">
        <f>IFERROR(Z90/Z444, "NA")</f>
        <v>NA</v>
      </c>
      <c r="AB90" s="9"/>
      <c r="AC90" s="10">
        <f t="shared" si="23"/>
        <v>0</v>
      </c>
      <c r="AD90" s="8" t="str">
        <f>IFERROR(AC90/AC444, "NA")</f>
        <v>NA</v>
      </c>
    </row>
    <row r="91" spans="1:30" ht="16.5" hidden="1" customHeight="1" x14ac:dyDescent="0.45">
      <c r="A91" s="6" t="s">
        <v>87</v>
      </c>
      <c r="B91" s="7">
        <v>0</v>
      </c>
      <c r="C91" s="8" t="str">
        <f>IFERROR(B91/B444, "NA")</f>
        <v>NA</v>
      </c>
      <c r="D91" s="9"/>
      <c r="E91" s="7">
        <v>0</v>
      </c>
      <c r="F91" s="8" t="str">
        <f>IFERROR(E91/E444, "NA")</f>
        <v>NA</v>
      </c>
      <c r="G91" s="9"/>
      <c r="H91" s="10">
        <f t="shared" si="20"/>
        <v>0</v>
      </c>
      <c r="I91" s="8" t="str">
        <f>IFERROR(H91/H444, "NA")</f>
        <v>NA</v>
      </c>
      <c r="J91" s="9"/>
      <c r="K91" s="7">
        <v>0</v>
      </c>
      <c r="L91" s="8" t="str">
        <f>IFERROR(K91/K444, "NA")</f>
        <v>NA</v>
      </c>
      <c r="M91" s="9"/>
      <c r="N91" s="10">
        <f t="shared" si="21"/>
        <v>0</v>
      </c>
      <c r="O91" s="8" t="str">
        <f>IFERROR(N91/N444, "NA")</f>
        <v>NA</v>
      </c>
      <c r="P91" s="9"/>
      <c r="Q91" s="7">
        <v>0</v>
      </c>
      <c r="R91" s="8" t="str">
        <f>IFERROR(Q91/Q444, "NA")</f>
        <v>NA</v>
      </c>
      <c r="S91" s="9"/>
      <c r="T91" s="7">
        <v>0</v>
      </c>
      <c r="U91" s="8" t="str">
        <f>IFERROR(T91/T444, "NA")</f>
        <v>NA</v>
      </c>
      <c r="V91" s="9"/>
      <c r="W91" s="10">
        <f t="shared" si="22"/>
        <v>0</v>
      </c>
      <c r="X91" s="8" t="str">
        <f>IFERROR(W91/W444, "NA")</f>
        <v>NA</v>
      </c>
      <c r="Y91" s="9"/>
      <c r="Z91" s="7">
        <v>0</v>
      </c>
      <c r="AA91" s="8" t="str">
        <f>IFERROR(Z91/Z444, "NA")</f>
        <v>NA</v>
      </c>
      <c r="AB91" s="9"/>
      <c r="AC91" s="10">
        <f t="shared" si="23"/>
        <v>0</v>
      </c>
      <c r="AD91" s="8" t="str">
        <f>IFERROR(AC91/AC444, "NA")</f>
        <v>NA</v>
      </c>
    </row>
    <row r="92" spans="1:30" ht="16.5" hidden="1" customHeight="1" x14ac:dyDescent="0.45">
      <c r="A92" s="6" t="s">
        <v>88</v>
      </c>
      <c r="B92" s="7">
        <v>0</v>
      </c>
      <c r="C92" s="8" t="str">
        <f>IFERROR(B92/B444, "NA")</f>
        <v>NA</v>
      </c>
      <c r="D92" s="9"/>
      <c r="E92" s="7">
        <v>0</v>
      </c>
      <c r="F92" s="8" t="str">
        <f>IFERROR(E92/E444, "NA")</f>
        <v>NA</v>
      </c>
      <c r="G92" s="9"/>
      <c r="H92" s="10">
        <f t="shared" si="20"/>
        <v>0</v>
      </c>
      <c r="I92" s="8" t="str">
        <f>IFERROR(H92/H444, "NA")</f>
        <v>NA</v>
      </c>
      <c r="J92" s="9"/>
      <c r="K92" s="7">
        <v>0</v>
      </c>
      <c r="L92" s="8" t="str">
        <f>IFERROR(K92/K444, "NA")</f>
        <v>NA</v>
      </c>
      <c r="M92" s="9"/>
      <c r="N92" s="10">
        <f t="shared" si="21"/>
        <v>0</v>
      </c>
      <c r="O92" s="8" t="str">
        <f>IFERROR(N92/N444, "NA")</f>
        <v>NA</v>
      </c>
      <c r="P92" s="9"/>
      <c r="Q92" s="7">
        <v>0</v>
      </c>
      <c r="R92" s="8" t="str">
        <f>IFERROR(Q92/Q444, "NA")</f>
        <v>NA</v>
      </c>
      <c r="S92" s="9"/>
      <c r="T92" s="7">
        <v>0</v>
      </c>
      <c r="U92" s="8" t="str">
        <f>IFERROR(T92/T444, "NA")</f>
        <v>NA</v>
      </c>
      <c r="V92" s="9"/>
      <c r="W92" s="10">
        <f t="shared" si="22"/>
        <v>0</v>
      </c>
      <c r="X92" s="8" t="str">
        <f>IFERROR(W92/W444, "NA")</f>
        <v>NA</v>
      </c>
      <c r="Y92" s="9"/>
      <c r="Z92" s="7">
        <v>0</v>
      </c>
      <c r="AA92" s="8" t="str">
        <f>IFERROR(Z92/Z444, "NA")</f>
        <v>NA</v>
      </c>
      <c r="AB92" s="9"/>
      <c r="AC92" s="10">
        <f t="shared" si="23"/>
        <v>0</v>
      </c>
      <c r="AD92" s="8" t="str">
        <f>IFERROR(AC92/AC444, "NA")</f>
        <v>NA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hidden="1" customHeight="1" x14ac:dyDescent="0.45">
      <c r="A94" s="12" t="s">
        <v>89</v>
      </c>
      <c r="B94" s="7">
        <v>0</v>
      </c>
      <c r="C94" s="8" t="str">
        <f>IFERROR(B94/B444, "NA")</f>
        <v>NA</v>
      </c>
      <c r="D94" s="9"/>
      <c r="E94" s="7">
        <v>0</v>
      </c>
      <c r="F94" s="8" t="str">
        <f>IFERROR(E94/E444, "NA")</f>
        <v>NA</v>
      </c>
      <c r="G94" s="9"/>
      <c r="H94" s="10">
        <f t="shared" ref="H94:H124" si="24">IFERROR(B94-E94, "NA")</f>
        <v>0</v>
      </c>
      <c r="I94" s="8" t="str">
        <f>IFERROR(H94/H444, "NA")</f>
        <v>NA</v>
      </c>
      <c r="J94" s="9"/>
      <c r="K94" s="7">
        <v>0</v>
      </c>
      <c r="L94" s="8" t="str">
        <f>IFERROR(K94/K444, "NA")</f>
        <v>NA</v>
      </c>
      <c r="M94" s="9"/>
      <c r="N94" s="10">
        <f t="shared" ref="N94:N124" si="25">IFERROR(B94-K94, "NA")</f>
        <v>0</v>
      </c>
      <c r="O94" s="8" t="str">
        <f>IFERROR(N94/N444, "NA")</f>
        <v>NA</v>
      </c>
      <c r="P94" s="9"/>
      <c r="Q94" s="7">
        <v>0</v>
      </c>
      <c r="R94" s="8" t="str">
        <f>IFERROR(Q94/Q444, "NA")</f>
        <v>NA</v>
      </c>
      <c r="S94" s="9"/>
      <c r="T94" s="7">
        <v>0</v>
      </c>
      <c r="U94" s="8" t="str">
        <f>IFERROR(T94/T444, "NA")</f>
        <v>NA</v>
      </c>
      <c r="V94" s="9"/>
      <c r="W94" s="10">
        <f t="shared" ref="W94:W124" si="26">IFERROR(Q94-T94, "NA")</f>
        <v>0</v>
      </c>
      <c r="X94" s="8" t="str">
        <f>IFERROR(W94/W444, "NA")</f>
        <v>NA</v>
      </c>
      <c r="Y94" s="9"/>
      <c r="Z94" s="7">
        <v>0</v>
      </c>
      <c r="AA94" s="8" t="str">
        <f>IFERROR(Z94/Z444, "NA")</f>
        <v>NA</v>
      </c>
      <c r="AB94" s="9"/>
      <c r="AC94" s="10">
        <f t="shared" ref="AC94:AC124" si="27">IFERROR(Q94-Z94, "NA")</f>
        <v>0</v>
      </c>
      <c r="AD94" s="8" t="str">
        <f>IFERROR(AC94/AC444, "NA")</f>
        <v>NA</v>
      </c>
    </row>
    <row r="95" spans="1:30" ht="16.5" hidden="1" customHeight="1" x14ac:dyDescent="0.45">
      <c r="A95" s="12" t="s">
        <v>90</v>
      </c>
      <c r="B95" s="7">
        <v>0</v>
      </c>
      <c r="C95" s="8" t="str">
        <f>IFERROR(B95/B444, "NA")</f>
        <v>NA</v>
      </c>
      <c r="D95" s="9"/>
      <c r="E95" s="7">
        <v>0</v>
      </c>
      <c r="F95" s="8" t="str">
        <f>IFERROR(E95/E444, "NA")</f>
        <v>NA</v>
      </c>
      <c r="G95" s="9"/>
      <c r="H95" s="10">
        <f t="shared" si="24"/>
        <v>0</v>
      </c>
      <c r="I95" s="8" t="str">
        <f>IFERROR(H95/H444, "NA")</f>
        <v>NA</v>
      </c>
      <c r="J95" s="9"/>
      <c r="K95" s="7">
        <v>0</v>
      </c>
      <c r="L95" s="8" t="str">
        <f>IFERROR(K95/K444, "NA")</f>
        <v>NA</v>
      </c>
      <c r="M95" s="9"/>
      <c r="N95" s="10">
        <f t="shared" si="25"/>
        <v>0</v>
      </c>
      <c r="O95" s="8" t="str">
        <f>IFERROR(N95/N444, "NA")</f>
        <v>NA</v>
      </c>
      <c r="P95" s="9"/>
      <c r="Q95" s="7">
        <v>0</v>
      </c>
      <c r="R95" s="8" t="str">
        <f>IFERROR(Q95/Q444, "NA")</f>
        <v>NA</v>
      </c>
      <c r="S95" s="9"/>
      <c r="T95" s="7">
        <v>0</v>
      </c>
      <c r="U95" s="8" t="str">
        <f>IFERROR(T95/T444, "NA")</f>
        <v>NA</v>
      </c>
      <c r="V95" s="9"/>
      <c r="W95" s="10">
        <f t="shared" si="26"/>
        <v>0</v>
      </c>
      <c r="X95" s="8" t="str">
        <f>IFERROR(W95/W444, "NA")</f>
        <v>NA</v>
      </c>
      <c r="Y95" s="9"/>
      <c r="Z95" s="7">
        <v>0</v>
      </c>
      <c r="AA95" s="8" t="str">
        <f>IFERROR(Z95/Z444, "NA")</f>
        <v>NA</v>
      </c>
      <c r="AB95" s="9"/>
      <c r="AC95" s="10">
        <f t="shared" si="27"/>
        <v>0</v>
      </c>
      <c r="AD95" s="8" t="str">
        <f>IFERROR(AC95/AC444, "NA")</f>
        <v>NA</v>
      </c>
    </row>
    <row r="96" spans="1:30" ht="16.5" hidden="1" customHeight="1" x14ac:dyDescent="0.45">
      <c r="A96" s="12" t="s">
        <v>91</v>
      </c>
      <c r="B96" s="7">
        <v>0</v>
      </c>
      <c r="C96" s="8" t="str">
        <f>IFERROR(B96/B444, "NA")</f>
        <v>NA</v>
      </c>
      <c r="D96" s="9"/>
      <c r="E96" s="7">
        <v>0</v>
      </c>
      <c r="F96" s="8" t="str">
        <f>IFERROR(E96/E444, "NA")</f>
        <v>NA</v>
      </c>
      <c r="G96" s="9"/>
      <c r="H96" s="10">
        <f t="shared" si="24"/>
        <v>0</v>
      </c>
      <c r="I96" s="8" t="str">
        <f>IFERROR(H96/H444, "NA")</f>
        <v>NA</v>
      </c>
      <c r="J96" s="9"/>
      <c r="K96" s="7">
        <v>0</v>
      </c>
      <c r="L96" s="8" t="str">
        <f>IFERROR(K96/K444, "NA")</f>
        <v>NA</v>
      </c>
      <c r="M96" s="9"/>
      <c r="N96" s="10">
        <f t="shared" si="25"/>
        <v>0</v>
      </c>
      <c r="O96" s="8" t="str">
        <f>IFERROR(N96/N444, "NA")</f>
        <v>NA</v>
      </c>
      <c r="P96" s="9"/>
      <c r="Q96" s="7">
        <v>0</v>
      </c>
      <c r="R96" s="8" t="str">
        <f>IFERROR(Q96/Q444, "NA")</f>
        <v>NA</v>
      </c>
      <c r="S96" s="9"/>
      <c r="T96" s="7">
        <v>0</v>
      </c>
      <c r="U96" s="8" t="str">
        <f>IFERROR(T96/T444, "NA")</f>
        <v>NA</v>
      </c>
      <c r="V96" s="9"/>
      <c r="W96" s="10">
        <f t="shared" si="26"/>
        <v>0</v>
      </c>
      <c r="X96" s="8" t="str">
        <f>IFERROR(W96/W444, "NA")</f>
        <v>NA</v>
      </c>
      <c r="Y96" s="9"/>
      <c r="Z96" s="7">
        <v>0</v>
      </c>
      <c r="AA96" s="8" t="str">
        <f>IFERROR(Z96/Z444, "NA")</f>
        <v>NA</v>
      </c>
      <c r="AB96" s="9"/>
      <c r="AC96" s="10">
        <f t="shared" si="27"/>
        <v>0</v>
      </c>
      <c r="AD96" s="8" t="str">
        <f>IFERROR(AC96/AC444, "NA")</f>
        <v>NA</v>
      </c>
    </row>
    <row r="97" spans="1:30" ht="16.5" hidden="1" customHeight="1" x14ac:dyDescent="0.45">
      <c r="A97" s="12" t="s">
        <v>92</v>
      </c>
      <c r="B97" s="7">
        <v>0</v>
      </c>
      <c r="C97" s="8" t="str">
        <f>IFERROR(B97/B444, "NA")</f>
        <v>NA</v>
      </c>
      <c r="D97" s="9"/>
      <c r="E97" s="7">
        <v>0</v>
      </c>
      <c r="F97" s="8" t="str">
        <f>IFERROR(E97/E444, "NA")</f>
        <v>NA</v>
      </c>
      <c r="G97" s="9"/>
      <c r="H97" s="10">
        <f t="shared" si="24"/>
        <v>0</v>
      </c>
      <c r="I97" s="8" t="str">
        <f>IFERROR(H97/H444, "NA")</f>
        <v>NA</v>
      </c>
      <c r="J97" s="9"/>
      <c r="K97" s="7">
        <v>0</v>
      </c>
      <c r="L97" s="8" t="str">
        <f>IFERROR(K97/K444, "NA")</f>
        <v>NA</v>
      </c>
      <c r="M97" s="9"/>
      <c r="N97" s="10">
        <f t="shared" si="25"/>
        <v>0</v>
      </c>
      <c r="O97" s="8" t="str">
        <f>IFERROR(N97/N444, "NA")</f>
        <v>NA</v>
      </c>
      <c r="P97" s="9"/>
      <c r="Q97" s="7">
        <v>0</v>
      </c>
      <c r="R97" s="8" t="str">
        <f>IFERROR(Q97/Q444, "NA")</f>
        <v>NA</v>
      </c>
      <c r="S97" s="9"/>
      <c r="T97" s="7">
        <v>0</v>
      </c>
      <c r="U97" s="8" t="str">
        <f>IFERROR(T97/T444, "NA")</f>
        <v>NA</v>
      </c>
      <c r="V97" s="9"/>
      <c r="W97" s="10">
        <f t="shared" si="26"/>
        <v>0</v>
      </c>
      <c r="X97" s="8" t="str">
        <f>IFERROR(W97/W444, "NA")</f>
        <v>NA</v>
      </c>
      <c r="Y97" s="9"/>
      <c r="Z97" s="7">
        <v>0</v>
      </c>
      <c r="AA97" s="8" t="str">
        <f>IFERROR(Z97/Z444, "NA")</f>
        <v>NA</v>
      </c>
      <c r="AB97" s="9"/>
      <c r="AC97" s="10">
        <f t="shared" si="27"/>
        <v>0</v>
      </c>
      <c r="AD97" s="8" t="str">
        <f>IFERROR(AC97/AC444, "NA")</f>
        <v>NA</v>
      </c>
    </row>
    <row r="98" spans="1:30" ht="16.5" hidden="1" customHeight="1" x14ac:dyDescent="0.45">
      <c r="A98" s="12" t="s">
        <v>93</v>
      </c>
      <c r="B98" s="7">
        <v>0</v>
      </c>
      <c r="C98" s="8" t="str">
        <f>IFERROR(B98/B444, "NA")</f>
        <v>NA</v>
      </c>
      <c r="D98" s="9"/>
      <c r="E98" s="7">
        <v>0</v>
      </c>
      <c r="F98" s="8" t="str">
        <f>IFERROR(E98/E444, "NA")</f>
        <v>NA</v>
      </c>
      <c r="G98" s="9"/>
      <c r="H98" s="10">
        <f t="shared" si="24"/>
        <v>0</v>
      </c>
      <c r="I98" s="8" t="str">
        <f>IFERROR(H98/H444, "NA")</f>
        <v>NA</v>
      </c>
      <c r="J98" s="9"/>
      <c r="K98" s="7">
        <v>0</v>
      </c>
      <c r="L98" s="8" t="str">
        <f>IFERROR(K98/K444, "NA")</f>
        <v>NA</v>
      </c>
      <c r="M98" s="9"/>
      <c r="N98" s="10">
        <f t="shared" si="25"/>
        <v>0</v>
      </c>
      <c r="O98" s="8" t="str">
        <f>IFERROR(N98/N444, "NA")</f>
        <v>NA</v>
      </c>
      <c r="P98" s="9"/>
      <c r="Q98" s="7">
        <v>0</v>
      </c>
      <c r="R98" s="8" t="str">
        <f>IFERROR(Q98/Q444, "NA")</f>
        <v>NA</v>
      </c>
      <c r="S98" s="9"/>
      <c r="T98" s="7">
        <v>0</v>
      </c>
      <c r="U98" s="8" t="str">
        <f>IFERROR(T98/T444, "NA")</f>
        <v>NA</v>
      </c>
      <c r="V98" s="9"/>
      <c r="W98" s="10">
        <f t="shared" si="26"/>
        <v>0</v>
      </c>
      <c r="X98" s="8" t="str">
        <f>IFERROR(W98/W444, "NA")</f>
        <v>NA</v>
      </c>
      <c r="Y98" s="9"/>
      <c r="Z98" s="7">
        <v>0</v>
      </c>
      <c r="AA98" s="8" t="str">
        <f>IFERROR(Z98/Z444, "NA")</f>
        <v>NA</v>
      </c>
      <c r="AB98" s="9"/>
      <c r="AC98" s="10">
        <f t="shared" si="27"/>
        <v>0</v>
      </c>
      <c r="AD98" s="8" t="str">
        <f>IFERROR(AC98/AC444, "NA")</f>
        <v>NA</v>
      </c>
    </row>
    <row r="99" spans="1:30" ht="16.5" hidden="1" customHeight="1" x14ac:dyDescent="0.45">
      <c r="A99" s="12" t="s">
        <v>94</v>
      </c>
      <c r="B99" s="7">
        <v>0</v>
      </c>
      <c r="C99" s="8" t="str">
        <f>IFERROR(B99/B444, "NA")</f>
        <v>NA</v>
      </c>
      <c r="D99" s="9"/>
      <c r="E99" s="7">
        <v>0</v>
      </c>
      <c r="F99" s="8" t="str">
        <f>IFERROR(E99/E444, "NA")</f>
        <v>NA</v>
      </c>
      <c r="G99" s="9"/>
      <c r="H99" s="10">
        <f t="shared" si="24"/>
        <v>0</v>
      </c>
      <c r="I99" s="8" t="str">
        <f>IFERROR(H99/H444, "NA")</f>
        <v>NA</v>
      </c>
      <c r="J99" s="9"/>
      <c r="K99" s="7">
        <v>0</v>
      </c>
      <c r="L99" s="8" t="str">
        <f>IFERROR(K99/K444, "NA")</f>
        <v>NA</v>
      </c>
      <c r="M99" s="9"/>
      <c r="N99" s="10">
        <f t="shared" si="25"/>
        <v>0</v>
      </c>
      <c r="O99" s="8" t="str">
        <f>IFERROR(N99/N444, "NA")</f>
        <v>NA</v>
      </c>
      <c r="P99" s="9"/>
      <c r="Q99" s="7">
        <v>0</v>
      </c>
      <c r="R99" s="8" t="str">
        <f>IFERROR(Q99/Q444, "NA")</f>
        <v>NA</v>
      </c>
      <c r="S99" s="9"/>
      <c r="T99" s="7">
        <v>0</v>
      </c>
      <c r="U99" s="8" t="str">
        <f>IFERROR(T99/T444, "NA")</f>
        <v>NA</v>
      </c>
      <c r="V99" s="9"/>
      <c r="W99" s="10">
        <f t="shared" si="26"/>
        <v>0</v>
      </c>
      <c r="X99" s="8" t="str">
        <f>IFERROR(W99/W444, "NA")</f>
        <v>NA</v>
      </c>
      <c r="Y99" s="9"/>
      <c r="Z99" s="7">
        <v>0</v>
      </c>
      <c r="AA99" s="8" t="str">
        <f>IFERROR(Z99/Z444, "NA")</f>
        <v>NA</v>
      </c>
      <c r="AB99" s="9"/>
      <c r="AC99" s="10">
        <f t="shared" si="27"/>
        <v>0</v>
      </c>
      <c r="AD99" s="8" t="str">
        <f>IFERROR(AC99/AC444, "NA")</f>
        <v>NA</v>
      </c>
    </row>
    <row r="100" spans="1:30" ht="16.5" hidden="1" customHeight="1" x14ac:dyDescent="0.45">
      <c r="A100" s="12" t="s">
        <v>95</v>
      </c>
      <c r="B100" s="7">
        <v>0</v>
      </c>
      <c r="C100" s="8" t="str">
        <f>IFERROR(B100/B444, "NA")</f>
        <v>NA</v>
      </c>
      <c r="D100" s="9"/>
      <c r="E100" s="7">
        <v>0</v>
      </c>
      <c r="F100" s="8" t="str">
        <f>IFERROR(E100/E444, "NA")</f>
        <v>NA</v>
      </c>
      <c r="G100" s="9"/>
      <c r="H100" s="10">
        <f t="shared" si="24"/>
        <v>0</v>
      </c>
      <c r="I100" s="8" t="str">
        <f>IFERROR(H100/H444, "NA")</f>
        <v>NA</v>
      </c>
      <c r="J100" s="9"/>
      <c r="K100" s="7">
        <v>0</v>
      </c>
      <c r="L100" s="8" t="str">
        <f>IFERROR(K100/K444, "NA")</f>
        <v>NA</v>
      </c>
      <c r="M100" s="9"/>
      <c r="N100" s="10">
        <f t="shared" si="25"/>
        <v>0</v>
      </c>
      <c r="O100" s="8" t="str">
        <f>IFERROR(N100/N444, "NA")</f>
        <v>NA</v>
      </c>
      <c r="P100" s="9"/>
      <c r="Q100" s="7">
        <v>0</v>
      </c>
      <c r="R100" s="8" t="str">
        <f>IFERROR(Q100/Q444, "NA")</f>
        <v>NA</v>
      </c>
      <c r="S100" s="9"/>
      <c r="T100" s="7">
        <v>0</v>
      </c>
      <c r="U100" s="8" t="str">
        <f>IFERROR(T100/T444, "NA")</f>
        <v>NA</v>
      </c>
      <c r="V100" s="9"/>
      <c r="W100" s="10">
        <f t="shared" si="26"/>
        <v>0</v>
      </c>
      <c r="X100" s="8" t="str">
        <f>IFERROR(W100/W444, "NA")</f>
        <v>NA</v>
      </c>
      <c r="Y100" s="9"/>
      <c r="Z100" s="7">
        <v>0</v>
      </c>
      <c r="AA100" s="8" t="str">
        <f>IFERROR(Z100/Z444, "NA")</f>
        <v>NA</v>
      </c>
      <c r="AB100" s="9"/>
      <c r="AC100" s="10">
        <f t="shared" si="27"/>
        <v>0</v>
      </c>
      <c r="AD100" s="8" t="str">
        <f>IFERROR(AC100/AC444, "NA")</f>
        <v>NA</v>
      </c>
    </row>
    <row r="101" spans="1:30" ht="16.5" hidden="1" customHeight="1" x14ac:dyDescent="0.45">
      <c r="A101" s="12" t="s">
        <v>96</v>
      </c>
      <c r="B101" s="7">
        <v>0</v>
      </c>
      <c r="C101" s="8" t="str">
        <f>IFERROR(B101/B444, "NA")</f>
        <v>NA</v>
      </c>
      <c r="D101" s="9"/>
      <c r="E101" s="7">
        <v>0</v>
      </c>
      <c r="F101" s="8" t="str">
        <f>IFERROR(E101/E444, "NA")</f>
        <v>NA</v>
      </c>
      <c r="G101" s="9"/>
      <c r="H101" s="10">
        <f t="shared" si="24"/>
        <v>0</v>
      </c>
      <c r="I101" s="8" t="str">
        <f>IFERROR(H101/H444, "NA")</f>
        <v>NA</v>
      </c>
      <c r="J101" s="9"/>
      <c r="K101" s="7">
        <v>0</v>
      </c>
      <c r="L101" s="8" t="str">
        <f>IFERROR(K101/K444, "NA")</f>
        <v>NA</v>
      </c>
      <c r="M101" s="9"/>
      <c r="N101" s="10">
        <f t="shared" si="25"/>
        <v>0</v>
      </c>
      <c r="O101" s="8" t="str">
        <f>IFERROR(N101/N444, "NA")</f>
        <v>NA</v>
      </c>
      <c r="P101" s="9"/>
      <c r="Q101" s="7">
        <v>0</v>
      </c>
      <c r="R101" s="8" t="str">
        <f>IFERROR(Q101/Q444, "NA")</f>
        <v>NA</v>
      </c>
      <c r="S101" s="9"/>
      <c r="T101" s="7">
        <v>0</v>
      </c>
      <c r="U101" s="8" t="str">
        <f>IFERROR(T101/T444, "NA")</f>
        <v>NA</v>
      </c>
      <c r="V101" s="9"/>
      <c r="W101" s="10">
        <f t="shared" si="26"/>
        <v>0</v>
      </c>
      <c r="X101" s="8" t="str">
        <f>IFERROR(W101/W444, "NA")</f>
        <v>NA</v>
      </c>
      <c r="Y101" s="9"/>
      <c r="Z101" s="7">
        <v>0</v>
      </c>
      <c r="AA101" s="8" t="str">
        <f>IFERROR(Z101/Z444, "NA")</f>
        <v>NA</v>
      </c>
      <c r="AB101" s="9"/>
      <c r="AC101" s="10">
        <f t="shared" si="27"/>
        <v>0</v>
      </c>
      <c r="AD101" s="8" t="str">
        <f>IFERROR(AC101/AC444, "NA")</f>
        <v>NA</v>
      </c>
    </row>
    <row r="102" spans="1:30" ht="16.5" hidden="1" customHeight="1" x14ac:dyDescent="0.45">
      <c r="A102" s="12" t="s">
        <v>97</v>
      </c>
      <c r="B102" s="7">
        <v>0</v>
      </c>
      <c r="C102" s="8" t="str">
        <f>IFERROR(B102/B444, "NA")</f>
        <v>NA</v>
      </c>
      <c r="D102" s="9"/>
      <c r="E102" s="7">
        <v>0</v>
      </c>
      <c r="F102" s="8" t="str">
        <f>IFERROR(E102/E444, "NA")</f>
        <v>NA</v>
      </c>
      <c r="G102" s="9"/>
      <c r="H102" s="10">
        <f t="shared" si="24"/>
        <v>0</v>
      </c>
      <c r="I102" s="8" t="str">
        <f>IFERROR(H102/H444, "NA")</f>
        <v>NA</v>
      </c>
      <c r="J102" s="9"/>
      <c r="K102" s="7">
        <v>0</v>
      </c>
      <c r="L102" s="8" t="str">
        <f>IFERROR(K102/K444, "NA")</f>
        <v>NA</v>
      </c>
      <c r="M102" s="9"/>
      <c r="N102" s="10">
        <f t="shared" si="25"/>
        <v>0</v>
      </c>
      <c r="O102" s="8" t="str">
        <f>IFERROR(N102/N444, "NA")</f>
        <v>NA</v>
      </c>
      <c r="P102" s="9"/>
      <c r="Q102" s="7">
        <v>0</v>
      </c>
      <c r="R102" s="8" t="str">
        <f>IFERROR(Q102/Q444, "NA")</f>
        <v>NA</v>
      </c>
      <c r="S102" s="9"/>
      <c r="T102" s="7">
        <v>0</v>
      </c>
      <c r="U102" s="8" t="str">
        <f>IFERROR(T102/T444, "NA")</f>
        <v>NA</v>
      </c>
      <c r="V102" s="9"/>
      <c r="W102" s="10">
        <f t="shared" si="26"/>
        <v>0</v>
      </c>
      <c r="X102" s="8" t="str">
        <f>IFERROR(W102/W444, "NA")</f>
        <v>NA</v>
      </c>
      <c r="Y102" s="9"/>
      <c r="Z102" s="7">
        <v>0</v>
      </c>
      <c r="AA102" s="8" t="str">
        <f>IFERROR(Z102/Z444, "NA")</f>
        <v>NA</v>
      </c>
      <c r="AB102" s="9"/>
      <c r="AC102" s="10">
        <f t="shared" si="27"/>
        <v>0</v>
      </c>
      <c r="AD102" s="8" t="str">
        <f>IFERROR(AC102/AC444, "NA")</f>
        <v>NA</v>
      </c>
    </row>
    <row r="103" spans="1:30" ht="16.5" hidden="1" customHeight="1" x14ac:dyDescent="0.45">
      <c r="A103" s="12" t="s">
        <v>98</v>
      </c>
      <c r="B103" s="7">
        <v>0</v>
      </c>
      <c r="C103" s="8" t="str">
        <f>IFERROR(B103/B444, "NA")</f>
        <v>NA</v>
      </c>
      <c r="D103" s="9"/>
      <c r="E103" s="7">
        <v>0</v>
      </c>
      <c r="F103" s="8" t="str">
        <f>IFERROR(E103/E444, "NA")</f>
        <v>NA</v>
      </c>
      <c r="G103" s="9"/>
      <c r="H103" s="10">
        <f t="shared" si="24"/>
        <v>0</v>
      </c>
      <c r="I103" s="8" t="str">
        <f>IFERROR(H103/H444, "NA")</f>
        <v>NA</v>
      </c>
      <c r="J103" s="9"/>
      <c r="K103" s="7">
        <v>0</v>
      </c>
      <c r="L103" s="8" t="str">
        <f>IFERROR(K103/K444, "NA")</f>
        <v>NA</v>
      </c>
      <c r="M103" s="9"/>
      <c r="N103" s="10">
        <f t="shared" si="25"/>
        <v>0</v>
      </c>
      <c r="O103" s="8" t="str">
        <f>IFERROR(N103/N444, "NA")</f>
        <v>NA</v>
      </c>
      <c r="P103" s="9"/>
      <c r="Q103" s="7">
        <v>0</v>
      </c>
      <c r="R103" s="8" t="str">
        <f>IFERROR(Q103/Q444, "NA")</f>
        <v>NA</v>
      </c>
      <c r="S103" s="9"/>
      <c r="T103" s="7">
        <v>0</v>
      </c>
      <c r="U103" s="8" t="str">
        <f>IFERROR(T103/T444, "NA")</f>
        <v>NA</v>
      </c>
      <c r="V103" s="9"/>
      <c r="W103" s="10">
        <f t="shared" si="26"/>
        <v>0</v>
      </c>
      <c r="X103" s="8" t="str">
        <f>IFERROR(W103/W444, "NA")</f>
        <v>NA</v>
      </c>
      <c r="Y103" s="9"/>
      <c r="Z103" s="7">
        <v>0</v>
      </c>
      <c r="AA103" s="8" t="str">
        <f>IFERROR(Z103/Z444, "NA")</f>
        <v>NA</v>
      </c>
      <c r="AB103" s="9"/>
      <c r="AC103" s="10">
        <f t="shared" si="27"/>
        <v>0</v>
      </c>
      <c r="AD103" s="8" t="str">
        <f>IFERROR(AC103/AC444, "NA")</f>
        <v>NA</v>
      </c>
    </row>
    <row r="104" spans="1:30" ht="16.5" hidden="1" customHeight="1" x14ac:dyDescent="0.45">
      <c r="A104" s="12" t="s">
        <v>99</v>
      </c>
      <c r="B104" s="7">
        <v>0</v>
      </c>
      <c r="C104" s="8" t="str">
        <f>IFERROR(B104/B444, "NA")</f>
        <v>NA</v>
      </c>
      <c r="D104" s="9"/>
      <c r="E104" s="7">
        <v>0</v>
      </c>
      <c r="F104" s="8" t="str">
        <f>IFERROR(E104/E444, "NA")</f>
        <v>NA</v>
      </c>
      <c r="G104" s="9"/>
      <c r="H104" s="10">
        <f t="shared" si="24"/>
        <v>0</v>
      </c>
      <c r="I104" s="8" t="str">
        <f>IFERROR(H104/H444, "NA")</f>
        <v>NA</v>
      </c>
      <c r="J104" s="9"/>
      <c r="K104" s="7">
        <v>0</v>
      </c>
      <c r="L104" s="8" t="str">
        <f>IFERROR(K104/K444, "NA")</f>
        <v>NA</v>
      </c>
      <c r="M104" s="9"/>
      <c r="N104" s="10">
        <f t="shared" si="25"/>
        <v>0</v>
      </c>
      <c r="O104" s="8" t="str">
        <f>IFERROR(N104/N444, "NA")</f>
        <v>NA</v>
      </c>
      <c r="P104" s="9"/>
      <c r="Q104" s="7">
        <v>0</v>
      </c>
      <c r="R104" s="8" t="str">
        <f>IFERROR(Q104/Q444, "NA")</f>
        <v>NA</v>
      </c>
      <c r="S104" s="9"/>
      <c r="T104" s="7">
        <v>0</v>
      </c>
      <c r="U104" s="8" t="str">
        <f>IFERROR(T104/T444, "NA")</f>
        <v>NA</v>
      </c>
      <c r="V104" s="9"/>
      <c r="W104" s="10">
        <f t="shared" si="26"/>
        <v>0</v>
      </c>
      <c r="X104" s="8" t="str">
        <f>IFERROR(W104/W444, "NA")</f>
        <v>NA</v>
      </c>
      <c r="Y104" s="9"/>
      <c r="Z104" s="7">
        <v>0</v>
      </c>
      <c r="AA104" s="8" t="str">
        <f>IFERROR(Z104/Z444, "NA")</f>
        <v>NA</v>
      </c>
      <c r="AB104" s="9"/>
      <c r="AC104" s="10">
        <f t="shared" si="27"/>
        <v>0</v>
      </c>
      <c r="AD104" s="8" t="str">
        <f>IFERROR(AC104/AC444, "NA")</f>
        <v>NA</v>
      </c>
    </row>
    <row r="105" spans="1:30" ht="16.5" hidden="1" customHeight="1" x14ac:dyDescent="0.45">
      <c r="A105" s="12" t="s">
        <v>100</v>
      </c>
      <c r="B105" s="7">
        <v>0</v>
      </c>
      <c r="C105" s="8" t="str">
        <f>IFERROR(B105/B444, "NA")</f>
        <v>NA</v>
      </c>
      <c r="D105" s="9"/>
      <c r="E105" s="7">
        <v>0</v>
      </c>
      <c r="F105" s="8" t="str">
        <f>IFERROR(E105/E444, "NA")</f>
        <v>NA</v>
      </c>
      <c r="G105" s="9"/>
      <c r="H105" s="10">
        <f t="shared" si="24"/>
        <v>0</v>
      </c>
      <c r="I105" s="8" t="str">
        <f>IFERROR(H105/H444, "NA")</f>
        <v>NA</v>
      </c>
      <c r="J105" s="9"/>
      <c r="K105" s="7">
        <v>0</v>
      </c>
      <c r="L105" s="8" t="str">
        <f>IFERROR(K105/K444, "NA")</f>
        <v>NA</v>
      </c>
      <c r="M105" s="9"/>
      <c r="N105" s="10">
        <f t="shared" si="25"/>
        <v>0</v>
      </c>
      <c r="O105" s="8" t="str">
        <f>IFERROR(N105/N444, "NA")</f>
        <v>NA</v>
      </c>
      <c r="P105" s="9"/>
      <c r="Q105" s="7">
        <v>0</v>
      </c>
      <c r="R105" s="8" t="str">
        <f>IFERROR(Q105/Q444, "NA")</f>
        <v>NA</v>
      </c>
      <c r="S105" s="9"/>
      <c r="T105" s="7">
        <v>0</v>
      </c>
      <c r="U105" s="8" t="str">
        <f>IFERROR(T105/T444, "NA")</f>
        <v>NA</v>
      </c>
      <c r="V105" s="9"/>
      <c r="W105" s="10">
        <f t="shared" si="26"/>
        <v>0</v>
      </c>
      <c r="X105" s="8" t="str">
        <f>IFERROR(W105/W444, "NA")</f>
        <v>NA</v>
      </c>
      <c r="Y105" s="9"/>
      <c r="Z105" s="7">
        <v>0</v>
      </c>
      <c r="AA105" s="8" t="str">
        <f>IFERROR(Z105/Z444, "NA")</f>
        <v>NA</v>
      </c>
      <c r="AB105" s="9"/>
      <c r="AC105" s="10">
        <f t="shared" si="27"/>
        <v>0</v>
      </c>
      <c r="AD105" s="8" t="str">
        <f>IFERROR(AC105/AC444, "NA")</f>
        <v>NA</v>
      </c>
    </row>
    <row r="106" spans="1:30" ht="16.5" hidden="1" customHeight="1" x14ac:dyDescent="0.45">
      <c r="A106" s="12" t="s">
        <v>101</v>
      </c>
      <c r="B106" s="7">
        <v>0</v>
      </c>
      <c r="C106" s="8" t="str">
        <f>IFERROR(B106/B444, "NA")</f>
        <v>NA</v>
      </c>
      <c r="D106" s="9"/>
      <c r="E106" s="7">
        <v>0</v>
      </c>
      <c r="F106" s="8" t="str">
        <f>IFERROR(E106/E444, "NA")</f>
        <v>NA</v>
      </c>
      <c r="G106" s="9"/>
      <c r="H106" s="10">
        <f t="shared" si="24"/>
        <v>0</v>
      </c>
      <c r="I106" s="8" t="str">
        <f>IFERROR(H106/H444, "NA")</f>
        <v>NA</v>
      </c>
      <c r="J106" s="9"/>
      <c r="K106" s="7">
        <v>0</v>
      </c>
      <c r="L106" s="8" t="str">
        <f>IFERROR(K106/K444, "NA")</f>
        <v>NA</v>
      </c>
      <c r="M106" s="9"/>
      <c r="N106" s="10">
        <f t="shared" si="25"/>
        <v>0</v>
      </c>
      <c r="O106" s="8" t="str">
        <f>IFERROR(N106/N444, "NA")</f>
        <v>NA</v>
      </c>
      <c r="P106" s="9"/>
      <c r="Q106" s="7">
        <v>0</v>
      </c>
      <c r="R106" s="8" t="str">
        <f>IFERROR(Q106/Q444, "NA")</f>
        <v>NA</v>
      </c>
      <c r="S106" s="9"/>
      <c r="T106" s="7">
        <v>0</v>
      </c>
      <c r="U106" s="8" t="str">
        <f>IFERROR(T106/T444, "NA")</f>
        <v>NA</v>
      </c>
      <c r="V106" s="9"/>
      <c r="W106" s="10">
        <f t="shared" si="26"/>
        <v>0</v>
      </c>
      <c r="X106" s="8" t="str">
        <f>IFERROR(W106/W444, "NA")</f>
        <v>NA</v>
      </c>
      <c r="Y106" s="9"/>
      <c r="Z106" s="7">
        <v>0</v>
      </c>
      <c r="AA106" s="8" t="str">
        <f>IFERROR(Z106/Z444, "NA")</f>
        <v>NA</v>
      </c>
      <c r="AB106" s="9"/>
      <c r="AC106" s="10">
        <f t="shared" si="27"/>
        <v>0</v>
      </c>
      <c r="AD106" s="8" t="str">
        <f>IFERROR(AC106/AC444, "NA")</f>
        <v>NA</v>
      </c>
    </row>
    <row r="107" spans="1:30" ht="16.5" hidden="1" customHeight="1" x14ac:dyDescent="0.45">
      <c r="A107" s="12" t="s">
        <v>102</v>
      </c>
      <c r="B107" s="7">
        <v>0</v>
      </c>
      <c r="C107" s="8" t="str">
        <f>IFERROR(B107/B444, "NA")</f>
        <v>NA</v>
      </c>
      <c r="D107" s="9"/>
      <c r="E107" s="7">
        <v>0</v>
      </c>
      <c r="F107" s="8" t="str">
        <f>IFERROR(E107/E444, "NA")</f>
        <v>NA</v>
      </c>
      <c r="G107" s="9"/>
      <c r="H107" s="10">
        <f t="shared" si="24"/>
        <v>0</v>
      </c>
      <c r="I107" s="8" t="str">
        <f>IFERROR(H107/H444, "NA")</f>
        <v>NA</v>
      </c>
      <c r="J107" s="9"/>
      <c r="K107" s="7">
        <v>0</v>
      </c>
      <c r="L107" s="8" t="str">
        <f>IFERROR(K107/K444, "NA")</f>
        <v>NA</v>
      </c>
      <c r="M107" s="9"/>
      <c r="N107" s="10">
        <f t="shared" si="25"/>
        <v>0</v>
      </c>
      <c r="O107" s="8" t="str">
        <f>IFERROR(N107/N444, "NA")</f>
        <v>NA</v>
      </c>
      <c r="P107" s="9"/>
      <c r="Q107" s="7">
        <v>0</v>
      </c>
      <c r="R107" s="8" t="str">
        <f>IFERROR(Q107/Q444, "NA")</f>
        <v>NA</v>
      </c>
      <c r="S107" s="9"/>
      <c r="T107" s="7">
        <v>0</v>
      </c>
      <c r="U107" s="8" t="str">
        <f>IFERROR(T107/T444, "NA")</f>
        <v>NA</v>
      </c>
      <c r="V107" s="9"/>
      <c r="W107" s="10">
        <f t="shared" si="26"/>
        <v>0</v>
      </c>
      <c r="X107" s="8" t="str">
        <f>IFERROR(W107/W444, "NA")</f>
        <v>NA</v>
      </c>
      <c r="Y107" s="9"/>
      <c r="Z107" s="7">
        <v>0</v>
      </c>
      <c r="AA107" s="8" t="str">
        <f>IFERROR(Z107/Z444, "NA")</f>
        <v>NA</v>
      </c>
      <c r="AB107" s="9"/>
      <c r="AC107" s="10">
        <f t="shared" si="27"/>
        <v>0</v>
      </c>
      <c r="AD107" s="8" t="str">
        <f>IFERROR(AC107/AC444, "NA")</f>
        <v>NA</v>
      </c>
    </row>
    <row r="108" spans="1:30" ht="16.5" hidden="1" customHeight="1" x14ac:dyDescent="0.45">
      <c r="A108" s="12" t="s">
        <v>103</v>
      </c>
      <c r="B108" s="7">
        <v>0</v>
      </c>
      <c r="C108" s="8" t="str">
        <f>IFERROR(B108/B444, "NA")</f>
        <v>NA</v>
      </c>
      <c r="D108" s="9"/>
      <c r="E108" s="7">
        <v>0</v>
      </c>
      <c r="F108" s="8" t="str">
        <f>IFERROR(E108/E444, "NA")</f>
        <v>NA</v>
      </c>
      <c r="G108" s="9"/>
      <c r="H108" s="10">
        <f t="shared" si="24"/>
        <v>0</v>
      </c>
      <c r="I108" s="8" t="str">
        <f>IFERROR(H108/H444, "NA")</f>
        <v>NA</v>
      </c>
      <c r="J108" s="9"/>
      <c r="K108" s="7">
        <v>0</v>
      </c>
      <c r="L108" s="8" t="str">
        <f>IFERROR(K108/K444, "NA")</f>
        <v>NA</v>
      </c>
      <c r="M108" s="9"/>
      <c r="N108" s="10">
        <f t="shared" si="25"/>
        <v>0</v>
      </c>
      <c r="O108" s="8" t="str">
        <f>IFERROR(N108/N444, "NA")</f>
        <v>NA</v>
      </c>
      <c r="P108" s="9"/>
      <c r="Q108" s="7">
        <v>0</v>
      </c>
      <c r="R108" s="8" t="str">
        <f>IFERROR(Q108/Q444, "NA")</f>
        <v>NA</v>
      </c>
      <c r="S108" s="9"/>
      <c r="T108" s="7">
        <v>0</v>
      </c>
      <c r="U108" s="8" t="str">
        <f>IFERROR(T108/T444, "NA")</f>
        <v>NA</v>
      </c>
      <c r="V108" s="9"/>
      <c r="W108" s="10">
        <f t="shared" si="26"/>
        <v>0</v>
      </c>
      <c r="X108" s="8" t="str">
        <f>IFERROR(W108/W444, "NA")</f>
        <v>NA</v>
      </c>
      <c r="Y108" s="9"/>
      <c r="Z108" s="7">
        <v>0</v>
      </c>
      <c r="AA108" s="8" t="str">
        <f>IFERROR(Z108/Z444, "NA")</f>
        <v>NA</v>
      </c>
      <c r="AB108" s="9"/>
      <c r="AC108" s="10">
        <f t="shared" si="27"/>
        <v>0</v>
      </c>
      <c r="AD108" s="8" t="str">
        <f>IFERROR(AC108/AC444, "NA")</f>
        <v>NA</v>
      </c>
    </row>
    <row r="109" spans="1:30" ht="16.5" hidden="1" customHeight="1" x14ac:dyDescent="0.45">
      <c r="A109" s="12" t="s">
        <v>104</v>
      </c>
      <c r="B109" s="7">
        <v>0</v>
      </c>
      <c r="C109" s="8" t="str">
        <f>IFERROR(B109/B444, "NA")</f>
        <v>NA</v>
      </c>
      <c r="D109" s="9"/>
      <c r="E109" s="7">
        <v>0</v>
      </c>
      <c r="F109" s="8" t="str">
        <f>IFERROR(E109/E444, "NA")</f>
        <v>NA</v>
      </c>
      <c r="G109" s="9"/>
      <c r="H109" s="10">
        <f t="shared" si="24"/>
        <v>0</v>
      </c>
      <c r="I109" s="8" t="str">
        <f>IFERROR(H109/H444, "NA")</f>
        <v>NA</v>
      </c>
      <c r="J109" s="9"/>
      <c r="K109" s="7">
        <v>0</v>
      </c>
      <c r="L109" s="8" t="str">
        <f>IFERROR(K109/K444, "NA")</f>
        <v>NA</v>
      </c>
      <c r="M109" s="9"/>
      <c r="N109" s="10">
        <f t="shared" si="25"/>
        <v>0</v>
      </c>
      <c r="O109" s="8" t="str">
        <f>IFERROR(N109/N444, "NA")</f>
        <v>NA</v>
      </c>
      <c r="P109" s="9"/>
      <c r="Q109" s="7">
        <v>0</v>
      </c>
      <c r="R109" s="8" t="str">
        <f>IFERROR(Q109/Q444, "NA")</f>
        <v>NA</v>
      </c>
      <c r="S109" s="9"/>
      <c r="T109" s="7">
        <v>0</v>
      </c>
      <c r="U109" s="8" t="str">
        <f>IFERROR(T109/T444, "NA")</f>
        <v>NA</v>
      </c>
      <c r="V109" s="9"/>
      <c r="W109" s="10">
        <f t="shared" si="26"/>
        <v>0</v>
      </c>
      <c r="X109" s="8" t="str">
        <f>IFERROR(W109/W444, "NA")</f>
        <v>NA</v>
      </c>
      <c r="Y109" s="9"/>
      <c r="Z109" s="7">
        <v>0</v>
      </c>
      <c r="AA109" s="8" t="str">
        <f>IFERROR(Z109/Z444, "NA")</f>
        <v>NA</v>
      </c>
      <c r="AB109" s="9"/>
      <c r="AC109" s="10">
        <f t="shared" si="27"/>
        <v>0</v>
      </c>
      <c r="AD109" s="8" t="str">
        <f>IFERROR(AC109/AC444, "NA")</f>
        <v>NA</v>
      </c>
    </row>
    <row r="110" spans="1:30" ht="16.5" hidden="1" customHeight="1" x14ac:dyDescent="0.45">
      <c r="A110" s="12" t="s">
        <v>105</v>
      </c>
      <c r="B110" s="7">
        <v>0</v>
      </c>
      <c r="C110" s="8" t="str">
        <f>IFERROR(B110/B444, "NA")</f>
        <v>NA</v>
      </c>
      <c r="D110" s="9"/>
      <c r="E110" s="7">
        <v>0</v>
      </c>
      <c r="F110" s="8" t="str">
        <f>IFERROR(E110/E444, "NA")</f>
        <v>NA</v>
      </c>
      <c r="G110" s="9"/>
      <c r="H110" s="10">
        <f t="shared" si="24"/>
        <v>0</v>
      </c>
      <c r="I110" s="8" t="str">
        <f>IFERROR(H110/H444, "NA")</f>
        <v>NA</v>
      </c>
      <c r="J110" s="9"/>
      <c r="K110" s="7">
        <v>0</v>
      </c>
      <c r="L110" s="8" t="str">
        <f>IFERROR(K110/K444, "NA")</f>
        <v>NA</v>
      </c>
      <c r="M110" s="9"/>
      <c r="N110" s="10">
        <f t="shared" si="25"/>
        <v>0</v>
      </c>
      <c r="O110" s="8" t="str">
        <f>IFERROR(N110/N444, "NA")</f>
        <v>NA</v>
      </c>
      <c r="P110" s="9"/>
      <c r="Q110" s="7">
        <v>0</v>
      </c>
      <c r="R110" s="8" t="str">
        <f>IFERROR(Q110/Q444, "NA")</f>
        <v>NA</v>
      </c>
      <c r="S110" s="9"/>
      <c r="T110" s="7">
        <v>0</v>
      </c>
      <c r="U110" s="8" t="str">
        <f>IFERROR(T110/T444, "NA")</f>
        <v>NA</v>
      </c>
      <c r="V110" s="9"/>
      <c r="W110" s="10">
        <f t="shared" si="26"/>
        <v>0</v>
      </c>
      <c r="X110" s="8" t="str">
        <f>IFERROR(W110/W444, "NA")</f>
        <v>NA</v>
      </c>
      <c r="Y110" s="9"/>
      <c r="Z110" s="7">
        <v>0</v>
      </c>
      <c r="AA110" s="8" t="str">
        <f>IFERROR(Z110/Z444, "NA")</f>
        <v>NA</v>
      </c>
      <c r="AB110" s="9"/>
      <c r="AC110" s="10">
        <f t="shared" si="27"/>
        <v>0</v>
      </c>
      <c r="AD110" s="8" t="str">
        <f>IFERROR(AC110/AC444, "NA")</f>
        <v>NA</v>
      </c>
    </row>
    <row r="111" spans="1:30" ht="16.5" hidden="1" customHeight="1" x14ac:dyDescent="0.45">
      <c r="A111" s="12" t="s">
        <v>106</v>
      </c>
      <c r="B111" s="7">
        <v>0</v>
      </c>
      <c r="C111" s="8" t="str">
        <f>IFERROR(B111/B444, "NA")</f>
        <v>NA</v>
      </c>
      <c r="D111" s="9"/>
      <c r="E111" s="7">
        <v>0</v>
      </c>
      <c r="F111" s="8" t="str">
        <f>IFERROR(E111/E444, "NA")</f>
        <v>NA</v>
      </c>
      <c r="G111" s="9"/>
      <c r="H111" s="10">
        <f t="shared" si="24"/>
        <v>0</v>
      </c>
      <c r="I111" s="8" t="str">
        <f>IFERROR(H111/H444, "NA")</f>
        <v>NA</v>
      </c>
      <c r="J111" s="9"/>
      <c r="K111" s="7">
        <v>0</v>
      </c>
      <c r="L111" s="8" t="str">
        <f>IFERROR(K111/K444, "NA")</f>
        <v>NA</v>
      </c>
      <c r="M111" s="9"/>
      <c r="N111" s="10">
        <f t="shared" si="25"/>
        <v>0</v>
      </c>
      <c r="O111" s="8" t="str">
        <f>IFERROR(N111/N444, "NA")</f>
        <v>NA</v>
      </c>
      <c r="P111" s="9"/>
      <c r="Q111" s="7">
        <v>0</v>
      </c>
      <c r="R111" s="8" t="str">
        <f>IFERROR(Q111/Q444, "NA")</f>
        <v>NA</v>
      </c>
      <c r="S111" s="9"/>
      <c r="T111" s="7">
        <v>0</v>
      </c>
      <c r="U111" s="8" t="str">
        <f>IFERROR(T111/T444, "NA")</f>
        <v>NA</v>
      </c>
      <c r="V111" s="9"/>
      <c r="W111" s="10">
        <f t="shared" si="26"/>
        <v>0</v>
      </c>
      <c r="X111" s="8" t="str">
        <f>IFERROR(W111/W444, "NA")</f>
        <v>NA</v>
      </c>
      <c r="Y111" s="9"/>
      <c r="Z111" s="7">
        <v>0</v>
      </c>
      <c r="AA111" s="8" t="str">
        <f>IFERROR(Z111/Z444, "NA")</f>
        <v>NA</v>
      </c>
      <c r="AB111" s="9"/>
      <c r="AC111" s="10">
        <f t="shared" si="27"/>
        <v>0</v>
      </c>
      <c r="AD111" s="8" t="str">
        <f>IFERROR(AC111/AC444, "NA")</f>
        <v>NA</v>
      </c>
    </row>
    <row r="112" spans="1:30" ht="16.5" hidden="1" customHeight="1" x14ac:dyDescent="0.45">
      <c r="A112" s="12" t="s">
        <v>107</v>
      </c>
      <c r="B112" s="7">
        <v>0</v>
      </c>
      <c r="C112" s="8" t="str">
        <f>IFERROR(B112/B444, "NA")</f>
        <v>NA</v>
      </c>
      <c r="D112" s="9"/>
      <c r="E112" s="7">
        <v>0</v>
      </c>
      <c r="F112" s="8" t="str">
        <f>IFERROR(E112/E444, "NA")</f>
        <v>NA</v>
      </c>
      <c r="G112" s="9"/>
      <c r="H112" s="10">
        <f t="shared" si="24"/>
        <v>0</v>
      </c>
      <c r="I112" s="8" t="str">
        <f>IFERROR(H112/H444, "NA")</f>
        <v>NA</v>
      </c>
      <c r="J112" s="9"/>
      <c r="K112" s="7">
        <v>0</v>
      </c>
      <c r="L112" s="8" t="str">
        <f>IFERROR(K112/K444, "NA")</f>
        <v>NA</v>
      </c>
      <c r="M112" s="9"/>
      <c r="N112" s="10">
        <f t="shared" si="25"/>
        <v>0</v>
      </c>
      <c r="O112" s="8" t="str">
        <f>IFERROR(N112/N444, "NA")</f>
        <v>NA</v>
      </c>
      <c r="P112" s="9"/>
      <c r="Q112" s="7">
        <v>0</v>
      </c>
      <c r="R112" s="8" t="str">
        <f>IFERROR(Q112/Q444, "NA")</f>
        <v>NA</v>
      </c>
      <c r="S112" s="9"/>
      <c r="T112" s="7">
        <v>0</v>
      </c>
      <c r="U112" s="8" t="str">
        <f>IFERROR(T112/T444, "NA")</f>
        <v>NA</v>
      </c>
      <c r="V112" s="9"/>
      <c r="W112" s="10">
        <f t="shared" si="26"/>
        <v>0</v>
      </c>
      <c r="X112" s="8" t="str">
        <f>IFERROR(W112/W444, "NA")</f>
        <v>NA</v>
      </c>
      <c r="Y112" s="9"/>
      <c r="Z112" s="7">
        <v>0</v>
      </c>
      <c r="AA112" s="8" t="str">
        <f>IFERROR(Z112/Z444, "NA")</f>
        <v>NA</v>
      </c>
      <c r="AB112" s="9"/>
      <c r="AC112" s="10">
        <f t="shared" si="27"/>
        <v>0</v>
      </c>
      <c r="AD112" s="8" t="str">
        <f>IFERROR(AC112/AC444, "NA")</f>
        <v>NA</v>
      </c>
    </row>
    <row r="113" spans="1:30" ht="16.5" hidden="1" customHeight="1" x14ac:dyDescent="0.45">
      <c r="A113" s="12" t="s">
        <v>108</v>
      </c>
      <c r="B113" s="7">
        <v>0</v>
      </c>
      <c r="C113" s="8" t="str">
        <f>IFERROR(B113/B444, "NA")</f>
        <v>NA</v>
      </c>
      <c r="D113" s="9"/>
      <c r="E113" s="7">
        <v>0</v>
      </c>
      <c r="F113" s="8" t="str">
        <f>IFERROR(E113/E444, "NA")</f>
        <v>NA</v>
      </c>
      <c r="G113" s="9"/>
      <c r="H113" s="10">
        <f t="shared" si="24"/>
        <v>0</v>
      </c>
      <c r="I113" s="8" t="str">
        <f>IFERROR(H113/H444, "NA")</f>
        <v>NA</v>
      </c>
      <c r="J113" s="9"/>
      <c r="K113" s="7">
        <v>0</v>
      </c>
      <c r="L113" s="8" t="str">
        <f>IFERROR(K113/K444, "NA")</f>
        <v>NA</v>
      </c>
      <c r="M113" s="9"/>
      <c r="N113" s="10">
        <f t="shared" si="25"/>
        <v>0</v>
      </c>
      <c r="O113" s="8" t="str">
        <f>IFERROR(N113/N444, "NA")</f>
        <v>NA</v>
      </c>
      <c r="P113" s="9"/>
      <c r="Q113" s="7">
        <v>0</v>
      </c>
      <c r="R113" s="8" t="str">
        <f>IFERROR(Q113/Q444, "NA")</f>
        <v>NA</v>
      </c>
      <c r="S113" s="9"/>
      <c r="T113" s="7">
        <v>0</v>
      </c>
      <c r="U113" s="8" t="str">
        <f>IFERROR(T113/T444, "NA")</f>
        <v>NA</v>
      </c>
      <c r="V113" s="9"/>
      <c r="W113" s="10">
        <f t="shared" si="26"/>
        <v>0</v>
      </c>
      <c r="X113" s="8" t="str">
        <f>IFERROR(W113/W444, "NA")</f>
        <v>NA</v>
      </c>
      <c r="Y113" s="9"/>
      <c r="Z113" s="7">
        <v>0</v>
      </c>
      <c r="AA113" s="8" t="str">
        <f>IFERROR(Z113/Z444, "NA")</f>
        <v>NA</v>
      </c>
      <c r="AB113" s="9"/>
      <c r="AC113" s="10">
        <f t="shared" si="27"/>
        <v>0</v>
      </c>
      <c r="AD113" s="8" t="str">
        <f>IFERROR(AC113/AC444, "NA")</f>
        <v>NA</v>
      </c>
    </row>
    <row r="114" spans="1:30" ht="16.5" hidden="1" customHeight="1" x14ac:dyDescent="0.45">
      <c r="A114" s="12" t="s">
        <v>109</v>
      </c>
      <c r="B114" s="7">
        <v>0</v>
      </c>
      <c r="C114" s="8" t="str">
        <f>IFERROR(B114/B444, "NA")</f>
        <v>NA</v>
      </c>
      <c r="D114" s="9"/>
      <c r="E114" s="7">
        <v>0</v>
      </c>
      <c r="F114" s="8" t="str">
        <f>IFERROR(E114/E444, "NA")</f>
        <v>NA</v>
      </c>
      <c r="G114" s="9"/>
      <c r="H114" s="10">
        <f t="shared" si="24"/>
        <v>0</v>
      </c>
      <c r="I114" s="8" t="str">
        <f>IFERROR(H114/H444, "NA")</f>
        <v>NA</v>
      </c>
      <c r="J114" s="9"/>
      <c r="K114" s="7">
        <v>0</v>
      </c>
      <c r="L114" s="8" t="str">
        <f>IFERROR(K114/K444, "NA")</f>
        <v>NA</v>
      </c>
      <c r="M114" s="9"/>
      <c r="N114" s="10">
        <f t="shared" si="25"/>
        <v>0</v>
      </c>
      <c r="O114" s="8" t="str">
        <f>IFERROR(N114/N444, "NA")</f>
        <v>NA</v>
      </c>
      <c r="P114" s="9"/>
      <c r="Q114" s="7">
        <v>0</v>
      </c>
      <c r="R114" s="8" t="str">
        <f>IFERROR(Q114/Q444, "NA")</f>
        <v>NA</v>
      </c>
      <c r="S114" s="9"/>
      <c r="T114" s="7">
        <v>0</v>
      </c>
      <c r="U114" s="8" t="str">
        <f>IFERROR(T114/T444, "NA")</f>
        <v>NA</v>
      </c>
      <c r="V114" s="9"/>
      <c r="W114" s="10">
        <f t="shared" si="26"/>
        <v>0</v>
      </c>
      <c r="X114" s="8" t="str">
        <f>IFERROR(W114/W444, "NA")</f>
        <v>NA</v>
      </c>
      <c r="Y114" s="9"/>
      <c r="Z114" s="7">
        <v>0</v>
      </c>
      <c r="AA114" s="8" t="str">
        <f>IFERROR(Z114/Z444, "NA")</f>
        <v>NA</v>
      </c>
      <c r="AB114" s="9"/>
      <c r="AC114" s="10">
        <f t="shared" si="27"/>
        <v>0</v>
      </c>
      <c r="AD114" s="8" t="str">
        <f>IFERROR(AC114/AC444, "NA")</f>
        <v>NA</v>
      </c>
    </row>
    <row r="115" spans="1:30" ht="16.5" hidden="1" customHeight="1" x14ac:dyDescent="0.45">
      <c r="A115" s="12" t="s">
        <v>110</v>
      </c>
      <c r="B115" s="7">
        <v>0</v>
      </c>
      <c r="C115" s="8" t="str">
        <f>IFERROR(B115/B444, "NA")</f>
        <v>NA</v>
      </c>
      <c r="D115" s="9"/>
      <c r="E115" s="7">
        <v>0</v>
      </c>
      <c r="F115" s="8" t="str">
        <f>IFERROR(E115/E444, "NA")</f>
        <v>NA</v>
      </c>
      <c r="G115" s="9"/>
      <c r="H115" s="10">
        <f t="shared" si="24"/>
        <v>0</v>
      </c>
      <c r="I115" s="8" t="str">
        <f>IFERROR(H115/H444, "NA")</f>
        <v>NA</v>
      </c>
      <c r="J115" s="9"/>
      <c r="K115" s="7">
        <v>0</v>
      </c>
      <c r="L115" s="8" t="str">
        <f>IFERROR(K115/K444, "NA")</f>
        <v>NA</v>
      </c>
      <c r="M115" s="9"/>
      <c r="N115" s="10">
        <f t="shared" si="25"/>
        <v>0</v>
      </c>
      <c r="O115" s="8" t="str">
        <f>IFERROR(N115/N444, "NA")</f>
        <v>NA</v>
      </c>
      <c r="P115" s="9"/>
      <c r="Q115" s="7">
        <v>0</v>
      </c>
      <c r="R115" s="8" t="str">
        <f>IFERROR(Q115/Q444, "NA")</f>
        <v>NA</v>
      </c>
      <c r="S115" s="9"/>
      <c r="T115" s="7">
        <v>0</v>
      </c>
      <c r="U115" s="8" t="str">
        <f>IFERROR(T115/T444, "NA")</f>
        <v>NA</v>
      </c>
      <c r="V115" s="9"/>
      <c r="W115" s="10">
        <f t="shared" si="26"/>
        <v>0</v>
      </c>
      <c r="X115" s="8" t="str">
        <f>IFERROR(W115/W444, "NA")</f>
        <v>NA</v>
      </c>
      <c r="Y115" s="9"/>
      <c r="Z115" s="7">
        <v>0</v>
      </c>
      <c r="AA115" s="8" t="str">
        <f>IFERROR(Z115/Z444, "NA")</f>
        <v>NA</v>
      </c>
      <c r="AB115" s="9"/>
      <c r="AC115" s="10">
        <f t="shared" si="27"/>
        <v>0</v>
      </c>
      <c r="AD115" s="8" t="str">
        <f>IFERROR(AC115/AC444, "NA")</f>
        <v>NA</v>
      </c>
    </row>
    <row r="116" spans="1:30" ht="16.5" hidden="1" customHeight="1" x14ac:dyDescent="0.45">
      <c r="A116" s="12" t="s">
        <v>111</v>
      </c>
      <c r="B116" s="7">
        <v>0</v>
      </c>
      <c r="C116" s="8" t="str">
        <f>IFERROR(B116/B444, "NA")</f>
        <v>NA</v>
      </c>
      <c r="D116" s="9"/>
      <c r="E116" s="7">
        <v>0</v>
      </c>
      <c r="F116" s="8" t="str">
        <f>IFERROR(E116/E444, "NA")</f>
        <v>NA</v>
      </c>
      <c r="G116" s="9"/>
      <c r="H116" s="10">
        <f t="shared" si="24"/>
        <v>0</v>
      </c>
      <c r="I116" s="8" t="str">
        <f>IFERROR(H116/H444, "NA")</f>
        <v>NA</v>
      </c>
      <c r="J116" s="9"/>
      <c r="K116" s="7">
        <v>0</v>
      </c>
      <c r="L116" s="8" t="str">
        <f>IFERROR(K116/K444, "NA")</f>
        <v>NA</v>
      </c>
      <c r="M116" s="9"/>
      <c r="N116" s="10">
        <f t="shared" si="25"/>
        <v>0</v>
      </c>
      <c r="O116" s="8" t="str">
        <f>IFERROR(N116/N444, "NA")</f>
        <v>NA</v>
      </c>
      <c r="P116" s="9"/>
      <c r="Q116" s="7">
        <v>0</v>
      </c>
      <c r="R116" s="8" t="str">
        <f>IFERROR(Q116/Q444, "NA")</f>
        <v>NA</v>
      </c>
      <c r="S116" s="9"/>
      <c r="T116" s="7">
        <v>0</v>
      </c>
      <c r="U116" s="8" t="str">
        <f>IFERROR(T116/T444, "NA")</f>
        <v>NA</v>
      </c>
      <c r="V116" s="9"/>
      <c r="W116" s="10">
        <f t="shared" si="26"/>
        <v>0</v>
      </c>
      <c r="X116" s="8" t="str">
        <f>IFERROR(W116/W444, "NA")</f>
        <v>NA</v>
      </c>
      <c r="Y116" s="9"/>
      <c r="Z116" s="7">
        <v>0</v>
      </c>
      <c r="AA116" s="8" t="str">
        <f>IFERROR(Z116/Z444, "NA")</f>
        <v>NA</v>
      </c>
      <c r="AB116" s="9"/>
      <c r="AC116" s="10">
        <f t="shared" si="27"/>
        <v>0</v>
      </c>
      <c r="AD116" s="8" t="str">
        <f>IFERROR(AC116/AC444, "NA")</f>
        <v>NA</v>
      </c>
    </row>
    <row r="117" spans="1:30" ht="16.5" hidden="1" customHeight="1" x14ac:dyDescent="0.45">
      <c r="A117" s="12" t="s">
        <v>112</v>
      </c>
      <c r="B117" s="7">
        <v>0</v>
      </c>
      <c r="C117" s="8" t="str">
        <f>IFERROR(B117/B444, "NA")</f>
        <v>NA</v>
      </c>
      <c r="D117" s="9"/>
      <c r="E117" s="7">
        <v>0</v>
      </c>
      <c r="F117" s="8" t="str">
        <f>IFERROR(E117/E444, "NA")</f>
        <v>NA</v>
      </c>
      <c r="G117" s="9"/>
      <c r="H117" s="10">
        <f t="shared" si="24"/>
        <v>0</v>
      </c>
      <c r="I117" s="8" t="str">
        <f>IFERROR(H117/H444, "NA")</f>
        <v>NA</v>
      </c>
      <c r="J117" s="9"/>
      <c r="K117" s="7">
        <v>0</v>
      </c>
      <c r="L117" s="8" t="str">
        <f>IFERROR(K117/K444, "NA")</f>
        <v>NA</v>
      </c>
      <c r="M117" s="9"/>
      <c r="N117" s="10">
        <f t="shared" si="25"/>
        <v>0</v>
      </c>
      <c r="O117" s="8" t="str">
        <f>IFERROR(N117/N444, "NA")</f>
        <v>NA</v>
      </c>
      <c r="P117" s="9"/>
      <c r="Q117" s="7">
        <v>0</v>
      </c>
      <c r="R117" s="8" t="str">
        <f>IFERROR(Q117/Q444, "NA")</f>
        <v>NA</v>
      </c>
      <c r="S117" s="9"/>
      <c r="T117" s="7">
        <v>0</v>
      </c>
      <c r="U117" s="8" t="str">
        <f>IFERROR(T117/T444, "NA")</f>
        <v>NA</v>
      </c>
      <c r="V117" s="9"/>
      <c r="W117" s="10">
        <f t="shared" si="26"/>
        <v>0</v>
      </c>
      <c r="X117" s="8" t="str">
        <f>IFERROR(W117/W444, "NA")</f>
        <v>NA</v>
      </c>
      <c r="Y117" s="9"/>
      <c r="Z117" s="7">
        <v>0</v>
      </c>
      <c r="AA117" s="8" t="str">
        <f>IFERROR(Z117/Z444, "NA")</f>
        <v>NA</v>
      </c>
      <c r="AB117" s="9"/>
      <c r="AC117" s="10">
        <f t="shared" si="27"/>
        <v>0</v>
      </c>
      <c r="AD117" s="8" t="str">
        <f>IFERROR(AC117/AC444, "NA")</f>
        <v>NA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0</v>
      </c>
      <c r="C118" s="15" t="str">
        <f>IFERROR(B118/B444, "NA")</f>
        <v>NA</v>
      </c>
      <c r="D118" s="2"/>
      <c r="E118" s="14">
        <f>IFERROR(E94+E95+E96+E97+E98+E99+E100+E101+E102+E103+E104+E105+E106+E107+E108+E109+E110+E111+E112+E113+E114+E115+E116+E117, "NA")</f>
        <v>0</v>
      </c>
      <c r="F118" s="15" t="str">
        <f>IFERROR(E118/E444, "NA")</f>
        <v>NA</v>
      </c>
      <c r="G118" s="2"/>
      <c r="H118" s="14">
        <f t="shared" si="24"/>
        <v>0</v>
      </c>
      <c r="I118" s="15" t="str">
        <f>IFERROR(H118/H444, "NA")</f>
        <v>NA</v>
      </c>
      <c r="J118" s="2"/>
      <c r="K118" s="14">
        <f>IFERROR(K94+K95+K96+K97+K98+K99+K100+K101+K102+K103+K104+K105+K106+K107+K108+K109+K110+K111+K112+K113+K114+K115+K116+K117, "NA")</f>
        <v>0</v>
      </c>
      <c r="L118" s="15" t="str">
        <f>IFERROR(K118/K444, "NA")</f>
        <v>NA</v>
      </c>
      <c r="M118" s="2"/>
      <c r="N118" s="14">
        <f t="shared" si="25"/>
        <v>0</v>
      </c>
      <c r="O118" s="15" t="str">
        <f>IFERROR(N118/N444, "NA")</f>
        <v>NA</v>
      </c>
      <c r="P118" s="2"/>
      <c r="Q118" s="14">
        <f>IFERROR(Q94+Q95+Q96+Q97+Q98+Q99+Q100+Q101+Q102+Q103+Q104+Q105+Q106+Q107+Q108+Q109+Q110+Q111+Q112+Q113+Q114+Q115+Q116+Q117, "NA")</f>
        <v>0</v>
      </c>
      <c r="R118" s="15" t="str">
        <f>IFERROR(Q118/Q444, "NA")</f>
        <v>NA</v>
      </c>
      <c r="S118" s="2"/>
      <c r="T118" s="14">
        <f>IFERROR(T94+T95+T96+T97+T98+T99+T100+T101+T102+T103+T104+T105+T106+T107+T108+T109+T110+T111+T112+T113+T114+T115+T116+T117, "NA")</f>
        <v>0</v>
      </c>
      <c r="U118" s="15" t="str">
        <f>IFERROR(T118/T444, "NA")</f>
        <v>NA</v>
      </c>
      <c r="V118" s="2"/>
      <c r="W118" s="14">
        <f t="shared" si="26"/>
        <v>0</v>
      </c>
      <c r="X118" s="15" t="str">
        <f>IFERROR(W118/W444, "NA")</f>
        <v>NA</v>
      </c>
      <c r="Y118" s="2"/>
      <c r="Z118" s="14">
        <f>IFERROR(Z94+Z95+Z96+Z97+Z98+Z99+Z100+Z101+Z102+Z103+Z104+Z105+Z106+Z107+Z108+Z109+Z110+Z111+Z112+Z113+Z114+Z115+Z116+Z117, "NA")</f>
        <v>0</v>
      </c>
      <c r="AA118" s="15" t="str">
        <f>IFERROR(Z118/Z444, "NA")</f>
        <v>NA</v>
      </c>
      <c r="AB118" s="2"/>
      <c r="AC118" s="14">
        <f t="shared" si="27"/>
        <v>0</v>
      </c>
      <c r="AD118" s="15" t="str">
        <f>IFERROR(AC118/AC444, "NA")</f>
        <v>NA</v>
      </c>
    </row>
    <row r="119" spans="1:30" ht="16.5" hidden="1" customHeight="1" x14ac:dyDescent="0.45">
      <c r="A119" s="6" t="s">
        <v>114</v>
      </c>
      <c r="B119" s="7">
        <v>0</v>
      </c>
      <c r="C119" s="8" t="str">
        <f>IFERROR(B119/B444, "NA")</f>
        <v>NA</v>
      </c>
      <c r="D119" s="9"/>
      <c r="E119" s="7">
        <v>0</v>
      </c>
      <c r="F119" s="8" t="str">
        <f>IFERROR(E119/E444, "NA")</f>
        <v>NA</v>
      </c>
      <c r="G119" s="9"/>
      <c r="H119" s="10">
        <f t="shared" si="24"/>
        <v>0</v>
      </c>
      <c r="I119" s="8" t="str">
        <f>IFERROR(H119/H444, "NA")</f>
        <v>NA</v>
      </c>
      <c r="J119" s="9"/>
      <c r="K119" s="7">
        <v>0</v>
      </c>
      <c r="L119" s="8" t="str">
        <f>IFERROR(K119/K444, "NA")</f>
        <v>NA</v>
      </c>
      <c r="M119" s="9"/>
      <c r="N119" s="10">
        <f t="shared" si="25"/>
        <v>0</v>
      </c>
      <c r="O119" s="8" t="str">
        <f>IFERROR(N119/N444, "NA")</f>
        <v>NA</v>
      </c>
      <c r="P119" s="9"/>
      <c r="Q119" s="7">
        <v>0</v>
      </c>
      <c r="R119" s="8" t="str">
        <f>IFERROR(Q119/Q444, "NA")</f>
        <v>NA</v>
      </c>
      <c r="S119" s="9"/>
      <c r="T119" s="7">
        <v>0</v>
      </c>
      <c r="U119" s="8" t="str">
        <f>IFERROR(T119/T444, "NA")</f>
        <v>NA</v>
      </c>
      <c r="V119" s="9"/>
      <c r="W119" s="10">
        <f t="shared" si="26"/>
        <v>0</v>
      </c>
      <c r="X119" s="8" t="str">
        <f>IFERROR(W119/W444, "NA")</f>
        <v>NA</v>
      </c>
      <c r="Y119" s="9"/>
      <c r="Z119" s="7">
        <v>0</v>
      </c>
      <c r="AA119" s="8" t="str">
        <f>IFERROR(Z119/Z444, "NA")</f>
        <v>NA</v>
      </c>
      <c r="AB119" s="9"/>
      <c r="AC119" s="10">
        <f t="shared" si="27"/>
        <v>0</v>
      </c>
      <c r="AD119" s="8" t="str">
        <f>IFERROR(AC119/AC444, "NA")</f>
        <v>NA</v>
      </c>
    </row>
    <row r="120" spans="1:30" ht="16.5" hidden="1" customHeight="1" x14ac:dyDescent="0.45">
      <c r="A120" s="6" t="s">
        <v>115</v>
      </c>
      <c r="B120" s="7">
        <v>0</v>
      </c>
      <c r="C120" s="8" t="str">
        <f>IFERROR(B120/B444, "NA")</f>
        <v>NA</v>
      </c>
      <c r="D120" s="9"/>
      <c r="E120" s="7">
        <v>0</v>
      </c>
      <c r="F120" s="8" t="str">
        <f>IFERROR(E120/E444, "NA")</f>
        <v>NA</v>
      </c>
      <c r="G120" s="9"/>
      <c r="H120" s="10">
        <f t="shared" si="24"/>
        <v>0</v>
      </c>
      <c r="I120" s="8" t="str">
        <f>IFERROR(H120/H444, "NA")</f>
        <v>NA</v>
      </c>
      <c r="J120" s="9"/>
      <c r="K120" s="7">
        <v>0</v>
      </c>
      <c r="L120" s="8" t="str">
        <f>IFERROR(K120/K444, "NA")</f>
        <v>NA</v>
      </c>
      <c r="M120" s="9"/>
      <c r="N120" s="10">
        <f t="shared" si="25"/>
        <v>0</v>
      </c>
      <c r="O120" s="8" t="str">
        <f>IFERROR(N120/N444, "NA")</f>
        <v>NA</v>
      </c>
      <c r="P120" s="9"/>
      <c r="Q120" s="7">
        <v>0</v>
      </c>
      <c r="R120" s="8" t="str">
        <f>IFERROR(Q120/Q444, "NA")</f>
        <v>NA</v>
      </c>
      <c r="S120" s="9"/>
      <c r="T120" s="7">
        <v>0</v>
      </c>
      <c r="U120" s="8" t="str">
        <f>IFERROR(T120/T444, "NA")</f>
        <v>NA</v>
      </c>
      <c r="V120" s="9"/>
      <c r="W120" s="10">
        <f t="shared" si="26"/>
        <v>0</v>
      </c>
      <c r="X120" s="8" t="str">
        <f>IFERROR(W120/W444, "NA")</f>
        <v>NA</v>
      </c>
      <c r="Y120" s="9"/>
      <c r="Z120" s="7">
        <v>0</v>
      </c>
      <c r="AA120" s="8" t="str">
        <f>IFERROR(Z120/Z444, "NA")</f>
        <v>NA</v>
      </c>
      <c r="AB120" s="9"/>
      <c r="AC120" s="10">
        <f t="shared" si="27"/>
        <v>0</v>
      </c>
      <c r="AD120" s="8" t="str">
        <f>IFERROR(AC120/AC444, "NA")</f>
        <v>NA</v>
      </c>
    </row>
    <row r="121" spans="1:30" ht="16.5" hidden="1" customHeight="1" x14ac:dyDescent="0.45">
      <c r="A121" s="6" t="s">
        <v>116</v>
      </c>
      <c r="B121" s="7">
        <v>0</v>
      </c>
      <c r="C121" s="8" t="str">
        <f>IFERROR(B121/B444, "NA")</f>
        <v>NA</v>
      </c>
      <c r="D121" s="9"/>
      <c r="E121" s="7">
        <v>0</v>
      </c>
      <c r="F121" s="8" t="str">
        <f>IFERROR(E121/E444, "NA")</f>
        <v>NA</v>
      </c>
      <c r="G121" s="9"/>
      <c r="H121" s="10">
        <f t="shared" si="24"/>
        <v>0</v>
      </c>
      <c r="I121" s="8" t="str">
        <f>IFERROR(H121/H444, "NA")</f>
        <v>NA</v>
      </c>
      <c r="J121" s="9"/>
      <c r="K121" s="7">
        <v>0</v>
      </c>
      <c r="L121" s="8" t="str">
        <f>IFERROR(K121/K444, "NA")</f>
        <v>NA</v>
      </c>
      <c r="M121" s="9"/>
      <c r="N121" s="10">
        <f t="shared" si="25"/>
        <v>0</v>
      </c>
      <c r="O121" s="8" t="str">
        <f>IFERROR(N121/N444, "NA")</f>
        <v>NA</v>
      </c>
      <c r="P121" s="9"/>
      <c r="Q121" s="7">
        <v>0</v>
      </c>
      <c r="R121" s="8" t="str">
        <f>IFERROR(Q121/Q444, "NA")</f>
        <v>NA</v>
      </c>
      <c r="S121" s="9"/>
      <c r="T121" s="7">
        <v>0</v>
      </c>
      <c r="U121" s="8" t="str">
        <f>IFERROR(T121/T444, "NA")</f>
        <v>NA</v>
      </c>
      <c r="V121" s="9"/>
      <c r="W121" s="10">
        <f t="shared" si="26"/>
        <v>0</v>
      </c>
      <c r="X121" s="8" t="str">
        <f>IFERROR(W121/W444, "NA")</f>
        <v>NA</v>
      </c>
      <c r="Y121" s="9"/>
      <c r="Z121" s="7">
        <v>0</v>
      </c>
      <c r="AA121" s="8" t="str">
        <f>IFERROR(Z121/Z444, "NA")</f>
        <v>NA</v>
      </c>
      <c r="AB121" s="9"/>
      <c r="AC121" s="10">
        <f t="shared" si="27"/>
        <v>0</v>
      </c>
      <c r="AD121" s="8" t="str">
        <f>IFERROR(AC121/AC444, "NA")</f>
        <v>NA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0</v>
      </c>
      <c r="C122" s="15" t="str">
        <f>IFERROR(B122/B444, "NA")</f>
        <v>NA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0</v>
      </c>
      <c r="F122" s="15" t="str">
        <f>IFERROR(E122/E444, "NA")</f>
        <v>NA</v>
      </c>
      <c r="G122" s="2"/>
      <c r="H122" s="14">
        <f t="shared" si="24"/>
        <v>0</v>
      </c>
      <c r="I122" s="15" t="str">
        <f>IFERROR(H122/H444, "NA")</f>
        <v>NA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0</v>
      </c>
      <c r="L122" s="15" t="str">
        <f>IFERROR(K122/K444, "NA")</f>
        <v>NA</v>
      </c>
      <c r="M122" s="2"/>
      <c r="N122" s="14">
        <f t="shared" si="25"/>
        <v>0</v>
      </c>
      <c r="O122" s="15" t="str">
        <f>IFERROR(N122/N444, "NA")</f>
        <v>NA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0</v>
      </c>
      <c r="R122" s="15" t="str">
        <f>IFERROR(Q122/Q444, "NA")</f>
        <v>NA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0</v>
      </c>
      <c r="U122" s="15" t="str">
        <f>IFERROR(T122/T444, "NA")</f>
        <v>NA</v>
      </c>
      <c r="V122" s="2"/>
      <c r="W122" s="14">
        <f t="shared" si="26"/>
        <v>0</v>
      </c>
      <c r="X122" s="15" t="str">
        <f>IFERROR(W122/W444, "NA")</f>
        <v>NA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0</v>
      </c>
      <c r="AA122" s="15" t="str">
        <f>IFERROR(Z122/Z444, "NA")</f>
        <v>NA</v>
      </c>
      <c r="AB122" s="2"/>
      <c r="AC122" s="14">
        <f t="shared" si="27"/>
        <v>0</v>
      </c>
      <c r="AD122" s="15" t="str">
        <f>IFERROR(AC122/AC444, "NA")</f>
        <v>NA</v>
      </c>
    </row>
    <row r="123" spans="1:30" ht="16.5" hidden="1" customHeight="1" x14ac:dyDescent="0.45">
      <c r="A123" s="20" t="s">
        <v>118</v>
      </c>
      <c r="B123" s="7">
        <v>0</v>
      </c>
      <c r="C123" s="8" t="str">
        <f>IFERROR(B123/B444, "NA")</f>
        <v>NA</v>
      </c>
      <c r="D123" s="9"/>
      <c r="E123" s="7">
        <v>0</v>
      </c>
      <c r="F123" s="8" t="str">
        <f>IFERROR(E123/E444, "NA")</f>
        <v>NA</v>
      </c>
      <c r="G123" s="9"/>
      <c r="H123" s="10">
        <f t="shared" si="24"/>
        <v>0</v>
      </c>
      <c r="I123" s="8" t="str">
        <f>IFERROR(H123/H444, "NA")</f>
        <v>NA</v>
      </c>
      <c r="J123" s="9"/>
      <c r="K123" s="7">
        <v>0</v>
      </c>
      <c r="L123" s="8" t="str">
        <f>IFERROR(K123/K444, "NA")</f>
        <v>NA</v>
      </c>
      <c r="M123" s="9"/>
      <c r="N123" s="10">
        <f t="shared" si="25"/>
        <v>0</v>
      </c>
      <c r="O123" s="8" t="str">
        <f>IFERROR(N123/N444, "NA")</f>
        <v>NA</v>
      </c>
      <c r="P123" s="9"/>
      <c r="Q123" s="7">
        <v>0</v>
      </c>
      <c r="R123" s="8" t="str">
        <f>IFERROR(Q123/Q444, "NA")</f>
        <v>NA</v>
      </c>
      <c r="S123" s="9"/>
      <c r="T123" s="7">
        <v>0</v>
      </c>
      <c r="U123" s="8" t="str">
        <f>IFERROR(T123/T444, "NA")</f>
        <v>NA</v>
      </c>
      <c r="V123" s="9"/>
      <c r="W123" s="10">
        <f t="shared" si="26"/>
        <v>0</v>
      </c>
      <c r="X123" s="8" t="str">
        <f>IFERROR(W123/W444, "NA")</f>
        <v>NA</v>
      </c>
      <c r="Y123" s="9"/>
      <c r="Z123" s="7">
        <v>0</v>
      </c>
      <c r="AA123" s="8" t="str">
        <f>IFERROR(Z123/Z444, "NA")</f>
        <v>NA</v>
      </c>
      <c r="AB123" s="9"/>
      <c r="AC123" s="10">
        <f t="shared" si="27"/>
        <v>0</v>
      </c>
      <c r="AD123" s="8" t="str">
        <f>IFERROR(AC123/AC444, "NA")</f>
        <v>NA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0</v>
      </c>
      <c r="C124" s="15" t="str">
        <f>IFERROR(B124/B444, "NA")</f>
        <v>NA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0</v>
      </c>
      <c r="F124" s="15" t="str">
        <f>IFERROR(E124/E444, "NA")</f>
        <v>NA</v>
      </c>
      <c r="G124" s="2"/>
      <c r="H124" s="14">
        <f t="shared" si="24"/>
        <v>0</v>
      </c>
      <c r="I124" s="15" t="str">
        <f>IFERROR(H124/H444, "NA")</f>
        <v>NA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0</v>
      </c>
      <c r="L124" s="15" t="str">
        <f>IFERROR(K124/K444, "NA")</f>
        <v>NA</v>
      </c>
      <c r="M124" s="2"/>
      <c r="N124" s="14">
        <f t="shared" si="25"/>
        <v>0</v>
      </c>
      <c r="O124" s="15" t="str">
        <f>IFERROR(N124/N444, "NA")</f>
        <v>NA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0</v>
      </c>
      <c r="R124" s="15" t="str">
        <f>IFERROR(Q124/Q444, "NA")</f>
        <v>NA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0</v>
      </c>
      <c r="U124" s="15" t="str">
        <f>IFERROR(T124/T444, "NA")</f>
        <v>NA</v>
      </c>
      <c r="V124" s="2"/>
      <c r="W124" s="14">
        <f t="shared" si="26"/>
        <v>0</v>
      </c>
      <c r="X124" s="15" t="str">
        <f>IFERROR(W124/W444, "NA")</f>
        <v>NA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0</v>
      </c>
      <c r="AA124" s="15" t="str">
        <f>IFERROR(Z124/Z444, "NA")</f>
        <v>NA</v>
      </c>
      <c r="AB124" s="2"/>
      <c r="AC124" s="14">
        <f t="shared" si="27"/>
        <v>0</v>
      </c>
      <c r="AD124" s="15" t="str">
        <f>IFERROR(AC124/AC444, "NA")</f>
        <v>NA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 t="str">
        <f>IFERROR(B127/B444, "NA")</f>
        <v>NA</v>
      </c>
      <c r="D127" s="9"/>
      <c r="E127" s="7">
        <v>0</v>
      </c>
      <c r="F127" s="8" t="str">
        <f>IFERROR(E127/E444, "NA")</f>
        <v>NA</v>
      </c>
      <c r="G127" s="9"/>
      <c r="H127" s="10">
        <f>IFERROR(-(B127-E127), "NA")</f>
        <v>0</v>
      </c>
      <c r="I127" s="8" t="str">
        <f>IFERROR(H127/H444, "NA")</f>
        <v>NA</v>
      </c>
      <c r="J127" s="9"/>
      <c r="K127" s="7">
        <v>0</v>
      </c>
      <c r="L127" s="8" t="str">
        <f>IFERROR(K127/K444, "NA")</f>
        <v>NA</v>
      </c>
      <c r="M127" s="9"/>
      <c r="N127" s="10">
        <f>IFERROR(-(B127-K127), "NA")</f>
        <v>0</v>
      </c>
      <c r="O127" s="8" t="str">
        <f>IFERROR(N127/N444, "NA")</f>
        <v>NA</v>
      </c>
      <c r="P127" s="9"/>
      <c r="Q127" s="7">
        <v>0</v>
      </c>
      <c r="R127" s="8" t="str">
        <f>IFERROR(Q127/Q444, "NA")</f>
        <v>NA</v>
      </c>
      <c r="S127" s="9"/>
      <c r="T127" s="7">
        <v>0</v>
      </c>
      <c r="U127" s="8" t="str">
        <f>IFERROR(T127/T444, "NA")</f>
        <v>NA</v>
      </c>
      <c r="V127" s="9"/>
      <c r="W127" s="10">
        <f>IFERROR(-(Q127-T127), "NA")</f>
        <v>0</v>
      </c>
      <c r="X127" s="8" t="str">
        <f>IFERROR(W127/W444, "NA")</f>
        <v>NA</v>
      </c>
      <c r="Y127" s="9"/>
      <c r="Z127" s="7">
        <v>0</v>
      </c>
      <c r="AA127" s="8" t="str">
        <f>IFERROR(Z127/Z444, "NA")</f>
        <v>NA</v>
      </c>
      <c r="AB127" s="9"/>
      <c r="AC127" s="10">
        <f>IFERROR(-(Q127-Z127), "NA")</f>
        <v>0</v>
      </c>
      <c r="AD127" s="8" t="str">
        <f>IFERROR(AC127/AC444, "NA")</f>
        <v>NA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hidden="1" customHeight="1" x14ac:dyDescent="0.45">
      <c r="A129" s="12" t="s">
        <v>121</v>
      </c>
      <c r="B129" s="7">
        <v>0</v>
      </c>
      <c r="C129" s="8" t="str">
        <f>IFERROR(B129/B444, "NA")</f>
        <v>NA</v>
      </c>
      <c r="D129" s="9"/>
      <c r="E129" s="7">
        <v>0</v>
      </c>
      <c r="F129" s="8" t="str">
        <f>IFERROR(E129/E444, "NA")</f>
        <v>NA</v>
      </c>
      <c r="G129" s="9"/>
      <c r="H129" s="10">
        <f t="shared" ref="H129:H141" si="28">IFERROR(-(B129-E129), "NA")</f>
        <v>0</v>
      </c>
      <c r="I129" s="8" t="str">
        <f>IFERROR(H129/H444, "NA")</f>
        <v>NA</v>
      </c>
      <c r="J129" s="9"/>
      <c r="K129" s="7">
        <v>0</v>
      </c>
      <c r="L129" s="8" t="str">
        <f>IFERROR(K129/K444, "NA")</f>
        <v>NA</v>
      </c>
      <c r="M129" s="9"/>
      <c r="N129" s="10">
        <f t="shared" ref="N129:N141" si="29">IFERROR(-(B129-K129), "NA")</f>
        <v>0</v>
      </c>
      <c r="O129" s="8" t="str">
        <f>IFERROR(N129/N444, "NA")</f>
        <v>NA</v>
      </c>
      <c r="P129" s="9"/>
      <c r="Q129" s="7">
        <v>0</v>
      </c>
      <c r="R129" s="8" t="str">
        <f>IFERROR(Q129/Q444, "NA")</f>
        <v>NA</v>
      </c>
      <c r="S129" s="9"/>
      <c r="T129" s="7">
        <v>0</v>
      </c>
      <c r="U129" s="8" t="str">
        <f>IFERROR(T129/T444, "NA")</f>
        <v>NA</v>
      </c>
      <c r="V129" s="9"/>
      <c r="W129" s="10">
        <f t="shared" ref="W129:W141" si="30">IFERROR(-(Q129-T129), "NA")</f>
        <v>0</v>
      </c>
      <c r="X129" s="8" t="str">
        <f>IFERROR(W129/W444, "NA")</f>
        <v>NA</v>
      </c>
      <c r="Y129" s="9"/>
      <c r="Z129" s="7">
        <v>0</v>
      </c>
      <c r="AA129" s="8" t="str">
        <f>IFERROR(Z129/Z444, "NA")</f>
        <v>NA</v>
      </c>
      <c r="AB129" s="9"/>
      <c r="AC129" s="10">
        <f t="shared" ref="AC129:AC141" si="31">IFERROR(-(Q129-Z129), "NA")</f>
        <v>0</v>
      </c>
      <c r="AD129" s="8" t="str">
        <f>IFERROR(AC129/AC444, "NA")</f>
        <v>NA</v>
      </c>
    </row>
    <row r="130" spans="1:30" ht="16.5" hidden="1" customHeight="1" x14ac:dyDescent="0.45">
      <c r="A130" s="12" t="s">
        <v>122</v>
      </c>
      <c r="B130" s="7">
        <v>0</v>
      </c>
      <c r="C130" s="8" t="str">
        <f>IFERROR(B130/B444, "NA")</f>
        <v>NA</v>
      </c>
      <c r="D130" s="9"/>
      <c r="E130" s="7">
        <v>0</v>
      </c>
      <c r="F130" s="8" t="str">
        <f>IFERROR(E130/E444, "NA")</f>
        <v>NA</v>
      </c>
      <c r="G130" s="9"/>
      <c r="H130" s="10">
        <f t="shared" si="28"/>
        <v>0</v>
      </c>
      <c r="I130" s="8" t="str">
        <f>IFERROR(H130/H444, "NA")</f>
        <v>NA</v>
      </c>
      <c r="J130" s="9"/>
      <c r="K130" s="7">
        <v>0</v>
      </c>
      <c r="L130" s="8" t="str">
        <f>IFERROR(K130/K444, "NA")</f>
        <v>NA</v>
      </c>
      <c r="M130" s="9"/>
      <c r="N130" s="10">
        <f t="shared" si="29"/>
        <v>0</v>
      </c>
      <c r="O130" s="8" t="str">
        <f>IFERROR(N130/N444, "NA")</f>
        <v>NA</v>
      </c>
      <c r="P130" s="9"/>
      <c r="Q130" s="7">
        <v>0</v>
      </c>
      <c r="R130" s="8" t="str">
        <f>IFERROR(Q130/Q444, "NA")</f>
        <v>NA</v>
      </c>
      <c r="S130" s="9"/>
      <c r="T130" s="7">
        <v>0</v>
      </c>
      <c r="U130" s="8" t="str">
        <f>IFERROR(T130/T444, "NA")</f>
        <v>NA</v>
      </c>
      <c r="V130" s="9"/>
      <c r="W130" s="10">
        <f t="shared" si="30"/>
        <v>0</v>
      </c>
      <c r="X130" s="8" t="str">
        <f>IFERROR(W130/W444, "NA")</f>
        <v>NA</v>
      </c>
      <c r="Y130" s="9"/>
      <c r="Z130" s="7">
        <v>0</v>
      </c>
      <c r="AA130" s="8" t="str">
        <f>IFERROR(Z130/Z444, "NA")</f>
        <v>NA</v>
      </c>
      <c r="AB130" s="9"/>
      <c r="AC130" s="10">
        <f t="shared" si="31"/>
        <v>0</v>
      </c>
      <c r="AD130" s="8" t="str">
        <f>IFERROR(AC130/AC444, "NA")</f>
        <v>NA</v>
      </c>
    </row>
    <row r="131" spans="1:30" ht="16.5" hidden="1" customHeight="1" x14ac:dyDescent="0.45">
      <c r="A131" s="12" t="s">
        <v>123</v>
      </c>
      <c r="B131" s="7">
        <v>0</v>
      </c>
      <c r="C131" s="8" t="str">
        <f>IFERROR(B131/B444, "NA")</f>
        <v>NA</v>
      </c>
      <c r="D131" s="9"/>
      <c r="E131" s="7">
        <v>0</v>
      </c>
      <c r="F131" s="8" t="str">
        <f>IFERROR(E131/E444, "NA")</f>
        <v>NA</v>
      </c>
      <c r="G131" s="9"/>
      <c r="H131" s="10">
        <f t="shared" si="28"/>
        <v>0</v>
      </c>
      <c r="I131" s="8" t="str">
        <f>IFERROR(H131/H444, "NA")</f>
        <v>NA</v>
      </c>
      <c r="J131" s="9"/>
      <c r="K131" s="7">
        <v>0</v>
      </c>
      <c r="L131" s="8" t="str">
        <f>IFERROR(K131/K444, "NA")</f>
        <v>NA</v>
      </c>
      <c r="M131" s="9"/>
      <c r="N131" s="10">
        <f t="shared" si="29"/>
        <v>0</v>
      </c>
      <c r="O131" s="8" t="str">
        <f>IFERROR(N131/N444, "NA")</f>
        <v>NA</v>
      </c>
      <c r="P131" s="9"/>
      <c r="Q131" s="7">
        <v>0</v>
      </c>
      <c r="R131" s="8" t="str">
        <f>IFERROR(Q131/Q444, "NA")</f>
        <v>NA</v>
      </c>
      <c r="S131" s="9"/>
      <c r="T131" s="7">
        <v>0</v>
      </c>
      <c r="U131" s="8" t="str">
        <f>IFERROR(T131/T444, "NA")</f>
        <v>NA</v>
      </c>
      <c r="V131" s="9"/>
      <c r="W131" s="10">
        <f t="shared" si="30"/>
        <v>0</v>
      </c>
      <c r="X131" s="8" t="str">
        <f>IFERROR(W131/W444, "NA")</f>
        <v>NA</v>
      </c>
      <c r="Y131" s="9"/>
      <c r="Z131" s="7">
        <v>0</v>
      </c>
      <c r="AA131" s="8" t="str">
        <f>IFERROR(Z131/Z444, "NA")</f>
        <v>NA</v>
      </c>
      <c r="AB131" s="9"/>
      <c r="AC131" s="10">
        <f t="shared" si="31"/>
        <v>0</v>
      </c>
      <c r="AD131" s="8" t="str">
        <f>IFERROR(AC131/AC444, "NA")</f>
        <v>NA</v>
      </c>
    </row>
    <row r="132" spans="1:30" ht="16.5" hidden="1" customHeight="1" x14ac:dyDescent="0.45">
      <c r="A132" s="12" t="s">
        <v>124</v>
      </c>
      <c r="B132" s="7">
        <v>0</v>
      </c>
      <c r="C132" s="8" t="str">
        <f>IFERROR(B132/B444, "NA")</f>
        <v>NA</v>
      </c>
      <c r="D132" s="9"/>
      <c r="E132" s="7">
        <v>0</v>
      </c>
      <c r="F132" s="8" t="str">
        <f>IFERROR(E132/E444, "NA")</f>
        <v>NA</v>
      </c>
      <c r="G132" s="9"/>
      <c r="H132" s="10">
        <f t="shared" si="28"/>
        <v>0</v>
      </c>
      <c r="I132" s="8" t="str">
        <f>IFERROR(H132/H444, "NA")</f>
        <v>NA</v>
      </c>
      <c r="J132" s="9"/>
      <c r="K132" s="7">
        <v>0</v>
      </c>
      <c r="L132" s="8" t="str">
        <f>IFERROR(K132/K444, "NA")</f>
        <v>NA</v>
      </c>
      <c r="M132" s="9"/>
      <c r="N132" s="10">
        <f t="shared" si="29"/>
        <v>0</v>
      </c>
      <c r="O132" s="8" t="str">
        <f>IFERROR(N132/N444, "NA")</f>
        <v>NA</v>
      </c>
      <c r="P132" s="9"/>
      <c r="Q132" s="7">
        <v>0</v>
      </c>
      <c r="R132" s="8" t="str">
        <f>IFERROR(Q132/Q444, "NA")</f>
        <v>NA</v>
      </c>
      <c r="S132" s="9"/>
      <c r="T132" s="7">
        <v>0</v>
      </c>
      <c r="U132" s="8" t="str">
        <f>IFERROR(T132/T444, "NA")</f>
        <v>NA</v>
      </c>
      <c r="V132" s="9"/>
      <c r="W132" s="10">
        <f t="shared" si="30"/>
        <v>0</v>
      </c>
      <c r="X132" s="8" t="str">
        <f>IFERROR(W132/W444, "NA")</f>
        <v>NA</v>
      </c>
      <c r="Y132" s="9"/>
      <c r="Z132" s="7">
        <v>0</v>
      </c>
      <c r="AA132" s="8" t="str">
        <f>IFERROR(Z132/Z444, "NA")</f>
        <v>NA</v>
      </c>
      <c r="AB132" s="9"/>
      <c r="AC132" s="10">
        <f t="shared" si="31"/>
        <v>0</v>
      </c>
      <c r="AD132" s="8" t="str">
        <f>IFERROR(AC132/AC444, "NA")</f>
        <v>NA</v>
      </c>
    </row>
    <row r="133" spans="1:30" ht="16.5" hidden="1" customHeight="1" x14ac:dyDescent="0.45">
      <c r="A133" s="12" t="s">
        <v>125</v>
      </c>
      <c r="B133" s="7">
        <v>0</v>
      </c>
      <c r="C133" s="8" t="str">
        <f>IFERROR(B133/B444, "NA")</f>
        <v>NA</v>
      </c>
      <c r="D133" s="9"/>
      <c r="E133" s="7">
        <v>0</v>
      </c>
      <c r="F133" s="8" t="str">
        <f>IFERROR(E133/E444, "NA")</f>
        <v>NA</v>
      </c>
      <c r="G133" s="9"/>
      <c r="H133" s="10">
        <f t="shared" si="28"/>
        <v>0</v>
      </c>
      <c r="I133" s="8" t="str">
        <f>IFERROR(H133/H444, "NA")</f>
        <v>NA</v>
      </c>
      <c r="J133" s="9"/>
      <c r="K133" s="7">
        <v>0</v>
      </c>
      <c r="L133" s="8" t="str">
        <f>IFERROR(K133/K444, "NA")</f>
        <v>NA</v>
      </c>
      <c r="M133" s="9"/>
      <c r="N133" s="10">
        <f t="shared" si="29"/>
        <v>0</v>
      </c>
      <c r="O133" s="8" t="str">
        <f>IFERROR(N133/N444, "NA")</f>
        <v>NA</v>
      </c>
      <c r="P133" s="9"/>
      <c r="Q133" s="7">
        <v>0</v>
      </c>
      <c r="R133" s="8" t="str">
        <f>IFERROR(Q133/Q444, "NA")</f>
        <v>NA</v>
      </c>
      <c r="S133" s="9"/>
      <c r="T133" s="7">
        <v>0</v>
      </c>
      <c r="U133" s="8" t="str">
        <f>IFERROR(T133/T444, "NA")</f>
        <v>NA</v>
      </c>
      <c r="V133" s="9"/>
      <c r="W133" s="10">
        <f t="shared" si="30"/>
        <v>0</v>
      </c>
      <c r="X133" s="8" t="str">
        <f>IFERROR(W133/W444, "NA")</f>
        <v>NA</v>
      </c>
      <c r="Y133" s="9"/>
      <c r="Z133" s="7">
        <v>0</v>
      </c>
      <c r="AA133" s="8" t="str">
        <f>IFERROR(Z133/Z444, "NA")</f>
        <v>NA</v>
      </c>
      <c r="AB133" s="9"/>
      <c r="AC133" s="10">
        <f t="shared" si="31"/>
        <v>0</v>
      </c>
      <c r="AD133" s="8" t="str">
        <f>IFERROR(AC133/AC444, "NA")</f>
        <v>NA</v>
      </c>
    </row>
    <row r="134" spans="1:30" ht="16.5" hidden="1" customHeight="1" x14ac:dyDescent="0.45">
      <c r="A134" s="12" t="s">
        <v>126</v>
      </c>
      <c r="B134" s="7">
        <v>0</v>
      </c>
      <c r="C134" s="8" t="str">
        <f>IFERROR(B134/B444, "NA")</f>
        <v>NA</v>
      </c>
      <c r="D134" s="9"/>
      <c r="E134" s="7">
        <v>0</v>
      </c>
      <c r="F134" s="8" t="str">
        <f>IFERROR(E134/E444, "NA")</f>
        <v>NA</v>
      </c>
      <c r="G134" s="9"/>
      <c r="H134" s="10">
        <f t="shared" si="28"/>
        <v>0</v>
      </c>
      <c r="I134" s="8" t="str">
        <f>IFERROR(H134/H444, "NA")</f>
        <v>NA</v>
      </c>
      <c r="J134" s="9"/>
      <c r="K134" s="7">
        <v>0</v>
      </c>
      <c r="L134" s="8" t="str">
        <f>IFERROR(K134/K444, "NA")</f>
        <v>NA</v>
      </c>
      <c r="M134" s="9"/>
      <c r="N134" s="10">
        <f t="shared" si="29"/>
        <v>0</v>
      </c>
      <c r="O134" s="8" t="str">
        <f>IFERROR(N134/N444, "NA")</f>
        <v>NA</v>
      </c>
      <c r="P134" s="9"/>
      <c r="Q134" s="7">
        <v>0</v>
      </c>
      <c r="R134" s="8" t="str">
        <f>IFERROR(Q134/Q444, "NA")</f>
        <v>NA</v>
      </c>
      <c r="S134" s="9"/>
      <c r="T134" s="7">
        <v>0</v>
      </c>
      <c r="U134" s="8" t="str">
        <f>IFERROR(T134/T444, "NA")</f>
        <v>NA</v>
      </c>
      <c r="V134" s="9"/>
      <c r="W134" s="10">
        <f t="shared" si="30"/>
        <v>0</v>
      </c>
      <c r="X134" s="8" t="str">
        <f>IFERROR(W134/W444, "NA")</f>
        <v>NA</v>
      </c>
      <c r="Y134" s="9"/>
      <c r="Z134" s="7">
        <v>0</v>
      </c>
      <c r="AA134" s="8" t="str">
        <f>IFERROR(Z134/Z444, "NA")</f>
        <v>NA</v>
      </c>
      <c r="AB134" s="9"/>
      <c r="AC134" s="10">
        <f t="shared" si="31"/>
        <v>0</v>
      </c>
      <c r="AD134" s="8" t="str">
        <f>IFERROR(AC134/AC444, "NA")</f>
        <v>NA</v>
      </c>
    </row>
    <row r="135" spans="1:30" ht="16.5" hidden="1" customHeight="1" x14ac:dyDescent="0.45">
      <c r="A135" s="12" t="s">
        <v>127</v>
      </c>
      <c r="B135" s="7">
        <v>0</v>
      </c>
      <c r="C135" s="8" t="str">
        <f>IFERROR(B135/B444, "NA")</f>
        <v>NA</v>
      </c>
      <c r="D135" s="9"/>
      <c r="E135" s="7">
        <v>0</v>
      </c>
      <c r="F135" s="8" t="str">
        <f>IFERROR(E135/E444, "NA")</f>
        <v>NA</v>
      </c>
      <c r="G135" s="9"/>
      <c r="H135" s="10">
        <f t="shared" si="28"/>
        <v>0</v>
      </c>
      <c r="I135" s="8" t="str">
        <f>IFERROR(H135/H444, "NA")</f>
        <v>NA</v>
      </c>
      <c r="J135" s="9"/>
      <c r="K135" s="7">
        <v>0</v>
      </c>
      <c r="L135" s="8" t="str">
        <f>IFERROR(K135/K444, "NA")</f>
        <v>NA</v>
      </c>
      <c r="M135" s="9"/>
      <c r="N135" s="10">
        <f t="shared" si="29"/>
        <v>0</v>
      </c>
      <c r="O135" s="8" t="str">
        <f>IFERROR(N135/N444, "NA")</f>
        <v>NA</v>
      </c>
      <c r="P135" s="9"/>
      <c r="Q135" s="7">
        <v>0</v>
      </c>
      <c r="R135" s="8" t="str">
        <f>IFERROR(Q135/Q444, "NA")</f>
        <v>NA</v>
      </c>
      <c r="S135" s="9"/>
      <c r="T135" s="7">
        <v>0</v>
      </c>
      <c r="U135" s="8" t="str">
        <f>IFERROR(T135/T444, "NA")</f>
        <v>NA</v>
      </c>
      <c r="V135" s="9"/>
      <c r="W135" s="10">
        <f t="shared" si="30"/>
        <v>0</v>
      </c>
      <c r="X135" s="8" t="str">
        <f>IFERROR(W135/W444, "NA")</f>
        <v>NA</v>
      </c>
      <c r="Y135" s="9"/>
      <c r="Z135" s="7">
        <v>0</v>
      </c>
      <c r="AA135" s="8" t="str">
        <f>IFERROR(Z135/Z444, "NA")</f>
        <v>NA</v>
      </c>
      <c r="AB135" s="9"/>
      <c r="AC135" s="10">
        <f t="shared" si="31"/>
        <v>0</v>
      </c>
      <c r="AD135" s="8" t="str">
        <f>IFERROR(AC135/AC444, "NA")</f>
        <v>NA</v>
      </c>
    </row>
    <row r="136" spans="1:30" ht="16.5" hidden="1" customHeight="1" x14ac:dyDescent="0.45">
      <c r="A136" s="12" t="s">
        <v>128</v>
      </c>
      <c r="B136" s="7">
        <v>0</v>
      </c>
      <c r="C136" s="8" t="str">
        <f>IFERROR(B136/B444, "NA")</f>
        <v>NA</v>
      </c>
      <c r="D136" s="9"/>
      <c r="E136" s="7">
        <v>0</v>
      </c>
      <c r="F136" s="8" t="str">
        <f>IFERROR(E136/E444, "NA")</f>
        <v>NA</v>
      </c>
      <c r="G136" s="9"/>
      <c r="H136" s="10">
        <f t="shared" si="28"/>
        <v>0</v>
      </c>
      <c r="I136" s="8" t="str">
        <f>IFERROR(H136/H444, "NA")</f>
        <v>NA</v>
      </c>
      <c r="J136" s="9"/>
      <c r="K136" s="7">
        <v>0</v>
      </c>
      <c r="L136" s="8" t="str">
        <f>IFERROR(K136/K444, "NA")</f>
        <v>NA</v>
      </c>
      <c r="M136" s="9"/>
      <c r="N136" s="10">
        <f t="shared" si="29"/>
        <v>0</v>
      </c>
      <c r="O136" s="8" t="str">
        <f>IFERROR(N136/N444, "NA")</f>
        <v>NA</v>
      </c>
      <c r="P136" s="9"/>
      <c r="Q136" s="7">
        <v>0</v>
      </c>
      <c r="R136" s="8" t="str">
        <f>IFERROR(Q136/Q444, "NA")</f>
        <v>NA</v>
      </c>
      <c r="S136" s="9"/>
      <c r="T136" s="7">
        <v>0</v>
      </c>
      <c r="U136" s="8" t="str">
        <f>IFERROR(T136/T444, "NA")</f>
        <v>NA</v>
      </c>
      <c r="V136" s="9"/>
      <c r="W136" s="10">
        <f t="shared" si="30"/>
        <v>0</v>
      </c>
      <c r="X136" s="8" t="str">
        <f>IFERROR(W136/W444, "NA")</f>
        <v>NA</v>
      </c>
      <c r="Y136" s="9"/>
      <c r="Z136" s="7">
        <v>0</v>
      </c>
      <c r="AA136" s="8" t="str">
        <f>IFERROR(Z136/Z444, "NA")</f>
        <v>NA</v>
      </c>
      <c r="AB136" s="9"/>
      <c r="AC136" s="10">
        <f t="shared" si="31"/>
        <v>0</v>
      </c>
      <c r="AD136" s="8" t="str">
        <f>IFERROR(AC136/AC444, "NA")</f>
        <v>NA</v>
      </c>
    </row>
    <row r="137" spans="1:30" ht="16.5" hidden="1" customHeight="1" x14ac:dyDescent="0.45">
      <c r="A137" s="12" t="s">
        <v>129</v>
      </c>
      <c r="B137" s="7">
        <v>0</v>
      </c>
      <c r="C137" s="8" t="str">
        <f>IFERROR(B137/B444, "NA")</f>
        <v>NA</v>
      </c>
      <c r="D137" s="9"/>
      <c r="E137" s="7">
        <v>0</v>
      </c>
      <c r="F137" s="8" t="str">
        <f>IFERROR(E137/E444, "NA")</f>
        <v>NA</v>
      </c>
      <c r="G137" s="9"/>
      <c r="H137" s="10">
        <f t="shared" si="28"/>
        <v>0</v>
      </c>
      <c r="I137" s="8" t="str">
        <f>IFERROR(H137/H444, "NA")</f>
        <v>NA</v>
      </c>
      <c r="J137" s="9"/>
      <c r="K137" s="7">
        <v>0</v>
      </c>
      <c r="L137" s="8" t="str">
        <f>IFERROR(K137/K444, "NA")</f>
        <v>NA</v>
      </c>
      <c r="M137" s="9"/>
      <c r="N137" s="10">
        <f t="shared" si="29"/>
        <v>0</v>
      </c>
      <c r="O137" s="8" t="str">
        <f>IFERROR(N137/N444, "NA")</f>
        <v>NA</v>
      </c>
      <c r="P137" s="9"/>
      <c r="Q137" s="7">
        <v>0</v>
      </c>
      <c r="R137" s="8" t="str">
        <f>IFERROR(Q137/Q444, "NA")</f>
        <v>NA</v>
      </c>
      <c r="S137" s="9"/>
      <c r="T137" s="7">
        <v>0</v>
      </c>
      <c r="U137" s="8" t="str">
        <f>IFERROR(T137/T444, "NA")</f>
        <v>NA</v>
      </c>
      <c r="V137" s="9"/>
      <c r="W137" s="10">
        <f t="shared" si="30"/>
        <v>0</v>
      </c>
      <c r="X137" s="8" t="str">
        <f>IFERROR(W137/W444, "NA")</f>
        <v>NA</v>
      </c>
      <c r="Y137" s="9"/>
      <c r="Z137" s="7">
        <v>0</v>
      </c>
      <c r="AA137" s="8" t="str">
        <f>IFERROR(Z137/Z444, "NA")</f>
        <v>NA</v>
      </c>
      <c r="AB137" s="9"/>
      <c r="AC137" s="10">
        <f t="shared" si="31"/>
        <v>0</v>
      </c>
      <c r="AD137" s="8" t="str">
        <f>IFERROR(AC137/AC444, "NA")</f>
        <v>NA</v>
      </c>
    </row>
    <row r="138" spans="1:30" ht="16.5" hidden="1" customHeight="1" x14ac:dyDescent="0.45">
      <c r="A138" s="12" t="s">
        <v>130</v>
      </c>
      <c r="B138" s="7">
        <v>0</v>
      </c>
      <c r="C138" s="8" t="str">
        <f>IFERROR(B138/B444, "NA")</f>
        <v>NA</v>
      </c>
      <c r="D138" s="9"/>
      <c r="E138" s="7">
        <v>0</v>
      </c>
      <c r="F138" s="8" t="str">
        <f>IFERROR(E138/E444, "NA")</f>
        <v>NA</v>
      </c>
      <c r="G138" s="9"/>
      <c r="H138" s="10">
        <f t="shared" si="28"/>
        <v>0</v>
      </c>
      <c r="I138" s="8" t="str">
        <f>IFERROR(H138/H444, "NA")</f>
        <v>NA</v>
      </c>
      <c r="J138" s="9"/>
      <c r="K138" s="7">
        <v>0</v>
      </c>
      <c r="L138" s="8" t="str">
        <f>IFERROR(K138/K444, "NA")</f>
        <v>NA</v>
      </c>
      <c r="M138" s="9"/>
      <c r="N138" s="10">
        <f t="shared" si="29"/>
        <v>0</v>
      </c>
      <c r="O138" s="8" t="str">
        <f>IFERROR(N138/N444, "NA")</f>
        <v>NA</v>
      </c>
      <c r="P138" s="9"/>
      <c r="Q138" s="7">
        <v>0</v>
      </c>
      <c r="R138" s="8" t="str">
        <f>IFERROR(Q138/Q444, "NA")</f>
        <v>NA</v>
      </c>
      <c r="S138" s="9"/>
      <c r="T138" s="7">
        <v>0</v>
      </c>
      <c r="U138" s="8" t="str">
        <f>IFERROR(T138/T444, "NA")</f>
        <v>NA</v>
      </c>
      <c r="V138" s="9"/>
      <c r="W138" s="10">
        <f t="shared" si="30"/>
        <v>0</v>
      </c>
      <c r="X138" s="8" t="str">
        <f>IFERROR(W138/W444, "NA")</f>
        <v>NA</v>
      </c>
      <c r="Y138" s="9"/>
      <c r="Z138" s="7">
        <v>0</v>
      </c>
      <c r="AA138" s="8" t="str">
        <f>IFERROR(Z138/Z444, "NA")</f>
        <v>NA</v>
      </c>
      <c r="AB138" s="9"/>
      <c r="AC138" s="10">
        <f t="shared" si="31"/>
        <v>0</v>
      </c>
      <c r="AD138" s="8" t="str">
        <f>IFERROR(AC138/AC444, "NA")</f>
        <v>NA</v>
      </c>
    </row>
    <row r="139" spans="1:30" ht="16.5" hidden="1" customHeight="1" x14ac:dyDescent="0.45">
      <c r="A139" s="12" t="s">
        <v>131</v>
      </c>
      <c r="B139" s="7">
        <v>0</v>
      </c>
      <c r="C139" s="8" t="str">
        <f>IFERROR(B139/B444, "NA")</f>
        <v>NA</v>
      </c>
      <c r="D139" s="9"/>
      <c r="E139" s="7">
        <v>0</v>
      </c>
      <c r="F139" s="8" t="str">
        <f>IFERROR(E139/E444, "NA")</f>
        <v>NA</v>
      </c>
      <c r="G139" s="9"/>
      <c r="H139" s="10">
        <f t="shared" si="28"/>
        <v>0</v>
      </c>
      <c r="I139" s="8" t="str">
        <f>IFERROR(H139/H444, "NA")</f>
        <v>NA</v>
      </c>
      <c r="J139" s="9"/>
      <c r="K139" s="7">
        <v>0</v>
      </c>
      <c r="L139" s="8" t="str">
        <f>IFERROR(K139/K444, "NA")</f>
        <v>NA</v>
      </c>
      <c r="M139" s="9"/>
      <c r="N139" s="10">
        <f t="shared" si="29"/>
        <v>0</v>
      </c>
      <c r="O139" s="8" t="str">
        <f>IFERROR(N139/N444, "NA")</f>
        <v>NA</v>
      </c>
      <c r="P139" s="9"/>
      <c r="Q139" s="7">
        <v>0</v>
      </c>
      <c r="R139" s="8" t="str">
        <f>IFERROR(Q139/Q444, "NA")</f>
        <v>NA</v>
      </c>
      <c r="S139" s="9"/>
      <c r="T139" s="7">
        <v>0</v>
      </c>
      <c r="U139" s="8" t="str">
        <f>IFERROR(T139/T444, "NA")</f>
        <v>NA</v>
      </c>
      <c r="V139" s="9"/>
      <c r="W139" s="10">
        <f t="shared" si="30"/>
        <v>0</v>
      </c>
      <c r="X139" s="8" t="str">
        <f>IFERROR(W139/W444, "NA")</f>
        <v>NA</v>
      </c>
      <c r="Y139" s="9"/>
      <c r="Z139" s="7">
        <v>0</v>
      </c>
      <c r="AA139" s="8" t="str">
        <f>IFERROR(Z139/Z444, "NA")</f>
        <v>NA</v>
      </c>
      <c r="AB139" s="9"/>
      <c r="AC139" s="10">
        <f t="shared" si="31"/>
        <v>0</v>
      </c>
      <c r="AD139" s="8" t="str">
        <f>IFERROR(AC139/AC444, "NA")</f>
        <v>NA</v>
      </c>
    </row>
    <row r="140" spans="1:30" ht="16.5" hidden="1" customHeight="1" x14ac:dyDescent="0.45">
      <c r="A140" s="12" t="s">
        <v>132</v>
      </c>
      <c r="B140" s="7">
        <v>0</v>
      </c>
      <c r="C140" s="8" t="str">
        <f>IFERROR(B140/B444, "NA")</f>
        <v>NA</v>
      </c>
      <c r="D140" s="9"/>
      <c r="E140" s="7">
        <v>0</v>
      </c>
      <c r="F140" s="8" t="str">
        <f>IFERROR(E140/E444, "NA")</f>
        <v>NA</v>
      </c>
      <c r="G140" s="9"/>
      <c r="H140" s="10">
        <f t="shared" si="28"/>
        <v>0</v>
      </c>
      <c r="I140" s="8" t="str">
        <f>IFERROR(H140/H444, "NA")</f>
        <v>NA</v>
      </c>
      <c r="J140" s="9"/>
      <c r="K140" s="7">
        <v>0</v>
      </c>
      <c r="L140" s="8" t="str">
        <f>IFERROR(K140/K444, "NA")</f>
        <v>NA</v>
      </c>
      <c r="M140" s="9"/>
      <c r="N140" s="10">
        <f t="shared" si="29"/>
        <v>0</v>
      </c>
      <c r="O140" s="8" t="str">
        <f>IFERROR(N140/N444, "NA")</f>
        <v>NA</v>
      </c>
      <c r="P140" s="9"/>
      <c r="Q140" s="7">
        <v>0</v>
      </c>
      <c r="R140" s="8" t="str">
        <f>IFERROR(Q140/Q444, "NA")</f>
        <v>NA</v>
      </c>
      <c r="S140" s="9"/>
      <c r="T140" s="7">
        <v>0</v>
      </c>
      <c r="U140" s="8" t="str">
        <f>IFERROR(T140/T444, "NA")</f>
        <v>NA</v>
      </c>
      <c r="V140" s="9"/>
      <c r="W140" s="10">
        <f t="shared" si="30"/>
        <v>0</v>
      </c>
      <c r="X140" s="8" t="str">
        <f>IFERROR(W140/W444, "NA")</f>
        <v>NA</v>
      </c>
      <c r="Y140" s="9"/>
      <c r="Z140" s="7">
        <v>0</v>
      </c>
      <c r="AA140" s="8" t="str">
        <f>IFERROR(Z140/Z444, "NA")</f>
        <v>NA</v>
      </c>
      <c r="AB140" s="9"/>
      <c r="AC140" s="10">
        <f t="shared" si="31"/>
        <v>0</v>
      </c>
      <c r="AD140" s="8" t="str">
        <f>IFERROR(AC140/AC444, "NA")</f>
        <v>NA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0</v>
      </c>
      <c r="C141" s="15" t="str">
        <f>IFERROR(B141/B444, "NA")</f>
        <v>NA</v>
      </c>
      <c r="D141" s="2"/>
      <c r="E141" s="14">
        <f>IFERROR(E129+E130+E131+E132+E133+E134+E135+E136+E137+E138+E139+E140, "NA")</f>
        <v>0</v>
      </c>
      <c r="F141" s="15" t="str">
        <f>IFERROR(E141/E444, "NA")</f>
        <v>NA</v>
      </c>
      <c r="G141" s="2"/>
      <c r="H141" s="14">
        <f t="shared" si="28"/>
        <v>0</v>
      </c>
      <c r="I141" s="15" t="str">
        <f>IFERROR(H141/H444, "NA")</f>
        <v>NA</v>
      </c>
      <c r="J141" s="2"/>
      <c r="K141" s="14">
        <f>IFERROR(K129+K130+K131+K132+K133+K134+K135+K136+K137+K138+K139+K140, "NA")</f>
        <v>0</v>
      </c>
      <c r="L141" s="15" t="str">
        <f>IFERROR(K141/K444, "NA")</f>
        <v>NA</v>
      </c>
      <c r="M141" s="2"/>
      <c r="N141" s="14">
        <f t="shared" si="29"/>
        <v>0</v>
      </c>
      <c r="O141" s="15" t="str">
        <f>IFERROR(N141/N444, "NA")</f>
        <v>NA</v>
      </c>
      <c r="P141" s="2"/>
      <c r="Q141" s="14">
        <f>IFERROR(Q129+Q130+Q131+Q132+Q133+Q134+Q135+Q136+Q137+Q138+Q139+Q140, "NA")</f>
        <v>0</v>
      </c>
      <c r="R141" s="15" t="str">
        <f>IFERROR(Q141/Q444, "NA")</f>
        <v>NA</v>
      </c>
      <c r="S141" s="2"/>
      <c r="T141" s="14">
        <f>IFERROR(T129+T130+T131+T132+T133+T134+T135+T136+T137+T138+T139+T140, "NA")</f>
        <v>0</v>
      </c>
      <c r="U141" s="15" t="str">
        <f>IFERROR(T141/T444, "NA")</f>
        <v>NA</v>
      </c>
      <c r="V141" s="2"/>
      <c r="W141" s="14">
        <f t="shared" si="30"/>
        <v>0</v>
      </c>
      <c r="X141" s="15" t="str">
        <f>IFERROR(W141/W444, "NA")</f>
        <v>NA</v>
      </c>
      <c r="Y141" s="2"/>
      <c r="Z141" s="14">
        <f>IFERROR(Z129+Z130+Z131+Z132+Z133+Z134+Z135+Z136+Z137+Z138+Z139+Z140, "NA")</f>
        <v>0</v>
      </c>
      <c r="AA141" s="15" t="str">
        <f>IFERROR(Z141/Z444, "NA")</f>
        <v>NA</v>
      </c>
      <c r="AB141" s="2"/>
      <c r="AC141" s="14">
        <f t="shared" si="31"/>
        <v>0</v>
      </c>
      <c r="AD141" s="15" t="str">
        <f>IFERROR(AC141/AC444, "NA")</f>
        <v>NA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 t="str">
        <f>IFERROR(B143/B444, "NA")</f>
        <v>NA</v>
      </c>
      <c r="D143" s="9"/>
      <c r="E143" s="7">
        <v>0</v>
      </c>
      <c r="F143" s="8" t="str">
        <f>IFERROR(E143/E444, "NA")</f>
        <v>NA</v>
      </c>
      <c r="G143" s="9"/>
      <c r="H143" s="10">
        <f t="shared" ref="H143:H149" si="32">IFERROR(-(B143-E143), "NA")</f>
        <v>0</v>
      </c>
      <c r="I143" s="8" t="str">
        <f>IFERROR(H143/H444, "NA")</f>
        <v>NA</v>
      </c>
      <c r="J143" s="9"/>
      <c r="K143" s="7">
        <v>0</v>
      </c>
      <c r="L143" s="8" t="str">
        <f>IFERROR(K143/K444, "NA")</f>
        <v>NA</v>
      </c>
      <c r="M143" s="9"/>
      <c r="N143" s="10">
        <f t="shared" ref="N143:N149" si="33">IFERROR(-(B143-K143), "NA")</f>
        <v>0</v>
      </c>
      <c r="O143" s="8" t="str">
        <f>IFERROR(N143/N444, "NA")</f>
        <v>NA</v>
      </c>
      <c r="P143" s="9"/>
      <c r="Q143" s="7">
        <v>0</v>
      </c>
      <c r="R143" s="8" t="str">
        <f>IFERROR(Q143/Q444, "NA")</f>
        <v>NA</v>
      </c>
      <c r="S143" s="9"/>
      <c r="T143" s="7">
        <v>0</v>
      </c>
      <c r="U143" s="8" t="str">
        <f>IFERROR(T143/T444, "NA")</f>
        <v>NA</v>
      </c>
      <c r="V143" s="9"/>
      <c r="W143" s="10">
        <f t="shared" ref="W143:W149" si="34">IFERROR(-(Q143-T143), "NA")</f>
        <v>0</v>
      </c>
      <c r="X143" s="8" t="str">
        <f>IFERROR(W143/W444, "NA")</f>
        <v>NA</v>
      </c>
      <c r="Y143" s="9"/>
      <c r="Z143" s="7">
        <v>0</v>
      </c>
      <c r="AA143" s="8" t="str">
        <f>IFERROR(Z143/Z444, "NA")</f>
        <v>NA</v>
      </c>
      <c r="AB143" s="9"/>
      <c r="AC143" s="10">
        <f t="shared" ref="AC143:AC149" si="35">IFERROR(-(Q143-Z143), "NA")</f>
        <v>0</v>
      </c>
      <c r="AD143" s="8" t="str">
        <f>IFERROR(AC143/AC444, "NA")</f>
        <v>NA</v>
      </c>
    </row>
    <row r="144" spans="1:30" ht="16.5" hidden="1" customHeight="1" x14ac:dyDescent="0.45">
      <c r="A144" s="12" t="s">
        <v>135</v>
      </c>
      <c r="B144" s="7">
        <v>0</v>
      </c>
      <c r="C144" s="8" t="str">
        <f>IFERROR(B144/B444, "NA")</f>
        <v>NA</v>
      </c>
      <c r="D144" s="9"/>
      <c r="E144" s="7">
        <v>0</v>
      </c>
      <c r="F144" s="8" t="str">
        <f>IFERROR(E144/E444, "NA")</f>
        <v>NA</v>
      </c>
      <c r="G144" s="9"/>
      <c r="H144" s="10">
        <f t="shared" si="32"/>
        <v>0</v>
      </c>
      <c r="I144" s="8" t="str">
        <f>IFERROR(H144/H444, "NA")</f>
        <v>NA</v>
      </c>
      <c r="J144" s="9"/>
      <c r="K144" s="7">
        <v>0</v>
      </c>
      <c r="L144" s="8" t="str">
        <f>IFERROR(K144/K444, "NA")</f>
        <v>NA</v>
      </c>
      <c r="M144" s="9"/>
      <c r="N144" s="10">
        <f t="shared" si="33"/>
        <v>0</v>
      </c>
      <c r="O144" s="8" t="str">
        <f>IFERROR(N144/N444, "NA")</f>
        <v>NA</v>
      </c>
      <c r="P144" s="9"/>
      <c r="Q144" s="7">
        <v>0</v>
      </c>
      <c r="R144" s="8" t="str">
        <f>IFERROR(Q144/Q444, "NA")</f>
        <v>NA</v>
      </c>
      <c r="S144" s="9"/>
      <c r="T144" s="7">
        <v>0</v>
      </c>
      <c r="U144" s="8" t="str">
        <f>IFERROR(T144/T444, "NA")</f>
        <v>NA</v>
      </c>
      <c r="V144" s="9"/>
      <c r="W144" s="10">
        <f t="shared" si="34"/>
        <v>0</v>
      </c>
      <c r="X144" s="8" t="str">
        <f>IFERROR(W144/W444, "NA")</f>
        <v>NA</v>
      </c>
      <c r="Y144" s="9"/>
      <c r="Z144" s="7">
        <v>0</v>
      </c>
      <c r="AA144" s="8" t="str">
        <f>IFERROR(Z144/Z444, "NA")</f>
        <v>NA</v>
      </c>
      <c r="AB144" s="9"/>
      <c r="AC144" s="10">
        <f t="shared" si="35"/>
        <v>0</v>
      </c>
      <c r="AD144" s="8" t="str">
        <f>IFERROR(AC144/AC444, "NA")</f>
        <v>NA</v>
      </c>
    </row>
    <row r="145" spans="1:30" ht="16.5" hidden="1" customHeight="1" x14ac:dyDescent="0.45">
      <c r="A145" s="12" t="s">
        <v>136</v>
      </c>
      <c r="B145" s="7">
        <v>0</v>
      </c>
      <c r="C145" s="8" t="str">
        <f>IFERROR(B145/B444, "NA")</f>
        <v>NA</v>
      </c>
      <c r="D145" s="9"/>
      <c r="E145" s="7">
        <v>0</v>
      </c>
      <c r="F145" s="8" t="str">
        <f>IFERROR(E145/E444, "NA")</f>
        <v>NA</v>
      </c>
      <c r="G145" s="9"/>
      <c r="H145" s="10">
        <f t="shared" si="32"/>
        <v>0</v>
      </c>
      <c r="I145" s="8" t="str">
        <f>IFERROR(H145/H444, "NA")</f>
        <v>NA</v>
      </c>
      <c r="J145" s="9"/>
      <c r="K145" s="7">
        <v>0</v>
      </c>
      <c r="L145" s="8" t="str">
        <f>IFERROR(K145/K444, "NA")</f>
        <v>NA</v>
      </c>
      <c r="M145" s="9"/>
      <c r="N145" s="10">
        <f t="shared" si="33"/>
        <v>0</v>
      </c>
      <c r="O145" s="8" t="str">
        <f>IFERROR(N145/N444, "NA")</f>
        <v>NA</v>
      </c>
      <c r="P145" s="9"/>
      <c r="Q145" s="7">
        <v>0</v>
      </c>
      <c r="R145" s="8" t="str">
        <f>IFERROR(Q145/Q444, "NA")</f>
        <v>NA</v>
      </c>
      <c r="S145" s="9"/>
      <c r="T145" s="7">
        <v>0</v>
      </c>
      <c r="U145" s="8" t="str">
        <f>IFERROR(T145/T444, "NA")</f>
        <v>NA</v>
      </c>
      <c r="V145" s="9"/>
      <c r="W145" s="10">
        <f t="shared" si="34"/>
        <v>0</v>
      </c>
      <c r="X145" s="8" t="str">
        <f>IFERROR(W145/W444, "NA")</f>
        <v>NA</v>
      </c>
      <c r="Y145" s="9"/>
      <c r="Z145" s="7">
        <v>0</v>
      </c>
      <c r="AA145" s="8" t="str">
        <f>IFERROR(Z145/Z444, "NA")</f>
        <v>NA</v>
      </c>
      <c r="AB145" s="9"/>
      <c r="AC145" s="10">
        <f t="shared" si="35"/>
        <v>0</v>
      </c>
      <c r="AD145" s="8" t="str">
        <f>IFERROR(AC145/AC444, "NA")</f>
        <v>NA</v>
      </c>
    </row>
    <row r="146" spans="1:30" ht="16.5" hidden="1" customHeight="1" x14ac:dyDescent="0.45">
      <c r="A146" s="12" t="s">
        <v>137</v>
      </c>
      <c r="B146" s="7">
        <v>0</v>
      </c>
      <c r="C146" s="8" t="str">
        <f>IFERROR(B146/B444, "NA")</f>
        <v>NA</v>
      </c>
      <c r="D146" s="9"/>
      <c r="E146" s="7">
        <v>0</v>
      </c>
      <c r="F146" s="8" t="str">
        <f>IFERROR(E146/E444, "NA")</f>
        <v>NA</v>
      </c>
      <c r="G146" s="9"/>
      <c r="H146" s="10">
        <f t="shared" si="32"/>
        <v>0</v>
      </c>
      <c r="I146" s="8" t="str">
        <f>IFERROR(H146/H444, "NA")</f>
        <v>NA</v>
      </c>
      <c r="J146" s="9"/>
      <c r="K146" s="7">
        <v>0</v>
      </c>
      <c r="L146" s="8" t="str">
        <f>IFERROR(K146/K444, "NA")</f>
        <v>NA</v>
      </c>
      <c r="M146" s="9"/>
      <c r="N146" s="10">
        <f t="shared" si="33"/>
        <v>0</v>
      </c>
      <c r="O146" s="8" t="str">
        <f>IFERROR(N146/N444, "NA")</f>
        <v>NA</v>
      </c>
      <c r="P146" s="9"/>
      <c r="Q146" s="7">
        <v>0</v>
      </c>
      <c r="R146" s="8" t="str">
        <f>IFERROR(Q146/Q444, "NA")</f>
        <v>NA</v>
      </c>
      <c r="S146" s="9"/>
      <c r="T146" s="7">
        <v>0</v>
      </c>
      <c r="U146" s="8" t="str">
        <f>IFERROR(T146/T444, "NA")</f>
        <v>NA</v>
      </c>
      <c r="V146" s="9"/>
      <c r="W146" s="10">
        <f t="shared" si="34"/>
        <v>0</v>
      </c>
      <c r="X146" s="8" t="str">
        <f>IFERROR(W146/W444, "NA")</f>
        <v>NA</v>
      </c>
      <c r="Y146" s="9"/>
      <c r="Z146" s="7">
        <v>0</v>
      </c>
      <c r="AA146" s="8" t="str">
        <f>IFERROR(Z146/Z444, "NA")</f>
        <v>NA</v>
      </c>
      <c r="AB146" s="9"/>
      <c r="AC146" s="10">
        <f t="shared" si="35"/>
        <v>0</v>
      </c>
      <c r="AD146" s="8" t="str">
        <f>IFERROR(AC146/AC444, "NA")</f>
        <v>NA</v>
      </c>
    </row>
    <row r="147" spans="1:30" ht="16.5" hidden="1" customHeight="1" x14ac:dyDescent="0.45">
      <c r="A147" s="12" t="s">
        <v>138</v>
      </c>
      <c r="B147" s="7">
        <v>0</v>
      </c>
      <c r="C147" s="8" t="str">
        <f>IFERROR(B147/B444, "NA")</f>
        <v>NA</v>
      </c>
      <c r="D147" s="9"/>
      <c r="E147" s="7">
        <v>0</v>
      </c>
      <c r="F147" s="8" t="str">
        <f>IFERROR(E147/E444, "NA")</f>
        <v>NA</v>
      </c>
      <c r="G147" s="9"/>
      <c r="H147" s="10">
        <f t="shared" si="32"/>
        <v>0</v>
      </c>
      <c r="I147" s="8" t="str">
        <f>IFERROR(H147/H444, "NA")</f>
        <v>NA</v>
      </c>
      <c r="J147" s="9"/>
      <c r="K147" s="7">
        <v>0</v>
      </c>
      <c r="L147" s="8" t="str">
        <f>IFERROR(K147/K444, "NA")</f>
        <v>NA</v>
      </c>
      <c r="M147" s="9"/>
      <c r="N147" s="10">
        <f t="shared" si="33"/>
        <v>0</v>
      </c>
      <c r="O147" s="8" t="str">
        <f>IFERROR(N147/N444, "NA")</f>
        <v>NA</v>
      </c>
      <c r="P147" s="9"/>
      <c r="Q147" s="7">
        <v>0</v>
      </c>
      <c r="R147" s="8" t="str">
        <f>IFERROR(Q147/Q444, "NA")</f>
        <v>NA</v>
      </c>
      <c r="S147" s="9"/>
      <c r="T147" s="7">
        <v>0</v>
      </c>
      <c r="U147" s="8" t="str">
        <f>IFERROR(T147/T444, "NA")</f>
        <v>NA</v>
      </c>
      <c r="V147" s="9"/>
      <c r="W147" s="10">
        <f t="shared" si="34"/>
        <v>0</v>
      </c>
      <c r="X147" s="8" t="str">
        <f>IFERROR(W147/W444, "NA")</f>
        <v>NA</v>
      </c>
      <c r="Y147" s="9"/>
      <c r="Z147" s="7">
        <v>0</v>
      </c>
      <c r="AA147" s="8" t="str">
        <f>IFERROR(Z147/Z444, "NA")</f>
        <v>NA</v>
      </c>
      <c r="AB147" s="9"/>
      <c r="AC147" s="10">
        <f t="shared" si="35"/>
        <v>0</v>
      </c>
      <c r="AD147" s="8" t="str">
        <f>IFERROR(AC147/AC444, "NA")</f>
        <v>NA</v>
      </c>
    </row>
    <row r="148" spans="1:30" ht="16.5" customHeight="1" x14ac:dyDescent="0.45">
      <c r="A148" s="13" t="s">
        <v>139</v>
      </c>
      <c r="B148" s="14">
        <f>IFERROR(B143+B144+B145+B146+B147, "NA")</f>
        <v>0</v>
      </c>
      <c r="C148" s="15" t="str">
        <f>IFERROR(B148/B444, "NA")</f>
        <v>NA</v>
      </c>
      <c r="D148" s="2"/>
      <c r="E148" s="14">
        <f>IFERROR(E143+E144+E145+E146+E147, "NA")</f>
        <v>0</v>
      </c>
      <c r="F148" s="15" t="str">
        <f>IFERROR(E148/E444, "NA")</f>
        <v>NA</v>
      </c>
      <c r="G148" s="2"/>
      <c r="H148" s="14">
        <f t="shared" si="32"/>
        <v>0</v>
      </c>
      <c r="I148" s="15" t="str">
        <f>IFERROR(H148/H444, "NA")</f>
        <v>NA</v>
      </c>
      <c r="J148" s="2"/>
      <c r="K148" s="14">
        <f>IFERROR(K143+K144+K145+K146+K147, "NA")</f>
        <v>0</v>
      </c>
      <c r="L148" s="15" t="str">
        <f>IFERROR(K148/K444, "NA")</f>
        <v>NA</v>
      </c>
      <c r="M148" s="2"/>
      <c r="N148" s="14">
        <f t="shared" si="33"/>
        <v>0</v>
      </c>
      <c r="O148" s="15" t="str">
        <f>IFERROR(N148/N444, "NA")</f>
        <v>NA</v>
      </c>
      <c r="P148" s="2"/>
      <c r="Q148" s="14">
        <f>IFERROR(Q143+Q144+Q145+Q146+Q147, "NA")</f>
        <v>0</v>
      </c>
      <c r="R148" s="15" t="str">
        <f>IFERROR(Q148/Q444, "NA")</f>
        <v>NA</v>
      </c>
      <c r="S148" s="2"/>
      <c r="T148" s="14">
        <f>IFERROR(T143+T144+T145+T146+T147, "NA")</f>
        <v>0</v>
      </c>
      <c r="U148" s="15" t="str">
        <f>IFERROR(T148/T444, "NA")</f>
        <v>NA</v>
      </c>
      <c r="V148" s="2"/>
      <c r="W148" s="14">
        <f t="shared" si="34"/>
        <v>0</v>
      </c>
      <c r="X148" s="15" t="str">
        <f>IFERROR(W148/W444, "NA")</f>
        <v>NA</v>
      </c>
      <c r="Y148" s="2"/>
      <c r="Z148" s="14">
        <f>IFERROR(Z143+Z144+Z145+Z146+Z147, "NA")</f>
        <v>0</v>
      </c>
      <c r="AA148" s="15" t="str">
        <f>IFERROR(Z148/Z444, "NA")</f>
        <v>NA</v>
      </c>
      <c r="AB148" s="2"/>
      <c r="AC148" s="14">
        <f t="shared" si="35"/>
        <v>0</v>
      </c>
      <c r="AD148" s="15" t="str">
        <f>IFERROR(AC148/AC444, "NA")</f>
        <v>NA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0</v>
      </c>
      <c r="C149" s="15" t="str">
        <f>IFERROR(B149/B444, "NA")</f>
        <v>NA</v>
      </c>
      <c r="D149" s="2"/>
      <c r="E149" s="14">
        <f>IFERROR(E127+E129+E130+E131+E132+E133+E134+E135+E136+E137+E138+E139+E140+E143+E144+E145+E146+E147, "NA")</f>
        <v>0</v>
      </c>
      <c r="F149" s="15" t="str">
        <f>IFERROR(E149/E444, "NA")</f>
        <v>NA</v>
      </c>
      <c r="G149" s="2"/>
      <c r="H149" s="14">
        <f t="shared" si="32"/>
        <v>0</v>
      </c>
      <c r="I149" s="15" t="str">
        <f>IFERROR(H149/H444, "NA")</f>
        <v>NA</v>
      </c>
      <c r="J149" s="2"/>
      <c r="K149" s="14">
        <f>IFERROR(K127+K129+K130+K131+K132+K133+K134+K135+K136+K137+K138+K139+K140+K143+K144+K145+K146+K147, "NA")</f>
        <v>0</v>
      </c>
      <c r="L149" s="15" t="str">
        <f>IFERROR(K149/K444, "NA")</f>
        <v>NA</v>
      </c>
      <c r="M149" s="2"/>
      <c r="N149" s="14">
        <f t="shared" si="33"/>
        <v>0</v>
      </c>
      <c r="O149" s="15" t="str">
        <f>IFERROR(N149/N444, "NA")</f>
        <v>NA</v>
      </c>
      <c r="P149" s="2"/>
      <c r="Q149" s="14">
        <f>IFERROR(Q127+Q129+Q130+Q131+Q132+Q133+Q134+Q135+Q136+Q137+Q138+Q139+Q140+Q143+Q144+Q145+Q146+Q147, "NA")</f>
        <v>0</v>
      </c>
      <c r="R149" s="15" t="str">
        <f>IFERROR(Q149/Q444, "NA")</f>
        <v>NA</v>
      </c>
      <c r="S149" s="2"/>
      <c r="T149" s="14">
        <f>IFERROR(T127+T129+T130+T131+T132+T133+T134+T135+T136+T137+T138+T139+T140+T143+T144+T145+T146+T147, "NA")</f>
        <v>0</v>
      </c>
      <c r="U149" s="15" t="str">
        <f>IFERROR(T149/T444, "NA")</f>
        <v>NA</v>
      </c>
      <c r="V149" s="2"/>
      <c r="W149" s="14">
        <f t="shared" si="34"/>
        <v>0</v>
      </c>
      <c r="X149" s="15" t="str">
        <f>IFERROR(W149/W444, "NA")</f>
        <v>NA</v>
      </c>
      <c r="Y149" s="2"/>
      <c r="Z149" s="14">
        <f>IFERROR(Z127+Z129+Z130+Z131+Z132+Z133+Z134+Z135+Z136+Z137+Z138+Z139+Z140+Z143+Z144+Z145+Z146+Z147, "NA")</f>
        <v>0</v>
      </c>
      <c r="AA149" s="15" t="str">
        <f>IFERROR(Z149/Z444, "NA")</f>
        <v>NA</v>
      </c>
      <c r="AB149" s="2"/>
      <c r="AC149" s="14">
        <f t="shared" si="35"/>
        <v>0</v>
      </c>
      <c r="AD149" s="15" t="str">
        <f>IFERROR(AC149/AC444, "NA")</f>
        <v>NA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 t="str">
        <f>IFERROR(B151/B444, "NA")</f>
        <v>NA</v>
      </c>
      <c r="D151" s="9"/>
      <c r="E151" s="7">
        <v>0</v>
      </c>
      <c r="F151" s="8" t="str">
        <f>IFERROR(E151/E444, "NA")</f>
        <v>NA</v>
      </c>
      <c r="G151" s="9"/>
      <c r="H151" s="10">
        <f>IFERROR(-(B151-E151), "NA")</f>
        <v>0</v>
      </c>
      <c r="I151" s="8" t="str">
        <f>IFERROR(H151/H444, "NA")</f>
        <v>NA</v>
      </c>
      <c r="J151" s="9"/>
      <c r="K151" s="7">
        <v>0</v>
      </c>
      <c r="L151" s="8" t="str">
        <f>IFERROR(K151/K444, "NA")</f>
        <v>NA</v>
      </c>
      <c r="M151" s="9"/>
      <c r="N151" s="10">
        <f>IFERROR(-(B151-K151), "NA")</f>
        <v>0</v>
      </c>
      <c r="O151" s="8" t="str">
        <f>IFERROR(N151/N444, "NA")</f>
        <v>NA</v>
      </c>
      <c r="P151" s="9"/>
      <c r="Q151" s="7">
        <v>0</v>
      </c>
      <c r="R151" s="8" t="str">
        <f>IFERROR(Q151/Q444, "NA")</f>
        <v>NA</v>
      </c>
      <c r="S151" s="9"/>
      <c r="T151" s="7">
        <v>0</v>
      </c>
      <c r="U151" s="8" t="str">
        <f>IFERROR(T151/T444, "NA")</f>
        <v>NA</v>
      </c>
      <c r="V151" s="9"/>
      <c r="W151" s="10">
        <f>IFERROR(-(Q151-T151), "NA")</f>
        <v>0</v>
      </c>
      <c r="X151" s="8" t="str">
        <f>IFERROR(W151/W444, "NA")</f>
        <v>NA</v>
      </c>
      <c r="Y151" s="9"/>
      <c r="Z151" s="7">
        <v>0</v>
      </c>
      <c r="AA151" s="8" t="str">
        <f>IFERROR(Z151/Z444, "NA")</f>
        <v>NA</v>
      </c>
      <c r="AB151" s="9"/>
      <c r="AC151" s="10">
        <f>IFERROR(-(Q151-Z151), "NA")</f>
        <v>0</v>
      </c>
      <c r="AD151" s="8" t="str">
        <f>IFERROR(AC151/AC444, "NA")</f>
        <v>NA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hidden="1" customHeight="1" x14ac:dyDescent="0.45">
      <c r="A153" s="12" t="s">
        <v>142</v>
      </c>
      <c r="B153" s="7">
        <v>0</v>
      </c>
      <c r="C153" s="8" t="str">
        <f>IFERROR(B153/B444, "NA")</f>
        <v>NA</v>
      </c>
      <c r="D153" s="9"/>
      <c r="E153" s="7">
        <v>0</v>
      </c>
      <c r="F153" s="8" t="str">
        <f>IFERROR(E153/E444, "NA")</f>
        <v>NA</v>
      </c>
      <c r="G153" s="9"/>
      <c r="H153" s="10">
        <f t="shared" ref="H153:H158" si="36">IFERROR(-(B153-E153), "NA")</f>
        <v>0</v>
      </c>
      <c r="I153" s="8" t="str">
        <f>IFERROR(H153/H444, "NA")</f>
        <v>NA</v>
      </c>
      <c r="J153" s="9"/>
      <c r="K153" s="7">
        <v>0</v>
      </c>
      <c r="L153" s="8" t="str">
        <f>IFERROR(K153/K444, "NA")</f>
        <v>NA</v>
      </c>
      <c r="M153" s="9"/>
      <c r="N153" s="10">
        <f t="shared" ref="N153:N158" si="37">IFERROR(-(B153-K153), "NA")</f>
        <v>0</v>
      </c>
      <c r="O153" s="8" t="str">
        <f>IFERROR(N153/N444, "NA")</f>
        <v>NA</v>
      </c>
      <c r="P153" s="9"/>
      <c r="Q153" s="7">
        <v>0</v>
      </c>
      <c r="R153" s="8" t="str">
        <f>IFERROR(Q153/Q444, "NA")</f>
        <v>NA</v>
      </c>
      <c r="S153" s="9"/>
      <c r="T153" s="7">
        <v>0</v>
      </c>
      <c r="U153" s="8" t="str">
        <f>IFERROR(T153/T444, "NA")</f>
        <v>NA</v>
      </c>
      <c r="V153" s="9"/>
      <c r="W153" s="10">
        <f t="shared" ref="W153:W158" si="38">IFERROR(-(Q153-T153), "NA")</f>
        <v>0</v>
      </c>
      <c r="X153" s="8" t="str">
        <f>IFERROR(W153/W444, "NA")</f>
        <v>NA</v>
      </c>
      <c r="Y153" s="9"/>
      <c r="Z153" s="7">
        <v>0</v>
      </c>
      <c r="AA153" s="8" t="str">
        <f>IFERROR(Z153/Z444, "NA")</f>
        <v>NA</v>
      </c>
      <c r="AB153" s="9"/>
      <c r="AC153" s="10">
        <f t="shared" ref="AC153:AC158" si="39">IFERROR(-(Q153-Z153), "NA")</f>
        <v>0</v>
      </c>
      <c r="AD153" s="8" t="str">
        <f>IFERROR(AC153/AC444, "NA")</f>
        <v>NA</v>
      </c>
    </row>
    <row r="154" spans="1:30" ht="16.5" hidden="1" customHeight="1" x14ac:dyDescent="0.45">
      <c r="A154" s="12" t="s">
        <v>143</v>
      </c>
      <c r="B154" s="7">
        <v>0</v>
      </c>
      <c r="C154" s="8" t="str">
        <f>IFERROR(B154/B444, "NA")</f>
        <v>NA</v>
      </c>
      <c r="D154" s="9"/>
      <c r="E154" s="7">
        <v>0</v>
      </c>
      <c r="F154" s="8" t="str">
        <f>IFERROR(E154/E444, "NA")</f>
        <v>NA</v>
      </c>
      <c r="G154" s="9"/>
      <c r="H154" s="10">
        <f t="shared" si="36"/>
        <v>0</v>
      </c>
      <c r="I154" s="8" t="str">
        <f>IFERROR(H154/H444, "NA")</f>
        <v>NA</v>
      </c>
      <c r="J154" s="9"/>
      <c r="K154" s="7">
        <v>0</v>
      </c>
      <c r="L154" s="8" t="str">
        <f>IFERROR(K154/K444, "NA")</f>
        <v>NA</v>
      </c>
      <c r="M154" s="9"/>
      <c r="N154" s="10">
        <f t="shared" si="37"/>
        <v>0</v>
      </c>
      <c r="O154" s="8" t="str">
        <f>IFERROR(N154/N444, "NA")</f>
        <v>NA</v>
      </c>
      <c r="P154" s="9"/>
      <c r="Q154" s="7">
        <v>0</v>
      </c>
      <c r="R154" s="8" t="str">
        <f>IFERROR(Q154/Q444, "NA")</f>
        <v>NA</v>
      </c>
      <c r="S154" s="9"/>
      <c r="T154" s="7">
        <v>0</v>
      </c>
      <c r="U154" s="8" t="str">
        <f>IFERROR(T154/T444, "NA")</f>
        <v>NA</v>
      </c>
      <c r="V154" s="9"/>
      <c r="W154" s="10">
        <f t="shared" si="38"/>
        <v>0</v>
      </c>
      <c r="X154" s="8" t="str">
        <f>IFERROR(W154/W444, "NA")</f>
        <v>NA</v>
      </c>
      <c r="Y154" s="9"/>
      <c r="Z154" s="7">
        <v>0</v>
      </c>
      <c r="AA154" s="8" t="str">
        <f>IFERROR(Z154/Z444, "NA")</f>
        <v>NA</v>
      </c>
      <c r="AB154" s="9"/>
      <c r="AC154" s="10">
        <f t="shared" si="39"/>
        <v>0</v>
      </c>
      <c r="AD154" s="8" t="str">
        <f>IFERROR(AC154/AC444, "NA")</f>
        <v>NA</v>
      </c>
    </row>
    <row r="155" spans="1:30" ht="16.5" hidden="1" customHeight="1" x14ac:dyDescent="0.45">
      <c r="A155" s="12" t="s">
        <v>144</v>
      </c>
      <c r="B155" s="7">
        <v>0</v>
      </c>
      <c r="C155" s="8" t="str">
        <f>IFERROR(B155/B444, "NA")</f>
        <v>NA</v>
      </c>
      <c r="D155" s="9"/>
      <c r="E155" s="7">
        <v>0</v>
      </c>
      <c r="F155" s="8" t="str">
        <f>IFERROR(E155/E444, "NA")</f>
        <v>NA</v>
      </c>
      <c r="G155" s="9"/>
      <c r="H155" s="10">
        <f t="shared" si="36"/>
        <v>0</v>
      </c>
      <c r="I155" s="8" t="str">
        <f>IFERROR(H155/H444, "NA")</f>
        <v>NA</v>
      </c>
      <c r="J155" s="9"/>
      <c r="K155" s="7">
        <v>0</v>
      </c>
      <c r="L155" s="8" t="str">
        <f>IFERROR(K155/K444, "NA")</f>
        <v>NA</v>
      </c>
      <c r="M155" s="9"/>
      <c r="N155" s="10">
        <f t="shared" si="37"/>
        <v>0</v>
      </c>
      <c r="O155" s="8" t="str">
        <f>IFERROR(N155/N444, "NA")</f>
        <v>NA</v>
      </c>
      <c r="P155" s="9"/>
      <c r="Q155" s="7">
        <v>0</v>
      </c>
      <c r="R155" s="8" t="str">
        <f>IFERROR(Q155/Q444, "NA")</f>
        <v>NA</v>
      </c>
      <c r="S155" s="9"/>
      <c r="T155" s="7">
        <v>0</v>
      </c>
      <c r="U155" s="8" t="str">
        <f>IFERROR(T155/T444, "NA")</f>
        <v>NA</v>
      </c>
      <c r="V155" s="9"/>
      <c r="W155" s="10">
        <f t="shared" si="38"/>
        <v>0</v>
      </c>
      <c r="X155" s="8" t="str">
        <f>IFERROR(W155/W444, "NA")</f>
        <v>NA</v>
      </c>
      <c r="Y155" s="9"/>
      <c r="Z155" s="7">
        <v>0</v>
      </c>
      <c r="AA155" s="8" t="str">
        <f>IFERROR(Z155/Z444, "NA")</f>
        <v>NA</v>
      </c>
      <c r="AB155" s="9"/>
      <c r="AC155" s="10">
        <f t="shared" si="39"/>
        <v>0</v>
      </c>
      <c r="AD155" s="8" t="str">
        <f>IFERROR(AC155/AC444, "NA")</f>
        <v>NA</v>
      </c>
    </row>
    <row r="156" spans="1:30" ht="16.5" hidden="1" customHeight="1" x14ac:dyDescent="0.45">
      <c r="A156" s="12" t="s">
        <v>145</v>
      </c>
      <c r="B156" s="7">
        <v>0</v>
      </c>
      <c r="C156" s="8" t="str">
        <f>IFERROR(B156/B444, "NA")</f>
        <v>NA</v>
      </c>
      <c r="D156" s="9"/>
      <c r="E156" s="7">
        <v>0</v>
      </c>
      <c r="F156" s="8" t="str">
        <f>IFERROR(E156/E444, "NA")</f>
        <v>NA</v>
      </c>
      <c r="G156" s="9"/>
      <c r="H156" s="10">
        <f t="shared" si="36"/>
        <v>0</v>
      </c>
      <c r="I156" s="8" t="str">
        <f>IFERROR(H156/H444, "NA")</f>
        <v>NA</v>
      </c>
      <c r="J156" s="9"/>
      <c r="K156" s="7">
        <v>0</v>
      </c>
      <c r="L156" s="8" t="str">
        <f>IFERROR(K156/K444, "NA")</f>
        <v>NA</v>
      </c>
      <c r="M156" s="9"/>
      <c r="N156" s="10">
        <f t="shared" si="37"/>
        <v>0</v>
      </c>
      <c r="O156" s="8" t="str">
        <f>IFERROR(N156/N444, "NA")</f>
        <v>NA</v>
      </c>
      <c r="P156" s="9"/>
      <c r="Q156" s="7">
        <v>0</v>
      </c>
      <c r="R156" s="8" t="str">
        <f>IFERROR(Q156/Q444, "NA")</f>
        <v>NA</v>
      </c>
      <c r="S156" s="9"/>
      <c r="T156" s="7">
        <v>0</v>
      </c>
      <c r="U156" s="8" t="str">
        <f>IFERROR(T156/T444, "NA")</f>
        <v>NA</v>
      </c>
      <c r="V156" s="9"/>
      <c r="W156" s="10">
        <f t="shared" si="38"/>
        <v>0</v>
      </c>
      <c r="X156" s="8" t="str">
        <f>IFERROR(W156/W444, "NA")</f>
        <v>NA</v>
      </c>
      <c r="Y156" s="9"/>
      <c r="Z156" s="7">
        <v>0</v>
      </c>
      <c r="AA156" s="8" t="str">
        <f>IFERROR(Z156/Z444, "NA")</f>
        <v>NA</v>
      </c>
      <c r="AB156" s="9"/>
      <c r="AC156" s="10">
        <f t="shared" si="39"/>
        <v>0</v>
      </c>
      <c r="AD156" s="8" t="str">
        <f>IFERROR(AC156/AC444, "NA")</f>
        <v>NA</v>
      </c>
    </row>
    <row r="157" spans="1:30" ht="16.5" hidden="1" customHeight="1" x14ac:dyDescent="0.45">
      <c r="A157" s="12" t="s">
        <v>146</v>
      </c>
      <c r="B157" s="7">
        <v>0</v>
      </c>
      <c r="C157" s="8" t="str">
        <f>IFERROR(B157/B444, "NA")</f>
        <v>NA</v>
      </c>
      <c r="D157" s="9"/>
      <c r="E157" s="7">
        <v>0</v>
      </c>
      <c r="F157" s="8" t="str">
        <f>IFERROR(E157/E444, "NA")</f>
        <v>NA</v>
      </c>
      <c r="G157" s="9"/>
      <c r="H157" s="10">
        <f t="shared" si="36"/>
        <v>0</v>
      </c>
      <c r="I157" s="8" t="str">
        <f>IFERROR(H157/H444, "NA")</f>
        <v>NA</v>
      </c>
      <c r="J157" s="9"/>
      <c r="K157" s="7">
        <v>0</v>
      </c>
      <c r="L157" s="8" t="str">
        <f>IFERROR(K157/K444, "NA")</f>
        <v>NA</v>
      </c>
      <c r="M157" s="9"/>
      <c r="N157" s="10">
        <f t="shared" si="37"/>
        <v>0</v>
      </c>
      <c r="O157" s="8" t="str">
        <f>IFERROR(N157/N444, "NA")</f>
        <v>NA</v>
      </c>
      <c r="P157" s="9"/>
      <c r="Q157" s="7">
        <v>0</v>
      </c>
      <c r="R157" s="8" t="str">
        <f>IFERROR(Q157/Q444, "NA")</f>
        <v>NA</v>
      </c>
      <c r="S157" s="9"/>
      <c r="T157" s="7">
        <v>0</v>
      </c>
      <c r="U157" s="8" t="str">
        <f>IFERROR(T157/T444, "NA")</f>
        <v>NA</v>
      </c>
      <c r="V157" s="9"/>
      <c r="W157" s="10">
        <f t="shared" si="38"/>
        <v>0</v>
      </c>
      <c r="X157" s="8" t="str">
        <f>IFERROR(W157/W444, "NA")</f>
        <v>NA</v>
      </c>
      <c r="Y157" s="9"/>
      <c r="Z157" s="7">
        <v>0</v>
      </c>
      <c r="AA157" s="8" t="str">
        <f>IFERROR(Z157/Z444, "NA")</f>
        <v>NA</v>
      </c>
      <c r="AB157" s="9"/>
      <c r="AC157" s="10">
        <f t="shared" si="39"/>
        <v>0</v>
      </c>
      <c r="AD157" s="8" t="str">
        <f>IFERROR(AC157/AC444, "NA")</f>
        <v>NA</v>
      </c>
    </row>
    <row r="158" spans="1:30" ht="16.5" customHeight="1" x14ac:dyDescent="0.45">
      <c r="A158" s="13" t="s">
        <v>147</v>
      </c>
      <c r="B158" s="14">
        <f>IFERROR(B153+B154+B155+B156+B157, "NA")</f>
        <v>0</v>
      </c>
      <c r="C158" s="15" t="str">
        <f>IFERROR(B158/B444, "NA")</f>
        <v>NA</v>
      </c>
      <c r="D158" s="2"/>
      <c r="E158" s="14">
        <f>IFERROR(E153+E154+E155+E156+E157, "NA")</f>
        <v>0</v>
      </c>
      <c r="F158" s="15" t="str">
        <f>IFERROR(E158/E444, "NA")</f>
        <v>NA</v>
      </c>
      <c r="G158" s="2"/>
      <c r="H158" s="14">
        <f t="shared" si="36"/>
        <v>0</v>
      </c>
      <c r="I158" s="15" t="str">
        <f>IFERROR(H158/H444, "NA")</f>
        <v>NA</v>
      </c>
      <c r="J158" s="2"/>
      <c r="K158" s="14">
        <f>IFERROR(K153+K154+K155+K156+K157, "NA")</f>
        <v>0</v>
      </c>
      <c r="L158" s="15" t="str">
        <f>IFERROR(K158/K444, "NA")</f>
        <v>NA</v>
      </c>
      <c r="M158" s="2"/>
      <c r="N158" s="14">
        <f t="shared" si="37"/>
        <v>0</v>
      </c>
      <c r="O158" s="15" t="str">
        <f>IFERROR(N158/N444, "NA")</f>
        <v>NA</v>
      </c>
      <c r="P158" s="2"/>
      <c r="Q158" s="14">
        <f>IFERROR(Q153+Q154+Q155+Q156+Q157, "NA")</f>
        <v>0</v>
      </c>
      <c r="R158" s="15" t="str">
        <f>IFERROR(Q158/Q444, "NA")</f>
        <v>NA</v>
      </c>
      <c r="S158" s="2"/>
      <c r="T158" s="14">
        <f>IFERROR(T153+T154+T155+T156+T157, "NA")</f>
        <v>0</v>
      </c>
      <c r="U158" s="15" t="str">
        <f>IFERROR(T158/T444, "NA")</f>
        <v>NA</v>
      </c>
      <c r="V158" s="2"/>
      <c r="W158" s="14">
        <f t="shared" si="38"/>
        <v>0</v>
      </c>
      <c r="X158" s="15" t="str">
        <f>IFERROR(W158/W444, "NA")</f>
        <v>NA</v>
      </c>
      <c r="Y158" s="2"/>
      <c r="Z158" s="14">
        <f>IFERROR(Z153+Z154+Z155+Z156+Z157, "NA")</f>
        <v>0</v>
      </c>
      <c r="AA158" s="15" t="str">
        <f>IFERROR(Z158/Z444, "NA")</f>
        <v>NA</v>
      </c>
      <c r="AB158" s="2"/>
      <c r="AC158" s="14">
        <f t="shared" si="39"/>
        <v>0</v>
      </c>
      <c r="AD158" s="15" t="str">
        <f>IFERROR(AC158/AC444, "NA")</f>
        <v>NA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 t="str">
        <f>IFERROR(B160/B444, "NA")</f>
        <v>NA</v>
      </c>
      <c r="D160" s="9"/>
      <c r="E160" s="7">
        <v>0</v>
      </c>
      <c r="F160" s="8" t="str">
        <f>IFERROR(E160/E444, "NA")</f>
        <v>NA</v>
      </c>
      <c r="G160" s="9"/>
      <c r="H160" s="10">
        <f t="shared" ref="H160:H171" si="40">IFERROR(-(B160-E160), "NA")</f>
        <v>0</v>
      </c>
      <c r="I160" s="8" t="str">
        <f>IFERROR(H160/H444, "NA")</f>
        <v>NA</v>
      </c>
      <c r="J160" s="9"/>
      <c r="K160" s="7">
        <v>0</v>
      </c>
      <c r="L160" s="8" t="str">
        <f>IFERROR(K160/K444, "NA")</f>
        <v>NA</v>
      </c>
      <c r="M160" s="9"/>
      <c r="N160" s="10">
        <f t="shared" ref="N160:N171" si="41">IFERROR(-(B160-K160), "NA")</f>
        <v>0</v>
      </c>
      <c r="O160" s="8" t="str">
        <f>IFERROR(N160/N444, "NA")</f>
        <v>NA</v>
      </c>
      <c r="P160" s="9"/>
      <c r="Q160" s="7">
        <v>0</v>
      </c>
      <c r="R160" s="8" t="str">
        <f>IFERROR(Q160/Q444, "NA")</f>
        <v>NA</v>
      </c>
      <c r="S160" s="9"/>
      <c r="T160" s="7">
        <v>0</v>
      </c>
      <c r="U160" s="8" t="str">
        <f>IFERROR(T160/T444, "NA")</f>
        <v>NA</v>
      </c>
      <c r="V160" s="9"/>
      <c r="W160" s="10">
        <f t="shared" ref="W160:W171" si="42">IFERROR(-(Q160-T160), "NA")</f>
        <v>0</v>
      </c>
      <c r="X160" s="8" t="str">
        <f>IFERROR(W160/W444, "NA")</f>
        <v>NA</v>
      </c>
      <c r="Y160" s="9"/>
      <c r="Z160" s="7">
        <v>0</v>
      </c>
      <c r="AA160" s="8" t="str">
        <f>IFERROR(Z160/Z444, "NA")</f>
        <v>NA</v>
      </c>
      <c r="AB160" s="9"/>
      <c r="AC160" s="10">
        <f t="shared" ref="AC160:AC171" si="43">IFERROR(-(Q160-Z160), "NA")</f>
        <v>0</v>
      </c>
      <c r="AD160" s="8" t="str">
        <f>IFERROR(AC160/AC444, "NA")</f>
        <v>NA</v>
      </c>
    </row>
    <row r="161" spans="1:30" ht="16.5" hidden="1" customHeight="1" x14ac:dyDescent="0.45">
      <c r="A161" s="12" t="s">
        <v>149</v>
      </c>
      <c r="B161" s="7">
        <v>0</v>
      </c>
      <c r="C161" s="8" t="str">
        <f>IFERROR(B161/B444, "NA")</f>
        <v>NA</v>
      </c>
      <c r="D161" s="9"/>
      <c r="E161" s="7">
        <v>0</v>
      </c>
      <c r="F161" s="8" t="str">
        <f>IFERROR(E161/E444, "NA")</f>
        <v>NA</v>
      </c>
      <c r="G161" s="9"/>
      <c r="H161" s="10">
        <f t="shared" si="40"/>
        <v>0</v>
      </c>
      <c r="I161" s="8" t="str">
        <f>IFERROR(H161/H444, "NA")</f>
        <v>NA</v>
      </c>
      <c r="J161" s="9"/>
      <c r="K161" s="7">
        <v>0</v>
      </c>
      <c r="L161" s="8" t="str">
        <f>IFERROR(K161/K444, "NA")</f>
        <v>NA</v>
      </c>
      <c r="M161" s="9"/>
      <c r="N161" s="10">
        <f t="shared" si="41"/>
        <v>0</v>
      </c>
      <c r="O161" s="8" t="str">
        <f>IFERROR(N161/N444, "NA")</f>
        <v>NA</v>
      </c>
      <c r="P161" s="9"/>
      <c r="Q161" s="7">
        <v>0</v>
      </c>
      <c r="R161" s="8" t="str">
        <f>IFERROR(Q161/Q444, "NA")</f>
        <v>NA</v>
      </c>
      <c r="S161" s="9"/>
      <c r="T161" s="7">
        <v>0</v>
      </c>
      <c r="U161" s="8" t="str">
        <f>IFERROR(T161/T444, "NA")</f>
        <v>NA</v>
      </c>
      <c r="V161" s="9"/>
      <c r="W161" s="10">
        <f t="shared" si="42"/>
        <v>0</v>
      </c>
      <c r="X161" s="8" t="str">
        <f>IFERROR(W161/W444, "NA")</f>
        <v>NA</v>
      </c>
      <c r="Y161" s="9"/>
      <c r="Z161" s="7">
        <v>0</v>
      </c>
      <c r="AA161" s="8" t="str">
        <f>IFERROR(Z161/Z444, "NA")</f>
        <v>NA</v>
      </c>
      <c r="AB161" s="9"/>
      <c r="AC161" s="10">
        <f t="shared" si="43"/>
        <v>0</v>
      </c>
      <c r="AD161" s="8" t="str">
        <f>IFERROR(AC161/AC444, "NA")</f>
        <v>NA</v>
      </c>
    </row>
    <row r="162" spans="1:30" ht="16.5" hidden="1" customHeight="1" x14ac:dyDescent="0.45">
      <c r="A162" s="12" t="s">
        <v>150</v>
      </c>
      <c r="B162" s="7">
        <v>0</v>
      </c>
      <c r="C162" s="8" t="str">
        <f>IFERROR(B162/B444, "NA")</f>
        <v>NA</v>
      </c>
      <c r="D162" s="9"/>
      <c r="E162" s="7">
        <v>0</v>
      </c>
      <c r="F162" s="8" t="str">
        <f>IFERROR(E162/E444, "NA")</f>
        <v>NA</v>
      </c>
      <c r="G162" s="9"/>
      <c r="H162" s="10">
        <f t="shared" si="40"/>
        <v>0</v>
      </c>
      <c r="I162" s="8" t="str">
        <f>IFERROR(H162/H444, "NA")</f>
        <v>NA</v>
      </c>
      <c r="J162" s="9"/>
      <c r="K162" s="7">
        <v>0</v>
      </c>
      <c r="L162" s="8" t="str">
        <f>IFERROR(K162/K444, "NA")</f>
        <v>NA</v>
      </c>
      <c r="M162" s="9"/>
      <c r="N162" s="10">
        <f t="shared" si="41"/>
        <v>0</v>
      </c>
      <c r="O162" s="8" t="str">
        <f>IFERROR(N162/N444, "NA")</f>
        <v>NA</v>
      </c>
      <c r="P162" s="9"/>
      <c r="Q162" s="7">
        <v>0</v>
      </c>
      <c r="R162" s="8" t="str">
        <f>IFERROR(Q162/Q444, "NA")</f>
        <v>NA</v>
      </c>
      <c r="S162" s="9"/>
      <c r="T162" s="7">
        <v>0</v>
      </c>
      <c r="U162" s="8" t="str">
        <f>IFERROR(T162/T444, "NA")</f>
        <v>NA</v>
      </c>
      <c r="V162" s="9"/>
      <c r="W162" s="10">
        <f t="shared" si="42"/>
        <v>0</v>
      </c>
      <c r="X162" s="8" t="str">
        <f>IFERROR(W162/W444, "NA")</f>
        <v>NA</v>
      </c>
      <c r="Y162" s="9"/>
      <c r="Z162" s="7">
        <v>0</v>
      </c>
      <c r="AA162" s="8" t="str">
        <f>IFERROR(Z162/Z444, "NA")</f>
        <v>NA</v>
      </c>
      <c r="AB162" s="9"/>
      <c r="AC162" s="10">
        <f t="shared" si="43"/>
        <v>0</v>
      </c>
      <c r="AD162" s="8" t="str">
        <f>IFERROR(AC162/AC444, "NA")</f>
        <v>NA</v>
      </c>
    </row>
    <row r="163" spans="1:30" ht="16.5" hidden="1" customHeight="1" x14ac:dyDescent="0.45">
      <c r="A163" s="12" t="s">
        <v>151</v>
      </c>
      <c r="B163" s="7">
        <v>0</v>
      </c>
      <c r="C163" s="8" t="str">
        <f>IFERROR(B163/B444, "NA")</f>
        <v>NA</v>
      </c>
      <c r="D163" s="9"/>
      <c r="E163" s="7">
        <v>0</v>
      </c>
      <c r="F163" s="8" t="str">
        <f>IFERROR(E163/E444, "NA")</f>
        <v>NA</v>
      </c>
      <c r="G163" s="9"/>
      <c r="H163" s="10">
        <f t="shared" si="40"/>
        <v>0</v>
      </c>
      <c r="I163" s="8" t="str">
        <f>IFERROR(H163/H444, "NA")</f>
        <v>NA</v>
      </c>
      <c r="J163" s="9"/>
      <c r="K163" s="7">
        <v>0</v>
      </c>
      <c r="L163" s="8" t="str">
        <f>IFERROR(K163/K444, "NA")</f>
        <v>NA</v>
      </c>
      <c r="M163" s="9"/>
      <c r="N163" s="10">
        <f t="shared" si="41"/>
        <v>0</v>
      </c>
      <c r="O163" s="8" t="str">
        <f>IFERROR(N163/N444, "NA")</f>
        <v>NA</v>
      </c>
      <c r="P163" s="9"/>
      <c r="Q163" s="7">
        <v>0</v>
      </c>
      <c r="R163" s="8" t="str">
        <f>IFERROR(Q163/Q444, "NA")</f>
        <v>NA</v>
      </c>
      <c r="S163" s="9"/>
      <c r="T163" s="7">
        <v>0</v>
      </c>
      <c r="U163" s="8" t="str">
        <f>IFERROR(T163/T444, "NA")</f>
        <v>NA</v>
      </c>
      <c r="V163" s="9"/>
      <c r="W163" s="10">
        <f t="shared" si="42"/>
        <v>0</v>
      </c>
      <c r="X163" s="8" t="str">
        <f>IFERROR(W163/W444, "NA")</f>
        <v>NA</v>
      </c>
      <c r="Y163" s="9"/>
      <c r="Z163" s="7">
        <v>0</v>
      </c>
      <c r="AA163" s="8" t="str">
        <f>IFERROR(Z163/Z444, "NA")</f>
        <v>NA</v>
      </c>
      <c r="AB163" s="9"/>
      <c r="AC163" s="10">
        <f t="shared" si="43"/>
        <v>0</v>
      </c>
      <c r="AD163" s="8" t="str">
        <f>IFERROR(AC163/AC444, "NA")</f>
        <v>NA</v>
      </c>
    </row>
    <row r="164" spans="1:30" ht="16.5" hidden="1" customHeight="1" x14ac:dyDescent="0.45">
      <c r="A164" s="12" t="s">
        <v>152</v>
      </c>
      <c r="B164" s="7">
        <v>0</v>
      </c>
      <c r="C164" s="8" t="str">
        <f>IFERROR(B164/B444, "NA")</f>
        <v>NA</v>
      </c>
      <c r="D164" s="9"/>
      <c r="E164" s="7">
        <v>0</v>
      </c>
      <c r="F164" s="8" t="str">
        <f>IFERROR(E164/E444, "NA")</f>
        <v>NA</v>
      </c>
      <c r="G164" s="9"/>
      <c r="H164" s="10">
        <f t="shared" si="40"/>
        <v>0</v>
      </c>
      <c r="I164" s="8" t="str">
        <f>IFERROR(H164/H444, "NA")</f>
        <v>NA</v>
      </c>
      <c r="J164" s="9"/>
      <c r="K164" s="7">
        <v>0</v>
      </c>
      <c r="L164" s="8" t="str">
        <f>IFERROR(K164/K444, "NA")</f>
        <v>NA</v>
      </c>
      <c r="M164" s="9"/>
      <c r="N164" s="10">
        <f t="shared" si="41"/>
        <v>0</v>
      </c>
      <c r="O164" s="8" t="str">
        <f>IFERROR(N164/N444, "NA")</f>
        <v>NA</v>
      </c>
      <c r="P164" s="9"/>
      <c r="Q164" s="7">
        <v>0</v>
      </c>
      <c r="R164" s="8" t="str">
        <f>IFERROR(Q164/Q444, "NA")</f>
        <v>NA</v>
      </c>
      <c r="S164" s="9"/>
      <c r="T164" s="7">
        <v>0</v>
      </c>
      <c r="U164" s="8" t="str">
        <f>IFERROR(T164/T444, "NA")</f>
        <v>NA</v>
      </c>
      <c r="V164" s="9"/>
      <c r="W164" s="10">
        <f t="shared" si="42"/>
        <v>0</v>
      </c>
      <c r="X164" s="8" t="str">
        <f>IFERROR(W164/W444, "NA")</f>
        <v>NA</v>
      </c>
      <c r="Y164" s="9"/>
      <c r="Z164" s="7">
        <v>0</v>
      </c>
      <c r="AA164" s="8" t="str">
        <f>IFERROR(Z164/Z444, "NA")</f>
        <v>NA</v>
      </c>
      <c r="AB164" s="9"/>
      <c r="AC164" s="10">
        <f t="shared" si="43"/>
        <v>0</v>
      </c>
      <c r="AD164" s="8" t="str">
        <f>IFERROR(AC164/AC444, "NA")</f>
        <v>NA</v>
      </c>
    </row>
    <row r="165" spans="1:30" ht="16.5" hidden="1" customHeight="1" x14ac:dyDescent="0.45">
      <c r="A165" s="12" t="s">
        <v>153</v>
      </c>
      <c r="B165" s="7">
        <v>0</v>
      </c>
      <c r="C165" s="8" t="str">
        <f>IFERROR(B165/B444, "NA")</f>
        <v>NA</v>
      </c>
      <c r="D165" s="9"/>
      <c r="E165" s="7">
        <v>0</v>
      </c>
      <c r="F165" s="8" t="str">
        <f>IFERROR(E165/E444, "NA")</f>
        <v>NA</v>
      </c>
      <c r="G165" s="9"/>
      <c r="H165" s="10">
        <f t="shared" si="40"/>
        <v>0</v>
      </c>
      <c r="I165" s="8" t="str">
        <f>IFERROR(H165/H444, "NA")</f>
        <v>NA</v>
      </c>
      <c r="J165" s="9"/>
      <c r="K165" s="7">
        <v>0</v>
      </c>
      <c r="L165" s="8" t="str">
        <f>IFERROR(K165/K444, "NA")</f>
        <v>NA</v>
      </c>
      <c r="M165" s="9"/>
      <c r="N165" s="10">
        <f t="shared" si="41"/>
        <v>0</v>
      </c>
      <c r="O165" s="8" t="str">
        <f>IFERROR(N165/N444, "NA")</f>
        <v>NA</v>
      </c>
      <c r="P165" s="9"/>
      <c r="Q165" s="7">
        <v>0</v>
      </c>
      <c r="R165" s="8" t="str">
        <f>IFERROR(Q165/Q444, "NA")</f>
        <v>NA</v>
      </c>
      <c r="S165" s="9"/>
      <c r="T165" s="7">
        <v>0</v>
      </c>
      <c r="U165" s="8" t="str">
        <f>IFERROR(T165/T444, "NA")</f>
        <v>NA</v>
      </c>
      <c r="V165" s="9"/>
      <c r="W165" s="10">
        <f t="shared" si="42"/>
        <v>0</v>
      </c>
      <c r="X165" s="8" t="str">
        <f>IFERROR(W165/W444, "NA")</f>
        <v>NA</v>
      </c>
      <c r="Y165" s="9"/>
      <c r="Z165" s="7">
        <v>0</v>
      </c>
      <c r="AA165" s="8" t="str">
        <f>IFERROR(Z165/Z444, "NA")</f>
        <v>NA</v>
      </c>
      <c r="AB165" s="9"/>
      <c r="AC165" s="10">
        <f t="shared" si="43"/>
        <v>0</v>
      </c>
      <c r="AD165" s="8" t="str">
        <f>IFERROR(AC165/AC444, "NA")</f>
        <v>NA</v>
      </c>
    </row>
    <row r="166" spans="1:30" ht="16.5" customHeight="1" x14ac:dyDescent="0.45">
      <c r="A166" s="13" t="s">
        <v>154</v>
      </c>
      <c r="B166" s="14">
        <f>IFERROR(B160+B161+B162+B163+B164+B165, "NA")</f>
        <v>0</v>
      </c>
      <c r="C166" s="15" t="str">
        <f>IFERROR(B166/B444, "NA")</f>
        <v>NA</v>
      </c>
      <c r="D166" s="2"/>
      <c r="E166" s="14">
        <f>IFERROR(E160+E161+E162+E163+E164+E165, "NA")</f>
        <v>0</v>
      </c>
      <c r="F166" s="15" t="str">
        <f>IFERROR(E166/E444, "NA")</f>
        <v>NA</v>
      </c>
      <c r="G166" s="2"/>
      <c r="H166" s="14">
        <f t="shared" si="40"/>
        <v>0</v>
      </c>
      <c r="I166" s="15" t="str">
        <f>IFERROR(H166/H444, "NA")</f>
        <v>NA</v>
      </c>
      <c r="J166" s="2"/>
      <c r="K166" s="14">
        <f>IFERROR(K160+K161+K162+K163+K164+K165, "NA")</f>
        <v>0</v>
      </c>
      <c r="L166" s="15" t="str">
        <f>IFERROR(K166/K444, "NA")</f>
        <v>NA</v>
      </c>
      <c r="M166" s="2"/>
      <c r="N166" s="14">
        <f t="shared" si="41"/>
        <v>0</v>
      </c>
      <c r="O166" s="15" t="str">
        <f>IFERROR(N166/N444, "NA")</f>
        <v>NA</v>
      </c>
      <c r="P166" s="2"/>
      <c r="Q166" s="14">
        <f>IFERROR(Q160+Q161+Q162+Q163+Q164+Q165, "NA")</f>
        <v>0</v>
      </c>
      <c r="R166" s="15" t="str">
        <f>IFERROR(Q166/Q444, "NA")</f>
        <v>NA</v>
      </c>
      <c r="S166" s="2"/>
      <c r="T166" s="14">
        <f>IFERROR(T160+T161+T162+T163+T164+T165, "NA")</f>
        <v>0</v>
      </c>
      <c r="U166" s="15" t="str">
        <f>IFERROR(T166/T444, "NA")</f>
        <v>NA</v>
      </c>
      <c r="V166" s="2"/>
      <c r="W166" s="14">
        <f t="shared" si="42"/>
        <v>0</v>
      </c>
      <c r="X166" s="15" t="str">
        <f>IFERROR(W166/W444, "NA")</f>
        <v>NA</v>
      </c>
      <c r="Y166" s="2"/>
      <c r="Z166" s="14">
        <f>IFERROR(Z160+Z161+Z162+Z163+Z164+Z165, "NA")</f>
        <v>0</v>
      </c>
      <c r="AA166" s="15" t="str">
        <f>IFERROR(Z166/Z444, "NA")</f>
        <v>NA</v>
      </c>
      <c r="AB166" s="2"/>
      <c r="AC166" s="14">
        <f t="shared" si="43"/>
        <v>0</v>
      </c>
      <c r="AD166" s="15" t="str">
        <f>IFERROR(AC166/AC444, "NA")</f>
        <v>NA</v>
      </c>
    </row>
    <row r="167" spans="1:30" ht="16.5" hidden="1" customHeight="1" x14ac:dyDescent="0.45">
      <c r="A167" s="6" t="s">
        <v>155</v>
      </c>
      <c r="B167" s="7">
        <v>0</v>
      </c>
      <c r="C167" s="8" t="str">
        <f>IFERROR(B167/B444, "NA")</f>
        <v>NA</v>
      </c>
      <c r="D167" s="9"/>
      <c r="E167" s="7">
        <v>0</v>
      </c>
      <c r="F167" s="8" t="str">
        <f>IFERROR(E167/E444, "NA")</f>
        <v>NA</v>
      </c>
      <c r="G167" s="9"/>
      <c r="H167" s="10">
        <f t="shared" si="40"/>
        <v>0</v>
      </c>
      <c r="I167" s="8" t="str">
        <f>IFERROR(H167/H444, "NA")</f>
        <v>NA</v>
      </c>
      <c r="J167" s="9"/>
      <c r="K167" s="7">
        <v>0</v>
      </c>
      <c r="L167" s="8" t="str">
        <f>IFERROR(K167/K444, "NA")</f>
        <v>NA</v>
      </c>
      <c r="M167" s="9"/>
      <c r="N167" s="10">
        <f t="shared" si="41"/>
        <v>0</v>
      </c>
      <c r="O167" s="8" t="str">
        <f>IFERROR(N167/N444, "NA")</f>
        <v>NA</v>
      </c>
      <c r="P167" s="9"/>
      <c r="Q167" s="7">
        <v>0</v>
      </c>
      <c r="R167" s="8" t="str">
        <f>IFERROR(Q167/Q444, "NA")</f>
        <v>NA</v>
      </c>
      <c r="S167" s="9"/>
      <c r="T167" s="7">
        <v>0</v>
      </c>
      <c r="U167" s="8" t="str">
        <f>IFERROR(T167/T444, "NA")</f>
        <v>NA</v>
      </c>
      <c r="V167" s="9"/>
      <c r="W167" s="10">
        <f t="shared" si="42"/>
        <v>0</v>
      </c>
      <c r="X167" s="8" t="str">
        <f>IFERROR(W167/W444, "NA")</f>
        <v>NA</v>
      </c>
      <c r="Y167" s="9"/>
      <c r="Z167" s="7">
        <v>0</v>
      </c>
      <c r="AA167" s="8" t="str">
        <f>IFERROR(Z167/Z444, "NA")</f>
        <v>NA</v>
      </c>
      <c r="AB167" s="9"/>
      <c r="AC167" s="10">
        <f t="shared" si="43"/>
        <v>0</v>
      </c>
      <c r="AD167" s="8" t="str">
        <f>IFERROR(AC167/AC444, "NA")</f>
        <v>NA</v>
      </c>
    </row>
    <row r="168" spans="1:30" ht="16.5" hidden="1" customHeight="1" x14ac:dyDescent="0.45">
      <c r="A168" s="6" t="s">
        <v>156</v>
      </c>
      <c r="B168" s="7">
        <v>0</v>
      </c>
      <c r="C168" s="8" t="str">
        <f>IFERROR(B168/B444, "NA")</f>
        <v>NA</v>
      </c>
      <c r="D168" s="9"/>
      <c r="E168" s="7">
        <v>0</v>
      </c>
      <c r="F168" s="8" t="str">
        <f>IFERROR(E168/E444, "NA")</f>
        <v>NA</v>
      </c>
      <c r="G168" s="9"/>
      <c r="H168" s="10">
        <f t="shared" si="40"/>
        <v>0</v>
      </c>
      <c r="I168" s="8" t="str">
        <f>IFERROR(H168/H444, "NA")</f>
        <v>NA</v>
      </c>
      <c r="J168" s="9"/>
      <c r="K168" s="7">
        <v>0</v>
      </c>
      <c r="L168" s="8" t="str">
        <f>IFERROR(K168/K444, "NA")</f>
        <v>NA</v>
      </c>
      <c r="M168" s="9"/>
      <c r="N168" s="10">
        <f t="shared" si="41"/>
        <v>0</v>
      </c>
      <c r="O168" s="8" t="str">
        <f>IFERROR(N168/N444, "NA")</f>
        <v>NA</v>
      </c>
      <c r="P168" s="9"/>
      <c r="Q168" s="7">
        <v>0</v>
      </c>
      <c r="R168" s="8" t="str">
        <f>IFERROR(Q168/Q444, "NA")</f>
        <v>NA</v>
      </c>
      <c r="S168" s="9"/>
      <c r="T168" s="7">
        <v>0</v>
      </c>
      <c r="U168" s="8" t="str">
        <f>IFERROR(T168/T444, "NA")</f>
        <v>NA</v>
      </c>
      <c r="V168" s="9"/>
      <c r="W168" s="10">
        <f t="shared" si="42"/>
        <v>0</v>
      </c>
      <c r="X168" s="8" t="str">
        <f>IFERROR(W168/W444, "NA")</f>
        <v>NA</v>
      </c>
      <c r="Y168" s="9"/>
      <c r="Z168" s="7">
        <v>0</v>
      </c>
      <c r="AA168" s="8" t="str">
        <f>IFERROR(Z168/Z444, "NA")</f>
        <v>NA</v>
      </c>
      <c r="AB168" s="9"/>
      <c r="AC168" s="10">
        <f t="shared" si="43"/>
        <v>0</v>
      </c>
      <c r="AD168" s="8" t="str">
        <f>IFERROR(AC168/AC444, "NA")</f>
        <v>NA</v>
      </c>
    </row>
    <row r="169" spans="1:30" ht="16.5" hidden="1" customHeight="1" x14ac:dyDescent="0.45">
      <c r="A169" s="6" t="s">
        <v>157</v>
      </c>
      <c r="B169" s="7">
        <v>0</v>
      </c>
      <c r="C169" s="8" t="str">
        <f>IFERROR(B169/B444, "NA")</f>
        <v>NA</v>
      </c>
      <c r="D169" s="9"/>
      <c r="E169" s="7">
        <v>0</v>
      </c>
      <c r="F169" s="8" t="str">
        <f>IFERROR(E169/E444, "NA")</f>
        <v>NA</v>
      </c>
      <c r="G169" s="9"/>
      <c r="H169" s="10">
        <f t="shared" si="40"/>
        <v>0</v>
      </c>
      <c r="I169" s="8" t="str">
        <f>IFERROR(H169/H444, "NA")</f>
        <v>NA</v>
      </c>
      <c r="J169" s="9"/>
      <c r="K169" s="7">
        <v>0</v>
      </c>
      <c r="L169" s="8" t="str">
        <f>IFERROR(K169/K444, "NA")</f>
        <v>NA</v>
      </c>
      <c r="M169" s="9"/>
      <c r="N169" s="10">
        <f t="shared" si="41"/>
        <v>0</v>
      </c>
      <c r="O169" s="8" t="str">
        <f>IFERROR(N169/N444, "NA")</f>
        <v>NA</v>
      </c>
      <c r="P169" s="9"/>
      <c r="Q169" s="7">
        <v>0</v>
      </c>
      <c r="R169" s="8" t="str">
        <f>IFERROR(Q169/Q444, "NA")</f>
        <v>NA</v>
      </c>
      <c r="S169" s="9"/>
      <c r="T169" s="7">
        <v>0</v>
      </c>
      <c r="U169" s="8" t="str">
        <f>IFERROR(T169/T444, "NA")</f>
        <v>NA</v>
      </c>
      <c r="V169" s="9"/>
      <c r="W169" s="10">
        <f t="shared" si="42"/>
        <v>0</v>
      </c>
      <c r="X169" s="8" t="str">
        <f>IFERROR(W169/W444, "NA")</f>
        <v>NA</v>
      </c>
      <c r="Y169" s="9"/>
      <c r="Z169" s="7">
        <v>0</v>
      </c>
      <c r="AA169" s="8" t="str">
        <f>IFERROR(Z169/Z444, "NA")</f>
        <v>NA</v>
      </c>
      <c r="AB169" s="9"/>
      <c r="AC169" s="10">
        <f t="shared" si="43"/>
        <v>0</v>
      </c>
      <c r="AD169" s="8" t="str">
        <f>IFERROR(AC169/AC444, "NA")</f>
        <v>NA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0</v>
      </c>
      <c r="C170" s="15" t="str">
        <f>IFERROR(B170/B444, "NA")</f>
        <v>NA</v>
      </c>
      <c r="D170" s="2"/>
      <c r="E170" s="14">
        <f>IFERROR(E151+E153+E154+E155+E156+E157+E160+E161+E162+E163+E164+E165+E167+E168+E169, "NA")</f>
        <v>0</v>
      </c>
      <c r="F170" s="15" t="str">
        <f>IFERROR(E170/E444, "NA")</f>
        <v>NA</v>
      </c>
      <c r="G170" s="2"/>
      <c r="H170" s="14">
        <f t="shared" si="40"/>
        <v>0</v>
      </c>
      <c r="I170" s="15" t="str">
        <f>IFERROR(H170/H444, "NA")</f>
        <v>NA</v>
      </c>
      <c r="J170" s="2"/>
      <c r="K170" s="14">
        <f>IFERROR(K151+K153+K154+K155+K156+K157+K160+K161+K162+K163+K164+K165+K167+K168+K169, "NA")</f>
        <v>0</v>
      </c>
      <c r="L170" s="15" t="str">
        <f>IFERROR(K170/K444, "NA")</f>
        <v>NA</v>
      </c>
      <c r="M170" s="2"/>
      <c r="N170" s="14">
        <f t="shared" si="41"/>
        <v>0</v>
      </c>
      <c r="O170" s="15" t="str">
        <f>IFERROR(N170/N444, "NA")</f>
        <v>NA</v>
      </c>
      <c r="P170" s="2"/>
      <c r="Q170" s="14">
        <f>IFERROR(Q151+Q153+Q154+Q155+Q156+Q157+Q160+Q161+Q162+Q163+Q164+Q165+Q167+Q168+Q169, "NA")</f>
        <v>0</v>
      </c>
      <c r="R170" s="15" t="str">
        <f>IFERROR(Q170/Q444, "NA")</f>
        <v>NA</v>
      </c>
      <c r="S170" s="2"/>
      <c r="T170" s="14">
        <f>IFERROR(T151+T153+T154+T155+T156+T157+T160+T161+T162+T163+T164+T165+T167+T168+T169, "NA")</f>
        <v>0</v>
      </c>
      <c r="U170" s="15" t="str">
        <f>IFERROR(T170/T444, "NA")</f>
        <v>NA</v>
      </c>
      <c r="V170" s="2"/>
      <c r="W170" s="14">
        <f t="shared" si="42"/>
        <v>0</v>
      </c>
      <c r="X170" s="15" t="str">
        <f>IFERROR(W170/W444, "NA")</f>
        <v>NA</v>
      </c>
      <c r="Y170" s="2"/>
      <c r="Z170" s="14">
        <f>IFERROR(Z151+Z153+Z154+Z155+Z156+Z157+Z160+Z161+Z162+Z163+Z164+Z165+Z167+Z168+Z169, "NA")</f>
        <v>0</v>
      </c>
      <c r="AA170" s="15" t="str">
        <f>IFERROR(Z170/Z444, "NA")</f>
        <v>NA</v>
      </c>
      <c r="AB170" s="2"/>
      <c r="AC170" s="14">
        <f t="shared" si="43"/>
        <v>0</v>
      </c>
      <c r="AD170" s="15" t="str">
        <f>IFERROR(AC170/AC444, "NA")</f>
        <v>NA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0</v>
      </c>
      <c r="C171" s="15" t="str">
        <f>IFERROR(B171/B444, "NA")</f>
        <v>NA</v>
      </c>
      <c r="D171" s="2"/>
      <c r="E171" s="14">
        <f>IFERROR(E127+E129+E130+E131+E132+E133+E134+E135+E136+E137+E138+E139+E140+E143+E144+E145+E146+E147+E151+E153+E154+E155+E156+E157+E160+E161+E162+E163+E164+E165+E167+E168+E169, "NA")</f>
        <v>0</v>
      </c>
      <c r="F171" s="15" t="str">
        <f>IFERROR(E171/E444, "NA")</f>
        <v>NA</v>
      </c>
      <c r="G171" s="2"/>
      <c r="H171" s="14">
        <f t="shared" si="40"/>
        <v>0</v>
      </c>
      <c r="I171" s="15" t="str">
        <f>IFERROR(H171/H444, "NA")</f>
        <v>NA</v>
      </c>
      <c r="J171" s="2"/>
      <c r="K171" s="14">
        <f>IFERROR(K127+K129+K130+K131+K132+K133+K134+K135+K136+K137+K138+K139+K140+K143+K144+K145+K146+K147+K151+K153+K154+K155+K156+K157+K160+K161+K162+K163+K164+K165+K167+K168+K169, "NA")</f>
        <v>0</v>
      </c>
      <c r="L171" s="15" t="str">
        <f>IFERROR(K171/K444, "NA")</f>
        <v>NA</v>
      </c>
      <c r="M171" s="2"/>
      <c r="N171" s="14">
        <f t="shared" si="41"/>
        <v>0</v>
      </c>
      <c r="O171" s="15" t="str">
        <f>IFERROR(N171/N444, "NA")</f>
        <v>NA</v>
      </c>
      <c r="P171" s="2"/>
      <c r="Q171" s="14">
        <f>IFERROR(Q127+Q129+Q130+Q131+Q132+Q133+Q134+Q135+Q136+Q137+Q138+Q139+Q140+Q143+Q144+Q145+Q146+Q147+Q151+Q153+Q154+Q155+Q156+Q157+Q160+Q161+Q162+Q163+Q164+Q165+Q167+Q168+Q169, "NA")</f>
        <v>0</v>
      </c>
      <c r="R171" s="15" t="str">
        <f>IFERROR(Q171/Q444, "NA")</f>
        <v>NA</v>
      </c>
      <c r="S171" s="2"/>
      <c r="T171" s="14">
        <f>IFERROR(T127+T129+T130+T131+T132+T133+T134+T135+T136+T137+T138+T139+T140+T143+T144+T145+T146+T147+T151+T153+T154+T155+T156+T157+T160+T161+T162+T163+T164+T165+T167+T168+T169, "NA")</f>
        <v>0</v>
      </c>
      <c r="U171" s="15" t="str">
        <f>IFERROR(T171/T444, "NA")</f>
        <v>NA</v>
      </c>
      <c r="V171" s="2"/>
      <c r="W171" s="14">
        <f t="shared" si="42"/>
        <v>0</v>
      </c>
      <c r="X171" s="15" t="str">
        <f>IFERROR(W171/W444, "NA")</f>
        <v>NA</v>
      </c>
      <c r="Y171" s="2"/>
      <c r="Z171" s="14">
        <f>IFERROR(Z127+Z129+Z130+Z131+Z132+Z133+Z134+Z135+Z136+Z137+Z138+Z139+Z140+Z143+Z144+Z145+Z146+Z147+Z151+Z153+Z154+Z155+Z156+Z157+Z160+Z161+Z162+Z163+Z164+Z165+Z167+Z168+Z169, "NA")</f>
        <v>0</v>
      </c>
      <c r="AA171" s="15" t="str">
        <f>IFERROR(Z171/Z444, "NA")</f>
        <v>NA</v>
      </c>
      <c r="AB171" s="2"/>
      <c r="AC171" s="14">
        <f t="shared" si="43"/>
        <v>0</v>
      </c>
      <c r="AD171" s="15" t="str">
        <f>IFERROR(AC171/AC444, "NA")</f>
        <v>NA</v>
      </c>
    </row>
    <row r="172" spans="1:30" ht="16.5" customHeight="1" x14ac:dyDescent="0.45">
      <c r="A172" s="22" t="s">
        <v>160</v>
      </c>
      <c r="B172" s="23">
        <f>IFERROR(B124-B171, "NA")</f>
        <v>0</v>
      </c>
      <c r="C172" s="24" t="str">
        <f>IFERROR(B172/B444, "NA")</f>
        <v>NA</v>
      </c>
      <c r="D172" s="25"/>
      <c r="E172" s="23">
        <f>IFERROR(E124-E171, "NA")</f>
        <v>0</v>
      </c>
      <c r="F172" s="24" t="str">
        <f>IFERROR(E172/E444, "NA")</f>
        <v>NA</v>
      </c>
      <c r="G172" s="25"/>
      <c r="H172" s="23">
        <f>IFERROR(B172-E172, "NA")</f>
        <v>0</v>
      </c>
      <c r="I172" s="24" t="str">
        <f>IFERROR(H172/H444, "NA")</f>
        <v>NA</v>
      </c>
      <c r="J172" s="25"/>
      <c r="K172" s="23">
        <f>IFERROR(K124-K171, "NA")</f>
        <v>0</v>
      </c>
      <c r="L172" s="24" t="str">
        <f>IFERROR(K172/K444, "NA")</f>
        <v>NA</v>
      </c>
      <c r="M172" s="25"/>
      <c r="N172" s="23">
        <f>IFERROR(B172-K172, "NA")</f>
        <v>0</v>
      </c>
      <c r="O172" s="24" t="str">
        <f>IFERROR(N172/N444, "NA")</f>
        <v>NA</v>
      </c>
      <c r="P172" s="25"/>
      <c r="Q172" s="23">
        <f>IFERROR(Q124-Q171, "NA")</f>
        <v>0</v>
      </c>
      <c r="R172" s="24" t="str">
        <f>IFERROR(Q172/Q444, "NA")</f>
        <v>NA</v>
      </c>
      <c r="S172" s="25"/>
      <c r="T172" s="23">
        <f>IFERROR(T124-T171, "NA")</f>
        <v>0</v>
      </c>
      <c r="U172" s="24" t="str">
        <f>IFERROR(T172/T444, "NA")</f>
        <v>NA</v>
      </c>
      <c r="V172" s="25"/>
      <c r="W172" s="23">
        <f>IFERROR(Q172-T172, "NA")</f>
        <v>0</v>
      </c>
      <c r="X172" s="24" t="str">
        <f>IFERROR(W172/W444, "NA")</f>
        <v>NA</v>
      </c>
      <c r="Y172" s="25"/>
      <c r="Z172" s="23">
        <f>IFERROR(Z124-Z171, "NA")</f>
        <v>0</v>
      </c>
      <c r="AA172" s="24" t="str">
        <f>IFERROR(Z172/Z444, "NA")</f>
        <v>NA</v>
      </c>
      <c r="AB172" s="25"/>
      <c r="AC172" s="23">
        <f>IFERROR(Q172-Z172, "NA")</f>
        <v>0</v>
      </c>
      <c r="AD172" s="24" t="str">
        <f>IFERROR(AC172/AC444, "NA")</f>
        <v>NA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 t="str">
        <f>IFERROR(B175/B444, "NA")</f>
        <v>NA</v>
      </c>
      <c r="D175" s="9"/>
      <c r="E175" s="7">
        <v>0</v>
      </c>
      <c r="F175" s="8" t="str">
        <f>IFERROR(E175/E444, "NA")</f>
        <v>NA</v>
      </c>
      <c r="G175" s="9"/>
      <c r="H175" s="10">
        <f>IFERROR(-(B175-E175), "NA")</f>
        <v>0</v>
      </c>
      <c r="I175" s="8" t="str">
        <f>IFERROR(H175/H444, "NA")</f>
        <v>NA</v>
      </c>
      <c r="J175" s="9"/>
      <c r="K175" s="7">
        <v>0</v>
      </c>
      <c r="L175" s="8" t="str">
        <f>IFERROR(K175/K444, "NA")</f>
        <v>NA</v>
      </c>
      <c r="M175" s="9"/>
      <c r="N175" s="10">
        <f>IFERROR(-(B175-K175), "NA")</f>
        <v>0</v>
      </c>
      <c r="O175" s="8" t="str">
        <f>IFERROR(N175/N444, "NA")</f>
        <v>NA</v>
      </c>
      <c r="P175" s="9"/>
      <c r="Q175" s="7">
        <v>0</v>
      </c>
      <c r="R175" s="8" t="str">
        <f>IFERROR(Q175/Q444, "NA")</f>
        <v>NA</v>
      </c>
      <c r="S175" s="9"/>
      <c r="T175" s="7">
        <v>0</v>
      </c>
      <c r="U175" s="8" t="str">
        <f>IFERROR(T175/T444, "NA")</f>
        <v>NA</v>
      </c>
      <c r="V175" s="9"/>
      <c r="W175" s="10">
        <f>IFERROR(-(Q175-T175), "NA")</f>
        <v>0</v>
      </c>
      <c r="X175" s="8" t="str">
        <f>IFERROR(W175/W444, "NA")</f>
        <v>NA</v>
      </c>
      <c r="Y175" s="9"/>
      <c r="Z175" s="7">
        <v>0</v>
      </c>
      <c r="AA175" s="8" t="str">
        <f>IFERROR(Z175/Z444, "NA")</f>
        <v>NA</v>
      </c>
      <c r="AB175" s="9"/>
      <c r="AC175" s="10">
        <f>IFERROR(-(Q175-Z175), "NA")</f>
        <v>0</v>
      </c>
      <c r="AD175" s="8" t="str">
        <f>IFERROR(AC175/AC444, "NA")</f>
        <v>NA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 t="str">
        <f>IFERROR(B177/B444, "NA")</f>
        <v>NA</v>
      </c>
      <c r="D177" s="9"/>
      <c r="E177" s="7">
        <v>0</v>
      </c>
      <c r="F177" s="8" t="str">
        <f>IFERROR(E177/E444, "NA")</f>
        <v>NA</v>
      </c>
      <c r="G177" s="9"/>
      <c r="H177" s="10">
        <f t="shared" ref="H177:H184" si="44">IFERROR(-(B177-E177), "NA")</f>
        <v>0</v>
      </c>
      <c r="I177" s="8" t="str">
        <f>IFERROR(H177/H444, "NA")</f>
        <v>NA</v>
      </c>
      <c r="J177" s="9"/>
      <c r="K177" s="7">
        <v>0</v>
      </c>
      <c r="L177" s="8" t="str">
        <f>IFERROR(K177/K444, "NA")</f>
        <v>NA</v>
      </c>
      <c r="M177" s="9"/>
      <c r="N177" s="10">
        <f t="shared" ref="N177:N184" si="45">IFERROR(-(B177-K177), "NA")</f>
        <v>0</v>
      </c>
      <c r="O177" s="8" t="str">
        <f>IFERROR(N177/N444, "NA")</f>
        <v>NA</v>
      </c>
      <c r="P177" s="9"/>
      <c r="Q177" s="7">
        <v>0</v>
      </c>
      <c r="R177" s="8" t="str">
        <f>IFERROR(Q177/Q444, "NA")</f>
        <v>NA</v>
      </c>
      <c r="S177" s="9"/>
      <c r="T177" s="7">
        <v>0</v>
      </c>
      <c r="U177" s="8" t="str">
        <f>IFERROR(T177/T444, "NA")</f>
        <v>NA</v>
      </c>
      <c r="V177" s="9"/>
      <c r="W177" s="10">
        <f t="shared" ref="W177:W184" si="46">IFERROR(-(Q177-T177), "NA")</f>
        <v>0</v>
      </c>
      <c r="X177" s="8" t="str">
        <f>IFERROR(W177/W444, "NA")</f>
        <v>NA</v>
      </c>
      <c r="Y177" s="9"/>
      <c r="Z177" s="7">
        <v>0</v>
      </c>
      <c r="AA177" s="8" t="str">
        <f>IFERROR(Z177/Z444, "NA")</f>
        <v>NA</v>
      </c>
      <c r="AB177" s="9"/>
      <c r="AC177" s="10">
        <f t="shared" ref="AC177:AC184" si="47">IFERROR(-(Q177-Z177), "NA")</f>
        <v>0</v>
      </c>
      <c r="AD177" s="8" t="str">
        <f>IFERROR(AC177/AC444, "NA")</f>
        <v>NA</v>
      </c>
    </row>
    <row r="178" spans="1:30" ht="16.5" hidden="1" customHeight="1" x14ac:dyDescent="0.45">
      <c r="A178" s="12" t="s">
        <v>163</v>
      </c>
      <c r="B178" s="7">
        <v>0</v>
      </c>
      <c r="C178" s="8" t="str">
        <f>IFERROR(B178/B444, "NA")</f>
        <v>NA</v>
      </c>
      <c r="D178" s="9"/>
      <c r="E178" s="7">
        <v>0</v>
      </c>
      <c r="F178" s="8" t="str">
        <f>IFERROR(E178/E444, "NA")</f>
        <v>NA</v>
      </c>
      <c r="G178" s="9"/>
      <c r="H178" s="10">
        <f t="shared" si="44"/>
        <v>0</v>
      </c>
      <c r="I178" s="8" t="str">
        <f>IFERROR(H178/H444, "NA")</f>
        <v>NA</v>
      </c>
      <c r="J178" s="9"/>
      <c r="K178" s="7">
        <v>0</v>
      </c>
      <c r="L178" s="8" t="str">
        <f>IFERROR(K178/K444, "NA")</f>
        <v>NA</v>
      </c>
      <c r="M178" s="9"/>
      <c r="N178" s="10">
        <f t="shared" si="45"/>
        <v>0</v>
      </c>
      <c r="O178" s="8" t="str">
        <f>IFERROR(N178/N444, "NA")</f>
        <v>NA</v>
      </c>
      <c r="P178" s="9"/>
      <c r="Q178" s="7">
        <v>0</v>
      </c>
      <c r="R178" s="8" t="str">
        <f>IFERROR(Q178/Q444, "NA")</f>
        <v>NA</v>
      </c>
      <c r="S178" s="9"/>
      <c r="T178" s="7">
        <v>0</v>
      </c>
      <c r="U178" s="8" t="str">
        <f>IFERROR(T178/T444, "NA")</f>
        <v>NA</v>
      </c>
      <c r="V178" s="9"/>
      <c r="W178" s="10">
        <f t="shared" si="46"/>
        <v>0</v>
      </c>
      <c r="X178" s="8" t="str">
        <f>IFERROR(W178/W444, "NA")</f>
        <v>NA</v>
      </c>
      <c r="Y178" s="9"/>
      <c r="Z178" s="7">
        <v>0</v>
      </c>
      <c r="AA178" s="8" t="str">
        <f>IFERROR(Z178/Z444, "NA")</f>
        <v>NA</v>
      </c>
      <c r="AB178" s="9"/>
      <c r="AC178" s="10">
        <f t="shared" si="47"/>
        <v>0</v>
      </c>
      <c r="AD178" s="8" t="str">
        <f>IFERROR(AC178/AC444, "NA")</f>
        <v>NA</v>
      </c>
    </row>
    <row r="179" spans="1:30" ht="16.5" hidden="1" customHeight="1" x14ac:dyDescent="0.45">
      <c r="A179" s="12" t="s">
        <v>164</v>
      </c>
      <c r="B179" s="7">
        <v>0</v>
      </c>
      <c r="C179" s="8" t="str">
        <f>IFERROR(B179/B444, "NA")</f>
        <v>NA</v>
      </c>
      <c r="D179" s="9"/>
      <c r="E179" s="7">
        <v>0</v>
      </c>
      <c r="F179" s="8" t="str">
        <f>IFERROR(E179/E444, "NA")</f>
        <v>NA</v>
      </c>
      <c r="G179" s="9"/>
      <c r="H179" s="10">
        <f t="shared" si="44"/>
        <v>0</v>
      </c>
      <c r="I179" s="8" t="str">
        <f>IFERROR(H179/H444, "NA")</f>
        <v>NA</v>
      </c>
      <c r="J179" s="9"/>
      <c r="K179" s="7">
        <v>0</v>
      </c>
      <c r="L179" s="8" t="str">
        <f>IFERROR(K179/K444, "NA")</f>
        <v>NA</v>
      </c>
      <c r="M179" s="9"/>
      <c r="N179" s="10">
        <f t="shared" si="45"/>
        <v>0</v>
      </c>
      <c r="O179" s="8" t="str">
        <f>IFERROR(N179/N444, "NA")</f>
        <v>NA</v>
      </c>
      <c r="P179" s="9"/>
      <c r="Q179" s="7">
        <v>0</v>
      </c>
      <c r="R179" s="8" t="str">
        <f>IFERROR(Q179/Q444, "NA")</f>
        <v>NA</v>
      </c>
      <c r="S179" s="9"/>
      <c r="T179" s="7">
        <v>0</v>
      </c>
      <c r="U179" s="8" t="str">
        <f>IFERROR(T179/T444, "NA")</f>
        <v>NA</v>
      </c>
      <c r="V179" s="9"/>
      <c r="W179" s="10">
        <f t="shared" si="46"/>
        <v>0</v>
      </c>
      <c r="X179" s="8" t="str">
        <f>IFERROR(W179/W444, "NA")</f>
        <v>NA</v>
      </c>
      <c r="Y179" s="9"/>
      <c r="Z179" s="7">
        <v>0</v>
      </c>
      <c r="AA179" s="8" t="str">
        <f>IFERROR(Z179/Z444, "NA")</f>
        <v>NA</v>
      </c>
      <c r="AB179" s="9"/>
      <c r="AC179" s="10">
        <f t="shared" si="47"/>
        <v>0</v>
      </c>
      <c r="AD179" s="8" t="str">
        <f>IFERROR(AC179/AC444, "NA")</f>
        <v>NA</v>
      </c>
    </row>
    <row r="180" spans="1:30" ht="16.5" hidden="1" customHeight="1" x14ac:dyDescent="0.45">
      <c r="A180" s="12" t="s">
        <v>165</v>
      </c>
      <c r="B180" s="7">
        <v>0</v>
      </c>
      <c r="C180" s="8" t="str">
        <f>IFERROR(B180/B444, "NA")</f>
        <v>NA</v>
      </c>
      <c r="D180" s="9"/>
      <c r="E180" s="7">
        <v>0</v>
      </c>
      <c r="F180" s="8" t="str">
        <f>IFERROR(E180/E444, "NA")</f>
        <v>NA</v>
      </c>
      <c r="G180" s="9"/>
      <c r="H180" s="10">
        <f t="shared" si="44"/>
        <v>0</v>
      </c>
      <c r="I180" s="8" t="str">
        <f>IFERROR(H180/H444, "NA")</f>
        <v>NA</v>
      </c>
      <c r="J180" s="9"/>
      <c r="K180" s="7">
        <v>0</v>
      </c>
      <c r="L180" s="8" t="str">
        <f>IFERROR(K180/K444, "NA")</f>
        <v>NA</v>
      </c>
      <c r="M180" s="9"/>
      <c r="N180" s="10">
        <f t="shared" si="45"/>
        <v>0</v>
      </c>
      <c r="O180" s="8" t="str">
        <f>IFERROR(N180/N444, "NA")</f>
        <v>NA</v>
      </c>
      <c r="P180" s="9"/>
      <c r="Q180" s="7">
        <v>0</v>
      </c>
      <c r="R180" s="8" t="str">
        <f>IFERROR(Q180/Q444, "NA")</f>
        <v>NA</v>
      </c>
      <c r="S180" s="9"/>
      <c r="T180" s="7">
        <v>0</v>
      </c>
      <c r="U180" s="8" t="str">
        <f>IFERROR(T180/T444, "NA")</f>
        <v>NA</v>
      </c>
      <c r="V180" s="9"/>
      <c r="W180" s="10">
        <f t="shared" si="46"/>
        <v>0</v>
      </c>
      <c r="X180" s="8" t="str">
        <f>IFERROR(W180/W444, "NA")</f>
        <v>NA</v>
      </c>
      <c r="Y180" s="9"/>
      <c r="Z180" s="7">
        <v>0</v>
      </c>
      <c r="AA180" s="8" t="str">
        <f>IFERROR(Z180/Z444, "NA")</f>
        <v>NA</v>
      </c>
      <c r="AB180" s="9"/>
      <c r="AC180" s="10">
        <f t="shared" si="47"/>
        <v>0</v>
      </c>
      <c r="AD180" s="8" t="str">
        <f>IFERROR(AC180/AC444, "NA")</f>
        <v>NA</v>
      </c>
    </row>
    <row r="181" spans="1:30" ht="16.5" hidden="1" customHeight="1" x14ac:dyDescent="0.45">
      <c r="A181" s="12" t="s">
        <v>166</v>
      </c>
      <c r="B181" s="7">
        <v>0</v>
      </c>
      <c r="C181" s="8" t="str">
        <f>IFERROR(B181/B444, "NA")</f>
        <v>NA</v>
      </c>
      <c r="D181" s="9"/>
      <c r="E181" s="7">
        <v>0</v>
      </c>
      <c r="F181" s="8" t="str">
        <f>IFERROR(E181/E444, "NA")</f>
        <v>NA</v>
      </c>
      <c r="G181" s="9"/>
      <c r="H181" s="10">
        <f t="shared" si="44"/>
        <v>0</v>
      </c>
      <c r="I181" s="8" t="str">
        <f>IFERROR(H181/H444, "NA")</f>
        <v>NA</v>
      </c>
      <c r="J181" s="9"/>
      <c r="K181" s="7">
        <v>0</v>
      </c>
      <c r="L181" s="8" t="str">
        <f>IFERROR(K181/K444, "NA")</f>
        <v>NA</v>
      </c>
      <c r="M181" s="9"/>
      <c r="N181" s="10">
        <f t="shared" si="45"/>
        <v>0</v>
      </c>
      <c r="O181" s="8" t="str">
        <f>IFERROR(N181/N444, "NA")</f>
        <v>NA</v>
      </c>
      <c r="P181" s="9"/>
      <c r="Q181" s="7">
        <v>0</v>
      </c>
      <c r="R181" s="8" t="str">
        <f>IFERROR(Q181/Q444, "NA")</f>
        <v>NA</v>
      </c>
      <c r="S181" s="9"/>
      <c r="T181" s="7">
        <v>0</v>
      </c>
      <c r="U181" s="8" t="str">
        <f>IFERROR(T181/T444, "NA")</f>
        <v>NA</v>
      </c>
      <c r="V181" s="9"/>
      <c r="W181" s="10">
        <f t="shared" si="46"/>
        <v>0</v>
      </c>
      <c r="X181" s="8" t="str">
        <f>IFERROR(W181/W444, "NA")</f>
        <v>NA</v>
      </c>
      <c r="Y181" s="9"/>
      <c r="Z181" s="7">
        <v>0</v>
      </c>
      <c r="AA181" s="8" t="str">
        <f>IFERROR(Z181/Z444, "NA")</f>
        <v>NA</v>
      </c>
      <c r="AB181" s="9"/>
      <c r="AC181" s="10">
        <f t="shared" si="47"/>
        <v>0</v>
      </c>
      <c r="AD181" s="8" t="str">
        <f>IFERROR(AC181/AC444, "NA")</f>
        <v>NA</v>
      </c>
    </row>
    <row r="182" spans="1:30" ht="16.5" customHeight="1" x14ac:dyDescent="0.45">
      <c r="A182" s="13" t="s">
        <v>167</v>
      </c>
      <c r="B182" s="14">
        <f>IFERROR(B177+B178+B179+B180+B181, "NA")</f>
        <v>0</v>
      </c>
      <c r="C182" s="15" t="str">
        <f>IFERROR(B182/B444, "NA")</f>
        <v>NA</v>
      </c>
      <c r="D182" s="2"/>
      <c r="E182" s="14">
        <f>IFERROR(E177+E178+E179+E180+E181, "NA")</f>
        <v>0</v>
      </c>
      <c r="F182" s="15" t="str">
        <f>IFERROR(E182/E444, "NA")</f>
        <v>NA</v>
      </c>
      <c r="G182" s="2"/>
      <c r="H182" s="14">
        <f t="shared" si="44"/>
        <v>0</v>
      </c>
      <c r="I182" s="15" t="str">
        <f>IFERROR(H182/H444, "NA")</f>
        <v>NA</v>
      </c>
      <c r="J182" s="2"/>
      <c r="K182" s="14">
        <f>IFERROR(K177+K178+K179+K180+K181, "NA")</f>
        <v>0</v>
      </c>
      <c r="L182" s="15" t="str">
        <f>IFERROR(K182/K444, "NA")</f>
        <v>NA</v>
      </c>
      <c r="M182" s="2"/>
      <c r="N182" s="14">
        <f t="shared" si="45"/>
        <v>0</v>
      </c>
      <c r="O182" s="15" t="str">
        <f>IFERROR(N182/N444, "NA")</f>
        <v>NA</v>
      </c>
      <c r="P182" s="2"/>
      <c r="Q182" s="14">
        <f>IFERROR(Q177+Q178+Q179+Q180+Q181, "NA")</f>
        <v>0</v>
      </c>
      <c r="R182" s="15" t="str">
        <f>IFERROR(Q182/Q444, "NA")</f>
        <v>NA</v>
      </c>
      <c r="S182" s="2"/>
      <c r="T182" s="14">
        <f>IFERROR(T177+T178+T179+T180+T181, "NA")</f>
        <v>0</v>
      </c>
      <c r="U182" s="15" t="str">
        <f>IFERROR(T182/T444, "NA")</f>
        <v>NA</v>
      </c>
      <c r="V182" s="2"/>
      <c r="W182" s="14">
        <f t="shared" si="46"/>
        <v>0</v>
      </c>
      <c r="X182" s="15" t="str">
        <f>IFERROR(W182/W444, "NA")</f>
        <v>NA</v>
      </c>
      <c r="Y182" s="2"/>
      <c r="Z182" s="14">
        <f>IFERROR(Z177+Z178+Z179+Z180+Z181, "NA")</f>
        <v>0</v>
      </c>
      <c r="AA182" s="15" t="str">
        <f>IFERROR(Z182/Z444, "NA")</f>
        <v>NA</v>
      </c>
      <c r="AB182" s="2"/>
      <c r="AC182" s="14">
        <f t="shared" si="47"/>
        <v>0</v>
      </c>
      <c r="AD182" s="15" t="str">
        <f>IFERROR(AC182/AC444, "NA")</f>
        <v>NA</v>
      </c>
    </row>
    <row r="183" spans="1:30" ht="16.5" hidden="1" customHeight="1" x14ac:dyDescent="0.45">
      <c r="A183" s="6" t="s">
        <v>168</v>
      </c>
      <c r="B183" s="7">
        <v>0</v>
      </c>
      <c r="C183" s="8" t="str">
        <f>IFERROR(B183/B444, "NA")</f>
        <v>NA</v>
      </c>
      <c r="D183" s="9"/>
      <c r="E183" s="7">
        <v>0</v>
      </c>
      <c r="F183" s="8" t="str">
        <f>IFERROR(E183/E444, "NA")</f>
        <v>NA</v>
      </c>
      <c r="G183" s="9"/>
      <c r="H183" s="10">
        <f t="shared" si="44"/>
        <v>0</v>
      </c>
      <c r="I183" s="8" t="str">
        <f>IFERROR(H183/H444, "NA")</f>
        <v>NA</v>
      </c>
      <c r="J183" s="9"/>
      <c r="K183" s="7">
        <v>0</v>
      </c>
      <c r="L183" s="8" t="str">
        <f>IFERROR(K183/K444, "NA")</f>
        <v>NA</v>
      </c>
      <c r="M183" s="9"/>
      <c r="N183" s="10">
        <f t="shared" si="45"/>
        <v>0</v>
      </c>
      <c r="O183" s="8" t="str">
        <f>IFERROR(N183/N444, "NA")</f>
        <v>NA</v>
      </c>
      <c r="P183" s="9"/>
      <c r="Q183" s="7">
        <v>0</v>
      </c>
      <c r="R183" s="8" t="str">
        <f>IFERROR(Q183/Q444, "NA")</f>
        <v>NA</v>
      </c>
      <c r="S183" s="9"/>
      <c r="T183" s="7">
        <v>0</v>
      </c>
      <c r="U183" s="8" t="str">
        <f>IFERROR(T183/T444, "NA")</f>
        <v>NA</v>
      </c>
      <c r="V183" s="9"/>
      <c r="W183" s="10">
        <f t="shared" si="46"/>
        <v>0</v>
      </c>
      <c r="X183" s="8" t="str">
        <f>IFERROR(W183/W444, "NA")</f>
        <v>NA</v>
      </c>
      <c r="Y183" s="9"/>
      <c r="Z183" s="7">
        <v>0</v>
      </c>
      <c r="AA183" s="8" t="str">
        <f>IFERROR(Z183/Z444, "NA")</f>
        <v>NA</v>
      </c>
      <c r="AB183" s="9"/>
      <c r="AC183" s="10">
        <f t="shared" si="47"/>
        <v>0</v>
      </c>
      <c r="AD183" s="8" t="str">
        <f>IFERROR(AC183/AC444, "NA")</f>
        <v>NA</v>
      </c>
    </row>
    <row r="184" spans="1:30" ht="16.5" hidden="1" customHeight="1" x14ac:dyDescent="0.45">
      <c r="A184" s="6" t="s">
        <v>169</v>
      </c>
      <c r="B184" s="7">
        <v>0</v>
      </c>
      <c r="C184" s="8" t="str">
        <f>IFERROR(B184/B444, "NA")</f>
        <v>NA</v>
      </c>
      <c r="D184" s="9"/>
      <c r="E184" s="7">
        <v>0</v>
      </c>
      <c r="F184" s="8" t="str">
        <f>IFERROR(E184/E444, "NA")</f>
        <v>NA</v>
      </c>
      <c r="G184" s="9"/>
      <c r="H184" s="10">
        <f t="shared" si="44"/>
        <v>0</v>
      </c>
      <c r="I184" s="8" t="str">
        <f>IFERROR(H184/H444, "NA")</f>
        <v>NA</v>
      </c>
      <c r="J184" s="9"/>
      <c r="K184" s="7">
        <v>0</v>
      </c>
      <c r="L184" s="8" t="str">
        <f>IFERROR(K184/K444, "NA")</f>
        <v>NA</v>
      </c>
      <c r="M184" s="9"/>
      <c r="N184" s="10">
        <f t="shared" si="45"/>
        <v>0</v>
      </c>
      <c r="O184" s="8" t="str">
        <f>IFERROR(N184/N444, "NA")</f>
        <v>NA</v>
      </c>
      <c r="P184" s="9"/>
      <c r="Q184" s="7">
        <v>0</v>
      </c>
      <c r="R184" s="8" t="str">
        <f>IFERROR(Q184/Q444, "NA")</f>
        <v>NA</v>
      </c>
      <c r="S184" s="9"/>
      <c r="T184" s="7">
        <v>0</v>
      </c>
      <c r="U184" s="8" t="str">
        <f>IFERROR(T184/T444, "NA")</f>
        <v>NA</v>
      </c>
      <c r="V184" s="9"/>
      <c r="W184" s="10">
        <f t="shared" si="46"/>
        <v>0</v>
      </c>
      <c r="X184" s="8" t="str">
        <f>IFERROR(W184/W444, "NA")</f>
        <v>NA</v>
      </c>
      <c r="Y184" s="9"/>
      <c r="Z184" s="7">
        <v>0</v>
      </c>
      <c r="AA184" s="8" t="str">
        <f>IFERROR(Z184/Z444, "NA")</f>
        <v>NA</v>
      </c>
      <c r="AB184" s="9"/>
      <c r="AC184" s="10">
        <f t="shared" si="47"/>
        <v>0</v>
      </c>
      <c r="AD184" s="8" t="str">
        <f>IFERROR(AC184/AC444, "NA")</f>
        <v>NA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hidden="1" customHeight="1" x14ac:dyDescent="0.45">
      <c r="A186" s="12" t="s">
        <v>170</v>
      </c>
      <c r="B186" s="7">
        <v>0</v>
      </c>
      <c r="C186" s="8" t="str">
        <f>IFERROR(B186/B444, "NA")</f>
        <v>NA</v>
      </c>
      <c r="D186" s="9"/>
      <c r="E186" s="7">
        <v>0</v>
      </c>
      <c r="F186" s="8" t="str">
        <f>IFERROR(E186/E444, "NA")</f>
        <v>NA</v>
      </c>
      <c r="G186" s="9"/>
      <c r="H186" s="10">
        <f t="shared" ref="H186:H197" si="48">IFERROR(-(B186-E186), "NA")</f>
        <v>0</v>
      </c>
      <c r="I186" s="8" t="str">
        <f>IFERROR(H186/H444, "NA")</f>
        <v>NA</v>
      </c>
      <c r="J186" s="9"/>
      <c r="K186" s="7">
        <v>0</v>
      </c>
      <c r="L186" s="8" t="str">
        <f>IFERROR(K186/K444, "NA")</f>
        <v>NA</v>
      </c>
      <c r="M186" s="9"/>
      <c r="N186" s="10">
        <f t="shared" ref="N186:N197" si="49">IFERROR(-(B186-K186), "NA")</f>
        <v>0</v>
      </c>
      <c r="O186" s="8" t="str">
        <f>IFERROR(N186/N444, "NA")</f>
        <v>NA</v>
      </c>
      <c r="P186" s="9"/>
      <c r="Q186" s="7">
        <v>0</v>
      </c>
      <c r="R186" s="8" t="str">
        <f>IFERROR(Q186/Q444, "NA")</f>
        <v>NA</v>
      </c>
      <c r="S186" s="9"/>
      <c r="T186" s="7">
        <v>0</v>
      </c>
      <c r="U186" s="8" t="str">
        <f>IFERROR(T186/T444, "NA")</f>
        <v>NA</v>
      </c>
      <c r="V186" s="9"/>
      <c r="W186" s="10">
        <f t="shared" ref="W186:W197" si="50">IFERROR(-(Q186-T186), "NA")</f>
        <v>0</v>
      </c>
      <c r="X186" s="8" t="str">
        <f>IFERROR(W186/W444, "NA")</f>
        <v>NA</v>
      </c>
      <c r="Y186" s="9"/>
      <c r="Z186" s="7">
        <v>0</v>
      </c>
      <c r="AA186" s="8" t="str">
        <f>IFERROR(Z186/Z444, "NA")</f>
        <v>NA</v>
      </c>
      <c r="AB186" s="9"/>
      <c r="AC186" s="10">
        <f t="shared" ref="AC186:AC197" si="51">IFERROR(-(Q186-Z186), "NA")</f>
        <v>0</v>
      </c>
      <c r="AD186" s="8" t="str">
        <f>IFERROR(AC186/AC444, "NA")</f>
        <v>NA</v>
      </c>
    </row>
    <row r="187" spans="1:30" ht="16.5" hidden="1" customHeight="1" x14ac:dyDescent="0.45">
      <c r="A187" s="12" t="s">
        <v>171</v>
      </c>
      <c r="B187" s="7">
        <v>0</v>
      </c>
      <c r="C187" s="8" t="str">
        <f>IFERROR(B187/B444, "NA")</f>
        <v>NA</v>
      </c>
      <c r="D187" s="9"/>
      <c r="E187" s="7">
        <v>0</v>
      </c>
      <c r="F187" s="8" t="str">
        <f>IFERROR(E187/E444, "NA")</f>
        <v>NA</v>
      </c>
      <c r="G187" s="9"/>
      <c r="H187" s="10">
        <f t="shared" si="48"/>
        <v>0</v>
      </c>
      <c r="I187" s="8" t="str">
        <f>IFERROR(H187/H444, "NA")</f>
        <v>NA</v>
      </c>
      <c r="J187" s="9"/>
      <c r="K187" s="7">
        <v>0</v>
      </c>
      <c r="L187" s="8" t="str">
        <f>IFERROR(K187/K444, "NA")</f>
        <v>NA</v>
      </c>
      <c r="M187" s="9"/>
      <c r="N187" s="10">
        <f t="shared" si="49"/>
        <v>0</v>
      </c>
      <c r="O187" s="8" t="str">
        <f>IFERROR(N187/N444, "NA")</f>
        <v>NA</v>
      </c>
      <c r="P187" s="9"/>
      <c r="Q187" s="7">
        <v>0</v>
      </c>
      <c r="R187" s="8" t="str">
        <f>IFERROR(Q187/Q444, "NA")</f>
        <v>NA</v>
      </c>
      <c r="S187" s="9"/>
      <c r="T187" s="7">
        <v>0</v>
      </c>
      <c r="U187" s="8" t="str">
        <f>IFERROR(T187/T444, "NA")</f>
        <v>NA</v>
      </c>
      <c r="V187" s="9"/>
      <c r="W187" s="10">
        <f t="shared" si="50"/>
        <v>0</v>
      </c>
      <c r="X187" s="8" t="str">
        <f>IFERROR(W187/W444, "NA")</f>
        <v>NA</v>
      </c>
      <c r="Y187" s="9"/>
      <c r="Z187" s="7">
        <v>0</v>
      </c>
      <c r="AA187" s="8" t="str">
        <f>IFERROR(Z187/Z444, "NA")</f>
        <v>NA</v>
      </c>
      <c r="AB187" s="9"/>
      <c r="AC187" s="10">
        <f t="shared" si="51"/>
        <v>0</v>
      </c>
      <c r="AD187" s="8" t="str">
        <f>IFERROR(AC187/AC444, "NA")</f>
        <v>NA</v>
      </c>
    </row>
    <row r="188" spans="1:30" ht="16.5" hidden="1" customHeight="1" x14ac:dyDescent="0.45">
      <c r="A188" s="12" t="s">
        <v>172</v>
      </c>
      <c r="B188" s="7">
        <v>0</v>
      </c>
      <c r="C188" s="8" t="str">
        <f>IFERROR(B188/B444, "NA")</f>
        <v>NA</v>
      </c>
      <c r="D188" s="9"/>
      <c r="E188" s="7">
        <v>0</v>
      </c>
      <c r="F188" s="8" t="str">
        <f>IFERROR(E188/E444, "NA")</f>
        <v>NA</v>
      </c>
      <c r="G188" s="9"/>
      <c r="H188" s="10">
        <f t="shared" si="48"/>
        <v>0</v>
      </c>
      <c r="I188" s="8" t="str">
        <f>IFERROR(H188/H444, "NA")</f>
        <v>NA</v>
      </c>
      <c r="J188" s="9"/>
      <c r="K188" s="7">
        <v>0</v>
      </c>
      <c r="L188" s="8" t="str">
        <f>IFERROR(K188/K444, "NA")</f>
        <v>NA</v>
      </c>
      <c r="M188" s="9"/>
      <c r="N188" s="10">
        <f t="shared" si="49"/>
        <v>0</v>
      </c>
      <c r="O188" s="8" t="str">
        <f>IFERROR(N188/N444, "NA")</f>
        <v>NA</v>
      </c>
      <c r="P188" s="9"/>
      <c r="Q188" s="7">
        <v>0</v>
      </c>
      <c r="R188" s="8" t="str">
        <f>IFERROR(Q188/Q444, "NA")</f>
        <v>NA</v>
      </c>
      <c r="S188" s="9"/>
      <c r="T188" s="7">
        <v>0</v>
      </c>
      <c r="U188" s="8" t="str">
        <f>IFERROR(T188/T444, "NA")</f>
        <v>NA</v>
      </c>
      <c r="V188" s="9"/>
      <c r="W188" s="10">
        <f t="shared" si="50"/>
        <v>0</v>
      </c>
      <c r="X188" s="8" t="str">
        <f>IFERROR(W188/W444, "NA")</f>
        <v>NA</v>
      </c>
      <c r="Y188" s="9"/>
      <c r="Z188" s="7">
        <v>0</v>
      </c>
      <c r="AA188" s="8" t="str">
        <f>IFERROR(Z188/Z444, "NA")</f>
        <v>NA</v>
      </c>
      <c r="AB188" s="9"/>
      <c r="AC188" s="10">
        <f t="shared" si="51"/>
        <v>0</v>
      </c>
      <c r="AD188" s="8" t="str">
        <f>IFERROR(AC188/AC444, "NA")</f>
        <v>NA</v>
      </c>
    </row>
    <row r="189" spans="1:30" ht="16.5" hidden="1" customHeight="1" x14ac:dyDescent="0.45">
      <c r="A189" s="12" t="s">
        <v>173</v>
      </c>
      <c r="B189" s="7">
        <v>0</v>
      </c>
      <c r="C189" s="8" t="str">
        <f>IFERROR(B189/B444, "NA")</f>
        <v>NA</v>
      </c>
      <c r="D189" s="9"/>
      <c r="E189" s="7">
        <v>0</v>
      </c>
      <c r="F189" s="8" t="str">
        <f>IFERROR(E189/E444, "NA")</f>
        <v>NA</v>
      </c>
      <c r="G189" s="9"/>
      <c r="H189" s="10">
        <f t="shared" si="48"/>
        <v>0</v>
      </c>
      <c r="I189" s="8" t="str">
        <f>IFERROR(H189/H444, "NA")</f>
        <v>NA</v>
      </c>
      <c r="J189" s="9"/>
      <c r="K189" s="7">
        <v>0</v>
      </c>
      <c r="L189" s="8" t="str">
        <f>IFERROR(K189/K444, "NA")</f>
        <v>NA</v>
      </c>
      <c r="M189" s="9"/>
      <c r="N189" s="10">
        <f t="shared" si="49"/>
        <v>0</v>
      </c>
      <c r="O189" s="8" t="str">
        <f>IFERROR(N189/N444, "NA")</f>
        <v>NA</v>
      </c>
      <c r="P189" s="9"/>
      <c r="Q189" s="7">
        <v>0</v>
      </c>
      <c r="R189" s="8" t="str">
        <f>IFERROR(Q189/Q444, "NA")</f>
        <v>NA</v>
      </c>
      <c r="S189" s="9"/>
      <c r="T189" s="7">
        <v>0</v>
      </c>
      <c r="U189" s="8" t="str">
        <f>IFERROR(T189/T444, "NA")</f>
        <v>NA</v>
      </c>
      <c r="V189" s="9"/>
      <c r="W189" s="10">
        <f t="shared" si="50"/>
        <v>0</v>
      </c>
      <c r="X189" s="8" t="str">
        <f>IFERROR(W189/W444, "NA")</f>
        <v>NA</v>
      </c>
      <c r="Y189" s="9"/>
      <c r="Z189" s="7">
        <v>0</v>
      </c>
      <c r="AA189" s="8" t="str">
        <f>IFERROR(Z189/Z444, "NA")</f>
        <v>NA</v>
      </c>
      <c r="AB189" s="9"/>
      <c r="AC189" s="10">
        <f t="shared" si="51"/>
        <v>0</v>
      </c>
      <c r="AD189" s="8" t="str">
        <f>IFERROR(AC189/AC444, "NA")</f>
        <v>NA</v>
      </c>
    </row>
    <row r="190" spans="1:30" ht="16.5" hidden="1" customHeight="1" x14ac:dyDescent="0.45">
      <c r="A190" s="12" t="s">
        <v>174</v>
      </c>
      <c r="B190" s="7">
        <v>0</v>
      </c>
      <c r="C190" s="8" t="str">
        <f>IFERROR(B190/B444, "NA")</f>
        <v>NA</v>
      </c>
      <c r="D190" s="9"/>
      <c r="E190" s="7">
        <v>0</v>
      </c>
      <c r="F190" s="8" t="str">
        <f>IFERROR(E190/E444, "NA")</f>
        <v>NA</v>
      </c>
      <c r="G190" s="9"/>
      <c r="H190" s="10">
        <f t="shared" si="48"/>
        <v>0</v>
      </c>
      <c r="I190" s="8" t="str">
        <f>IFERROR(H190/H444, "NA")</f>
        <v>NA</v>
      </c>
      <c r="J190" s="9"/>
      <c r="K190" s="7">
        <v>0</v>
      </c>
      <c r="L190" s="8" t="str">
        <f>IFERROR(K190/K444, "NA")</f>
        <v>NA</v>
      </c>
      <c r="M190" s="9"/>
      <c r="N190" s="10">
        <f t="shared" si="49"/>
        <v>0</v>
      </c>
      <c r="O190" s="8" t="str">
        <f>IFERROR(N190/N444, "NA")</f>
        <v>NA</v>
      </c>
      <c r="P190" s="9"/>
      <c r="Q190" s="7">
        <v>0</v>
      </c>
      <c r="R190" s="8" t="str">
        <f>IFERROR(Q190/Q444, "NA")</f>
        <v>NA</v>
      </c>
      <c r="S190" s="9"/>
      <c r="T190" s="7">
        <v>0</v>
      </c>
      <c r="U190" s="8" t="str">
        <f>IFERROR(T190/T444, "NA")</f>
        <v>NA</v>
      </c>
      <c r="V190" s="9"/>
      <c r="W190" s="10">
        <f t="shared" si="50"/>
        <v>0</v>
      </c>
      <c r="X190" s="8" t="str">
        <f>IFERROR(W190/W444, "NA")</f>
        <v>NA</v>
      </c>
      <c r="Y190" s="9"/>
      <c r="Z190" s="7">
        <v>0</v>
      </c>
      <c r="AA190" s="8" t="str">
        <f>IFERROR(Z190/Z444, "NA")</f>
        <v>NA</v>
      </c>
      <c r="AB190" s="9"/>
      <c r="AC190" s="10">
        <f t="shared" si="51"/>
        <v>0</v>
      </c>
      <c r="AD190" s="8" t="str">
        <f>IFERROR(AC190/AC444, "NA")</f>
        <v>NA</v>
      </c>
    </row>
    <row r="191" spans="1:30" ht="16.5" hidden="1" customHeight="1" x14ac:dyDescent="0.45">
      <c r="A191" s="12" t="s">
        <v>175</v>
      </c>
      <c r="B191" s="7">
        <v>0</v>
      </c>
      <c r="C191" s="8" t="str">
        <f>IFERROR(B191/B444, "NA")</f>
        <v>NA</v>
      </c>
      <c r="D191" s="9"/>
      <c r="E191" s="7">
        <v>0</v>
      </c>
      <c r="F191" s="8" t="str">
        <f>IFERROR(E191/E444, "NA")</f>
        <v>NA</v>
      </c>
      <c r="G191" s="9"/>
      <c r="H191" s="10">
        <f t="shared" si="48"/>
        <v>0</v>
      </c>
      <c r="I191" s="8" t="str">
        <f>IFERROR(H191/H444, "NA")</f>
        <v>NA</v>
      </c>
      <c r="J191" s="9"/>
      <c r="K191" s="7">
        <v>0</v>
      </c>
      <c r="L191" s="8" t="str">
        <f>IFERROR(K191/K444, "NA")</f>
        <v>NA</v>
      </c>
      <c r="M191" s="9"/>
      <c r="N191" s="10">
        <f t="shared" si="49"/>
        <v>0</v>
      </c>
      <c r="O191" s="8" t="str">
        <f>IFERROR(N191/N444, "NA")</f>
        <v>NA</v>
      </c>
      <c r="P191" s="9"/>
      <c r="Q191" s="7">
        <v>0</v>
      </c>
      <c r="R191" s="8" t="str">
        <f>IFERROR(Q191/Q444, "NA")</f>
        <v>NA</v>
      </c>
      <c r="S191" s="9"/>
      <c r="T191" s="7">
        <v>0</v>
      </c>
      <c r="U191" s="8" t="str">
        <f>IFERROR(T191/T444, "NA")</f>
        <v>NA</v>
      </c>
      <c r="V191" s="9"/>
      <c r="W191" s="10">
        <f t="shared" si="50"/>
        <v>0</v>
      </c>
      <c r="X191" s="8" t="str">
        <f>IFERROR(W191/W444, "NA")</f>
        <v>NA</v>
      </c>
      <c r="Y191" s="9"/>
      <c r="Z191" s="7">
        <v>0</v>
      </c>
      <c r="AA191" s="8" t="str">
        <f>IFERROR(Z191/Z444, "NA")</f>
        <v>NA</v>
      </c>
      <c r="AB191" s="9"/>
      <c r="AC191" s="10">
        <f t="shared" si="51"/>
        <v>0</v>
      </c>
      <c r="AD191" s="8" t="str">
        <f>IFERROR(AC191/AC444, "NA")</f>
        <v>NA</v>
      </c>
    </row>
    <row r="192" spans="1:30" ht="16.5" hidden="1" customHeight="1" x14ac:dyDescent="0.45">
      <c r="A192" s="12" t="s">
        <v>176</v>
      </c>
      <c r="B192" s="7">
        <v>0</v>
      </c>
      <c r="C192" s="8" t="str">
        <f>IFERROR(B192/B444, "NA")</f>
        <v>NA</v>
      </c>
      <c r="D192" s="9"/>
      <c r="E192" s="7">
        <v>0</v>
      </c>
      <c r="F192" s="8" t="str">
        <f>IFERROR(E192/E444, "NA")</f>
        <v>NA</v>
      </c>
      <c r="G192" s="9"/>
      <c r="H192" s="10">
        <f t="shared" si="48"/>
        <v>0</v>
      </c>
      <c r="I192" s="8" t="str">
        <f>IFERROR(H192/H444, "NA")</f>
        <v>NA</v>
      </c>
      <c r="J192" s="9"/>
      <c r="K192" s="7">
        <v>0</v>
      </c>
      <c r="L192" s="8" t="str">
        <f>IFERROR(K192/K444, "NA")</f>
        <v>NA</v>
      </c>
      <c r="M192" s="9"/>
      <c r="N192" s="10">
        <f t="shared" si="49"/>
        <v>0</v>
      </c>
      <c r="O192" s="8" t="str">
        <f>IFERROR(N192/N444, "NA")</f>
        <v>NA</v>
      </c>
      <c r="P192" s="9"/>
      <c r="Q192" s="7">
        <v>0</v>
      </c>
      <c r="R192" s="8" t="str">
        <f>IFERROR(Q192/Q444, "NA")</f>
        <v>NA</v>
      </c>
      <c r="S192" s="9"/>
      <c r="T192" s="7">
        <v>0</v>
      </c>
      <c r="U192" s="8" t="str">
        <f>IFERROR(T192/T444, "NA")</f>
        <v>NA</v>
      </c>
      <c r="V192" s="9"/>
      <c r="W192" s="10">
        <f t="shared" si="50"/>
        <v>0</v>
      </c>
      <c r="X192" s="8" t="str">
        <f>IFERROR(W192/W444, "NA")</f>
        <v>NA</v>
      </c>
      <c r="Y192" s="9"/>
      <c r="Z192" s="7">
        <v>0</v>
      </c>
      <c r="AA192" s="8" t="str">
        <f>IFERROR(Z192/Z444, "NA")</f>
        <v>NA</v>
      </c>
      <c r="AB192" s="9"/>
      <c r="AC192" s="10">
        <f t="shared" si="51"/>
        <v>0</v>
      </c>
      <c r="AD192" s="8" t="str">
        <f>IFERROR(AC192/AC444, "NA")</f>
        <v>NA</v>
      </c>
    </row>
    <row r="193" spans="1:30" ht="16.5" customHeight="1" x14ac:dyDescent="0.45">
      <c r="A193" s="13" t="s">
        <v>177</v>
      </c>
      <c r="B193" s="14">
        <f>IFERROR(B186+B187+B188+B189+B190+B191+B192, "NA")</f>
        <v>0</v>
      </c>
      <c r="C193" s="15" t="str">
        <f>IFERROR(B193/B444, "NA")</f>
        <v>NA</v>
      </c>
      <c r="D193" s="2"/>
      <c r="E193" s="14">
        <f>IFERROR(E186+E187+E188+E189+E190+E191+E192, "NA")</f>
        <v>0</v>
      </c>
      <c r="F193" s="15" t="str">
        <f>IFERROR(E193/E444, "NA")</f>
        <v>NA</v>
      </c>
      <c r="G193" s="2"/>
      <c r="H193" s="14">
        <f t="shared" si="48"/>
        <v>0</v>
      </c>
      <c r="I193" s="15" t="str">
        <f>IFERROR(H193/H444, "NA")</f>
        <v>NA</v>
      </c>
      <c r="J193" s="2"/>
      <c r="K193" s="14">
        <f>IFERROR(K186+K187+K188+K189+K190+K191+K192, "NA")</f>
        <v>0</v>
      </c>
      <c r="L193" s="15" t="str">
        <f>IFERROR(K193/K444, "NA")</f>
        <v>NA</v>
      </c>
      <c r="M193" s="2"/>
      <c r="N193" s="14">
        <f t="shared" si="49"/>
        <v>0</v>
      </c>
      <c r="O193" s="15" t="str">
        <f>IFERROR(N193/N444, "NA")</f>
        <v>NA</v>
      </c>
      <c r="P193" s="2"/>
      <c r="Q193" s="14">
        <f>IFERROR(Q186+Q187+Q188+Q189+Q190+Q191+Q192, "NA")</f>
        <v>0</v>
      </c>
      <c r="R193" s="15" t="str">
        <f>IFERROR(Q193/Q444, "NA")</f>
        <v>NA</v>
      </c>
      <c r="S193" s="2"/>
      <c r="T193" s="14">
        <f>IFERROR(T186+T187+T188+T189+T190+T191+T192, "NA")</f>
        <v>0</v>
      </c>
      <c r="U193" s="15" t="str">
        <f>IFERROR(T193/T444, "NA")</f>
        <v>NA</v>
      </c>
      <c r="V193" s="2"/>
      <c r="W193" s="14">
        <f t="shared" si="50"/>
        <v>0</v>
      </c>
      <c r="X193" s="15" t="str">
        <f>IFERROR(W193/W444, "NA")</f>
        <v>NA</v>
      </c>
      <c r="Y193" s="2"/>
      <c r="Z193" s="14">
        <f>IFERROR(Z186+Z187+Z188+Z189+Z190+Z191+Z192, "NA")</f>
        <v>0</v>
      </c>
      <c r="AA193" s="15" t="str">
        <f>IFERROR(Z193/Z444, "NA")</f>
        <v>NA</v>
      </c>
      <c r="AB193" s="2"/>
      <c r="AC193" s="14">
        <f t="shared" si="51"/>
        <v>0</v>
      </c>
      <c r="AD193" s="15" t="str">
        <f>IFERROR(AC193/AC444, "NA")</f>
        <v>NA</v>
      </c>
    </row>
    <row r="194" spans="1:30" ht="16.5" hidden="1" customHeight="1" x14ac:dyDescent="0.45">
      <c r="A194" s="6" t="s">
        <v>178</v>
      </c>
      <c r="B194" s="7">
        <v>0</v>
      </c>
      <c r="C194" s="8" t="str">
        <f>IFERROR(B194/B444, "NA")</f>
        <v>NA</v>
      </c>
      <c r="D194" s="9"/>
      <c r="E194" s="7">
        <v>0</v>
      </c>
      <c r="F194" s="8" t="str">
        <f>IFERROR(E194/E444, "NA")</f>
        <v>NA</v>
      </c>
      <c r="G194" s="9"/>
      <c r="H194" s="10">
        <f t="shared" si="48"/>
        <v>0</v>
      </c>
      <c r="I194" s="8" t="str">
        <f>IFERROR(H194/H444, "NA")</f>
        <v>NA</v>
      </c>
      <c r="J194" s="9"/>
      <c r="K194" s="7">
        <v>0</v>
      </c>
      <c r="L194" s="8" t="str">
        <f>IFERROR(K194/K444, "NA")</f>
        <v>NA</v>
      </c>
      <c r="M194" s="9"/>
      <c r="N194" s="10">
        <f t="shared" si="49"/>
        <v>0</v>
      </c>
      <c r="O194" s="8" t="str">
        <f>IFERROR(N194/N444, "NA")</f>
        <v>NA</v>
      </c>
      <c r="P194" s="9"/>
      <c r="Q194" s="7">
        <v>0</v>
      </c>
      <c r="R194" s="8" t="str">
        <f>IFERROR(Q194/Q444, "NA")</f>
        <v>NA</v>
      </c>
      <c r="S194" s="9"/>
      <c r="T194" s="7">
        <v>0</v>
      </c>
      <c r="U194" s="8" t="str">
        <f>IFERROR(T194/T444, "NA")</f>
        <v>NA</v>
      </c>
      <c r="V194" s="9"/>
      <c r="W194" s="10">
        <f t="shared" si="50"/>
        <v>0</v>
      </c>
      <c r="X194" s="8" t="str">
        <f>IFERROR(W194/W444, "NA")</f>
        <v>NA</v>
      </c>
      <c r="Y194" s="9"/>
      <c r="Z194" s="7">
        <v>0</v>
      </c>
      <c r="AA194" s="8" t="str">
        <f>IFERROR(Z194/Z444, "NA")</f>
        <v>NA</v>
      </c>
      <c r="AB194" s="9"/>
      <c r="AC194" s="10">
        <f t="shared" si="51"/>
        <v>0</v>
      </c>
      <c r="AD194" s="8" t="str">
        <f>IFERROR(AC194/AC444, "NA")</f>
        <v>NA</v>
      </c>
    </row>
    <row r="195" spans="1:30" ht="16.5" hidden="1" customHeight="1" x14ac:dyDescent="0.45">
      <c r="A195" s="6" t="s">
        <v>179</v>
      </c>
      <c r="B195" s="7">
        <v>0</v>
      </c>
      <c r="C195" s="8" t="str">
        <f>IFERROR(B195/B444, "NA")</f>
        <v>NA</v>
      </c>
      <c r="D195" s="9"/>
      <c r="E195" s="7">
        <v>0</v>
      </c>
      <c r="F195" s="8" t="str">
        <f>IFERROR(E195/E444, "NA")</f>
        <v>NA</v>
      </c>
      <c r="G195" s="9"/>
      <c r="H195" s="10">
        <f t="shared" si="48"/>
        <v>0</v>
      </c>
      <c r="I195" s="8" t="str">
        <f>IFERROR(H195/H444, "NA")</f>
        <v>NA</v>
      </c>
      <c r="J195" s="9"/>
      <c r="K195" s="7">
        <v>0</v>
      </c>
      <c r="L195" s="8" t="str">
        <f>IFERROR(K195/K444, "NA")</f>
        <v>NA</v>
      </c>
      <c r="M195" s="9"/>
      <c r="N195" s="10">
        <f t="shared" si="49"/>
        <v>0</v>
      </c>
      <c r="O195" s="8" t="str">
        <f>IFERROR(N195/N444, "NA")</f>
        <v>NA</v>
      </c>
      <c r="P195" s="9"/>
      <c r="Q195" s="7">
        <v>0</v>
      </c>
      <c r="R195" s="8" t="str">
        <f>IFERROR(Q195/Q444, "NA")</f>
        <v>NA</v>
      </c>
      <c r="S195" s="9"/>
      <c r="T195" s="7">
        <v>0</v>
      </c>
      <c r="U195" s="8" t="str">
        <f>IFERROR(T195/T444, "NA")</f>
        <v>NA</v>
      </c>
      <c r="V195" s="9"/>
      <c r="W195" s="10">
        <f t="shared" si="50"/>
        <v>0</v>
      </c>
      <c r="X195" s="8" t="str">
        <f>IFERROR(W195/W444, "NA")</f>
        <v>NA</v>
      </c>
      <c r="Y195" s="9"/>
      <c r="Z195" s="7">
        <v>0</v>
      </c>
      <c r="AA195" s="8" t="str">
        <f>IFERROR(Z195/Z444, "NA")</f>
        <v>NA</v>
      </c>
      <c r="AB195" s="9"/>
      <c r="AC195" s="10">
        <f t="shared" si="51"/>
        <v>0</v>
      </c>
      <c r="AD195" s="8" t="str">
        <f>IFERROR(AC195/AC444, "NA")</f>
        <v>NA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0</v>
      </c>
      <c r="C196" s="15" t="str">
        <f>IFERROR(B196/B444, "NA")</f>
        <v>NA</v>
      </c>
      <c r="D196" s="2"/>
      <c r="E196" s="14">
        <f>IFERROR(E175+E177+E178+E179+E180+E181+E183+E184+E186+E187+E188+E189+E190+E191+E192+E194+E195, "NA")</f>
        <v>0</v>
      </c>
      <c r="F196" s="15" t="str">
        <f>IFERROR(E196/E444, "NA")</f>
        <v>NA</v>
      </c>
      <c r="G196" s="2"/>
      <c r="H196" s="14">
        <f t="shared" si="48"/>
        <v>0</v>
      </c>
      <c r="I196" s="15" t="str">
        <f>IFERROR(H196/H444, "NA")</f>
        <v>NA</v>
      </c>
      <c r="J196" s="2"/>
      <c r="K196" s="14">
        <f>IFERROR(K175+K177+K178+K179+K180+K181+K183+K184+K186+K187+K188+K189+K190+K191+K192+K194+K195, "NA")</f>
        <v>0</v>
      </c>
      <c r="L196" s="15" t="str">
        <f>IFERROR(K196/K444, "NA")</f>
        <v>NA</v>
      </c>
      <c r="M196" s="2"/>
      <c r="N196" s="14">
        <f t="shared" si="49"/>
        <v>0</v>
      </c>
      <c r="O196" s="15" t="str">
        <f>IFERROR(N196/N444, "NA")</f>
        <v>NA</v>
      </c>
      <c r="P196" s="2"/>
      <c r="Q196" s="14">
        <f>IFERROR(Q175+Q177+Q178+Q179+Q180+Q181+Q183+Q184+Q186+Q187+Q188+Q189+Q190+Q191+Q192+Q194+Q195, "NA")</f>
        <v>0</v>
      </c>
      <c r="R196" s="15" t="str">
        <f>IFERROR(Q196/Q444, "NA")</f>
        <v>NA</v>
      </c>
      <c r="S196" s="2"/>
      <c r="T196" s="14">
        <f>IFERROR(T175+T177+T178+T179+T180+T181+T183+T184+T186+T187+T188+T189+T190+T191+T192+T194+T195, "NA")</f>
        <v>0</v>
      </c>
      <c r="U196" s="15" t="str">
        <f>IFERROR(T196/T444, "NA")</f>
        <v>NA</v>
      </c>
      <c r="V196" s="2"/>
      <c r="W196" s="14">
        <f t="shared" si="50"/>
        <v>0</v>
      </c>
      <c r="X196" s="15" t="str">
        <f>IFERROR(W196/W444, "NA")</f>
        <v>NA</v>
      </c>
      <c r="Y196" s="2"/>
      <c r="Z196" s="14">
        <f>IFERROR(Z175+Z177+Z178+Z179+Z180+Z181+Z183+Z184+Z186+Z187+Z188+Z189+Z190+Z191+Z192+Z194+Z195, "NA")</f>
        <v>0</v>
      </c>
      <c r="AA196" s="15" t="str">
        <f>IFERROR(Z196/Z444, "NA")</f>
        <v>NA</v>
      </c>
      <c r="AB196" s="2"/>
      <c r="AC196" s="14">
        <f t="shared" si="51"/>
        <v>0</v>
      </c>
      <c r="AD196" s="15" t="str">
        <f>IFERROR(AC196/AC444, "NA")</f>
        <v>NA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0</v>
      </c>
      <c r="C197" s="15" t="str">
        <f>IFERROR(B197/B444, "NA")</f>
        <v>NA</v>
      </c>
      <c r="D197" s="2"/>
      <c r="E197" s="14">
        <f>IFERROR(E175+E177+E178+E179+E180+E181+E183+E184+E186+E187+E188+E189+E190+E191+E192+E194+E195, "NA")</f>
        <v>0</v>
      </c>
      <c r="F197" s="15" t="str">
        <f>IFERROR(E197/E444, "NA")</f>
        <v>NA</v>
      </c>
      <c r="G197" s="2"/>
      <c r="H197" s="14">
        <f t="shared" si="48"/>
        <v>0</v>
      </c>
      <c r="I197" s="15" t="str">
        <f>IFERROR(H197/H444, "NA")</f>
        <v>NA</v>
      </c>
      <c r="J197" s="2"/>
      <c r="K197" s="14">
        <f>IFERROR(K175+K177+K178+K179+K180+K181+K183+K184+K186+K187+K188+K189+K190+K191+K192+K194+K195, "NA")</f>
        <v>0</v>
      </c>
      <c r="L197" s="15" t="str">
        <f>IFERROR(K197/K444, "NA")</f>
        <v>NA</v>
      </c>
      <c r="M197" s="2"/>
      <c r="N197" s="14">
        <f t="shared" si="49"/>
        <v>0</v>
      </c>
      <c r="O197" s="15" t="str">
        <f>IFERROR(N197/N444, "NA")</f>
        <v>NA</v>
      </c>
      <c r="P197" s="2"/>
      <c r="Q197" s="14">
        <f>IFERROR(Q175+Q177+Q178+Q179+Q180+Q181+Q183+Q184+Q186+Q187+Q188+Q189+Q190+Q191+Q192+Q194+Q195, "NA")</f>
        <v>0</v>
      </c>
      <c r="R197" s="15" t="str">
        <f>IFERROR(Q197/Q444, "NA")</f>
        <v>NA</v>
      </c>
      <c r="S197" s="2"/>
      <c r="T197" s="14">
        <f>IFERROR(T175+T177+T178+T179+T180+T181+T183+T184+T186+T187+T188+T189+T190+T191+T192+T194+T195, "NA")</f>
        <v>0</v>
      </c>
      <c r="U197" s="15" t="str">
        <f>IFERROR(T197/T444, "NA")</f>
        <v>NA</v>
      </c>
      <c r="V197" s="2"/>
      <c r="W197" s="14">
        <f t="shared" si="50"/>
        <v>0</v>
      </c>
      <c r="X197" s="15" t="str">
        <f>IFERROR(W197/W444, "NA")</f>
        <v>NA</v>
      </c>
      <c r="Y197" s="2"/>
      <c r="Z197" s="14">
        <f>IFERROR(Z175+Z177+Z178+Z179+Z180+Z181+Z183+Z184+Z186+Z187+Z188+Z189+Z190+Z191+Z192+Z194+Z195, "NA")</f>
        <v>0</v>
      </c>
      <c r="AA197" s="15" t="str">
        <f>IFERROR(Z197/Z444, "NA")</f>
        <v>NA</v>
      </c>
      <c r="AB197" s="2"/>
      <c r="AC197" s="14">
        <f t="shared" si="51"/>
        <v>0</v>
      </c>
      <c r="AD197" s="15" t="str">
        <f>IFERROR(AC197/AC444, "NA")</f>
        <v>NA</v>
      </c>
    </row>
    <row r="198" spans="1:30" ht="16.5" customHeight="1" x14ac:dyDescent="0.45">
      <c r="A198" s="22" t="s">
        <v>181</v>
      </c>
      <c r="B198" s="23">
        <f>IFERROR(B172-B197, "NA")</f>
        <v>0</v>
      </c>
      <c r="C198" s="24" t="str">
        <f>IFERROR(B198/B444, "NA")</f>
        <v>NA</v>
      </c>
      <c r="D198" s="25"/>
      <c r="E198" s="23">
        <f>IFERROR(E172-E197, "NA")</f>
        <v>0</v>
      </c>
      <c r="F198" s="24" t="str">
        <f>IFERROR(E198/E444, "NA")</f>
        <v>NA</v>
      </c>
      <c r="G198" s="25"/>
      <c r="H198" s="23">
        <f>IFERROR(B198-E198, "NA")</f>
        <v>0</v>
      </c>
      <c r="I198" s="24" t="str">
        <f>IFERROR(H198/H444, "NA")</f>
        <v>NA</v>
      </c>
      <c r="J198" s="25"/>
      <c r="K198" s="23">
        <f>IFERROR(K172-K197, "NA")</f>
        <v>0</v>
      </c>
      <c r="L198" s="24" t="str">
        <f>IFERROR(K198/K444, "NA")</f>
        <v>NA</v>
      </c>
      <c r="M198" s="25"/>
      <c r="N198" s="23">
        <f>IFERROR(B198-K198, "NA")</f>
        <v>0</v>
      </c>
      <c r="O198" s="24" t="str">
        <f>IFERROR(N198/N444, "NA")</f>
        <v>NA</v>
      </c>
      <c r="P198" s="25"/>
      <c r="Q198" s="23">
        <f>IFERROR(Q172-Q197, "NA")</f>
        <v>0</v>
      </c>
      <c r="R198" s="24" t="str">
        <f>IFERROR(Q198/Q444, "NA")</f>
        <v>NA</v>
      </c>
      <c r="S198" s="25"/>
      <c r="T198" s="23">
        <f>IFERROR(T172-T197, "NA")</f>
        <v>0</v>
      </c>
      <c r="U198" s="24" t="str">
        <f>IFERROR(T198/T444, "NA")</f>
        <v>NA</v>
      </c>
      <c r="V198" s="25"/>
      <c r="W198" s="23">
        <f>IFERROR(Q198-T198, "NA")</f>
        <v>0</v>
      </c>
      <c r="X198" s="24" t="str">
        <f>IFERROR(W198/W444, "NA")</f>
        <v>NA</v>
      </c>
      <c r="Y198" s="25"/>
      <c r="Z198" s="23">
        <f>IFERROR(Z172-Z197, "NA")</f>
        <v>0</v>
      </c>
      <c r="AA198" s="24" t="str">
        <f>IFERROR(Z198/Z444, "NA")</f>
        <v>NA</v>
      </c>
      <c r="AB198" s="25"/>
      <c r="AC198" s="23">
        <f>IFERROR(Q198-Z198, "NA")</f>
        <v>0</v>
      </c>
      <c r="AD198" s="24" t="str">
        <f>IFERROR(AC198/AC444, "NA")</f>
        <v>NA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 t="str">
        <f>IFERROR(B201/B444, "NA")</f>
        <v>NA</v>
      </c>
      <c r="D201" s="9"/>
      <c r="E201" s="7">
        <v>0</v>
      </c>
      <c r="F201" s="8" t="str">
        <f>IFERROR(E201/E444, "NA")</f>
        <v>NA</v>
      </c>
      <c r="G201" s="9"/>
      <c r="H201" s="10">
        <f t="shared" ref="H201:H209" si="52">IFERROR(-(B201-E201), "NA")</f>
        <v>0</v>
      </c>
      <c r="I201" s="8" t="str">
        <f>IFERROR(H201/H444, "NA")</f>
        <v>NA</v>
      </c>
      <c r="J201" s="9"/>
      <c r="K201" s="7">
        <v>0</v>
      </c>
      <c r="L201" s="8" t="str">
        <f>IFERROR(K201/K444, "NA")</f>
        <v>NA</v>
      </c>
      <c r="M201" s="9"/>
      <c r="N201" s="10">
        <f t="shared" ref="N201:N209" si="53">IFERROR(-(B201-K201), "NA")</f>
        <v>0</v>
      </c>
      <c r="O201" s="8" t="str">
        <f>IFERROR(N201/N444, "NA")</f>
        <v>NA</v>
      </c>
      <c r="P201" s="9"/>
      <c r="Q201" s="7">
        <v>0</v>
      </c>
      <c r="R201" s="8" t="str">
        <f>IFERROR(Q201/Q444, "NA")</f>
        <v>NA</v>
      </c>
      <c r="S201" s="9"/>
      <c r="T201" s="7">
        <v>0</v>
      </c>
      <c r="U201" s="8" t="str">
        <f>IFERROR(T201/T444, "NA")</f>
        <v>NA</v>
      </c>
      <c r="V201" s="9"/>
      <c r="W201" s="10">
        <f t="shared" ref="W201:W209" si="54">IFERROR(-(Q201-T201), "NA")</f>
        <v>0</v>
      </c>
      <c r="X201" s="8" t="str">
        <f>IFERROR(W201/W444, "NA")</f>
        <v>NA</v>
      </c>
      <c r="Y201" s="9"/>
      <c r="Z201" s="7">
        <v>0</v>
      </c>
      <c r="AA201" s="8" t="str">
        <f>IFERROR(Z201/Z444, "NA")</f>
        <v>NA</v>
      </c>
      <c r="AB201" s="9"/>
      <c r="AC201" s="10">
        <f t="shared" ref="AC201:AC209" si="55">IFERROR(-(Q201-Z201), "NA")</f>
        <v>0</v>
      </c>
      <c r="AD201" s="8" t="str">
        <f>IFERROR(AC201/AC444, "NA")</f>
        <v>NA</v>
      </c>
    </row>
    <row r="202" spans="1:30" ht="16.5" hidden="1" customHeight="1" x14ac:dyDescent="0.45">
      <c r="A202" s="6" t="s">
        <v>184</v>
      </c>
      <c r="B202" s="7">
        <v>0</v>
      </c>
      <c r="C202" s="8" t="str">
        <f>IFERROR(B202/B444, "NA")</f>
        <v>NA</v>
      </c>
      <c r="D202" s="9"/>
      <c r="E202" s="7">
        <v>0</v>
      </c>
      <c r="F202" s="8" t="str">
        <f>IFERROR(E202/E444, "NA")</f>
        <v>NA</v>
      </c>
      <c r="G202" s="9"/>
      <c r="H202" s="10">
        <f t="shared" si="52"/>
        <v>0</v>
      </c>
      <c r="I202" s="8" t="str">
        <f>IFERROR(H202/H444, "NA")</f>
        <v>NA</v>
      </c>
      <c r="J202" s="9"/>
      <c r="K202" s="7">
        <v>0</v>
      </c>
      <c r="L202" s="8" t="str">
        <f>IFERROR(K202/K444, "NA")</f>
        <v>NA</v>
      </c>
      <c r="M202" s="9"/>
      <c r="N202" s="10">
        <f t="shared" si="53"/>
        <v>0</v>
      </c>
      <c r="O202" s="8" t="str">
        <f>IFERROR(N202/N444, "NA")</f>
        <v>NA</v>
      </c>
      <c r="P202" s="9"/>
      <c r="Q202" s="7">
        <v>0</v>
      </c>
      <c r="R202" s="8" t="str">
        <f>IFERROR(Q202/Q444, "NA")</f>
        <v>NA</v>
      </c>
      <c r="S202" s="9"/>
      <c r="T202" s="7">
        <v>0</v>
      </c>
      <c r="U202" s="8" t="str">
        <f>IFERROR(T202/T444, "NA")</f>
        <v>NA</v>
      </c>
      <c r="V202" s="9"/>
      <c r="W202" s="10">
        <f t="shared" si="54"/>
        <v>0</v>
      </c>
      <c r="X202" s="8" t="str">
        <f>IFERROR(W202/W444, "NA")</f>
        <v>NA</v>
      </c>
      <c r="Y202" s="9"/>
      <c r="Z202" s="7">
        <v>0</v>
      </c>
      <c r="AA202" s="8" t="str">
        <f>IFERROR(Z202/Z444, "NA")</f>
        <v>NA</v>
      </c>
      <c r="AB202" s="9"/>
      <c r="AC202" s="10">
        <f t="shared" si="55"/>
        <v>0</v>
      </c>
      <c r="AD202" s="8" t="str">
        <f>IFERROR(AC202/AC444, "NA")</f>
        <v>NA</v>
      </c>
    </row>
    <row r="203" spans="1:30" ht="16.5" hidden="1" customHeight="1" x14ac:dyDescent="0.45">
      <c r="A203" s="6" t="s">
        <v>185</v>
      </c>
      <c r="B203" s="7">
        <v>0</v>
      </c>
      <c r="C203" s="8" t="str">
        <f>IFERROR(B203/B444, "NA")</f>
        <v>NA</v>
      </c>
      <c r="D203" s="9"/>
      <c r="E203" s="7">
        <v>0</v>
      </c>
      <c r="F203" s="8" t="str">
        <f>IFERROR(E203/E444, "NA")</f>
        <v>NA</v>
      </c>
      <c r="G203" s="9"/>
      <c r="H203" s="10">
        <f t="shared" si="52"/>
        <v>0</v>
      </c>
      <c r="I203" s="8" t="str">
        <f>IFERROR(H203/H444, "NA")</f>
        <v>NA</v>
      </c>
      <c r="J203" s="9"/>
      <c r="K203" s="7">
        <v>0</v>
      </c>
      <c r="L203" s="8" t="str">
        <f>IFERROR(K203/K444, "NA")</f>
        <v>NA</v>
      </c>
      <c r="M203" s="9"/>
      <c r="N203" s="10">
        <f t="shared" si="53"/>
        <v>0</v>
      </c>
      <c r="O203" s="8" t="str">
        <f>IFERROR(N203/N444, "NA")</f>
        <v>NA</v>
      </c>
      <c r="P203" s="9"/>
      <c r="Q203" s="7">
        <v>0</v>
      </c>
      <c r="R203" s="8" t="str">
        <f>IFERROR(Q203/Q444, "NA")</f>
        <v>NA</v>
      </c>
      <c r="S203" s="9"/>
      <c r="T203" s="7">
        <v>0</v>
      </c>
      <c r="U203" s="8" t="str">
        <f>IFERROR(T203/T444, "NA")</f>
        <v>NA</v>
      </c>
      <c r="V203" s="9"/>
      <c r="W203" s="10">
        <f t="shared" si="54"/>
        <v>0</v>
      </c>
      <c r="X203" s="8" t="str">
        <f>IFERROR(W203/W444, "NA")</f>
        <v>NA</v>
      </c>
      <c r="Y203" s="9"/>
      <c r="Z203" s="7">
        <v>0</v>
      </c>
      <c r="AA203" s="8" t="str">
        <f>IFERROR(Z203/Z444, "NA")</f>
        <v>NA</v>
      </c>
      <c r="AB203" s="9"/>
      <c r="AC203" s="10">
        <f t="shared" si="55"/>
        <v>0</v>
      </c>
      <c r="AD203" s="8" t="str">
        <f>IFERROR(AC203/AC444, "NA")</f>
        <v>NA</v>
      </c>
    </row>
    <row r="204" spans="1:30" ht="16.5" hidden="1" customHeight="1" x14ac:dyDescent="0.45">
      <c r="A204" s="6" t="s">
        <v>186</v>
      </c>
      <c r="B204" s="7">
        <v>0</v>
      </c>
      <c r="C204" s="8" t="str">
        <f>IFERROR(B204/B444, "NA")</f>
        <v>NA</v>
      </c>
      <c r="D204" s="9"/>
      <c r="E204" s="7">
        <v>0</v>
      </c>
      <c r="F204" s="8" t="str">
        <f>IFERROR(E204/E444, "NA")</f>
        <v>NA</v>
      </c>
      <c r="G204" s="9"/>
      <c r="H204" s="10">
        <f t="shared" si="52"/>
        <v>0</v>
      </c>
      <c r="I204" s="8" t="str">
        <f>IFERROR(H204/H444, "NA")</f>
        <v>NA</v>
      </c>
      <c r="J204" s="9"/>
      <c r="K204" s="7">
        <v>0</v>
      </c>
      <c r="L204" s="8" t="str">
        <f>IFERROR(K204/K444, "NA")</f>
        <v>NA</v>
      </c>
      <c r="M204" s="9"/>
      <c r="N204" s="10">
        <f t="shared" si="53"/>
        <v>0</v>
      </c>
      <c r="O204" s="8" t="str">
        <f>IFERROR(N204/N444, "NA")</f>
        <v>NA</v>
      </c>
      <c r="P204" s="9"/>
      <c r="Q204" s="7">
        <v>0</v>
      </c>
      <c r="R204" s="8" t="str">
        <f>IFERROR(Q204/Q444, "NA")</f>
        <v>NA</v>
      </c>
      <c r="S204" s="9"/>
      <c r="T204" s="7">
        <v>0</v>
      </c>
      <c r="U204" s="8" t="str">
        <f>IFERROR(T204/T444, "NA")</f>
        <v>NA</v>
      </c>
      <c r="V204" s="9"/>
      <c r="W204" s="10">
        <f t="shared" si="54"/>
        <v>0</v>
      </c>
      <c r="X204" s="8" t="str">
        <f>IFERROR(W204/W444, "NA")</f>
        <v>NA</v>
      </c>
      <c r="Y204" s="9"/>
      <c r="Z204" s="7">
        <v>0</v>
      </c>
      <c r="AA204" s="8" t="str">
        <f>IFERROR(Z204/Z444, "NA")</f>
        <v>NA</v>
      </c>
      <c r="AB204" s="9"/>
      <c r="AC204" s="10">
        <f t="shared" si="55"/>
        <v>0</v>
      </c>
      <c r="AD204" s="8" t="str">
        <f>IFERROR(AC204/AC444, "NA")</f>
        <v>NA</v>
      </c>
    </row>
    <row r="205" spans="1:30" ht="16.5" hidden="1" customHeight="1" x14ac:dyDescent="0.45">
      <c r="A205" s="6" t="s">
        <v>187</v>
      </c>
      <c r="B205" s="7">
        <v>0</v>
      </c>
      <c r="C205" s="8" t="str">
        <f>IFERROR(B205/B444, "NA")</f>
        <v>NA</v>
      </c>
      <c r="D205" s="9"/>
      <c r="E205" s="7">
        <v>0</v>
      </c>
      <c r="F205" s="8" t="str">
        <f>IFERROR(E205/E444, "NA")</f>
        <v>NA</v>
      </c>
      <c r="G205" s="9"/>
      <c r="H205" s="10">
        <f t="shared" si="52"/>
        <v>0</v>
      </c>
      <c r="I205" s="8" t="str">
        <f>IFERROR(H205/H444, "NA")</f>
        <v>NA</v>
      </c>
      <c r="J205" s="9"/>
      <c r="K205" s="7">
        <v>0</v>
      </c>
      <c r="L205" s="8" t="str">
        <f>IFERROR(K205/K444, "NA")</f>
        <v>NA</v>
      </c>
      <c r="M205" s="9"/>
      <c r="N205" s="10">
        <f t="shared" si="53"/>
        <v>0</v>
      </c>
      <c r="O205" s="8" t="str">
        <f>IFERROR(N205/N444, "NA")</f>
        <v>NA</v>
      </c>
      <c r="P205" s="9"/>
      <c r="Q205" s="7">
        <v>0</v>
      </c>
      <c r="R205" s="8" t="str">
        <f>IFERROR(Q205/Q444, "NA")</f>
        <v>NA</v>
      </c>
      <c r="S205" s="9"/>
      <c r="T205" s="7">
        <v>0</v>
      </c>
      <c r="U205" s="8" t="str">
        <f>IFERROR(T205/T444, "NA")</f>
        <v>NA</v>
      </c>
      <c r="V205" s="9"/>
      <c r="W205" s="10">
        <f t="shared" si="54"/>
        <v>0</v>
      </c>
      <c r="X205" s="8" t="str">
        <f>IFERROR(W205/W444, "NA")</f>
        <v>NA</v>
      </c>
      <c r="Y205" s="9"/>
      <c r="Z205" s="7">
        <v>0</v>
      </c>
      <c r="AA205" s="8" t="str">
        <f>IFERROR(Z205/Z444, "NA")</f>
        <v>NA</v>
      </c>
      <c r="AB205" s="9"/>
      <c r="AC205" s="10">
        <f t="shared" si="55"/>
        <v>0</v>
      </c>
      <c r="AD205" s="8" t="str">
        <f>IFERROR(AC205/AC444, "NA")</f>
        <v>NA</v>
      </c>
    </row>
    <row r="206" spans="1:30" ht="16.5" hidden="1" customHeight="1" x14ac:dyDescent="0.45">
      <c r="A206" s="6" t="s">
        <v>188</v>
      </c>
      <c r="B206" s="7">
        <v>0</v>
      </c>
      <c r="C206" s="8" t="str">
        <f>IFERROR(B206/B444, "NA")</f>
        <v>NA</v>
      </c>
      <c r="D206" s="9"/>
      <c r="E206" s="7">
        <v>0</v>
      </c>
      <c r="F206" s="8" t="str">
        <f>IFERROR(E206/E444, "NA")</f>
        <v>NA</v>
      </c>
      <c r="G206" s="9"/>
      <c r="H206" s="10">
        <f t="shared" si="52"/>
        <v>0</v>
      </c>
      <c r="I206" s="8" t="str">
        <f>IFERROR(H206/H444, "NA")</f>
        <v>NA</v>
      </c>
      <c r="J206" s="9"/>
      <c r="K206" s="7">
        <v>0</v>
      </c>
      <c r="L206" s="8" t="str">
        <f>IFERROR(K206/K444, "NA")</f>
        <v>NA</v>
      </c>
      <c r="M206" s="9"/>
      <c r="N206" s="10">
        <f t="shared" si="53"/>
        <v>0</v>
      </c>
      <c r="O206" s="8" t="str">
        <f>IFERROR(N206/N444, "NA")</f>
        <v>NA</v>
      </c>
      <c r="P206" s="9"/>
      <c r="Q206" s="7">
        <v>0</v>
      </c>
      <c r="R206" s="8" t="str">
        <f>IFERROR(Q206/Q444, "NA")</f>
        <v>NA</v>
      </c>
      <c r="S206" s="9"/>
      <c r="T206" s="7">
        <v>0</v>
      </c>
      <c r="U206" s="8" t="str">
        <f>IFERROR(T206/T444, "NA")</f>
        <v>NA</v>
      </c>
      <c r="V206" s="9"/>
      <c r="W206" s="10">
        <f t="shared" si="54"/>
        <v>0</v>
      </c>
      <c r="X206" s="8" t="str">
        <f>IFERROR(W206/W444, "NA")</f>
        <v>NA</v>
      </c>
      <c r="Y206" s="9"/>
      <c r="Z206" s="7">
        <v>0</v>
      </c>
      <c r="AA206" s="8" t="str">
        <f>IFERROR(Z206/Z444, "NA")</f>
        <v>NA</v>
      </c>
      <c r="AB206" s="9"/>
      <c r="AC206" s="10">
        <f t="shared" si="55"/>
        <v>0</v>
      </c>
      <c r="AD206" s="8" t="str">
        <f>IFERROR(AC206/AC444, "NA")</f>
        <v>NA</v>
      </c>
    </row>
    <row r="207" spans="1:30" ht="16.5" hidden="1" customHeight="1" x14ac:dyDescent="0.45">
      <c r="A207" s="6" t="s">
        <v>189</v>
      </c>
      <c r="B207" s="7">
        <v>0</v>
      </c>
      <c r="C207" s="8" t="str">
        <f>IFERROR(B207/B444, "NA")</f>
        <v>NA</v>
      </c>
      <c r="D207" s="9"/>
      <c r="E207" s="7">
        <v>0</v>
      </c>
      <c r="F207" s="8" t="str">
        <f>IFERROR(E207/E444, "NA")</f>
        <v>NA</v>
      </c>
      <c r="G207" s="9"/>
      <c r="H207" s="10">
        <f t="shared" si="52"/>
        <v>0</v>
      </c>
      <c r="I207" s="8" t="str">
        <f>IFERROR(H207/H444, "NA")</f>
        <v>NA</v>
      </c>
      <c r="J207" s="9"/>
      <c r="K207" s="7">
        <v>0</v>
      </c>
      <c r="L207" s="8" t="str">
        <f>IFERROR(K207/K444, "NA")</f>
        <v>NA</v>
      </c>
      <c r="M207" s="9"/>
      <c r="N207" s="10">
        <f t="shared" si="53"/>
        <v>0</v>
      </c>
      <c r="O207" s="8" t="str">
        <f>IFERROR(N207/N444, "NA")</f>
        <v>NA</v>
      </c>
      <c r="P207" s="9"/>
      <c r="Q207" s="7">
        <v>0</v>
      </c>
      <c r="R207" s="8" t="str">
        <f>IFERROR(Q207/Q444, "NA")</f>
        <v>NA</v>
      </c>
      <c r="S207" s="9"/>
      <c r="T207" s="7">
        <v>0</v>
      </c>
      <c r="U207" s="8" t="str">
        <f>IFERROR(T207/T444, "NA")</f>
        <v>NA</v>
      </c>
      <c r="V207" s="9"/>
      <c r="W207" s="10">
        <f t="shared" si="54"/>
        <v>0</v>
      </c>
      <c r="X207" s="8" t="str">
        <f>IFERROR(W207/W444, "NA")</f>
        <v>NA</v>
      </c>
      <c r="Y207" s="9"/>
      <c r="Z207" s="7">
        <v>0</v>
      </c>
      <c r="AA207" s="8" t="str">
        <f>IFERROR(Z207/Z444, "NA")</f>
        <v>NA</v>
      </c>
      <c r="AB207" s="9"/>
      <c r="AC207" s="10">
        <f t="shared" si="55"/>
        <v>0</v>
      </c>
      <c r="AD207" s="8" t="str">
        <f>IFERROR(AC207/AC444, "NA")</f>
        <v>NA</v>
      </c>
    </row>
    <row r="208" spans="1:30" ht="16.5" hidden="1" customHeight="1" x14ac:dyDescent="0.45">
      <c r="A208" s="6" t="s">
        <v>190</v>
      </c>
      <c r="B208" s="7">
        <v>0</v>
      </c>
      <c r="C208" s="8" t="str">
        <f>IFERROR(B208/B444, "NA")</f>
        <v>NA</v>
      </c>
      <c r="D208" s="9"/>
      <c r="E208" s="7">
        <v>0</v>
      </c>
      <c r="F208" s="8" t="str">
        <f>IFERROR(E208/E444, "NA")</f>
        <v>NA</v>
      </c>
      <c r="G208" s="9"/>
      <c r="H208" s="10">
        <f t="shared" si="52"/>
        <v>0</v>
      </c>
      <c r="I208" s="8" t="str">
        <f>IFERROR(H208/H444, "NA")</f>
        <v>NA</v>
      </c>
      <c r="J208" s="9"/>
      <c r="K208" s="7">
        <v>0</v>
      </c>
      <c r="L208" s="8" t="str">
        <f>IFERROR(K208/K444, "NA")</f>
        <v>NA</v>
      </c>
      <c r="M208" s="9"/>
      <c r="N208" s="10">
        <f t="shared" si="53"/>
        <v>0</v>
      </c>
      <c r="O208" s="8" t="str">
        <f>IFERROR(N208/N444, "NA")</f>
        <v>NA</v>
      </c>
      <c r="P208" s="9"/>
      <c r="Q208" s="7">
        <v>0</v>
      </c>
      <c r="R208" s="8" t="str">
        <f>IFERROR(Q208/Q444, "NA")</f>
        <v>NA</v>
      </c>
      <c r="S208" s="9"/>
      <c r="T208" s="7">
        <v>0</v>
      </c>
      <c r="U208" s="8" t="str">
        <f>IFERROR(T208/T444, "NA")</f>
        <v>NA</v>
      </c>
      <c r="V208" s="9"/>
      <c r="W208" s="10">
        <f t="shared" si="54"/>
        <v>0</v>
      </c>
      <c r="X208" s="8" t="str">
        <f>IFERROR(W208/W444, "NA")</f>
        <v>NA</v>
      </c>
      <c r="Y208" s="9"/>
      <c r="Z208" s="7">
        <v>0</v>
      </c>
      <c r="AA208" s="8" t="str">
        <f>IFERROR(Z208/Z444, "NA")</f>
        <v>NA</v>
      </c>
      <c r="AB208" s="9"/>
      <c r="AC208" s="10">
        <f t="shared" si="55"/>
        <v>0</v>
      </c>
      <c r="AD208" s="8" t="str">
        <f>IFERROR(AC208/AC444, "NA")</f>
        <v>NA</v>
      </c>
    </row>
    <row r="209" spans="1:30" ht="16.5" customHeight="1" x14ac:dyDescent="0.45">
      <c r="A209" s="19" t="s">
        <v>191</v>
      </c>
      <c r="B209" s="14">
        <f>IFERROR(B201+B202+B203+B204+B205+B206+B207+B208, "NA")</f>
        <v>0</v>
      </c>
      <c r="C209" s="15" t="str">
        <f>IFERROR(B209/B444, "NA")</f>
        <v>NA</v>
      </c>
      <c r="D209" s="2"/>
      <c r="E209" s="14">
        <f>IFERROR(E201+E202+E203+E204+E205+E206+E207+E208, "NA")</f>
        <v>0</v>
      </c>
      <c r="F209" s="15" t="str">
        <f>IFERROR(E209/E444, "NA")</f>
        <v>NA</v>
      </c>
      <c r="G209" s="2"/>
      <c r="H209" s="14">
        <f t="shared" si="52"/>
        <v>0</v>
      </c>
      <c r="I209" s="15" t="str">
        <f>IFERROR(H209/H444, "NA")</f>
        <v>NA</v>
      </c>
      <c r="J209" s="2"/>
      <c r="K209" s="14">
        <f>IFERROR(K201+K202+K203+K204+K205+K206+K207+K208, "NA")</f>
        <v>0</v>
      </c>
      <c r="L209" s="15" t="str">
        <f>IFERROR(K209/K444, "NA")</f>
        <v>NA</v>
      </c>
      <c r="M209" s="2"/>
      <c r="N209" s="14">
        <f t="shared" si="53"/>
        <v>0</v>
      </c>
      <c r="O209" s="15" t="str">
        <f>IFERROR(N209/N444, "NA")</f>
        <v>NA</v>
      </c>
      <c r="P209" s="2"/>
      <c r="Q209" s="14">
        <f>IFERROR(Q201+Q202+Q203+Q204+Q205+Q206+Q207+Q208, "NA")</f>
        <v>0</v>
      </c>
      <c r="R209" s="15" t="str">
        <f>IFERROR(Q209/Q444, "NA")</f>
        <v>NA</v>
      </c>
      <c r="S209" s="2"/>
      <c r="T209" s="14">
        <f>IFERROR(T201+T202+T203+T204+T205+T206+T207+T208, "NA")</f>
        <v>0</v>
      </c>
      <c r="U209" s="15" t="str">
        <f>IFERROR(T209/T444, "NA")</f>
        <v>NA</v>
      </c>
      <c r="V209" s="2"/>
      <c r="W209" s="14">
        <f t="shared" si="54"/>
        <v>0</v>
      </c>
      <c r="X209" s="15" t="str">
        <f>IFERROR(W209/W444, "NA")</f>
        <v>NA</v>
      </c>
      <c r="Y209" s="2"/>
      <c r="Z209" s="14">
        <f>IFERROR(Z201+Z202+Z203+Z204+Z205+Z206+Z207+Z208, "NA")</f>
        <v>0</v>
      </c>
      <c r="AA209" s="15" t="str">
        <f>IFERROR(Z209/Z444, "NA")</f>
        <v>NA</v>
      </c>
      <c r="AB209" s="2"/>
      <c r="AC209" s="14">
        <f t="shared" si="55"/>
        <v>0</v>
      </c>
      <c r="AD209" s="15" t="str">
        <f>IFERROR(AC209/AC444, "NA")</f>
        <v>NA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 t="str">
        <f>IFERROR(B211/B444, "NA")</f>
        <v>NA</v>
      </c>
      <c r="D211" s="9"/>
      <c r="E211" s="7">
        <v>0</v>
      </c>
      <c r="F211" s="8" t="str">
        <f>IFERROR(E211/E444, "NA")</f>
        <v>NA</v>
      </c>
      <c r="G211" s="9"/>
      <c r="H211" s="10">
        <f>IFERROR(-(B211-E211), "NA")</f>
        <v>0</v>
      </c>
      <c r="I211" s="8" t="str">
        <f>IFERROR(H211/H444, "NA")</f>
        <v>NA</v>
      </c>
      <c r="J211" s="9"/>
      <c r="K211" s="7">
        <v>0</v>
      </c>
      <c r="L211" s="8" t="str">
        <f>IFERROR(K211/K444, "NA")</f>
        <v>NA</v>
      </c>
      <c r="M211" s="9"/>
      <c r="N211" s="10">
        <f>IFERROR(-(B211-K211), "NA")</f>
        <v>0</v>
      </c>
      <c r="O211" s="8" t="str">
        <f>IFERROR(N211/N444, "NA")</f>
        <v>NA</v>
      </c>
      <c r="P211" s="9"/>
      <c r="Q211" s="7">
        <v>0</v>
      </c>
      <c r="R211" s="8" t="str">
        <f>IFERROR(Q211/Q444, "NA")</f>
        <v>NA</v>
      </c>
      <c r="S211" s="9"/>
      <c r="T211" s="7">
        <v>0</v>
      </c>
      <c r="U211" s="8" t="str">
        <f>IFERROR(T211/T444, "NA")</f>
        <v>NA</v>
      </c>
      <c r="V211" s="9"/>
      <c r="W211" s="10">
        <f>IFERROR(-(Q211-T211), "NA")</f>
        <v>0</v>
      </c>
      <c r="X211" s="8" t="str">
        <f>IFERROR(W211/W444, "NA")</f>
        <v>NA</v>
      </c>
      <c r="Y211" s="9"/>
      <c r="Z211" s="7">
        <v>0</v>
      </c>
      <c r="AA211" s="8" t="str">
        <f>IFERROR(Z211/Z444, "NA")</f>
        <v>NA</v>
      </c>
      <c r="AB211" s="9"/>
      <c r="AC211" s="10">
        <f>IFERROR(-(Q211-Z211), "NA")</f>
        <v>0</v>
      </c>
      <c r="AD211" s="8" t="str">
        <f>IFERROR(AC211/AC444, "NA")</f>
        <v>NA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hidden="1" customHeight="1" x14ac:dyDescent="0.45">
      <c r="A213" s="12" t="s">
        <v>193</v>
      </c>
      <c r="B213" s="7">
        <v>0</v>
      </c>
      <c r="C213" s="8" t="str">
        <f>IFERROR(B213/B444, "NA")</f>
        <v>NA</v>
      </c>
      <c r="D213" s="9"/>
      <c r="E213" s="7">
        <v>0</v>
      </c>
      <c r="F213" s="8" t="str">
        <f>IFERROR(E213/E444, "NA")</f>
        <v>NA</v>
      </c>
      <c r="G213" s="9"/>
      <c r="H213" s="10">
        <f t="shared" ref="H213:H227" si="56">IFERROR(-(B213-E213), "NA")</f>
        <v>0</v>
      </c>
      <c r="I213" s="8" t="str">
        <f>IFERROR(H213/H444, "NA")</f>
        <v>NA</v>
      </c>
      <c r="J213" s="9"/>
      <c r="K213" s="7">
        <v>0</v>
      </c>
      <c r="L213" s="8" t="str">
        <f>IFERROR(K213/K444, "NA")</f>
        <v>NA</v>
      </c>
      <c r="M213" s="9"/>
      <c r="N213" s="10">
        <f t="shared" ref="N213:N227" si="57">IFERROR(-(B213-K213), "NA")</f>
        <v>0</v>
      </c>
      <c r="O213" s="8" t="str">
        <f>IFERROR(N213/N444, "NA")</f>
        <v>NA</v>
      </c>
      <c r="P213" s="9"/>
      <c r="Q213" s="7">
        <v>0</v>
      </c>
      <c r="R213" s="8" t="str">
        <f>IFERROR(Q213/Q444, "NA")</f>
        <v>NA</v>
      </c>
      <c r="S213" s="9"/>
      <c r="T213" s="7">
        <v>0</v>
      </c>
      <c r="U213" s="8" t="str">
        <f>IFERROR(T213/T444, "NA")</f>
        <v>NA</v>
      </c>
      <c r="V213" s="9"/>
      <c r="W213" s="10">
        <f t="shared" ref="W213:W227" si="58">IFERROR(-(Q213-T213), "NA")</f>
        <v>0</v>
      </c>
      <c r="X213" s="8" t="str">
        <f>IFERROR(W213/W444, "NA")</f>
        <v>NA</v>
      </c>
      <c r="Y213" s="9"/>
      <c r="Z213" s="7">
        <v>0</v>
      </c>
      <c r="AA213" s="8" t="str">
        <f>IFERROR(Z213/Z444, "NA")</f>
        <v>NA</v>
      </c>
      <c r="AB213" s="9"/>
      <c r="AC213" s="10">
        <f t="shared" ref="AC213:AC227" si="59">IFERROR(-(Q213-Z213), "NA")</f>
        <v>0</v>
      </c>
      <c r="AD213" s="8" t="str">
        <f>IFERROR(AC213/AC444, "NA")</f>
        <v>NA</v>
      </c>
    </row>
    <row r="214" spans="1:30" ht="16.5" hidden="1" customHeight="1" x14ac:dyDescent="0.45">
      <c r="A214" s="12" t="s">
        <v>194</v>
      </c>
      <c r="B214" s="7">
        <v>0</v>
      </c>
      <c r="C214" s="8" t="str">
        <f>IFERROR(B214/B444, "NA")</f>
        <v>NA</v>
      </c>
      <c r="D214" s="9"/>
      <c r="E214" s="7">
        <v>0</v>
      </c>
      <c r="F214" s="8" t="str">
        <f>IFERROR(E214/E444, "NA")</f>
        <v>NA</v>
      </c>
      <c r="G214" s="9"/>
      <c r="H214" s="10">
        <f t="shared" si="56"/>
        <v>0</v>
      </c>
      <c r="I214" s="8" t="str">
        <f>IFERROR(H214/H444, "NA")</f>
        <v>NA</v>
      </c>
      <c r="J214" s="9"/>
      <c r="K214" s="7">
        <v>0</v>
      </c>
      <c r="L214" s="8" t="str">
        <f>IFERROR(K214/K444, "NA")</f>
        <v>NA</v>
      </c>
      <c r="M214" s="9"/>
      <c r="N214" s="10">
        <f t="shared" si="57"/>
        <v>0</v>
      </c>
      <c r="O214" s="8" t="str">
        <f>IFERROR(N214/N444, "NA")</f>
        <v>NA</v>
      </c>
      <c r="P214" s="9"/>
      <c r="Q214" s="7">
        <v>0</v>
      </c>
      <c r="R214" s="8" t="str">
        <f>IFERROR(Q214/Q444, "NA")</f>
        <v>NA</v>
      </c>
      <c r="S214" s="9"/>
      <c r="T214" s="7">
        <v>0</v>
      </c>
      <c r="U214" s="8" t="str">
        <f>IFERROR(T214/T444, "NA")</f>
        <v>NA</v>
      </c>
      <c r="V214" s="9"/>
      <c r="W214" s="10">
        <f t="shared" si="58"/>
        <v>0</v>
      </c>
      <c r="X214" s="8" t="str">
        <f>IFERROR(W214/W444, "NA")</f>
        <v>NA</v>
      </c>
      <c r="Y214" s="9"/>
      <c r="Z214" s="7">
        <v>0</v>
      </c>
      <c r="AA214" s="8" t="str">
        <f>IFERROR(Z214/Z444, "NA")</f>
        <v>NA</v>
      </c>
      <c r="AB214" s="9"/>
      <c r="AC214" s="10">
        <f t="shared" si="59"/>
        <v>0</v>
      </c>
      <c r="AD214" s="8" t="str">
        <f>IFERROR(AC214/AC444, "NA")</f>
        <v>NA</v>
      </c>
    </row>
    <row r="215" spans="1:30" ht="16.5" hidden="1" customHeight="1" x14ac:dyDescent="0.45">
      <c r="A215" s="12" t="s">
        <v>195</v>
      </c>
      <c r="B215" s="7">
        <v>0</v>
      </c>
      <c r="C215" s="8" t="str">
        <f>IFERROR(B215/B444, "NA")</f>
        <v>NA</v>
      </c>
      <c r="D215" s="9"/>
      <c r="E215" s="7">
        <v>0</v>
      </c>
      <c r="F215" s="8" t="str">
        <f>IFERROR(E215/E444, "NA")</f>
        <v>NA</v>
      </c>
      <c r="G215" s="9"/>
      <c r="H215" s="10">
        <f t="shared" si="56"/>
        <v>0</v>
      </c>
      <c r="I215" s="8" t="str">
        <f>IFERROR(H215/H444, "NA")</f>
        <v>NA</v>
      </c>
      <c r="J215" s="9"/>
      <c r="K215" s="7">
        <v>0</v>
      </c>
      <c r="L215" s="8" t="str">
        <f>IFERROR(K215/K444, "NA")</f>
        <v>NA</v>
      </c>
      <c r="M215" s="9"/>
      <c r="N215" s="10">
        <f t="shared" si="57"/>
        <v>0</v>
      </c>
      <c r="O215" s="8" t="str">
        <f>IFERROR(N215/N444, "NA")</f>
        <v>NA</v>
      </c>
      <c r="P215" s="9"/>
      <c r="Q215" s="7">
        <v>0</v>
      </c>
      <c r="R215" s="8" t="str">
        <f>IFERROR(Q215/Q444, "NA")</f>
        <v>NA</v>
      </c>
      <c r="S215" s="9"/>
      <c r="T215" s="7">
        <v>0</v>
      </c>
      <c r="U215" s="8" t="str">
        <f>IFERROR(T215/T444, "NA")</f>
        <v>NA</v>
      </c>
      <c r="V215" s="9"/>
      <c r="W215" s="10">
        <f t="shared" si="58"/>
        <v>0</v>
      </c>
      <c r="X215" s="8" t="str">
        <f>IFERROR(W215/W444, "NA")</f>
        <v>NA</v>
      </c>
      <c r="Y215" s="9"/>
      <c r="Z215" s="7">
        <v>0</v>
      </c>
      <c r="AA215" s="8" t="str">
        <f>IFERROR(Z215/Z444, "NA")</f>
        <v>NA</v>
      </c>
      <c r="AB215" s="9"/>
      <c r="AC215" s="10">
        <f t="shared" si="59"/>
        <v>0</v>
      </c>
      <c r="AD215" s="8" t="str">
        <f>IFERROR(AC215/AC444, "NA")</f>
        <v>NA</v>
      </c>
    </row>
    <row r="216" spans="1:30" ht="16.5" hidden="1" customHeight="1" x14ac:dyDescent="0.45">
      <c r="A216" s="12" t="s">
        <v>196</v>
      </c>
      <c r="B216" s="7">
        <v>0</v>
      </c>
      <c r="C216" s="8" t="str">
        <f>IFERROR(B216/B444, "NA")</f>
        <v>NA</v>
      </c>
      <c r="D216" s="9"/>
      <c r="E216" s="7">
        <v>0</v>
      </c>
      <c r="F216" s="8" t="str">
        <f>IFERROR(E216/E444, "NA")</f>
        <v>NA</v>
      </c>
      <c r="G216" s="9"/>
      <c r="H216" s="10">
        <f t="shared" si="56"/>
        <v>0</v>
      </c>
      <c r="I216" s="8" t="str">
        <f>IFERROR(H216/H444, "NA")</f>
        <v>NA</v>
      </c>
      <c r="J216" s="9"/>
      <c r="K216" s="7">
        <v>0</v>
      </c>
      <c r="L216" s="8" t="str">
        <f>IFERROR(K216/K444, "NA")</f>
        <v>NA</v>
      </c>
      <c r="M216" s="9"/>
      <c r="N216" s="10">
        <f t="shared" si="57"/>
        <v>0</v>
      </c>
      <c r="O216" s="8" t="str">
        <f>IFERROR(N216/N444, "NA")</f>
        <v>NA</v>
      </c>
      <c r="P216" s="9"/>
      <c r="Q216" s="7">
        <v>0</v>
      </c>
      <c r="R216" s="8" t="str">
        <f>IFERROR(Q216/Q444, "NA")</f>
        <v>NA</v>
      </c>
      <c r="S216" s="9"/>
      <c r="T216" s="7">
        <v>0</v>
      </c>
      <c r="U216" s="8" t="str">
        <f>IFERROR(T216/T444, "NA")</f>
        <v>NA</v>
      </c>
      <c r="V216" s="9"/>
      <c r="W216" s="10">
        <f t="shared" si="58"/>
        <v>0</v>
      </c>
      <c r="X216" s="8" t="str">
        <f>IFERROR(W216/W444, "NA")</f>
        <v>NA</v>
      </c>
      <c r="Y216" s="9"/>
      <c r="Z216" s="7">
        <v>0</v>
      </c>
      <c r="AA216" s="8" t="str">
        <f>IFERROR(Z216/Z444, "NA")</f>
        <v>NA</v>
      </c>
      <c r="AB216" s="9"/>
      <c r="AC216" s="10">
        <f t="shared" si="59"/>
        <v>0</v>
      </c>
      <c r="AD216" s="8" t="str">
        <f>IFERROR(AC216/AC444, "NA")</f>
        <v>NA</v>
      </c>
    </row>
    <row r="217" spans="1:30" ht="16.5" hidden="1" customHeight="1" x14ac:dyDescent="0.45">
      <c r="A217" s="12" t="s">
        <v>197</v>
      </c>
      <c r="B217" s="7">
        <v>0</v>
      </c>
      <c r="C217" s="8" t="str">
        <f>IFERROR(B217/B444, "NA")</f>
        <v>NA</v>
      </c>
      <c r="D217" s="9"/>
      <c r="E217" s="7">
        <v>0</v>
      </c>
      <c r="F217" s="8" t="str">
        <f>IFERROR(E217/E444, "NA")</f>
        <v>NA</v>
      </c>
      <c r="G217" s="9"/>
      <c r="H217" s="10">
        <f t="shared" si="56"/>
        <v>0</v>
      </c>
      <c r="I217" s="8" t="str">
        <f>IFERROR(H217/H444, "NA")</f>
        <v>NA</v>
      </c>
      <c r="J217" s="9"/>
      <c r="K217" s="7">
        <v>0</v>
      </c>
      <c r="L217" s="8" t="str">
        <f>IFERROR(K217/K444, "NA")</f>
        <v>NA</v>
      </c>
      <c r="M217" s="9"/>
      <c r="N217" s="10">
        <f t="shared" si="57"/>
        <v>0</v>
      </c>
      <c r="O217" s="8" t="str">
        <f>IFERROR(N217/N444, "NA")</f>
        <v>NA</v>
      </c>
      <c r="P217" s="9"/>
      <c r="Q217" s="7">
        <v>0</v>
      </c>
      <c r="R217" s="8" t="str">
        <f>IFERROR(Q217/Q444, "NA")</f>
        <v>NA</v>
      </c>
      <c r="S217" s="9"/>
      <c r="T217" s="7">
        <v>0</v>
      </c>
      <c r="U217" s="8" t="str">
        <f>IFERROR(T217/T444, "NA")</f>
        <v>NA</v>
      </c>
      <c r="V217" s="9"/>
      <c r="W217" s="10">
        <f t="shared" si="58"/>
        <v>0</v>
      </c>
      <c r="X217" s="8" t="str">
        <f>IFERROR(W217/W444, "NA")</f>
        <v>NA</v>
      </c>
      <c r="Y217" s="9"/>
      <c r="Z217" s="7">
        <v>0</v>
      </c>
      <c r="AA217" s="8" t="str">
        <f>IFERROR(Z217/Z444, "NA")</f>
        <v>NA</v>
      </c>
      <c r="AB217" s="9"/>
      <c r="AC217" s="10">
        <f t="shared" si="59"/>
        <v>0</v>
      </c>
      <c r="AD217" s="8" t="str">
        <f>IFERROR(AC217/AC444, "NA")</f>
        <v>NA</v>
      </c>
    </row>
    <row r="218" spans="1:30" ht="16.5" customHeight="1" x14ac:dyDescent="0.45">
      <c r="A218" s="13" t="s">
        <v>198</v>
      </c>
      <c r="B218" s="14">
        <f>IFERROR(B213+B214+B215+B216+B217, "NA")</f>
        <v>0</v>
      </c>
      <c r="C218" s="15" t="str">
        <f>IFERROR(B218/B444, "NA")</f>
        <v>NA</v>
      </c>
      <c r="D218" s="2"/>
      <c r="E218" s="14">
        <f>IFERROR(E213+E214+E215+E216+E217, "NA")</f>
        <v>0</v>
      </c>
      <c r="F218" s="15" t="str">
        <f>IFERROR(E218/E444, "NA")</f>
        <v>NA</v>
      </c>
      <c r="G218" s="2"/>
      <c r="H218" s="14">
        <f t="shared" si="56"/>
        <v>0</v>
      </c>
      <c r="I218" s="15" t="str">
        <f>IFERROR(H218/H444, "NA")</f>
        <v>NA</v>
      </c>
      <c r="J218" s="2"/>
      <c r="K218" s="14">
        <f>IFERROR(K213+K214+K215+K216+K217, "NA")</f>
        <v>0</v>
      </c>
      <c r="L218" s="15" t="str">
        <f>IFERROR(K218/K444, "NA")</f>
        <v>NA</v>
      </c>
      <c r="M218" s="2"/>
      <c r="N218" s="14">
        <f t="shared" si="57"/>
        <v>0</v>
      </c>
      <c r="O218" s="15" t="str">
        <f>IFERROR(N218/N444, "NA")</f>
        <v>NA</v>
      </c>
      <c r="P218" s="2"/>
      <c r="Q218" s="14">
        <f>IFERROR(Q213+Q214+Q215+Q216+Q217, "NA")</f>
        <v>0</v>
      </c>
      <c r="R218" s="15" t="str">
        <f>IFERROR(Q218/Q444, "NA")</f>
        <v>NA</v>
      </c>
      <c r="S218" s="2"/>
      <c r="T218" s="14">
        <f>IFERROR(T213+T214+T215+T216+T217, "NA")</f>
        <v>0</v>
      </c>
      <c r="U218" s="15" t="str">
        <f>IFERROR(T218/T444, "NA")</f>
        <v>NA</v>
      </c>
      <c r="V218" s="2"/>
      <c r="W218" s="14">
        <f t="shared" si="58"/>
        <v>0</v>
      </c>
      <c r="X218" s="15" t="str">
        <f>IFERROR(W218/W444, "NA")</f>
        <v>NA</v>
      </c>
      <c r="Y218" s="2"/>
      <c r="Z218" s="14">
        <f>IFERROR(Z213+Z214+Z215+Z216+Z217, "NA")</f>
        <v>0</v>
      </c>
      <c r="AA218" s="15" t="str">
        <f>IFERROR(Z218/Z444, "NA")</f>
        <v>NA</v>
      </c>
      <c r="AB218" s="2"/>
      <c r="AC218" s="14">
        <f t="shared" si="59"/>
        <v>0</v>
      </c>
      <c r="AD218" s="15" t="str">
        <f>IFERROR(AC218/AC444, "NA")</f>
        <v>NA</v>
      </c>
    </row>
    <row r="219" spans="1:30" ht="16.5" hidden="1" customHeight="1" x14ac:dyDescent="0.45">
      <c r="A219" s="6" t="s">
        <v>199</v>
      </c>
      <c r="B219" s="7">
        <v>0</v>
      </c>
      <c r="C219" s="8" t="str">
        <f>IFERROR(B219/B444, "NA")</f>
        <v>NA</v>
      </c>
      <c r="D219" s="9"/>
      <c r="E219" s="7">
        <v>0</v>
      </c>
      <c r="F219" s="8" t="str">
        <f>IFERROR(E219/E444, "NA")</f>
        <v>NA</v>
      </c>
      <c r="G219" s="9"/>
      <c r="H219" s="10">
        <f t="shared" si="56"/>
        <v>0</v>
      </c>
      <c r="I219" s="8" t="str">
        <f>IFERROR(H219/H444, "NA")</f>
        <v>NA</v>
      </c>
      <c r="J219" s="9"/>
      <c r="K219" s="7">
        <v>0</v>
      </c>
      <c r="L219" s="8" t="str">
        <f>IFERROR(K219/K444, "NA")</f>
        <v>NA</v>
      </c>
      <c r="M219" s="9"/>
      <c r="N219" s="10">
        <f t="shared" si="57"/>
        <v>0</v>
      </c>
      <c r="O219" s="8" t="str">
        <f>IFERROR(N219/N444, "NA")</f>
        <v>NA</v>
      </c>
      <c r="P219" s="9"/>
      <c r="Q219" s="7">
        <v>0</v>
      </c>
      <c r="R219" s="8" t="str">
        <f>IFERROR(Q219/Q444, "NA")</f>
        <v>NA</v>
      </c>
      <c r="S219" s="9"/>
      <c r="T219" s="7">
        <v>0</v>
      </c>
      <c r="U219" s="8" t="str">
        <f>IFERROR(T219/T444, "NA")</f>
        <v>NA</v>
      </c>
      <c r="V219" s="9"/>
      <c r="W219" s="10">
        <f t="shared" si="58"/>
        <v>0</v>
      </c>
      <c r="X219" s="8" t="str">
        <f>IFERROR(W219/W444, "NA")</f>
        <v>NA</v>
      </c>
      <c r="Y219" s="9"/>
      <c r="Z219" s="7">
        <v>0</v>
      </c>
      <c r="AA219" s="8" t="str">
        <f>IFERROR(Z219/Z444, "NA")</f>
        <v>NA</v>
      </c>
      <c r="AB219" s="9"/>
      <c r="AC219" s="10">
        <f t="shared" si="59"/>
        <v>0</v>
      </c>
      <c r="AD219" s="8" t="str">
        <f>IFERROR(AC219/AC444, "NA")</f>
        <v>NA</v>
      </c>
    </row>
    <row r="220" spans="1:30" ht="16.5" hidden="1" customHeight="1" x14ac:dyDescent="0.45">
      <c r="A220" s="6" t="s">
        <v>200</v>
      </c>
      <c r="B220" s="7">
        <v>0</v>
      </c>
      <c r="C220" s="8" t="str">
        <f>IFERROR(B220/B444, "NA")</f>
        <v>NA</v>
      </c>
      <c r="D220" s="9"/>
      <c r="E220" s="7">
        <v>0</v>
      </c>
      <c r="F220" s="8" t="str">
        <f>IFERROR(E220/E444, "NA")</f>
        <v>NA</v>
      </c>
      <c r="G220" s="9"/>
      <c r="H220" s="10">
        <f t="shared" si="56"/>
        <v>0</v>
      </c>
      <c r="I220" s="8" t="str">
        <f>IFERROR(H220/H444, "NA")</f>
        <v>NA</v>
      </c>
      <c r="J220" s="9"/>
      <c r="K220" s="7">
        <v>0</v>
      </c>
      <c r="L220" s="8" t="str">
        <f>IFERROR(K220/K444, "NA")</f>
        <v>NA</v>
      </c>
      <c r="M220" s="9"/>
      <c r="N220" s="10">
        <f t="shared" si="57"/>
        <v>0</v>
      </c>
      <c r="O220" s="8" t="str">
        <f>IFERROR(N220/N444, "NA")</f>
        <v>NA</v>
      </c>
      <c r="P220" s="9"/>
      <c r="Q220" s="7">
        <v>0</v>
      </c>
      <c r="R220" s="8" t="str">
        <f>IFERROR(Q220/Q444, "NA")</f>
        <v>NA</v>
      </c>
      <c r="S220" s="9"/>
      <c r="T220" s="7">
        <v>0</v>
      </c>
      <c r="U220" s="8" t="str">
        <f>IFERROR(T220/T444, "NA")</f>
        <v>NA</v>
      </c>
      <c r="V220" s="9"/>
      <c r="W220" s="10">
        <f t="shared" si="58"/>
        <v>0</v>
      </c>
      <c r="X220" s="8" t="str">
        <f>IFERROR(W220/W444, "NA")</f>
        <v>NA</v>
      </c>
      <c r="Y220" s="9"/>
      <c r="Z220" s="7">
        <v>0</v>
      </c>
      <c r="AA220" s="8" t="str">
        <f>IFERROR(Z220/Z444, "NA")</f>
        <v>NA</v>
      </c>
      <c r="AB220" s="9"/>
      <c r="AC220" s="10">
        <f t="shared" si="59"/>
        <v>0</v>
      </c>
      <c r="AD220" s="8" t="str">
        <f>IFERROR(AC220/AC444, "NA")</f>
        <v>NA</v>
      </c>
    </row>
    <row r="221" spans="1:30" ht="16.5" hidden="1" customHeight="1" x14ac:dyDescent="0.45">
      <c r="A221" s="6" t="s">
        <v>201</v>
      </c>
      <c r="B221" s="7">
        <v>0</v>
      </c>
      <c r="C221" s="8" t="str">
        <f>IFERROR(B221/B444, "NA")</f>
        <v>NA</v>
      </c>
      <c r="D221" s="9"/>
      <c r="E221" s="7">
        <v>0</v>
      </c>
      <c r="F221" s="8" t="str">
        <f>IFERROR(E221/E444, "NA")</f>
        <v>NA</v>
      </c>
      <c r="G221" s="9"/>
      <c r="H221" s="10">
        <f t="shared" si="56"/>
        <v>0</v>
      </c>
      <c r="I221" s="8" t="str">
        <f>IFERROR(H221/H444, "NA")</f>
        <v>NA</v>
      </c>
      <c r="J221" s="9"/>
      <c r="K221" s="7">
        <v>0</v>
      </c>
      <c r="L221" s="8" t="str">
        <f>IFERROR(K221/K444, "NA")</f>
        <v>NA</v>
      </c>
      <c r="M221" s="9"/>
      <c r="N221" s="10">
        <f t="shared" si="57"/>
        <v>0</v>
      </c>
      <c r="O221" s="8" t="str">
        <f>IFERROR(N221/N444, "NA")</f>
        <v>NA</v>
      </c>
      <c r="P221" s="9"/>
      <c r="Q221" s="7">
        <v>0</v>
      </c>
      <c r="R221" s="8" t="str">
        <f>IFERROR(Q221/Q444, "NA")</f>
        <v>NA</v>
      </c>
      <c r="S221" s="9"/>
      <c r="T221" s="7">
        <v>0</v>
      </c>
      <c r="U221" s="8" t="str">
        <f>IFERROR(T221/T444, "NA")</f>
        <v>NA</v>
      </c>
      <c r="V221" s="9"/>
      <c r="W221" s="10">
        <f t="shared" si="58"/>
        <v>0</v>
      </c>
      <c r="X221" s="8" t="str">
        <f>IFERROR(W221/W444, "NA")</f>
        <v>NA</v>
      </c>
      <c r="Y221" s="9"/>
      <c r="Z221" s="7">
        <v>0</v>
      </c>
      <c r="AA221" s="8" t="str">
        <f>IFERROR(Z221/Z444, "NA")</f>
        <v>NA</v>
      </c>
      <c r="AB221" s="9"/>
      <c r="AC221" s="10">
        <f t="shared" si="59"/>
        <v>0</v>
      </c>
      <c r="AD221" s="8" t="str">
        <f>IFERROR(AC221/AC444, "NA")</f>
        <v>NA</v>
      </c>
    </row>
    <row r="222" spans="1:30" ht="16.5" hidden="1" customHeight="1" x14ac:dyDescent="0.45">
      <c r="A222" s="6" t="s">
        <v>202</v>
      </c>
      <c r="B222" s="7">
        <v>0</v>
      </c>
      <c r="C222" s="8" t="str">
        <f>IFERROR(B222/B444, "NA")</f>
        <v>NA</v>
      </c>
      <c r="D222" s="9"/>
      <c r="E222" s="7">
        <v>0</v>
      </c>
      <c r="F222" s="8" t="str">
        <f>IFERROR(E222/E444, "NA")</f>
        <v>NA</v>
      </c>
      <c r="G222" s="9"/>
      <c r="H222" s="10">
        <f t="shared" si="56"/>
        <v>0</v>
      </c>
      <c r="I222" s="8" t="str">
        <f>IFERROR(H222/H444, "NA")</f>
        <v>NA</v>
      </c>
      <c r="J222" s="9"/>
      <c r="K222" s="7">
        <v>0</v>
      </c>
      <c r="L222" s="8" t="str">
        <f>IFERROR(K222/K444, "NA")</f>
        <v>NA</v>
      </c>
      <c r="M222" s="9"/>
      <c r="N222" s="10">
        <f t="shared" si="57"/>
        <v>0</v>
      </c>
      <c r="O222" s="8" t="str">
        <f>IFERROR(N222/N444, "NA")</f>
        <v>NA</v>
      </c>
      <c r="P222" s="9"/>
      <c r="Q222" s="7">
        <v>0</v>
      </c>
      <c r="R222" s="8" t="str">
        <f>IFERROR(Q222/Q444, "NA")</f>
        <v>NA</v>
      </c>
      <c r="S222" s="9"/>
      <c r="T222" s="7">
        <v>0</v>
      </c>
      <c r="U222" s="8" t="str">
        <f>IFERROR(T222/T444, "NA")</f>
        <v>NA</v>
      </c>
      <c r="V222" s="9"/>
      <c r="W222" s="10">
        <f t="shared" si="58"/>
        <v>0</v>
      </c>
      <c r="X222" s="8" t="str">
        <f>IFERROR(W222/W444, "NA")</f>
        <v>NA</v>
      </c>
      <c r="Y222" s="9"/>
      <c r="Z222" s="7">
        <v>0</v>
      </c>
      <c r="AA222" s="8" t="str">
        <f>IFERROR(Z222/Z444, "NA")</f>
        <v>NA</v>
      </c>
      <c r="AB222" s="9"/>
      <c r="AC222" s="10">
        <f t="shared" si="59"/>
        <v>0</v>
      </c>
      <c r="AD222" s="8" t="str">
        <f>IFERROR(AC222/AC444, "NA")</f>
        <v>NA</v>
      </c>
    </row>
    <row r="223" spans="1:30" ht="16.5" hidden="1" customHeight="1" x14ac:dyDescent="0.45">
      <c r="A223" s="6" t="s">
        <v>203</v>
      </c>
      <c r="B223" s="7">
        <v>0</v>
      </c>
      <c r="C223" s="8" t="str">
        <f>IFERROR(B223/B444, "NA")</f>
        <v>NA</v>
      </c>
      <c r="D223" s="9"/>
      <c r="E223" s="7">
        <v>0</v>
      </c>
      <c r="F223" s="8" t="str">
        <f>IFERROR(E223/E444, "NA")</f>
        <v>NA</v>
      </c>
      <c r="G223" s="9"/>
      <c r="H223" s="10">
        <f t="shared" si="56"/>
        <v>0</v>
      </c>
      <c r="I223" s="8" t="str">
        <f>IFERROR(H223/H444, "NA")</f>
        <v>NA</v>
      </c>
      <c r="J223" s="9"/>
      <c r="K223" s="7">
        <v>0</v>
      </c>
      <c r="L223" s="8" t="str">
        <f>IFERROR(K223/K444, "NA")</f>
        <v>NA</v>
      </c>
      <c r="M223" s="9"/>
      <c r="N223" s="10">
        <f t="shared" si="57"/>
        <v>0</v>
      </c>
      <c r="O223" s="8" t="str">
        <f>IFERROR(N223/N444, "NA")</f>
        <v>NA</v>
      </c>
      <c r="P223" s="9"/>
      <c r="Q223" s="7">
        <v>0</v>
      </c>
      <c r="R223" s="8" t="str">
        <f>IFERROR(Q223/Q444, "NA")</f>
        <v>NA</v>
      </c>
      <c r="S223" s="9"/>
      <c r="T223" s="7">
        <v>0</v>
      </c>
      <c r="U223" s="8" t="str">
        <f>IFERROR(T223/T444, "NA")</f>
        <v>NA</v>
      </c>
      <c r="V223" s="9"/>
      <c r="W223" s="10">
        <f t="shared" si="58"/>
        <v>0</v>
      </c>
      <c r="X223" s="8" t="str">
        <f>IFERROR(W223/W444, "NA")</f>
        <v>NA</v>
      </c>
      <c r="Y223" s="9"/>
      <c r="Z223" s="7">
        <v>0</v>
      </c>
      <c r="AA223" s="8" t="str">
        <f>IFERROR(Z223/Z444, "NA")</f>
        <v>NA</v>
      </c>
      <c r="AB223" s="9"/>
      <c r="AC223" s="10">
        <f t="shared" si="59"/>
        <v>0</v>
      </c>
      <c r="AD223" s="8" t="str">
        <f>IFERROR(AC223/AC444, "NA")</f>
        <v>NA</v>
      </c>
    </row>
    <row r="224" spans="1:30" ht="16.5" hidden="1" customHeight="1" x14ac:dyDescent="0.45">
      <c r="A224" s="6" t="s">
        <v>204</v>
      </c>
      <c r="B224" s="7">
        <v>0</v>
      </c>
      <c r="C224" s="8" t="str">
        <f>IFERROR(B224/B444, "NA")</f>
        <v>NA</v>
      </c>
      <c r="D224" s="9"/>
      <c r="E224" s="7">
        <v>0</v>
      </c>
      <c r="F224" s="8" t="str">
        <f>IFERROR(E224/E444, "NA")</f>
        <v>NA</v>
      </c>
      <c r="G224" s="9"/>
      <c r="H224" s="10">
        <f t="shared" si="56"/>
        <v>0</v>
      </c>
      <c r="I224" s="8" t="str">
        <f>IFERROR(H224/H444, "NA")</f>
        <v>NA</v>
      </c>
      <c r="J224" s="9"/>
      <c r="K224" s="7">
        <v>0</v>
      </c>
      <c r="L224" s="8" t="str">
        <f>IFERROR(K224/K444, "NA")</f>
        <v>NA</v>
      </c>
      <c r="M224" s="9"/>
      <c r="N224" s="10">
        <f t="shared" si="57"/>
        <v>0</v>
      </c>
      <c r="O224" s="8" t="str">
        <f>IFERROR(N224/N444, "NA")</f>
        <v>NA</v>
      </c>
      <c r="P224" s="9"/>
      <c r="Q224" s="7">
        <v>0</v>
      </c>
      <c r="R224" s="8" t="str">
        <f>IFERROR(Q224/Q444, "NA")</f>
        <v>NA</v>
      </c>
      <c r="S224" s="9"/>
      <c r="T224" s="7">
        <v>0</v>
      </c>
      <c r="U224" s="8" t="str">
        <f>IFERROR(T224/T444, "NA")</f>
        <v>NA</v>
      </c>
      <c r="V224" s="9"/>
      <c r="W224" s="10">
        <f t="shared" si="58"/>
        <v>0</v>
      </c>
      <c r="X224" s="8" t="str">
        <f>IFERROR(W224/W444, "NA")</f>
        <v>NA</v>
      </c>
      <c r="Y224" s="9"/>
      <c r="Z224" s="7">
        <v>0</v>
      </c>
      <c r="AA224" s="8" t="str">
        <f>IFERROR(Z224/Z444, "NA")</f>
        <v>NA</v>
      </c>
      <c r="AB224" s="9"/>
      <c r="AC224" s="10">
        <f t="shared" si="59"/>
        <v>0</v>
      </c>
      <c r="AD224" s="8" t="str">
        <f>IFERROR(AC224/AC444, "NA")</f>
        <v>NA</v>
      </c>
    </row>
    <row r="225" spans="1:30" ht="16.5" hidden="1" customHeight="1" x14ac:dyDescent="0.45">
      <c r="A225" s="6" t="s">
        <v>205</v>
      </c>
      <c r="B225" s="7">
        <v>0</v>
      </c>
      <c r="C225" s="8" t="str">
        <f>IFERROR(B225/B444, "NA")</f>
        <v>NA</v>
      </c>
      <c r="D225" s="9"/>
      <c r="E225" s="7">
        <v>0</v>
      </c>
      <c r="F225" s="8" t="str">
        <f>IFERROR(E225/E444, "NA")</f>
        <v>NA</v>
      </c>
      <c r="G225" s="9"/>
      <c r="H225" s="10">
        <f t="shared" si="56"/>
        <v>0</v>
      </c>
      <c r="I225" s="8" t="str">
        <f>IFERROR(H225/H444, "NA")</f>
        <v>NA</v>
      </c>
      <c r="J225" s="9"/>
      <c r="K225" s="7">
        <v>0</v>
      </c>
      <c r="L225" s="8" t="str">
        <f>IFERROR(K225/K444, "NA")</f>
        <v>NA</v>
      </c>
      <c r="M225" s="9"/>
      <c r="N225" s="10">
        <f t="shared" si="57"/>
        <v>0</v>
      </c>
      <c r="O225" s="8" t="str">
        <f>IFERROR(N225/N444, "NA")</f>
        <v>NA</v>
      </c>
      <c r="P225" s="9"/>
      <c r="Q225" s="7">
        <v>0</v>
      </c>
      <c r="R225" s="8" t="str">
        <f>IFERROR(Q225/Q444, "NA")</f>
        <v>NA</v>
      </c>
      <c r="S225" s="9"/>
      <c r="T225" s="7">
        <v>0</v>
      </c>
      <c r="U225" s="8" t="str">
        <f>IFERROR(T225/T444, "NA")</f>
        <v>NA</v>
      </c>
      <c r="V225" s="9"/>
      <c r="W225" s="10">
        <f t="shared" si="58"/>
        <v>0</v>
      </c>
      <c r="X225" s="8" t="str">
        <f>IFERROR(W225/W444, "NA")</f>
        <v>NA</v>
      </c>
      <c r="Y225" s="9"/>
      <c r="Z225" s="7">
        <v>0</v>
      </c>
      <c r="AA225" s="8" t="str">
        <f>IFERROR(Z225/Z444, "NA")</f>
        <v>NA</v>
      </c>
      <c r="AB225" s="9"/>
      <c r="AC225" s="10">
        <f t="shared" si="59"/>
        <v>0</v>
      </c>
      <c r="AD225" s="8" t="str">
        <f>IFERROR(AC225/AC444, "NA")</f>
        <v>NA</v>
      </c>
    </row>
    <row r="226" spans="1:30" ht="16.5" hidden="1" customHeight="1" x14ac:dyDescent="0.45">
      <c r="A226" s="6" t="s">
        <v>206</v>
      </c>
      <c r="B226" s="7">
        <v>0</v>
      </c>
      <c r="C226" s="8" t="str">
        <f>IFERROR(B226/B444, "NA")</f>
        <v>NA</v>
      </c>
      <c r="D226" s="9"/>
      <c r="E226" s="7">
        <v>0</v>
      </c>
      <c r="F226" s="8" t="str">
        <f>IFERROR(E226/E444, "NA")</f>
        <v>NA</v>
      </c>
      <c r="G226" s="9"/>
      <c r="H226" s="10">
        <f t="shared" si="56"/>
        <v>0</v>
      </c>
      <c r="I226" s="8" t="str">
        <f>IFERROR(H226/H444, "NA")</f>
        <v>NA</v>
      </c>
      <c r="J226" s="9"/>
      <c r="K226" s="7">
        <v>0</v>
      </c>
      <c r="L226" s="8" t="str">
        <f>IFERROR(K226/K444, "NA")</f>
        <v>NA</v>
      </c>
      <c r="M226" s="9"/>
      <c r="N226" s="10">
        <f t="shared" si="57"/>
        <v>0</v>
      </c>
      <c r="O226" s="8" t="str">
        <f>IFERROR(N226/N444, "NA")</f>
        <v>NA</v>
      </c>
      <c r="P226" s="9"/>
      <c r="Q226" s="7">
        <v>0</v>
      </c>
      <c r="R226" s="8" t="str">
        <f>IFERROR(Q226/Q444, "NA")</f>
        <v>NA</v>
      </c>
      <c r="S226" s="9"/>
      <c r="T226" s="7">
        <v>0</v>
      </c>
      <c r="U226" s="8" t="str">
        <f>IFERROR(T226/T444, "NA")</f>
        <v>NA</v>
      </c>
      <c r="V226" s="9"/>
      <c r="W226" s="10">
        <f t="shared" si="58"/>
        <v>0</v>
      </c>
      <c r="X226" s="8" t="str">
        <f>IFERROR(W226/W444, "NA")</f>
        <v>NA</v>
      </c>
      <c r="Y226" s="9"/>
      <c r="Z226" s="7">
        <v>0</v>
      </c>
      <c r="AA226" s="8" t="str">
        <f>IFERROR(Z226/Z444, "NA")</f>
        <v>NA</v>
      </c>
      <c r="AB226" s="9"/>
      <c r="AC226" s="10">
        <f t="shared" si="59"/>
        <v>0</v>
      </c>
      <c r="AD226" s="8" t="str">
        <f>IFERROR(AC226/AC444, "NA")</f>
        <v>NA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0</v>
      </c>
      <c r="C227" s="15" t="str">
        <f>IFERROR(B227/B444, "NA")</f>
        <v>NA</v>
      </c>
      <c r="D227" s="2"/>
      <c r="E227" s="14">
        <f>IFERROR(E211+E213+E214+E215+E216+E217+E219+E220+E221+E222+E223+E224+E225+E226, "NA")</f>
        <v>0</v>
      </c>
      <c r="F227" s="15" t="str">
        <f>IFERROR(E227/E444, "NA")</f>
        <v>NA</v>
      </c>
      <c r="G227" s="2"/>
      <c r="H227" s="14">
        <f t="shared" si="56"/>
        <v>0</v>
      </c>
      <c r="I227" s="15" t="str">
        <f>IFERROR(H227/H444, "NA")</f>
        <v>NA</v>
      </c>
      <c r="J227" s="2"/>
      <c r="K227" s="14">
        <f>IFERROR(K211+K213+K214+K215+K216+K217+K219+K220+K221+K222+K223+K224+K225+K226, "NA")</f>
        <v>0</v>
      </c>
      <c r="L227" s="15" t="str">
        <f>IFERROR(K227/K444, "NA")</f>
        <v>NA</v>
      </c>
      <c r="M227" s="2"/>
      <c r="N227" s="14">
        <f t="shared" si="57"/>
        <v>0</v>
      </c>
      <c r="O227" s="15" t="str">
        <f>IFERROR(N227/N444, "NA")</f>
        <v>NA</v>
      </c>
      <c r="P227" s="2"/>
      <c r="Q227" s="14">
        <f>IFERROR(Q211+Q213+Q214+Q215+Q216+Q217+Q219+Q220+Q221+Q222+Q223+Q224+Q225+Q226, "NA")</f>
        <v>0</v>
      </c>
      <c r="R227" s="15" t="str">
        <f>IFERROR(Q227/Q444, "NA")</f>
        <v>NA</v>
      </c>
      <c r="S227" s="2"/>
      <c r="T227" s="14">
        <f>IFERROR(T211+T213+T214+T215+T216+T217+T219+T220+T221+T222+T223+T224+T225+T226, "NA")</f>
        <v>0</v>
      </c>
      <c r="U227" s="15" t="str">
        <f>IFERROR(T227/T444, "NA")</f>
        <v>NA</v>
      </c>
      <c r="V227" s="2"/>
      <c r="W227" s="14">
        <f t="shared" si="58"/>
        <v>0</v>
      </c>
      <c r="X227" s="15" t="str">
        <f>IFERROR(W227/W444, "NA")</f>
        <v>NA</v>
      </c>
      <c r="Y227" s="2"/>
      <c r="Z227" s="14">
        <f>IFERROR(Z211+Z213+Z214+Z215+Z216+Z217+Z219+Z220+Z221+Z222+Z223+Z224+Z225+Z226, "NA")</f>
        <v>0</v>
      </c>
      <c r="AA227" s="15" t="str">
        <f>IFERROR(Z227/Z444, "NA")</f>
        <v>NA</v>
      </c>
      <c r="AB227" s="2"/>
      <c r="AC227" s="14">
        <f t="shared" si="59"/>
        <v>0</v>
      </c>
      <c r="AD227" s="15" t="str">
        <f>IFERROR(AC227/AC444, "NA")</f>
        <v>NA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hidden="1" customHeight="1" x14ac:dyDescent="0.45">
      <c r="A229" s="6" t="s">
        <v>208</v>
      </c>
      <c r="B229" s="7">
        <v>0</v>
      </c>
      <c r="C229" s="8" t="str">
        <f>IFERROR(B229/B444, "NA")</f>
        <v>NA</v>
      </c>
      <c r="D229" s="9"/>
      <c r="E229" s="7">
        <v>0</v>
      </c>
      <c r="F229" s="8" t="str">
        <f>IFERROR(E229/E444, "NA")</f>
        <v>NA</v>
      </c>
      <c r="G229" s="9"/>
      <c r="H229" s="10">
        <f t="shared" ref="H229:H236" si="60">IFERROR(-(B229-E229), "NA")</f>
        <v>0</v>
      </c>
      <c r="I229" s="8" t="str">
        <f>IFERROR(H229/H444, "NA")</f>
        <v>NA</v>
      </c>
      <c r="J229" s="9"/>
      <c r="K229" s="7">
        <v>0</v>
      </c>
      <c r="L229" s="8" t="str">
        <f>IFERROR(K229/K444, "NA")</f>
        <v>NA</v>
      </c>
      <c r="M229" s="9"/>
      <c r="N229" s="10">
        <f t="shared" ref="N229:N236" si="61">IFERROR(-(B229-K229), "NA")</f>
        <v>0</v>
      </c>
      <c r="O229" s="8" t="str">
        <f>IFERROR(N229/N444, "NA")</f>
        <v>NA</v>
      </c>
      <c r="P229" s="9"/>
      <c r="Q229" s="7">
        <v>0</v>
      </c>
      <c r="R229" s="8" t="str">
        <f>IFERROR(Q229/Q444, "NA")</f>
        <v>NA</v>
      </c>
      <c r="S229" s="9"/>
      <c r="T229" s="7">
        <v>0</v>
      </c>
      <c r="U229" s="8" t="str">
        <f>IFERROR(T229/T444, "NA")</f>
        <v>NA</v>
      </c>
      <c r="V229" s="9"/>
      <c r="W229" s="10">
        <f t="shared" ref="W229:W236" si="62">IFERROR(-(Q229-T229), "NA")</f>
        <v>0</v>
      </c>
      <c r="X229" s="8" t="str">
        <f>IFERROR(W229/W444, "NA")</f>
        <v>NA</v>
      </c>
      <c r="Y229" s="9"/>
      <c r="Z229" s="7">
        <v>0</v>
      </c>
      <c r="AA229" s="8" t="str">
        <f>IFERROR(Z229/Z444, "NA")</f>
        <v>NA</v>
      </c>
      <c r="AB229" s="9"/>
      <c r="AC229" s="10">
        <f t="shared" ref="AC229:AC236" si="63">IFERROR(-(Q229-Z229), "NA")</f>
        <v>0</v>
      </c>
      <c r="AD229" s="8" t="str">
        <f>IFERROR(AC229/AC444, "NA")</f>
        <v>NA</v>
      </c>
    </row>
    <row r="230" spans="1:30" ht="16.5" hidden="1" customHeight="1" x14ac:dyDescent="0.45">
      <c r="A230" s="6" t="s">
        <v>209</v>
      </c>
      <c r="B230" s="7">
        <v>0</v>
      </c>
      <c r="C230" s="8" t="str">
        <f>IFERROR(B230/B444, "NA")</f>
        <v>NA</v>
      </c>
      <c r="D230" s="9"/>
      <c r="E230" s="7">
        <v>0</v>
      </c>
      <c r="F230" s="8" t="str">
        <f>IFERROR(E230/E444, "NA")</f>
        <v>NA</v>
      </c>
      <c r="G230" s="9"/>
      <c r="H230" s="10">
        <f t="shared" si="60"/>
        <v>0</v>
      </c>
      <c r="I230" s="8" t="str">
        <f>IFERROR(H230/H444, "NA")</f>
        <v>NA</v>
      </c>
      <c r="J230" s="9"/>
      <c r="K230" s="7">
        <v>0</v>
      </c>
      <c r="L230" s="8" t="str">
        <f>IFERROR(K230/K444, "NA")</f>
        <v>NA</v>
      </c>
      <c r="M230" s="9"/>
      <c r="N230" s="10">
        <f t="shared" si="61"/>
        <v>0</v>
      </c>
      <c r="O230" s="8" t="str">
        <f>IFERROR(N230/N444, "NA")</f>
        <v>NA</v>
      </c>
      <c r="P230" s="9"/>
      <c r="Q230" s="7">
        <v>0</v>
      </c>
      <c r="R230" s="8" t="str">
        <f>IFERROR(Q230/Q444, "NA")</f>
        <v>NA</v>
      </c>
      <c r="S230" s="9"/>
      <c r="T230" s="7">
        <v>0</v>
      </c>
      <c r="U230" s="8" t="str">
        <f>IFERROR(T230/T444, "NA")</f>
        <v>NA</v>
      </c>
      <c r="V230" s="9"/>
      <c r="W230" s="10">
        <f t="shared" si="62"/>
        <v>0</v>
      </c>
      <c r="X230" s="8" t="str">
        <f>IFERROR(W230/W444, "NA")</f>
        <v>NA</v>
      </c>
      <c r="Y230" s="9"/>
      <c r="Z230" s="7">
        <v>0</v>
      </c>
      <c r="AA230" s="8" t="str">
        <f>IFERROR(Z230/Z444, "NA")</f>
        <v>NA</v>
      </c>
      <c r="AB230" s="9"/>
      <c r="AC230" s="10">
        <f t="shared" si="63"/>
        <v>0</v>
      </c>
      <c r="AD230" s="8" t="str">
        <f>IFERROR(AC230/AC444, "NA")</f>
        <v>NA</v>
      </c>
    </row>
    <row r="231" spans="1:30" ht="16.5" hidden="1" customHeight="1" x14ac:dyDescent="0.45">
      <c r="A231" s="6" t="s">
        <v>210</v>
      </c>
      <c r="B231" s="7">
        <v>0</v>
      </c>
      <c r="C231" s="8" t="str">
        <f>IFERROR(B231/B444, "NA")</f>
        <v>NA</v>
      </c>
      <c r="D231" s="9"/>
      <c r="E231" s="7">
        <v>0</v>
      </c>
      <c r="F231" s="8" t="str">
        <f>IFERROR(E231/E444, "NA")</f>
        <v>NA</v>
      </c>
      <c r="G231" s="9"/>
      <c r="H231" s="10">
        <f t="shared" si="60"/>
        <v>0</v>
      </c>
      <c r="I231" s="8" t="str">
        <f>IFERROR(H231/H444, "NA")</f>
        <v>NA</v>
      </c>
      <c r="J231" s="9"/>
      <c r="K231" s="7">
        <v>0</v>
      </c>
      <c r="L231" s="8" t="str">
        <f>IFERROR(K231/K444, "NA")</f>
        <v>NA</v>
      </c>
      <c r="M231" s="9"/>
      <c r="N231" s="10">
        <f t="shared" si="61"/>
        <v>0</v>
      </c>
      <c r="O231" s="8" t="str">
        <f>IFERROR(N231/N444, "NA")</f>
        <v>NA</v>
      </c>
      <c r="P231" s="9"/>
      <c r="Q231" s="7">
        <v>0</v>
      </c>
      <c r="R231" s="8" t="str">
        <f>IFERROR(Q231/Q444, "NA")</f>
        <v>NA</v>
      </c>
      <c r="S231" s="9"/>
      <c r="T231" s="7">
        <v>0</v>
      </c>
      <c r="U231" s="8" t="str">
        <f>IFERROR(T231/T444, "NA")</f>
        <v>NA</v>
      </c>
      <c r="V231" s="9"/>
      <c r="W231" s="10">
        <f t="shared" si="62"/>
        <v>0</v>
      </c>
      <c r="X231" s="8" t="str">
        <f>IFERROR(W231/W444, "NA")</f>
        <v>NA</v>
      </c>
      <c r="Y231" s="9"/>
      <c r="Z231" s="7">
        <v>0</v>
      </c>
      <c r="AA231" s="8" t="str">
        <f>IFERROR(Z231/Z444, "NA")</f>
        <v>NA</v>
      </c>
      <c r="AB231" s="9"/>
      <c r="AC231" s="10">
        <f t="shared" si="63"/>
        <v>0</v>
      </c>
      <c r="AD231" s="8" t="str">
        <f>IFERROR(AC231/AC444, "NA")</f>
        <v>NA</v>
      </c>
    </row>
    <row r="232" spans="1:30" ht="16.5" hidden="1" customHeight="1" x14ac:dyDescent="0.45">
      <c r="A232" s="6" t="s">
        <v>211</v>
      </c>
      <c r="B232" s="7">
        <v>0</v>
      </c>
      <c r="C232" s="8" t="str">
        <f>IFERROR(B232/B444, "NA")</f>
        <v>NA</v>
      </c>
      <c r="D232" s="9"/>
      <c r="E232" s="7">
        <v>0</v>
      </c>
      <c r="F232" s="8" t="str">
        <f>IFERROR(E232/E444, "NA")</f>
        <v>NA</v>
      </c>
      <c r="G232" s="9"/>
      <c r="H232" s="10">
        <f t="shared" si="60"/>
        <v>0</v>
      </c>
      <c r="I232" s="8" t="str">
        <f>IFERROR(H232/H444, "NA")</f>
        <v>NA</v>
      </c>
      <c r="J232" s="9"/>
      <c r="K232" s="7">
        <v>0</v>
      </c>
      <c r="L232" s="8" t="str">
        <f>IFERROR(K232/K444, "NA")</f>
        <v>NA</v>
      </c>
      <c r="M232" s="9"/>
      <c r="N232" s="10">
        <f t="shared" si="61"/>
        <v>0</v>
      </c>
      <c r="O232" s="8" t="str">
        <f>IFERROR(N232/N444, "NA")</f>
        <v>NA</v>
      </c>
      <c r="P232" s="9"/>
      <c r="Q232" s="7">
        <v>0</v>
      </c>
      <c r="R232" s="8" t="str">
        <f>IFERROR(Q232/Q444, "NA")</f>
        <v>NA</v>
      </c>
      <c r="S232" s="9"/>
      <c r="T232" s="7">
        <v>0</v>
      </c>
      <c r="U232" s="8" t="str">
        <f>IFERROR(T232/T444, "NA")</f>
        <v>NA</v>
      </c>
      <c r="V232" s="9"/>
      <c r="W232" s="10">
        <f t="shared" si="62"/>
        <v>0</v>
      </c>
      <c r="X232" s="8" t="str">
        <f>IFERROR(W232/W444, "NA")</f>
        <v>NA</v>
      </c>
      <c r="Y232" s="9"/>
      <c r="Z232" s="7">
        <v>0</v>
      </c>
      <c r="AA232" s="8" t="str">
        <f>IFERROR(Z232/Z444, "NA")</f>
        <v>NA</v>
      </c>
      <c r="AB232" s="9"/>
      <c r="AC232" s="10">
        <f t="shared" si="63"/>
        <v>0</v>
      </c>
      <c r="AD232" s="8" t="str">
        <f>IFERROR(AC232/AC444, "NA")</f>
        <v>NA</v>
      </c>
    </row>
    <row r="233" spans="1:30" ht="16.5" hidden="1" customHeight="1" x14ac:dyDescent="0.45">
      <c r="A233" s="6" t="s">
        <v>212</v>
      </c>
      <c r="B233" s="7">
        <v>0</v>
      </c>
      <c r="C233" s="8" t="str">
        <f>IFERROR(B233/B444, "NA")</f>
        <v>NA</v>
      </c>
      <c r="D233" s="9"/>
      <c r="E233" s="7">
        <v>0</v>
      </c>
      <c r="F233" s="8" t="str">
        <f>IFERROR(E233/E444, "NA")</f>
        <v>NA</v>
      </c>
      <c r="G233" s="9"/>
      <c r="H233" s="10">
        <f t="shared" si="60"/>
        <v>0</v>
      </c>
      <c r="I233" s="8" t="str">
        <f>IFERROR(H233/H444, "NA")</f>
        <v>NA</v>
      </c>
      <c r="J233" s="9"/>
      <c r="K233" s="7">
        <v>0</v>
      </c>
      <c r="L233" s="8" t="str">
        <f>IFERROR(K233/K444, "NA")</f>
        <v>NA</v>
      </c>
      <c r="M233" s="9"/>
      <c r="N233" s="10">
        <f t="shared" si="61"/>
        <v>0</v>
      </c>
      <c r="O233" s="8" t="str">
        <f>IFERROR(N233/N444, "NA")</f>
        <v>NA</v>
      </c>
      <c r="P233" s="9"/>
      <c r="Q233" s="7">
        <v>0</v>
      </c>
      <c r="R233" s="8" t="str">
        <f>IFERROR(Q233/Q444, "NA")</f>
        <v>NA</v>
      </c>
      <c r="S233" s="9"/>
      <c r="T233" s="7">
        <v>0</v>
      </c>
      <c r="U233" s="8" t="str">
        <f>IFERROR(T233/T444, "NA")</f>
        <v>NA</v>
      </c>
      <c r="V233" s="9"/>
      <c r="W233" s="10">
        <f t="shared" si="62"/>
        <v>0</v>
      </c>
      <c r="X233" s="8" t="str">
        <f>IFERROR(W233/W444, "NA")</f>
        <v>NA</v>
      </c>
      <c r="Y233" s="9"/>
      <c r="Z233" s="7">
        <v>0</v>
      </c>
      <c r="AA233" s="8" t="str">
        <f>IFERROR(Z233/Z444, "NA")</f>
        <v>NA</v>
      </c>
      <c r="AB233" s="9"/>
      <c r="AC233" s="10">
        <f t="shared" si="63"/>
        <v>0</v>
      </c>
      <c r="AD233" s="8" t="str">
        <f>IFERROR(AC233/AC444, "NA")</f>
        <v>NA</v>
      </c>
    </row>
    <row r="234" spans="1:30" ht="16.5" hidden="1" customHeight="1" x14ac:dyDescent="0.45">
      <c r="A234" s="6" t="s">
        <v>213</v>
      </c>
      <c r="B234" s="7">
        <v>0</v>
      </c>
      <c r="C234" s="8" t="str">
        <f>IFERROR(B234/B444, "NA")</f>
        <v>NA</v>
      </c>
      <c r="D234" s="9"/>
      <c r="E234" s="7">
        <v>0</v>
      </c>
      <c r="F234" s="8" t="str">
        <f>IFERROR(E234/E444, "NA")</f>
        <v>NA</v>
      </c>
      <c r="G234" s="9"/>
      <c r="H234" s="10">
        <f t="shared" si="60"/>
        <v>0</v>
      </c>
      <c r="I234" s="8" t="str">
        <f>IFERROR(H234/H444, "NA")</f>
        <v>NA</v>
      </c>
      <c r="J234" s="9"/>
      <c r="K234" s="7">
        <v>0</v>
      </c>
      <c r="L234" s="8" t="str">
        <f>IFERROR(K234/K444, "NA")</f>
        <v>NA</v>
      </c>
      <c r="M234" s="9"/>
      <c r="N234" s="10">
        <f t="shared" si="61"/>
        <v>0</v>
      </c>
      <c r="O234" s="8" t="str">
        <f>IFERROR(N234/N444, "NA")</f>
        <v>NA</v>
      </c>
      <c r="P234" s="9"/>
      <c r="Q234" s="7">
        <v>0</v>
      </c>
      <c r="R234" s="8" t="str">
        <f>IFERROR(Q234/Q444, "NA")</f>
        <v>NA</v>
      </c>
      <c r="S234" s="9"/>
      <c r="T234" s="7">
        <v>0</v>
      </c>
      <c r="U234" s="8" t="str">
        <f>IFERROR(T234/T444, "NA")</f>
        <v>NA</v>
      </c>
      <c r="V234" s="9"/>
      <c r="W234" s="10">
        <f t="shared" si="62"/>
        <v>0</v>
      </c>
      <c r="X234" s="8" t="str">
        <f>IFERROR(W234/W444, "NA")</f>
        <v>NA</v>
      </c>
      <c r="Y234" s="9"/>
      <c r="Z234" s="7">
        <v>0</v>
      </c>
      <c r="AA234" s="8" t="str">
        <f>IFERROR(Z234/Z444, "NA")</f>
        <v>NA</v>
      </c>
      <c r="AB234" s="9"/>
      <c r="AC234" s="10">
        <f t="shared" si="63"/>
        <v>0</v>
      </c>
      <c r="AD234" s="8" t="str">
        <f>IFERROR(AC234/AC444, "NA")</f>
        <v>NA</v>
      </c>
    </row>
    <row r="235" spans="1:30" ht="16.5" hidden="1" customHeight="1" x14ac:dyDescent="0.45">
      <c r="A235" s="6" t="s">
        <v>214</v>
      </c>
      <c r="B235" s="7">
        <v>0</v>
      </c>
      <c r="C235" s="8" t="str">
        <f>IFERROR(B235/B444, "NA")</f>
        <v>NA</v>
      </c>
      <c r="D235" s="9"/>
      <c r="E235" s="7">
        <v>0</v>
      </c>
      <c r="F235" s="8" t="str">
        <f>IFERROR(E235/E444, "NA")</f>
        <v>NA</v>
      </c>
      <c r="G235" s="9"/>
      <c r="H235" s="10">
        <f t="shared" si="60"/>
        <v>0</v>
      </c>
      <c r="I235" s="8" t="str">
        <f>IFERROR(H235/H444, "NA")</f>
        <v>NA</v>
      </c>
      <c r="J235" s="9"/>
      <c r="K235" s="7">
        <v>0</v>
      </c>
      <c r="L235" s="8" t="str">
        <f>IFERROR(K235/K444, "NA")</f>
        <v>NA</v>
      </c>
      <c r="M235" s="9"/>
      <c r="N235" s="10">
        <f t="shared" si="61"/>
        <v>0</v>
      </c>
      <c r="O235" s="8" t="str">
        <f>IFERROR(N235/N444, "NA")</f>
        <v>NA</v>
      </c>
      <c r="P235" s="9"/>
      <c r="Q235" s="7">
        <v>0</v>
      </c>
      <c r="R235" s="8" t="str">
        <f>IFERROR(Q235/Q444, "NA")</f>
        <v>NA</v>
      </c>
      <c r="S235" s="9"/>
      <c r="T235" s="7">
        <v>0</v>
      </c>
      <c r="U235" s="8" t="str">
        <f>IFERROR(T235/T444, "NA")</f>
        <v>NA</v>
      </c>
      <c r="V235" s="9"/>
      <c r="W235" s="10">
        <f t="shared" si="62"/>
        <v>0</v>
      </c>
      <c r="X235" s="8" t="str">
        <f>IFERROR(W235/W444, "NA")</f>
        <v>NA</v>
      </c>
      <c r="Y235" s="9"/>
      <c r="Z235" s="7">
        <v>0</v>
      </c>
      <c r="AA235" s="8" t="str">
        <f>IFERROR(Z235/Z444, "NA")</f>
        <v>NA</v>
      </c>
      <c r="AB235" s="9"/>
      <c r="AC235" s="10">
        <f t="shared" si="63"/>
        <v>0</v>
      </c>
      <c r="AD235" s="8" t="str">
        <f>IFERROR(AC235/AC444, "NA")</f>
        <v>NA</v>
      </c>
    </row>
    <row r="236" spans="1:30" ht="16.5" customHeight="1" x14ac:dyDescent="0.45">
      <c r="A236" s="19" t="s">
        <v>215</v>
      </c>
      <c r="B236" s="14">
        <f>IFERROR(B229+B230+B231+B232+B233+B234+B235, "NA")</f>
        <v>0</v>
      </c>
      <c r="C236" s="15" t="str">
        <f>IFERROR(B236/B444, "NA")</f>
        <v>NA</v>
      </c>
      <c r="D236" s="2"/>
      <c r="E236" s="14">
        <f>IFERROR(E229+E230+E231+E232+E233+E234+E235, "NA")</f>
        <v>0</v>
      </c>
      <c r="F236" s="15" t="str">
        <f>IFERROR(E236/E444, "NA")</f>
        <v>NA</v>
      </c>
      <c r="G236" s="2"/>
      <c r="H236" s="14">
        <f t="shared" si="60"/>
        <v>0</v>
      </c>
      <c r="I236" s="15" t="str">
        <f>IFERROR(H236/H444, "NA")</f>
        <v>NA</v>
      </c>
      <c r="J236" s="2"/>
      <c r="K236" s="14">
        <f>IFERROR(K229+K230+K231+K232+K233+K234+K235, "NA")</f>
        <v>0</v>
      </c>
      <c r="L236" s="15" t="str">
        <f>IFERROR(K236/K444, "NA")</f>
        <v>NA</v>
      </c>
      <c r="M236" s="2"/>
      <c r="N236" s="14">
        <f t="shared" si="61"/>
        <v>0</v>
      </c>
      <c r="O236" s="15" t="str">
        <f>IFERROR(N236/N444, "NA")</f>
        <v>NA</v>
      </c>
      <c r="P236" s="2"/>
      <c r="Q236" s="14">
        <f>IFERROR(Q229+Q230+Q231+Q232+Q233+Q234+Q235, "NA")</f>
        <v>0</v>
      </c>
      <c r="R236" s="15" t="str">
        <f>IFERROR(Q236/Q444, "NA")</f>
        <v>NA</v>
      </c>
      <c r="S236" s="2"/>
      <c r="T236" s="14">
        <f>IFERROR(T229+T230+T231+T232+T233+T234+T235, "NA")</f>
        <v>0</v>
      </c>
      <c r="U236" s="15" t="str">
        <f>IFERROR(T236/T444, "NA")</f>
        <v>NA</v>
      </c>
      <c r="V236" s="2"/>
      <c r="W236" s="14">
        <f t="shared" si="62"/>
        <v>0</v>
      </c>
      <c r="X236" s="15" t="str">
        <f>IFERROR(W236/W444, "NA")</f>
        <v>NA</v>
      </c>
      <c r="Y236" s="2"/>
      <c r="Z236" s="14">
        <f>IFERROR(Z229+Z230+Z231+Z232+Z233+Z234+Z235, "NA")</f>
        <v>0</v>
      </c>
      <c r="AA236" s="15" t="str">
        <f>IFERROR(Z236/Z444, "NA")</f>
        <v>NA</v>
      </c>
      <c r="AB236" s="2"/>
      <c r="AC236" s="14">
        <f t="shared" si="63"/>
        <v>0</v>
      </c>
      <c r="AD236" s="15" t="str">
        <f>IFERROR(AC236/AC444, "NA")</f>
        <v>NA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 t="str">
        <f>IFERROR(B238/B444, "NA")</f>
        <v>NA</v>
      </c>
      <c r="D238" s="9"/>
      <c r="E238" s="7">
        <v>0</v>
      </c>
      <c r="F238" s="8" t="str">
        <f>IFERROR(E238/E444, "NA")</f>
        <v>NA</v>
      </c>
      <c r="G238" s="9"/>
      <c r="H238" s="10">
        <f>IFERROR(-(B238-E238), "NA")</f>
        <v>0</v>
      </c>
      <c r="I238" s="8" t="str">
        <f>IFERROR(H238/H444, "NA")</f>
        <v>NA</v>
      </c>
      <c r="J238" s="9"/>
      <c r="K238" s="7">
        <v>0</v>
      </c>
      <c r="L238" s="8" t="str">
        <f>IFERROR(K238/K444, "NA")</f>
        <v>NA</v>
      </c>
      <c r="M238" s="9"/>
      <c r="N238" s="10">
        <f>IFERROR(-(B238-K238), "NA")</f>
        <v>0</v>
      </c>
      <c r="O238" s="8" t="str">
        <f>IFERROR(N238/N444, "NA")</f>
        <v>NA</v>
      </c>
      <c r="P238" s="9"/>
      <c r="Q238" s="7">
        <v>0</v>
      </c>
      <c r="R238" s="8" t="str">
        <f>IFERROR(Q238/Q444, "NA")</f>
        <v>NA</v>
      </c>
      <c r="S238" s="9"/>
      <c r="T238" s="7">
        <v>0</v>
      </c>
      <c r="U238" s="8" t="str">
        <f>IFERROR(T238/T444, "NA")</f>
        <v>NA</v>
      </c>
      <c r="V238" s="9"/>
      <c r="W238" s="10">
        <f>IFERROR(-(Q238-T238), "NA")</f>
        <v>0</v>
      </c>
      <c r="X238" s="8" t="str">
        <f>IFERROR(W238/W444, "NA")</f>
        <v>NA</v>
      </c>
      <c r="Y238" s="9"/>
      <c r="Z238" s="7">
        <v>0</v>
      </c>
      <c r="AA238" s="8" t="str">
        <f>IFERROR(Z238/Z444, "NA")</f>
        <v>NA</v>
      </c>
      <c r="AB238" s="9"/>
      <c r="AC238" s="10">
        <f>IFERROR(-(Q238-Z238), "NA")</f>
        <v>0</v>
      </c>
      <c r="AD238" s="8" t="str">
        <f>IFERROR(AC238/AC444, "NA")</f>
        <v>NA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hidden="1" customHeight="1" x14ac:dyDescent="0.45">
      <c r="A240" s="12" t="s">
        <v>217</v>
      </c>
      <c r="B240" s="7">
        <v>0</v>
      </c>
      <c r="C240" s="8" t="str">
        <f>IFERROR(B240/B444, "NA")</f>
        <v>NA</v>
      </c>
      <c r="D240" s="9"/>
      <c r="E240" s="7">
        <v>0</v>
      </c>
      <c r="F240" s="8" t="str">
        <f>IFERROR(E240/E444, "NA")</f>
        <v>NA</v>
      </c>
      <c r="G240" s="9"/>
      <c r="H240" s="10">
        <f t="shared" ref="H240:H263" si="64">IFERROR(-(B240-E240), "NA")</f>
        <v>0</v>
      </c>
      <c r="I240" s="8" t="str">
        <f>IFERROR(H240/H444, "NA")</f>
        <v>NA</v>
      </c>
      <c r="J240" s="9"/>
      <c r="K240" s="7">
        <v>0</v>
      </c>
      <c r="L240" s="8" t="str">
        <f>IFERROR(K240/K444, "NA")</f>
        <v>NA</v>
      </c>
      <c r="M240" s="9"/>
      <c r="N240" s="10">
        <f t="shared" ref="N240:N263" si="65">IFERROR(-(B240-K240), "NA")</f>
        <v>0</v>
      </c>
      <c r="O240" s="8" t="str">
        <f>IFERROR(N240/N444, "NA")</f>
        <v>NA</v>
      </c>
      <c r="P240" s="9"/>
      <c r="Q240" s="7">
        <v>0</v>
      </c>
      <c r="R240" s="8" t="str">
        <f>IFERROR(Q240/Q444, "NA")</f>
        <v>NA</v>
      </c>
      <c r="S240" s="9"/>
      <c r="T240" s="7">
        <v>0</v>
      </c>
      <c r="U240" s="8" t="str">
        <f>IFERROR(T240/T444, "NA")</f>
        <v>NA</v>
      </c>
      <c r="V240" s="9"/>
      <c r="W240" s="10">
        <f t="shared" ref="W240:W263" si="66">IFERROR(-(Q240-T240), "NA")</f>
        <v>0</v>
      </c>
      <c r="X240" s="8" t="str">
        <f>IFERROR(W240/W444, "NA")</f>
        <v>NA</v>
      </c>
      <c r="Y240" s="9"/>
      <c r="Z240" s="7">
        <v>0</v>
      </c>
      <c r="AA240" s="8" t="str">
        <f>IFERROR(Z240/Z444, "NA")</f>
        <v>NA</v>
      </c>
      <c r="AB240" s="9"/>
      <c r="AC240" s="10">
        <f t="shared" ref="AC240:AC263" si="67">IFERROR(-(Q240-Z240), "NA")</f>
        <v>0</v>
      </c>
      <c r="AD240" s="8" t="str">
        <f>IFERROR(AC240/AC444, "NA")</f>
        <v>NA</v>
      </c>
    </row>
    <row r="241" spans="1:30" ht="16.5" hidden="1" customHeight="1" x14ac:dyDescent="0.45">
      <c r="A241" s="12" t="s">
        <v>218</v>
      </c>
      <c r="B241" s="7">
        <v>0</v>
      </c>
      <c r="C241" s="8" t="str">
        <f>IFERROR(B241/B444, "NA")</f>
        <v>NA</v>
      </c>
      <c r="D241" s="9"/>
      <c r="E241" s="7">
        <v>0</v>
      </c>
      <c r="F241" s="8" t="str">
        <f>IFERROR(E241/E444, "NA")</f>
        <v>NA</v>
      </c>
      <c r="G241" s="9"/>
      <c r="H241" s="10">
        <f t="shared" si="64"/>
        <v>0</v>
      </c>
      <c r="I241" s="8" t="str">
        <f>IFERROR(H241/H444, "NA")</f>
        <v>NA</v>
      </c>
      <c r="J241" s="9"/>
      <c r="K241" s="7">
        <v>0</v>
      </c>
      <c r="L241" s="8" t="str">
        <f>IFERROR(K241/K444, "NA")</f>
        <v>NA</v>
      </c>
      <c r="M241" s="9"/>
      <c r="N241" s="10">
        <f t="shared" si="65"/>
        <v>0</v>
      </c>
      <c r="O241" s="8" t="str">
        <f>IFERROR(N241/N444, "NA")</f>
        <v>NA</v>
      </c>
      <c r="P241" s="9"/>
      <c r="Q241" s="7">
        <v>0</v>
      </c>
      <c r="R241" s="8" t="str">
        <f>IFERROR(Q241/Q444, "NA")</f>
        <v>NA</v>
      </c>
      <c r="S241" s="9"/>
      <c r="T241" s="7">
        <v>0</v>
      </c>
      <c r="U241" s="8" t="str">
        <f>IFERROR(T241/T444, "NA")</f>
        <v>NA</v>
      </c>
      <c r="V241" s="9"/>
      <c r="W241" s="10">
        <f t="shared" si="66"/>
        <v>0</v>
      </c>
      <c r="X241" s="8" t="str">
        <f>IFERROR(W241/W444, "NA")</f>
        <v>NA</v>
      </c>
      <c r="Y241" s="9"/>
      <c r="Z241" s="7">
        <v>0</v>
      </c>
      <c r="AA241" s="8" t="str">
        <f>IFERROR(Z241/Z444, "NA")</f>
        <v>NA</v>
      </c>
      <c r="AB241" s="9"/>
      <c r="AC241" s="10">
        <f t="shared" si="67"/>
        <v>0</v>
      </c>
      <c r="AD241" s="8" t="str">
        <f>IFERROR(AC241/AC444, "NA")</f>
        <v>NA</v>
      </c>
    </row>
    <row r="242" spans="1:30" ht="16.5" hidden="1" customHeight="1" x14ac:dyDescent="0.45">
      <c r="A242" s="12" t="s">
        <v>219</v>
      </c>
      <c r="B242" s="7">
        <v>0</v>
      </c>
      <c r="C242" s="8" t="str">
        <f>IFERROR(B242/B444, "NA")</f>
        <v>NA</v>
      </c>
      <c r="D242" s="9"/>
      <c r="E242" s="7">
        <v>0</v>
      </c>
      <c r="F242" s="8" t="str">
        <f>IFERROR(E242/E444, "NA")</f>
        <v>NA</v>
      </c>
      <c r="G242" s="9"/>
      <c r="H242" s="10">
        <f t="shared" si="64"/>
        <v>0</v>
      </c>
      <c r="I242" s="8" t="str">
        <f>IFERROR(H242/H444, "NA")</f>
        <v>NA</v>
      </c>
      <c r="J242" s="9"/>
      <c r="K242" s="7">
        <v>0</v>
      </c>
      <c r="L242" s="8" t="str">
        <f>IFERROR(K242/K444, "NA")</f>
        <v>NA</v>
      </c>
      <c r="M242" s="9"/>
      <c r="N242" s="10">
        <f t="shared" si="65"/>
        <v>0</v>
      </c>
      <c r="O242" s="8" t="str">
        <f>IFERROR(N242/N444, "NA")</f>
        <v>NA</v>
      </c>
      <c r="P242" s="9"/>
      <c r="Q242" s="7">
        <v>0</v>
      </c>
      <c r="R242" s="8" t="str">
        <f>IFERROR(Q242/Q444, "NA")</f>
        <v>NA</v>
      </c>
      <c r="S242" s="9"/>
      <c r="T242" s="7">
        <v>0</v>
      </c>
      <c r="U242" s="8" t="str">
        <f>IFERROR(T242/T444, "NA")</f>
        <v>NA</v>
      </c>
      <c r="V242" s="9"/>
      <c r="W242" s="10">
        <f t="shared" si="66"/>
        <v>0</v>
      </c>
      <c r="X242" s="8" t="str">
        <f>IFERROR(W242/W444, "NA")</f>
        <v>NA</v>
      </c>
      <c r="Y242" s="9"/>
      <c r="Z242" s="7">
        <v>0</v>
      </c>
      <c r="AA242" s="8" t="str">
        <f>IFERROR(Z242/Z444, "NA")</f>
        <v>NA</v>
      </c>
      <c r="AB242" s="9"/>
      <c r="AC242" s="10">
        <f t="shared" si="67"/>
        <v>0</v>
      </c>
      <c r="AD242" s="8" t="str">
        <f>IFERROR(AC242/AC444, "NA")</f>
        <v>NA</v>
      </c>
    </row>
    <row r="243" spans="1:30" ht="16.5" hidden="1" customHeight="1" x14ac:dyDescent="0.45">
      <c r="A243" s="12" t="s">
        <v>220</v>
      </c>
      <c r="B243" s="7">
        <v>0</v>
      </c>
      <c r="C243" s="8" t="str">
        <f>IFERROR(B243/B444, "NA")</f>
        <v>NA</v>
      </c>
      <c r="D243" s="9"/>
      <c r="E243" s="7">
        <v>0</v>
      </c>
      <c r="F243" s="8" t="str">
        <f>IFERROR(E243/E444, "NA")</f>
        <v>NA</v>
      </c>
      <c r="G243" s="9"/>
      <c r="H243" s="10">
        <f t="shared" si="64"/>
        <v>0</v>
      </c>
      <c r="I243" s="8" t="str">
        <f>IFERROR(H243/H444, "NA")</f>
        <v>NA</v>
      </c>
      <c r="J243" s="9"/>
      <c r="K243" s="7">
        <v>0</v>
      </c>
      <c r="L243" s="8" t="str">
        <f>IFERROR(K243/K444, "NA")</f>
        <v>NA</v>
      </c>
      <c r="M243" s="9"/>
      <c r="N243" s="10">
        <f t="shared" si="65"/>
        <v>0</v>
      </c>
      <c r="O243" s="8" t="str">
        <f>IFERROR(N243/N444, "NA")</f>
        <v>NA</v>
      </c>
      <c r="P243" s="9"/>
      <c r="Q243" s="7">
        <v>0</v>
      </c>
      <c r="R243" s="8" t="str">
        <f>IFERROR(Q243/Q444, "NA")</f>
        <v>NA</v>
      </c>
      <c r="S243" s="9"/>
      <c r="T243" s="7">
        <v>0</v>
      </c>
      <c r="U243" s="8" t="str">
        <f>IFERROR(T243/T444, "NA")</f>
        <v>NA</v>
      </c>
      <c r="V243" s="9"/>
      <c r="W243" s="10">
        <f t="shared" si="66"/>
        <v>0</v>
      </c>
      <c r="X243" s="8" t="str">
        <f>IFERROR(W243/W444, "NA")</f>
        <v>NA</v>
      </c>
      <c r="Y243" s="9"/>
      <c r="Z243" s="7">
        <v>0</v>
      </c>
      <c r="AA243" s="8" t="str">
        <f>IFERROR(Z243/Z444, "NA")</f>
        <v>NA</v>
      </c>
      <c r="AB243" s="9"/>
      <c r="AC243" s="10">
        <f t="shared" si="67"/>
        <v>0</v>
      </c>
      <c r="AD243" s="8" t="str">
        <f>IFERROR(AC243/AC444, "NA")</f>
        <v>NA</v>
      </c>
    </row>
    <row r="244" spans="1:30" ht="16.5" hidden="1" customHeight="1" x14ac:dyDescent="0.45">
      <c r="A244" s="12" t="s">
        <v>221</v>
      </c>
      <c r="B244" s="7">
        <v>0</v>
      </c>
      <c r="C244" s="8" t="str">
        <f>IFERROR(B244/B444, "NA")</f>
        <v>NA</v>
      </c>
      <c r="D244" s="9"/>
      <c r="E244" s="7">
        <v>0</v>
      </c>
      <c r="F244" s="8" t="str">
        <f>IFERROR(E244/E444, "NA")</f>
        <v>NA</v>
      </c>
      <c r="G244" s="9"/>
      <c r="H244" s="10">
        <f t="shared" si="64"/>
        <v>0</v>
      </c>
      <c r="I244" s="8" t="str">
        <f>IFERROR(H244/H444, "NA")</f>
        <v>NA</v>
      </c>
      <c r="J244" s="9"/>
      <c r="K244" s="7">
        <v>0</v>
      </c>
      <c r="L244" s="8" t="str">
        <f>IFERROR(K244/K444, "NA")</f>
        <v>NA</v>
      </c>
      <c r="M244" s="9"/>
      <c r="N244" s="10">
        <f t="shared" si="65"/>
        <v>0</v>
      </c>
      <c r="O244" s="8" t="str">
        <f>IFERROR(N244/N444, "NA")</f>
        <v>NA</v>
      </c>
      <c r="P244" s="9"/>
      <c r="Q244" s="7">
        <v>0</v>
      </c>
      <c r="R244" s="8" t="str">
        <f>IFERROR(Q244/Q444, "NA")</f>
        <v>NA</v>
      </c>
      <c r="S244" s="9"/>
      <c r="T244" s="7">
        <v>0</v>
      </c>
      <c r="U244" s="8" t="str">
        <f>IFERROR(T244/T444, "NA")</f>
        <v>NA</v>
      </c>
      <c r="V244" s="9"/>
      <c r="W244" s="10">
        <f t="shared" si="66"/>
        <v>0</v>
      </c>
      <c r="X244" s="8" t="str">
        <f>IFERROR(W244/W444, "NA")</f>
        <v>NA</v>
      </c>
      <c r="Y244" s="9"/>
      <c r="Z244" s="7">
        <v>0</v>
      </c>
      <c r="AA244" s="8" t="str">
        <f>IFERROR(Z244/Z444, "NA")</f>
        <v>NA</v>
      </c>
      <c r="AB244" s="9"/>
      <c r="AC244" s="10">
        <f t="shared" si="67"/>
        <v>0</v>
      </c>
      <c r="AD244" s="8" t="str">
        <f>IFERROR(AC244/AC444, "NA")</f>
        <v>NA</v>
      </c>
    </row>
    <row r="245" spans="1:30" ht="16.5" hidden="1" customHeight="1" x14ac:dyDescent="0.45">
      <c r="A245" s="12" t="s">
        <v>222</v>
      </c>
      <c r="B245" s="7">
        <v>0</v>
      </c>
      <c r="C245" s="8" t="str">
        <f>IFERROR(B245/B444, "NA")</f>
        <v>NA</v>
      </c>
      <c r="D245" s="9"/>
      <c r="E245" s="7">
        <v>0</v>
      </c>
      <c r="F245" s="8" t="str">
        <f>IFERROR(E245/E444, "NA")</f>
        <v>NA</v>
      </c>
      <c r="G245" s="9"/>
      <c r="H245" s="10">
        <f t="shared" si="64"/>
        <v>0</v>
      </c>
      <c r="I245" s="8" t="str">
        <f>IFERROR(H245/H444, "NA")</f>
        <v>NA</v>
      </c>
      <c r="J245" s="9"/>
      <c r="K245" s="7">
        <v>0</v>
      </c>
      <c r="L245" s="8" t="str">
        <f>IFERROR(K245/K444, "NA")</f>
        <v>NA</v>
      </c>
      <c r="M245" s="9"/>
      <c r="N245" s="10">
        <f t="shared" si="65"/>
        <v>0</v>
      </c>
      <c r="O245" s="8" t="str">
        <f>IFERROR(N245/N444, "NA")</f>
        <v>NA</v>
      </c>
      <c r="P245" s="9"/>
      <c r="Q245" s="7">
        <v>0</v>
      </c>
      <c r="R245" s="8" t="str">
        <f>IFERROR(Q245/Q444, "NA")</f>
        <v>NA</v>
      </c>
      <c r="S245" s="9"/>
      <c r="T245" s="7">
        <v>0</v>
      </c>
      <c r="U245" s="8" t="str">
        <f>IFERROR(T245/T444, "NA")</f>
        <v>NA</v>
      </c>
      <c r="V245" s="9"/>
      <c r="W245" s="10">
        <f t="shared" si="66"/>
        <v>0</v>
      </c>
      <c r="X245" s="8" t="str">
        <f>IFERROR(W245/W444, "NA")</f>
        <v>NA</v>
      </c>
      <c r="Y245" s="9"/>
      <c r="Z245" s="7">
        <v>0</v>
      </c>
      <c r="AA245" s="8" t="str">
        <f>IFERROR(Z245/Z444, "NA")</f>
        <v>NA</v>
      </c>
      <c r="AB245" s="9"/>
      <c r="AC245" s="10">
        <f t="shared" si="67"/>
        <v>0</v>
      </c>
      <c r="AD245" s="8" t="str">
        <f>IFERROR(AC245/AC444, "NA")</f>
        <v>NA</v>
      </c>
    </row>
    <row r="246" spans="1:30" ht="16.5" hidden="1" customHeight="1" x14ac:dyDescent="0.45">
      <c r="A246" s="12" t="s">
        <v>223</v>
      </c>
      <c r="B246" s="7">
        <v>0</v>
      </c>
      <c r="C246" s="8" t="str">
        <f>IFERROR(B246/B444, "NA")</f>
        <v>NA</v>
      </c>
      <c r="D246" s="9"/>
      <c r="E246" s="7">
        <v>0</v>
      </c>
      <c r="F246" s="8" t="str">
        <f>IFERROR(E246/E444, "NA")</f>
        <v>NA</v>
      </c>
      <c r="G246" s="9"/>
      <c r="H246" s="10">
        <f t="shared" si="64"/>
        <v>0</v>
      </c>
      <c r="I246" s="8" t="str">
        <f>IFERROR(H246/H444, "NA")</f>
        <v>NA</v>
      </c>
      <c r="J246" s="9"/>
      <c r="K246" s="7">
        <v>0</v>
      </c>
      <c r="L246" s="8" t="str">
        <f>IFERROR(K246/K444, "NA")</f>
        <v>NA</v>
      </c>
      <c r="M246" s="9"/>
      <c r="N246" s="10">
        <f t="shared" si="65"/>
        <v>0</v>
      </c>
      <c r="O246" s="8" t="str">
        <f>IFERROR(N246/N444, "NA")</f>
        <v>NA</v>
      </c>
      <c r="P246" s="9"/>
      <c r="Q246" s="7">
        <v>0</v>
      </c>
      <c r="R246" s="8" t="str">
        <f>IFERROR(Q246/Q444, "NA")</f>
        <v>NA</v>
      </c>
      <c r="S246" s="9"/>
      <c r="T246" s="7">
        <v>0</v>
      </c>
      <c r="U246" s="8" t="str">
        <f>IFERROR(T246/T444, "NA")</f>
        <v>NA</v>
      </c>
      <c r="V246" s="9"/>
      <c r="W246" s="10">
        <f t="shared" si="66"/>
        <v>0</v>
      </c>
      <c r="X246" s="8" t="str">
        <f>IFERROR(W246/W444, "NA")</f>
        <v>NA</v>
      </c>
      <c r="Y246" s="9"/>
      <c r="Z246" s="7">
        <v>0</v>
      </c>
      <c r="AA246" s="8" t="str">
        <f>IFERROR(Z246/Z444, "NA")</f>
        <v>NA</v>
      </c>
      <c r="AB246" s="9"/>
      <c r="AC246" s="10">
        <f t="shared" si="67"/>
        <v>0</v>
      </c>
      <c r="AD246" s="8" t="str">
        <f>IFERROR(AC246/AC444, "NA")</f>
        <v>NA</v>
      </c>
    </row>
    <row r="247" spans="1:30" ht="16.5" hidden="1" customHeight="1" x14ac:dyDescent="0.45">
      <c r="A247" s="12" t="s">
        <v>224</v>
      </c>
      <c r="B247" s="7">
        <v>0</v>
      </c>
      <c r="C247" s="8" t="str">
        <f>IFERROR(B247/B444, "NA")</f>
        <v>NA</v>
      </c>
      <c r="D247" s="9"/>
      <c r="E247" s="7">
        <v>0</v>
      </c>
      <c r="F247" s="8" t="str">
        <f>IFERROR(E247/E444, "NA")</f>
        <v>NA</v>
      </c>
      <c r="G247" s="9"/>
      <c r="H247" s="10">
        <f t="shared" si="64"/>
        <v>0</v>
      </c>
      <c r="I247" s="8" t="str">
        <f>IFERROR(H247/H444, "NA")</f>
        <v>NA</v>
      </c>
      <c r="J247" s="9"/>
      <c r="K247" s="7">
        <v>0</v>
      </c>
      <c r="L247" s="8" t="str">
        <f>IFERROR(K247/K444, "NA")</f>
        <v>NA</v>
      </c>
      <c r="M247" s="9"/>
      <c r="N247" s="10">
        <f t="shared" si="65"/>
        <v>0</v>
      </c>
      <c r="O247" s="8" t="str">
        <f>IFERROR(N247/N444, "NA")</f>
        <v>NA</v>
      </c>
      <c r="P247" s="9"/>
      <c r="Q247" s="7">
        <v>0</v>
      </c>
      <c r="R247" s="8" t="str">
        <f>IFERROR(Q247/Q444, "NA")</f>
        <v>NA</v>
      </c>
      <c r="S247" s="9"/>
      <c r="T247" s="7">
        <v>0</v>
      </c>
      <c r="U247" s="8" t="str">
        <f>IFERROR(T247/T444, "NA")</f>
        <v>NA</v>
      </c>
      <c r="V247" s="9"/>
      <c r="W247" s="10">
        <f t="shared" si="66"/>
        <v>0</v>
      </c>
      <c r="X247" s="8" t="str">
        <f>IFERROR(W247/W444, "NA")</f>
        <v>NA</v>
      </c>
      <c r="Y247" s="9"/>
      <c r="Z247" s="7">
        <v>0</v>
      </c>
      <c r="AA247" s="8" t="str">
        <f>IFERROR(Z247/Z444, "NA")</f>
        <v>NA</v>
      </c>
      <c r="AB247" s="9"/>
      <c r="AC247" s="10">
        <f t="shared" si="67"/>
        <v>0</v>
      </c>
      <c r="AD247" s="8" t="str">
        <f>IFERROR(AC247/AC444, "NA")</f>
        <v>NA</v>
      </c>
    </row>
    <row r="248" spans="1:30" ht="16.5" hidden="1" customHeight="1" x14ac:dyDescent="0.45">
      <c r="A248" s="12" t="s">
        <v>225</v>
      </c>
      <c r="B248" s="7">
        <v>0</v>
      </c>
      <c r="C248" s="8" t="str">
        <f>IFERROR(B248/B444, "NA")</f>
        <v>NA</v>
      </c>
      <c r="D248" s="9"/>
      <c r="E248" s="7">
        <v>0</v>
      </c>
      <c r="F248" s="8" t="str">
        <f>IFERROR(E248/E444, "NA")</f>
        <v>NA</v>
      </c>
      <c r="G248" s="9"/>
      <c r="H248" s="10">
        <f t="shared" si="64"/>
        <v>0</v>
      </c>
      <c r="I248" s="8" t="str">
        <f>IFERROR(H248/H444, "NA")</f>
        <v>NA</v>
      </c>
      <c r="J248" s="9"/>
      <c r="K248" s="7">
        <v>0</v>
      </c>
      <c r="L248" s="8" t="str">
        <f>IFERROR(K248/K444, "NA")</f>
        <v>NA</v>
      </c>
      <c r="M248" s="9"/>
      <c r="N248" s="10">
        <f t="shared" si="65"/>
        <v>0</v>
      </c>
      <c r="O248" s="8" t="str">
        <f>IFERROR(N248/N444, "NA")</f>
        <v>NA</v>
      </c>
      <c r="P248" s="9"/>
      <c r="Q248" s="7">
        <v>0</v>
      </c>
      <c r="R248" s="8" t="str">
        <f>IFERROR(Q248/Q444, "NA")</f>
        <v>NA</v>
      </c>
      <c r="S248" s="9"/>
      <c r="T248" s="7">
        <v>0</v>
      </c>
      <c r="U248" s="8" t="str">
        <f>IFERROR(T248/T444, "NA")</f>
        <v>NA</v>
      </c>
      <c r="V248" s="9"/>
      <c r="W248" s="10">
        <f t="shared" si="66"/>
        <v>0</v>
      </c>
      <c r="X248" s="8" t="str">
        <f>IFERROR(W248/W444, "NA")</f>
        <v>NA</v>
      </c>
      <c r="Y248" s="9"/>
      <c r="Z248" s="7">
        <v>0</v>
      </c>
      <c r="AA248" s="8" t="str">
        <f>IFERROR(Z248/Z444, "NA")</f>
        <v>NA</v>
      </c>
      <c r="AB248" s="9"/>
      <c r="AC248" s="10">
        <f t="shared" si="67"/>
        <v>0</v>
      </c>
      <c r="AD248" s="8" t="str">
        <f>IFERROR(AC248/AC444, "NA")</f>
        <v>NA</v>
      </c>
    </row>
    <row r="249" spans="1:30" ht="16.5" hidden="1" customHeight="1" x14ac:dyDescent="0.45">
      <c r="A249" s="12" t="s">
        <v>226</v>
      </c>
      <c r="B249" s="7">
        <v>0</v>
      </c>
      <c r="C249" s="8" t="str">
        <f>IFERROR(B249/B444, "NA")</f>
        <v>NA</v>
      </c>
      <c r="D249" s="9"/>
      <c r="E249" s="7">
        <v>0</v>
      </c>
      <c r="F249" s="8" t="str">
        <f>IFERROR(E249/E444, "NA")</f>
        <v>NA</v>
      </c>
      <c r="G249" s="9"/>
      <c r="H249" s="10">
        <f t="shared" si="64"/>
        <v>0</v>
      </c>
      <c r="I249" s="8" t="str">
        <f>IFERROR(H249/H444, "NA")</f>
        <v>NA</v>
      </c>
      <c r="J249" s="9"/>
      <c r="K249" s="7">
        <v>0</v>
      </c>
      <c r="L249" s="8" t="str">
        <f>IFERROR(K249/K444, "NA")</f>
        <v>NA</v>
      </c>
      <c r="M249" s="9"/>
      <c r="N249" s="10">
        <f t="shared" si="65"/>
        <v>0</v>
      </c>
      <c r="O249" s="8" t="str">
        <f>IFERROR(N249/N444, "NA")</f>
        <v>NA</v>
      </c>
      <c r="P249" s="9"/>
      <c r="Q249" s="7">
        <v>0</v>
      </c>
      <c r="R249" s="8" t="str">
        <f>IFERROR(Q249/Q444, "NA")</f>
        <v>NA</v>
      </c>
      <c r="S249" s="9"/>
      <c r="T249" s="7">
        <v>0</v>
      </c>
      <c r="U249" s="8" t="str">
        <f>IFERROR(T249/T444, "NA")</f>
        <v>NA</v>
      </c>
      <c r="V249" s="9"/>
      <c r="W249" s="10">
        <f t="shared" si="66"/>
        <v>0</v>
      </c>
      <c r="X249" s="8" t="str">
        <f>IFERROR(W249/W444, "NA")</f>
        <v>NA</v>
      </c>
      <c r="Y249" s="9"/>
      <c r="Z249" s="7">
        <v>0</v>
      </c>
      <c r="AA249" s="8" t="str">
        <f>IFERROR(Z249/Z444, "NA")</f>
        <v>NA</v>
      </c>
      <c r="AB249" s="9"/>
      <c r="AC249" s="10">
        <f t="shared" si="67"/>
        <v>0</v>
      </c>
      <c r="AD249" s="8" t="str">
        <f>IFERROR(AC249/AC444, "NA")</f>
        <v>NA</v>
      </c>
    </row>
    <row r="250" spans="1:30" ht="16.5" hidden="1" customHeight="1" x14ac:dyDescent="0.45">
      <c r="A250" s="12" t="s">
        <v>227</v>
      </c>
      <c r="B250" s="7">
        <v>0</v>
      </c>
      <c r="C250" s="8" t="str">
        <f>IFERROR(B250/B444, "NA")</f>
        <v>NA</v>
      </c>
      <c r="D250" s="9"/>
      <c r="E250" s="7">
        <v>0</v>
      </c>
      <c r="F250" s="8" t="str">
        <f>IFERROR(E250/E444, "NA")</f>
        <v>NA</v>
      </c>
      <c r="G250" s="9"/>
      <c r="H250" s="10">
        <f t="shared" si="64"/>
        <v>0</v>
      </c>
      <c r="I250" s="8" t="str">
        <f>IFERROR(H250/H444, "NA")</f>
        <v>NA</v>
      </c>
      <c r="J250" s="9"/>
      <c r="K250" s="7">
        <v>0</v>
      </c>
      <c r="L250" s="8" t="str">
        <f>IFERROR(K250/K444, "NA")</f>
        <v>NA</v>
      </c>
      <c r="M250" s="9"/>
      <c r="N250" s="10">
        <f t="shared" si="65"/>
        <v>0</v>
      </c>
      <c r="O250" s="8" t="str">
        <f>IFERROR(N250/N444, "NA")</f>
        <v>NA</v>
      </c>
      <c r="P250" s="9"/>
      <c r="Q250" s="7">
        <v>0</v>
      </c>
      <c r="R250" s="8" t="str">
        <f>IFERROR(Q250/Q444, "NA")</f>
        <v>NA</v>
      </c>
      <c r="S250" s="9"/>
      <c r="T250" s="7">
        <v>0</v>
      </c>
      <c r="U250" s="8" t="str">
        <f>IFERROR(T250/T444, "NA")</f>
        <v>NA</v>
      </c>
      <c r="V250" s="9"/>
      <c r="W250" s="10">
        <f t="shared" si="66"/>
        <v>0</v>
      </c>
      <c r="X250" s="8" t="str">
        <f>IFERROR(W250/W444, "NA")</f>
        <v>NA</v>
      </c>
      <c r="Y250" s="9"/>
      <c r="Z250" s="7">
        <v>0</v>
      </c>
      <c r="AA250" s="8" t="str">
        <f>IFERROR(Z250/Z444, "NA")</f>
        <v>NA</v>
      </c>
      <c r="AB250" s="9"/>
      <c r="AC250" s="10">
        <f t="shared" si="67"/>
        <v>0</v>
      </c>
      <c r="AD250" s="8" t="str">
        <f>IFERROR(AC250/AC444, "NA")</f>
        <v>NA</v>
      </c>
    </row>
    <row r="251" spans="1:30" ht="16.5" hidden="1" customHeight="1" x14ac:dyDescent="0.45">
      <c r="A251" s="12" t="s">
        <v>228</v>
      </c>
      <c r="B251" s="7">
        <v>0</v>
      </c>
      <c r="C251" s="8" t="str">
        <f>IFERROR(B251/B444, "NA")</f>
        <v>NA</v>
      </c>
      <c r="D251" s="9"/>
      <c r="E251" s="7">
        <v>0</v>
      </c>
      <c r="F251" s="8" t="str">
        <f>IFERROR(E251/E444, "NA")</f>
        <v>NA</v>
      </c>
      <c r="G251" s="9"/>
      <c r="H251" s="10">
        <f t="shared" si="64"/>
        <v>0</v>
      </c>
      <c r="I251" s="8" t="str">
        <f>IFERROR(H251/H444, "NA")</f>
        <v>NA</v>
      </c>
      <c r="J251" s="9"/>
      <c r="K251" s="7">
        <v>0</v>
      </c>
      <c r="L251" s="8" t="str">
        <f>IFERROR(K251/K444, "NA")</f>
        <v>NA</v>
      </c>
      <c r="M251" s="9"/>
      <c r="N251" s="10">
        <f t="shared" si="65"/>
        <v>0</v>
      </c>
      <c r="O251" s="8" t="str">
        <f>IFERROR(N251/N444, "NA")</f>
        <v>NA</v>
      </c>
      <c r="P251" s="9"/>
      <c r="Q251" s="7">
        <v>0</v>
      </c>
      <c r="R251" s="8" t="str">
        <f>IFERROR(Q251/Q444, "NA")</f>
        <v>NA</v>
      </c>
      <c r="S251" s="9"/>
      <c r="T251" s="7">
        <v>0</v>
      </c>
      <c r="U251" s="8" t="str">
        <f>IFERROR(T251/T444, "NA")</f>
        <v>NA</v>
      </c>
      <c r="V251" s="9"/>
      <c r="W251" s="10">
        <f t="shared" si="66"/>
        <v>0</v>
      </c>
      <c r="X251" s="8" t="str">
        <f>IFERROR(W251/W444, "NA")</f>
        <v>NA</v>
      </c>
      <c r="Y251" s="9"/>
      <c r="Z251" s="7">
        <v>0</v>
      </c>
      <c r="AA251" s="8" t="str">
        <f>IFERROR(Z251/Z444, "NA")</f>
        <v>NA</v>
      </c>
      <c r="AB251" s="9"/>
      <c r="AC251" s="10">
        <f t="shared" si="67"/>
        <v>0</v>
      </c>
      <c r="AD251" s="8" t="str">
        <f>IFERROR(AC251/AC444, "NA")</f>
        <v>NA</v>
      </c>
    </row>
    <row r="252" spans="1:30" ht="16.5" hidden="1" customHeight="1" x14ac:dyDescent="0.45">
      <c r="A252" s="12" t="s">
        <v>229</v>
      </c>
      <c r="B252" s="7">
        <v>0</v>
      </c>
      <c r="C252" s="8" t="str">
        <f>IFERROR(B252/B444, "NA")</f>
        <v>NA</v>
      </c>
      <c r="D252" s="9"/>
      <c r="E252" s="7">
        <v>0</v>
      </c>
      <c r="F252" s="8" t="str">
        <f>IFERROR(E252/E444, "NA")</f>
        <v>NA</v>
      </c>
      <c r="G252" s="9"/>
      <c r="H252" s="10">
        <f t="shared" si="64"/>
        <v>0</v>
      </c>
      <c r="I252" s="8" t="str">
        <f>IFERROR(H252/H444, "NA")</f>
        <v>NA</v>
      </c>
      <c r="J252" s="9"/>
      <c r="K252" s="7">
        <v>0</v>
      </c>
      <c r="L252" s="8" t="str">
        <f>IFERROR(K252/K444, "NA")</f>
        <v>NA</v>
      </c>
      <c r="M252" s="9"/>
      <c r="N252" s="10">
        <f t="shared" si="65"/>
        <v>0</v>
      </c>
      <c r="O252" s="8" t="str">
        <f>IFERROR(N252/N444, "NA")</f>
        <v>NA</v>
      </c>
      <c r="P252" s="9"/>
      <c r="Q252" s="7">
        <v>0</v>
      </c>
      <c r="R252" s="8" t="str">
        <f>IFERROR(Q252/Q444, "NA")</f>
        <v>NA</v>
      </c>
      <c r="S252" s="9"/>
      <c r="T252" s="7">
        <v>0</v>
      </c>
      <c r="U252" s="8" t="str">
        <f>IFERROR(T252/T444, "NA")</f>
        <v>NA</v>
      </c>
      <c r="V252" s="9"/>
      <c r="W252" s="10">
        <f t="shared" si="66"/>
        <v>0</v>
      </c>
      <c r="X252" s="8" t="str">
        <f>IFERROR(W252/W444, "NA")</f>
        <v>NA</v>
      </c>
      <c r="Y252" s="9"/>
      <c r="Z252" s="7">
        <v>0</v>
      </c>
      <c r="AA252" s="8" t="str">
        <f>IFERROR(Z252/Z444, "NA")</f>
        <v>NA</v>
      </c>
      <c r="AB252" s="9"/>
      <c r="AC252" s="10">
        <f t="shared" si="67"/>
        <v>0</v>
      </c>
      <c r="AD252" s="8" t="str">
        <f>IFERROR(AC252/AC444, "NA")</f>
        <v>NA</v>
      </c>
    </row>
    <row r="253" spans="1:30" ht="16.5" hidden="1" customHeight="1" x14ac:dyDescent="0.45">
      <c r="A253" s="12" t="s">
        <v>230</v>
      </c>
      <c r="B253" s="7">
        <v>0</v>
      </c>
      <c r="C253" s="8" t="str">
        <f>IFERROR(B253/B444, "NA")</f>
        <v>NA</v>
      </c>
      <c r="D253" s="9"/>
      <c r="E253" s="7">
        <v>0</v>
      </c>
      <c r="F253" s="8" t="str">
        <f>IFERROR(E253/E444, "NA")</f>
        <v>NA</v>
      </c>
      <c r="G253" s="9"/>
      <c r="H253" s="10">
        <f t="shared" si="64"/>
        <v>0</v>
      </c>
      <c r="I253" s="8" t="str">
        <f>IFERROR(H253/H444, "NA")</f>
        <v>NA</v>
      </c>
      <c r="J253" s="9"/>
      <c r="K253" s="7">
        <v>0</v>
      </c>
      <c r="L253" s="8" t="str">
        <f>IFERROR(K253/K444, "NA")</f>
        <v>NA</v>
      </c>
      <c r="M253" s="9"/>
      <c r="N253" s="10">
        <f t="shared" si="65"/>
        <v>0</v>
      </c>
      <c r="O253" s="8" t="str">
        <f>IFERROR(N253/N444, "NA")</f>
        <v>NA</v>
      </c>
      <c r="P253" s="9"/>
      <c r="Q253" s="7">
        <v>0</v>
      </c>
      <c r="R253" s="8" t="str">
        <f>IFERROR(Q253/Q444, "NA")</f>
        <v>NA</v>
      </c>
      <c r="S253" s="9"/>
      <c r="T253" s="7">
        <v>0</v>
      </c>
      <c r="U253" s="8" t="str">
        <f>IFERROR(T253/T444, "NA")</f>
        <v>NA</v>
      </c>
      <c r="V253" s="9"/>
      <c r="W253" s="10">
        <f t="shared" si="66"/>
        <v>0</v>
      </c>
      <c r="X253" s="8" t="str">
        <f>IFERROR(W253/W444, "NA")</f>
        <v>NA</v>
      </c>
      <c r="Y253" s="9"/>
      <c r="Z253" s="7">
        <v>0</v>
      </c>
      <c r="AA253" s="8" t="str">
        <f>IFERROR(Z253/Z444, "NA")</f>
        <v>NA</v>
      </c>
      <c r="AB253" s="9"/>
      <c r="AC253" s="10">
        <f t="shared" si="67"/>
        <v>0</v>
      </c>
      <c r="AD253" s="8" t="str">
        <f>IFERROR(AC253/AC444, "NA")</f>
        <v>NA</v>
      </c>
    </row>
    <row r="254" spans="1:30" ht="16.5" hidden="1" customHeight="1" x14ac:dyDescent="0.45">
      <c r="A254" s="12" t="s">
        <v>231</v>
      </c>
      <c r="B254" s="7">
        <v>0</v>
      </c>
      <c r="C254" s="8" t="str">
        <f>IFERROR(B254/B444, "NA")</f>
        <v>NA</v>
      </c>
      <c r="D254" s="9"/>
      <c r="E254" s="7">
        <v>0</v>
      </c>
      <c r="F254" s="8" t="str">
        <f>IFERROR(E254/E444, "NA")</f>
        <v>NA</v>
      </c>
      <c r="G254" s="9"/>
      <c r="H254" s="10">
        <f t="shared" si="64"/>
        <v>0</v>
      </c>
      <c r="I254" s="8" t="str">
        <f>IFERROR(H254/H444, "NA")</f>
        <v>NA</v>
      </c>
      <c r="J254" s="9"/>
      <c r="K254" s="7">
        <v>0</v>
      </c>
      <c r="L254" s="8" t="str">
        <f>IFERROR(K254/K444, "NA")</f>
        <v>NA</v>
      </c>
      <c r="M254" s="9"/>
      <c r="N254" s="10">
        <f t="shared" si="65"/>
        <v>0</v>
      </c>
      <c r="O254" s="8" t="str">
        <f>IFERROR(N254/N444, "NA")</f>
        <v>NA</v>
      </c>
      <c r="P254" s="9"/>
      <c r="Q254" s="7">
        <v>0</v>
      </c>
      <c r="R254" s="8" t="str">
        <f>IFERROR(Q254/Q444, "NA")</f>
        <v>NA</v>
      </c>
      <c r="S254" s="9"/>
      <c r="T254" s="7">
        <v>0</v>
      </c>
      <c r="U254" s="8" t="str">
        <f>IFERROR(T254/T444, "NA")</f>
        <v>NA</v>
      </c>
      <c r="V254" s="9"/>
      <c r="W254" s="10">
        <f t="shared" si="66"/>
        <v>0</v>
      </c>
      <c r="X254" s="8" t="str">
        <f>IFERROR(W254/W444, "NA")</f>
        <v>NA</v>
      </c>
      <c r="Y254" s="9"/>
      <c r="Z254" s="7">
        <v>0</v>
      </c>
      <c r="AA254" s="8" t="str">
        <f>IFERROR(Z254/Z444, "NA")</f>
        <v>NA</v>
      </c>
      <c r="AB254" s="9"/>
      <c r="AC254" s="10">
        <f t="shared" si="67"/>
        <v>0</v>
      </c>
      <c r="AD254" s="8" t="str">
        <f>IFERROR(AC254/AC444, "NA")</f>
        <v>NA</v>
      </c>
    </row>
    <row r="255" spans="1:30" ht="16.5" hidden="1" customHeight="1" x14ac:dyDescent="0.45">
      <c r="A255" s="12" t="s">
        <v>232</v>
      </c>
      <c r="B255" s="7">
        <v>0</v>
      </c>
      <c r="C255" s="8" t="str">
        <f>IFERROR(B255/B444, "NA")</f>
        <v>NA</v>
      </c>
      <c r="D255" s="9"/>
      <c r="E255" s="7">
        <v>0</v>
      </c>
      <c r="F255" s="8" t="str">
        <f>IFERROR(E255/E444, "NA")</f>
        <v>NA</v>
      </c>
      <c r="G255" s="9"/>
      <c r="H255" s="10">
        <f t="shared" si="64"/>
        <v>0</v>
      </c>
      <c r="I255" s="8" t="str">
        <f>IFERROR(H255/H444, "NA")</f>
        <v>NA</v>
      </c>
      <c r="J255" s="9"/>
      <c r="K255" s="7">
        <v>0</v>
      </c>
      <c r="L255" s="8" t="str">
        <f>IFERROR(K255/K444, "NA")</f>
        <v>NA</v>
      </c>
      <c r="M255" s="9"/>
      <c r="N255" s="10">
        <f t="shared" si="65"/>
        <v>0</v>
      </c>
      <c r="O255" s="8" t="str">
        <f>IFERROR(N255/N444, "NA")</f>
        <v>NA</v>
      </c>
      <c r="P255" s="9"/>
      <c r="Q255" s="7">
        <v>0</v>
      </c>
      <c r="R255" s="8" t="str">
        <f>IFERROR(Q255/Q444, "NA")</f>
        <v>NA</v>
      </c>
      <c r="S255" s="9"/>
      <c r="T255" s="7">
        <v>0</v>
      </c>
      <c r="U255" s="8" t="str">
        <f>IFERROR(T255/T444, "NA")</f>
        <v>NA</v>
      </c>
      <c r="V255" s="9"/>
      <c r="W255" s="10">
        <f t="shared" si="66"/>
        <v>0</v>
      </c>
      <c r="X255" s="8" t="str">
        <f>IFERROR(W255/W444, "NA")</f>
        <v>NA</v>
      </c>
      <c r="Y255" s="9"/>
      <c r="Z255" s="7">
        <v>0</v>
      </c>
      <c r="AA255" s="8" t="str">
        <f>IFERROR(Z255/Z444, "NA")</f>
        <v>NA</v>
      </c>
      <c r="AB255" s="9"/>
      <c r="AC255" s="10">
        <f t="shared" si="67"/>
        <v>0</v>
      </c>
      <c r="AD255" s="8" t="str">
        <f>IFERROR(AC255/AC444, "NA")</f>
        <v>NA</v>
      </c>
    </row>
    <row r="256" spans="1:30" ht="16.5" hidden="1" customHeight="1" x14ac:dyDescent="0.45">
      <c r="A256" s="12" t="s">
        <v>233</v>
      </c>
      <c r="B256" s="7">
        <v>0</v>
      </c>
      <c r="C256" s="8" t="str">
        <f>IFERROR(B256/B444, "NA")</f>
        <v>NA</v>
      </c>
      <c r="D256" s="9"/>
      <c r="E256" s="7">
        <v>0</v>
      </c>
      <c r="F256" s="8" t="str">
        <f>IFERROR(E256/E444, "NA")</f>
        <v>NA</v>
      </c>
      <c r="G256" s="9"/>
      <c r="H256" s="10">
        <f t="shared" si="64"/>
        <v>0</v>
      </c>
      <c r="I256" s="8" t="str">
        <f>IFERROR(H256/H444, "NA")</f>
        <v>NA</v>
      </c>
      <c r="J256" s="9"/>
      <c r="K256" s="7">
        <v>0</v>
      </c>
      <c r="L256" s="8" t="str">
        <f>IFERROR(K256/K444, "NA")</f>
        <v>NA</v>
      </c>
      <c r="M256" s="9"/>
      <c r="N256" s="10">
        <f t="shared" si="65"/>
        <v>0</v>
      </c>
      <c r="O256" s="8" t="str">
        <f>IFERROR(N256/N444, "NA")</f>
        <v>NA</v>
      </c>
      <c r="P256" s="9"/>
      <c r="Q256" s="7">
        <v>0</v>
      </c>
      <c r="R256" s="8" t="str">
        <f>IFERROR(Q256/Q444, "NA")</f>
        <v>NA</v>
      </c>
      <c r="S256" s="9"/>
      <c r="T256" s="7">
        <v>0</v>
      </c>
      <c r="U256" s="8" t="str">
        <f>IFERROR(T256/T444, "NA")</f>
        <v>NA</v>
      </c>
      <c r="V256" s="9"/>
      <c r="W256" s="10">
        <f t="shared" si="66"/>
        <v>0</v>
      </c>
      <c r="X256" s="8" t="str">
        <f>IFERROR(W256/W444, "NA")</f>
        <v>NA</v>
      </c>
      <c r="Y256" s="9"/>
      <c r="Z256" s="7">
        <v>0</v>
      </c>
      <c r="AA256" s="8" t="str">
        <f>IFERROR(Z256/Z444, "NA")</f>
        <v>NA</v>
      </c>
      <c r="AB256" s="9"/>
      <c r="AC256" s="10">
        <f t="shared" si="67"/>
        <v>0</v>
      </c>
      <c r="AD256" s="8" t="str">
        <f>IFERROR(AC256/AC444, "NA")</f>
        <v>NA</v>
      </c>
    </row>
    <row r="257" spans="1:30" ht="16.5" hidden="1" customHeight="1" x14ac:dyDescent="0.45">
      <c r="A257" s="12" t="s">
        <v>234</v>
      </c>
      <c r="B257" s="7">
        <v>0</v>
      </c>
      <c r="C257" s="8" t="str">
        <f>IFERROR(B257/B444, "NA")</f>
        <v>NA</v>
      </c>
      <c r="D257" s="9"/>
      <c r="E257" s="7">
        <v>0</v>
      </c>
      <c r="F257" s="8" t="str">
        <f>IFERROR(E257/E444, "NA")</f>
        <v>NA</v>
      </c>
      <c r="G257" s="9"/>
      <c r="H257" s="10">
        <f t="shared" si="64"/>
        <v>0</v>
      </c>
      <c r="I257" s="8" t="str">
        <f>IFERROR(H257/H444, "NA")</f>
        <v>NA</v>
      </c>
      <c r="J257" s="9"/>
      <c r="K257" s="7">
        <v>0</v>
      </c>
      <c r="L257" s="8" t="str">
        <f>IFERROR(K257/K444, "NA")</f>
        <v>NA</v>
      </c>
      <c r="M257" s="9"/>
      <c r="N257" s="10">
        <f t="shared" si="65"/>
        <v>0</v>
      </c>
      <c r="O257" s="8" t="str">
        <f>IFERROR(N257/N444, "NA")</f>
        <v>NA</v>
      </c>
      <c r="P257" s="9"/>
      <c r="Q257" s="7">
        <v>0</v>
      </c>
      <c r="R257" s="8" t="str">
        <f>IFERROR(Q257/Q444, "NA")</f>
        <v>NA</v>
      </c>
      <c r="S257" s="9"/>
      <c r="T257" s="7">
        <v>0</v>
      </c>
      <c r="U257" s="8" t="str">
        <f>IFERROR(T257/T444, "NA")</f>
        <v>NA</v>
      </c>
      <c r="V257" s="9"/>
      <c r="W257" s="10">
        <f t="shared" si="66"/>
        <v>0</v>
      </c>
      <c r="X257" s="8" t="str">
        <f>IFERROR(W257/W444, "NA")</f>
        <v>NA</v>
      </c>
      <c r="Y257" s="9"/>
      <c r="Z257" s="7">
        <v>0</v>
      </c>
      <c r="AA257" s="8" t="str">
        <f>IFERROR(Z257/Z444, "NA")</f>
        <v>NA</v>
      </c>
      <c r="AB257" s="9"/>
      <c r="AC257" s="10">
        <f t="shared" si="67"/>
        <v>0</v>
      </c>
      <c r="AD257" s="8" t="str">
        <f>IFERROR(AC257/AC444, "NA")</f>
        <v>NA</v>
      </c>
    </row>
    <row r="258" spans="1:30" ht="16.5" hidden="1" customHeight="1" x14ac:dyDescent="0.45">
      <c r="A258" s="12" t="s">
        <v>235</v>
      </c>
      <c r="B258" s="7">
        <v>0</v>
      </c>
      <c r="C258" s="8" t="str">
        <f>IFERROR(B258/B444, "NA")</f>
        <v>NA</v>
      </c>
      <c r="D258" s="9"/>
      <c r="E258" s="7">
        <v>0</v>
      </c>
      <c r="F258" s="8" t="str">
        <f>IFERROR(E258/E444, "NA")</f>
        <v>NA</v>
      </c>
      <c r="G258" s="9"/>
      <c r="H258" s="10">
        <f t="shared" si="64"/>
        <v>0</v>
      </c>
      <c r="I258" s="8" t="str">
        <f>IFERROR(H258/H444, "NA")</f>
        <v>NA</v>
      </c>
      <c r="J258" s="9"/>
      <c r="K258" s="7">
        <v>0</v>
      </c>
      <c r="L258" s="8" t="str">
        <f>IFERROR(K258/K444, "NA")</f>
        <v>NA</v>
      </c>
      <c r="M258" s="9"/>
      <c r="N258" s="10">
        <f t="shared" si="65"/>
        <v>0</v>
      </c>
      <c r="O258" s="8" t="str">
        <f>IFERROR(N258/N444, "NA")</f>
        <v>NA</v>
      </c>
      <c r="P258" s="9"/>
      <c r="Q258" s="7">
        <v>0</v>
      </c>
      <c r="R258" s="8" t="str">
        <f>IFERROR(Q258/Q444, "NA")</f>
        <v>NA</v>
      </c>
      <c r="S258" s="9"/>
      <c r="T258" s="7">
        <v>0</v>
      </c>
      <c r="U258" s="8" t="str">
        <f>IFERROR(T258/T444, "NA")</f>
        <v>NA</v>
      </c>
      <c r="V258" s="9"/>
      <c r="W258" s="10">
        <f t="shared" si="66"/>
        <v>0</v>
      </c>
      <c r="X258" s="8" t="str">
        <f>IFERROR(W258/W444, "NA")</f>
        <v>NA</v>
      </c>
      <c r="Y258" s="9"/>
      <c r="Z258" s="7">
        <v>0</v>
      </c>
      <c r="AA258" s="8" t="str">
        <f>IFERROR(Z258/Z444, "NA")</f>
        <v>NA</v>
      </c>
      <c r="AB258" s="9"/>
      <c r="AC258" s="10">
        <f t="shared" si="67"/>
        <v>0</v>
      </c>
      <c r="AD258" s="8" t="str">
        <f>IFERROR(AC258/AC444, "NA")</f>
        <v>NA</v>
      </c>
    </row>
    <row r="259" spans="1:30" ht="16.5" hidden="1" customHeight="1" x14ac:dyDescent="0.45">
      <c r="A259" s="12" t="s">
        <v>236</v>
      </c>
      <c r="B259" s="7">
        <v>0</v>
      </c>
      <c r="C259" s="8" t="str">
        <f>IFERROR(B259/B444, "NA")</f>
        <v>NA</v>
      </c>
      <c r="D259" s="9"/>
      <c r="E259" s="7">
        <v>0</v>
      </c>
      <c r="F259" s="8" t="str">
        <f>IFERROR(E259/E444, "NA")</f>
        <v>NA</v>
      </c>
      <c r="G259" s="9"/>
      <c r="H259" s="10">
        <f t="shared" si="64"/>
        <v>0</v>
      </c>
      <c r="I259" s="8" t="str">
        <f>IFERROR(H259/H444, "NA")</f>
        <v>NA</v>
      </c>
      <c r="J259" s="9"/>
      <c r="K259" s="7">
        <v>0</v>
      </c>
      <c r="L259" s="8" t="str">
        <f>IFERROR(K259/K444, "NA")</f>
        <v>NA</v>
      </c>
      <c r="M259" s="9"/>
      <c r="N259" s="10">
        <f t="shared" si="65"/>
        <v>0</v>
      </c>
      <c r="O259" s="8" t="str">
        <f>IFERROR(N259/N444, "NA")</f>
        <v>NA</v>
      </c>
      <c r="P259" s="9"/>
      <c r="Q259" s="7">
        <v>0</v>
      </c>
      <c r="R259" s="8" t="str">
        <f>IFERROR(Q259/Q444, "NA")</f>
        <v>NA</v>
      </c>
      <c r="S259" s="9"/>
      <c r="T259" s="7">
        <v>0</v>
      </c>
      <c r="U259" s="8" t="str">
        <f>IFERROR(T259/T444, "NA")</f>
        <v>NA</v>
      </c>
      <c r="V259" s="9"/>
      <c r="W259" s="10">
        <f t="shared" si="66"/>
        <v>0</v>
      </c>
      <c r="X259" s="8" t="str">
        <f>IFERROR(W259/W444, "NA")</f>
        <v>NA</v>
      </c>
      <c r="Y259" s="9"/>
      <c r="Z259" s="7">
        <v>0</v>
      </c>
      <c r="AA259" s="8" t="str">
        <f>IFERROR(Z259/Z444, "NA")</f>
        <v>NA</v>
      </c>
      <c r="AB259" s="9"/>
      <c r="AC259" s="10">
        <f t="shared" si="67"/>
        <v>0</v>
      </c>
      <c r="AD259" s="8" t="str">
        <f>IFERROR(AC259/AC444, "NA")</f>
        <v>NA</v>
      </c>
    </row>
    <row r="260" spans="1:30" ht="16.5" hidden="1" customHeight="1" x14ac:dyDescent="0.45">
      <c r="A260" s="12" t="s">
        <v>237</v>
      </c>
      <c r="B260" s="7">
        <v>0</v>
      </c>
      <c r="C260" s="8" t="str">
        <f>IFERROR(B260/B444, "NA")</f>
        <v>NA</v>
      </c>
      <c r="D260" s="9"/>
      <c r="E260" s="7">
        <v>0</v>
      </c>
      <c r="F260" s="8" t="str">
        <f>IFERROR(E260/E444, "NA")</f>
        <v>NA</v>
      </c>
      <c r="G260" s="9"/>
      <c r="H260" s="10">
        <f t="shared" si="64"/>
        <v>0</v>
      </c>
      <c r="I260" s="8" t="str">
        <f>IFERROR(H260/H444, "NA")</f>
        <v>NA</v>
      </c>
      <c r="J260" s="9"/>
      <c r="K260" s="7">
        <v>0</v>
      </c>
      <c r="L260" s="8" t="str">
        <f>IFERROR(K260/K444, "NA")</f>
        <v>NA</v>
      </c>
      <c r="M260" s="9"/>
      <c r="N260" s="10">
        <f t="shared" si="65"/>
        <v>0</v>
      </c>
      <c r="O260" s="8" t="str">
        <f>IFERROR(N260/N444, "NA")</f>
        <v>NA</v>
      </c>
      <c r="P260" s="9"/>
      <c r="Q260" s="7">
        <v>0</v>
      </c>
      <c r="R260" s="8" t="str">
        <f>IFERROR(Q260/Q444, "NA")</f>
        <v>NA</v>
      </c>
      <c r="S260" s="9"/>
      <c r="T260" s="7">
        <v>0</v>
      </c>
      <c r="U260" s="8" t="str">
        <f>IFERROR(T260/T444, "NA")</f>
        <v>NA</v>
      </c>
      <c r="V260" s="9"/>
      <c r="W260" s="10">
        <f t="shared" si="66"/>
        <v>0</v>
      </c>
      <c r="X260" s="8" t="str">
        <f>IFERROR(W260/W444, "NA")</f>
        <v>NA</v>
      </c>
      <c r="Y260" s="9"/>
      <c r="Z260" s="7">
        <v>0</v>
      </c>
      <c r="AA260" s="8" t="str">
        <f>IFERROR(Z260/Z444, "NA")</f>
        <v>NA</v>
      </c>
      <c r="AB260" s="9"/>
      <c r="AC260" s="10">
        <f t="shared" si="67"/>
        <v>0</v>
      </c>
      <c r="AD260" s="8" t="str">
        <f>IFERROR(AC260/AC444, "NA")</f>
        <v>NA</v>
      </c>
    </row>
    <row r="261" spans="1:30" ht="16.5" hidden="1" customHeight="1" x14ac:dyDescent="0.45">
      <c r="A261" s="12" t="s">
        <v>238</v>
      </c>
      <c r="B261" s="7">
        <v>0</v>
      </c>
      <c r="C261" s="8" t="str">
        <f>IFERROR(B261/B444, "NA")</f>
        <v>NA</v>
      </c>
      <c r="D261" s="9"/>
      <c r="E261" s="7">
        <v>0</v>
      </c>
      <c r="F261" s="8" t="str">
        <f>IFERROR(E261/E444, "NA")</f>
        <v>NA</v>
      </c>
      <c r="G261" s="9"/>
      <c r="H261" s="10">
        <f t="shared" si="64"/>
        <v>0</v>
      </c>
      <c r="I261" s="8" t="str">
        <f>IFERROR(H261/H444, "NA")</f>
        <v>NA</v>
      </c>
      <c r="J261" s="9"/>
      <c r="K261" s="7">
        <v>0</v>
      </c>
      <c r="L261" s="8" t="str">
        <f>IFERROR(K261/K444, "NA")</f>
        <v>NA</v>
      </c>
      <c r="M261" s="9"/>
      <c r="N261" s="10">
        <f t="shared" si="65"/>
        <v>0</v>
      </c>
      <c r="O261" s="8" t="str">
        <f>IFERROR(N261/N444, "NA")</f>
        <v>NA</v>
      </c>
      <c r="P261" s="9"/>
      <c r="Q261" s="7">
        <v>0</v>
      </c>
      <c r="R261" s="8" t="str">
        <f>IFERROR(Q261/Q444, "NA")</f>
        <v>NA</v>
      </c>
      <c r="S261" s="9"/>
      <c r="T261" s="7">
        <v>0</v>
      </c>
      <c r="U261" s="8" t="str">
        <f>IFERROR(T261/T444, "NA")</f>
        <v>NA</v>
      </c>
      <c r="V261" s="9"/>
      <c r="W261" s="10">
        <f t="shared" si="66"/>
        <v>0</v>
      </c>
      <c r="X261" s="8" t="str">
        <f>IFERROR(W261/W444, "NA")</f>
        <v>NA</v>
      </c>
      <c r="Y261" s="9"/>
      <c r="Z261" s="7">
        <v>0</v>
      </c>
      <c r="AA261" s="8" t="str">
        <f>IFERROR(Z261/Z444, "NA")</f>
        <v>NA</v>
      </c>
      <c r="AB261" s="9"/>
      <c r="AC261" s="10">
        <f t="shared" si="67"/>
        <v>0</v>
      </c>
      <c r="AD261" s="8" t="str">
        <f>IFERROR(AC261/AC444, "NA")</f>
        <v>NA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0</v>
      </c>
      <c r="C262" s="15" t="str">
        <f>IFERROR(B262/B444, "NA")</f>
        <v>NA</v>
      </c>
      <c r="D262" s="2"/>
      <c r="E262" s="14">
        <f>IFERROR(E240+E241+E242+E243+E244+E245+E246+E247+E248+E249+E250+E251+E252+E253+E254+E255+E256+E257+E258+E259+E260+E261, "NA")</f>
        <v>0</v>
      </c>
      <c r="F262" s="15" t="str">
        <f>IFERROR(E262/E444, "NA")</f>
        <v>NA</v>
      </c>
      <c r="G262" s="2"/>
      <c r="H262" s="14">
        <f t="shared" si="64"/>
        <v>0</v>
      </c>
      <c r="I262" s="15" t="str">
        <f>IFERROR(H262/H444, "NA")</f>
        <v>NA</v>
      </c>
      <c r="J262" s="2"/>
      <c r="K262" s="14">
        <f>IFERROR(K240+K241+K242+K243+K244+K245+K246+K247+K248+K249+K250+K251+K252+K253+K254+K255+K256+K257+K258+K259+K260+K261, "NA")</f>
        <v>0</v>
      </c>
      <c r="L262" s="15" t="str">
        <f>IFERROR(K262/K444, "NA")</f>
        <v>NA</v>
      </c>
      <c r="M262" s="2"/>
      <c r="N262" s="14">
        <f t="shared" si="65"/>
        <v>0</v>
      </c>
      <c r="O262" s="15" t="str">
        <f>IFERROR(N262/N444, "NA")</f>
        <v>NA</v>
      </c>
      <c r="P262" s="2"/>
      <c r="Q262" s="14">
        <f>IFERROR(Q240+Q241+Q242+Q243+Q244+Q245+Q246+Q247+Q248+Q249+Q250+Q251+Q252+Q253+Q254+Q255+Q256+Q257+Q258+Q259+Q260+Q261, "NA")</f>
        <v>0</v>
      </c>
      <c r="R262" s="15" t="str">
        <f>IFERROR(Q262/Q444, "NA")</f>
        <v>NA</v>
      </c>
      <c r="S262" s="2"/>
      <c r="T262" s="14">
        <f>IFERROR(T240+T241+T242+T243+T244+T245+T246+T247+T248+T249+T250+T251+T252+T253+T254+T255+T256+T257+T258+T259+T260+T261, "NA")</f>
        <v>0</v>
      </c>
      <c r="U262" s="15" t="str">
        <f>IFERROR(T262/T444, "NA")</f>
        <v>NA</v>
      </c>
      <c r="V262" s="2"/>
      <c r="W262" s="14">
        <f t="shared" si="66"/>
        <v>0</v>
      </c>
      <c r="X262" s="15" t="str">
        <f>IFERROR(W262/W444, "NA")</f>
        <v>NA</v>
      </c>
      <c r="Y262" s="2"/>
      <c r="Z262" s="14">
        <f>IFERROR(Z240+Z241+Z242+Z243+Z244+Z245+Z246+Z247+Z248+Z249+Z250+Z251+Z252+Z253+Z254+Z255+Z256+Z257+Z258+Z259+Z260+Z261, "NA")</f>
        <v>0</v>
      </c>
      <c r="AA262" s="15" t="str">
        <f>IFERROR(Z262/Z444, "NA")</f>
        <v>NA</v>
      </c>
      <c r="AB262" s="2"/>
      <c r="AC262" s="14">
        <f t="shared" si="67"/>
        <v>0</v>
      </c>
      <c r="AD262" s="15" t="str">
        <f>IFERROR(AC262/AC444, "NA")</f>
        <v>NA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0</v>
      </c>
      <c r="C263" s="15" t="str">
        <f>IFERROR(B263/B444, "NA")</f>
        <v>NA</v>
      </c>
      <c r="D263" s="2"/>
      <c r="E263" s="14">
        <f>IFERROR(E238+E240+E241+E242+E243+E244+E245+E246+E247+E248+E249+E250+E251+E252+E253+E254+E255+E256+E257+E258+E259+E260+E261, "NA")</f>
        <v>0</v>
      </c>
      <c r="F263" s="15" t="str">
        <f>IFERROR(E263/E444, "NA")</f>
        <v>NA</v>
      </c>
      <c r="G263" s="2"/>
      <c r="H263" s="14">
        <f t="shared" si="64"/>
        <v>0</v>
      </c>
      <c r="I263" s="15" t="str">
        <f>IFERROR(H263/H444, "NA")</f>
        <v>NA</v>
      </c>
      <c r="J263" s="2"/>
      <c r="K263" s="14">
        <f>IFERROR(K238+K240+K241+K242+K243+K244+K245+K246+K247+K248+K249+K250+K251+K252+K253+K254+K255+K256+K257+K258+K259+K260+K261, "NA")</f>
        <v>0</v>
      </c>
      <c r="L263" s="15" t="str">
        <f>IFERROR(K263/K444, "NA")</f>
        <v>NA</v>
      </c>
      <c r="M263" s="2"/>
      <c r="N263" s="14">
        <f t="shared" si="65"/>
        <v>0</v>
      </c>
      <c r="O263" s="15" t="str">
        <f>IFERROR(N263/N444, "NA")</f>
        <v>NA</v>
      </c>
      <c r="P263" s="2"/>
      <c r="Q263" s="14">
        <f>IFERROR(Q238+Q240+Q241+Q242+Q243+Q244+Q245+Q246+Q247+Q248+Q249+Q250+Q251+Q252+Q253+Q254+Q255+Q256+Q257+Q258+Q259+Q260+Q261, "NA")</f>
        <v>0</v>
      </c>
      <c r="R263" s="15" t="str">
        <f>IFERROR(Q263/Q444, "NA")</f>
        <v>NA</v>
      </c>
      <c r="S263" s="2"/>
      <c r="T263" s="14">
        <f>IFERROR(T238+T240+T241+T242+T243+T244+T245+T246+T247+T248+T249+T250+T251+T252+T253+T254+T255+T256+T257+T258+T259+T260+T261, "NA")</f>
        <v>0</v>
      </c>
      <c r="U263" s="15" t="str">
        <f>IFERROR(T263/T444, "NA")</f>
        <v>NA</v>
      </c>
      <c r="V263" s="2"/>
      <c r="W263" s="14">
        <f t="shared" si="66"/>
        <v>0</v>
      </c>
      <c r="X263" s="15" t="str">
        <f>IFERROR(W263/W444, "NA")</f>
        <v>NA</v>
      </c>
      <c r="Y263" s="2"/>
      <c r="Z263" s="14">
        <f>IFERROR(Z238+Z240+Z241+Z242+Z243+Z244+Z245+Z246+Z247+Z248+Z249+Z250+Z251+Z252+Z253+Z254+Z255+Z256+Z257+Z258+Z259+Z260+Z261, "NA")</f>
        <v>0</v>
      </c>
      <c r="AA263" s="15" t="str">
        <f>IFERROR(Z263/Z444, "NA")</f>
        <v>NA</v>
      </c>
      <c r="AB263" s="2"/>
      <c r="AC263" s="14">
        <f t="shared" si="67"/>
        <v>0</v>
      </c>
      <c r="AD263" s="15" t="str">
        <f>IFERROR(AC263/AC444, "NA")</f>
        <v>NA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hidden="1" customHeight="1" x14ac:dyDescent="0.45">
      <c r="A265" s="6" t="s">
        <v>241</v>
      </c>
      <c r="B265" s="7">
        <v>0</v>
      </c>
      <c r="C265" s="8" t="str">
        <f>IFERROR(B265/B444, "NA")</f>
        <v>NA</v>
      </c>
      <c r="D265" s="9"/>
      <c r="E265" s="7">
        <v>0</v>
      </c>
      <c r="F265" s="8" t="str">
        <f>IFERROR(E265/E444, "NA")</f>
        <v>NA</v>
      </c>
      <c r="G265" s="9"/>
      <c r="H265" s="10">
        <f>IFERROR(-(B265-E265), "NA")</f>
        <v>0</v>
      </c>
      <c r="I265" s="8" t="str">
        <f>IFERROR(H265/H444, "NA")</f>
        <v>NA</v>
      </c>
      <c r="J265" s="9"/>
      <c r="K265" s="7">
        <v>0</v>
      </c>
      <c r="L265" s="8" t="str">
        <f>IFERROR(K265/K444, "NA")</f>
        <v>NA</v>
      </c>
      <c r="M265" s="9"/>
      <c r="N265" s="10">
        <f>IFERROR(-(B265-K265), "NA")</f>
        <v>0</v>
      </c>
      <c r="O265" s="8" t="str">
        <f>IFERROR(N265/N444, "NA")</f>
        <v>NA</v>
      </c>
      <c r="P265" s="9"/>
      <c r="Q265" s="7">
        <v>0</v>
      </c>
      <c r="R265" s="8" t="str">
        <f>IFERROR(Q265/Q444, "NA")</f>
        <v>NA</v>
      </c>
      <c r="S265" s="9"/>
      <c r="T265" s="7">
        <v>0</v>
      </c>
      <c r="U265" s="8" t="str">
        <f>IFERROR(T265/T444, "NA")</f>
        <v>NA</v>
      </c>
      <c r="V265" s="9"/>
      <c r="W265" s="10">
        <f>IFERROR(-(Q265-T265), "NA")</f>
        <v>0</v>
      </c>
      <c r="X265" s="8" t="str">
        <f>IFERROR(W265/W444, "NA")</f>
        <v>NA</v>
      </c>
      <c r="Y265" s="9"/>
      <c r="Z265" s="7">
        <v>0</v>
      </c>
      <c r="AA265" s="8" t="str">
        <f>IFERROR(Z265/Z444, "NA")</f>
        <v>NA</v>
      </c>
      <c r="AB265" s="9"/>
      <c r="AC265" s="10">
        <f>IFERROR(-(Q265-Z265), "NA")</f>
        <v>0</v>
      </c>
      <c r="AD265" s="8" t="str">
        <f>IFERROR(AC265/AC444, "NA")</f>
        <v>NA</v>
      </c>
    </row>
    <row r="266" spans="1:30" ht="16.5" hidden="1" customHeight="1" x14ac:dyDescent="0.45">
      <c r="A266" s="6" t="s">
        <v>242</v>
      </c>
      <c r="B266" s="7">
        <v>0</v>
      </c>
      <c r="C266" s="8" t="str">
        <f>IFERROR(B266/B444, "NA")</f>
        <v>NA</v>
      </c>
      <c r="D266" s="9"/>
      <c r="E266" s="7">
        <v>0</v>
      </c>
      <c r="F266" s="8" t="str">
        <f>IFERROR(E266/E444, "NA")</f>
        <v>NA</v>
      </c>
      <c r="G266" s="9"/>
      <c r="H266" s="10">
        <f>IFERROR(-(B266-E266), "NA")</f>
        <v>0</v>
      </c>
      <c r="I266" s="8" t="str">
        <f>IFERROR(H266/H444, "NA")</f>
        <v>NA</v>
      </c>
      <c r="J266" s="9"/>
      <c r="K266" s="7">
        <v>0</v>
      </c>
      <c r="L266" s="8" t="str">
        <f>IFERROR(K266/K444, "NA")</f>
        <v>NA</v>
      </c>
      <c r="M266" s="9"/>
      <c r="N266" s="10">
        <f>IFERROR(-(B266-K266), "NA")</f>
        <v>0</v>
      </c>
      <c r="O266" s="8" t="str">
        <f>IFERROR(N266/N444, "NA")</f>
        <v>NA</v>
      </c>
      <c r="P266" s="9"/>
      <c r="Q266" s="7">
        <v>0</v>
      </c>
      <c r="R266" s="8" t="str">
        <f>IFERROR(Q266/Q444, "NA")</f>
        <v>NA</v>
      </c>
      <c r="S266" s="9"/>
      <c r="T266" s="7">
        <v>0</v>
      </c>
      <c r="U266" s="8" t="str">
        <f>IFERROR(T266/T444, "NA")</f>
        <v>NA</v>
      </c>
      <c r="V266" s="9"/>
      <c r="W266" s="10">
        <f>IFERROR(-(Q266-T266), "NA")</f>
        <v>0</v>
      </c>
      <c r="X266" s="8" t="str">
        <f>IFERROR(W266/W444, "NA")</f>
        <v>NA</v>
      </c>
      <c r="Y266" s="9"/>
      <c r="Z266" s="7">
        <v>0</v>
      </c>
      <c r="AA266" s="8" t="str">
        <f>IFERROR(Z266/Z444, "NA")</f>
        <v>NA</v>
      </c>
      <c r="AB266" s="9"/>
      <c r="AC266" s="10">
        <f>IFERROR(-(Q266-Z266), "NA")</f>
        <v>0</v>
      </c>
      <c r="AD266" s="8" t="str">
        <f>IFERROR(AC266/AC444, "NA")</f>
        <v>NA</v>
      </c>
    </row>
    <row r="267" spans="1:30" ht="16.5" customHeight="1" x14ac:dyDescent="0.45">
      <c r="A267" s="19" t="s">
        <v>243</v>
      </c>
      <c r="B267" s="14">
        <f>IFERROR(B265+B266, "NA")</f>
        <v>0</v>
      </c>
      <c r="C267" s="15" t="str">
        <f>IFERROR(B267/B444, "NA")</f>
        <v>NA</v>
      </c>
      <c r="D267" s="2"/>
      <c r="E267" s="14">
        <f>IFERROR(E265+E266, "NA")</f>
        <v>0</v>
      </c>
      <c r="F267" s="15" t="str">
        <f>IFERROR(E267/E444, "NA")</f>
        <v>NA</v>
      </c>
      <c r="G267" s="2"/>
      <c r="H267" s="14">
        <f>IFERROR(-(B267-E267), "NA")</f>
        <v>0</v>
      </c>
      <c r="I267" s="15" t="str">
        <f>IFERROR(H267/H444, "NA")</f>
        <v>NA</v>
      </c>
      <c r="J267" s="2"/>
      <c r="K267" s="14">
        <f>IFERROR(K265+K266, "NA")</f>
        <v>0</v>
      </c>
      <c r="L267" s="15" t="str">
        <f>IFERROR(K267/K444, "NA")</f>
        <v>NA</v>
      </c>
      <c r="M267" s="2"/>
      <c r="N267" s="14">
        <f>IFERROR(-(B267-K267), "NA")</f>
        <v>0</v>
      </c>
      <c r="O267" s="15" t="str">
        <f>IFERROR(N267/N444, "NA")</f>
        <v>NA</v>
      </c>
      <c r="P267" s="2"/>
      <c r="Q267" s="14">
        <f>IFERROR(Q265+Q266, "NA")</f>
        <v>0</v>
      </c>
      <c r="R267" s="15" t="str">
        <f>IFERROR(Q267/Q444, "NA")</f>
        <v>NA</v>
      </c>
      <c r="S267" s="2"/>
      <c r="T267" s="14">
        <f>IFERROR(T265+T266, "NA")</f>
        <v>0</v>
      </c>
      <c r="U267" s="15" t="str">
        <f>IFERROR(T267/T444, "NA")</f>
        <v>NA</v>
      </c>
      <c r="V267" s="2"/>
      <c r="W267" s="14">
        <f>IFERROR(-(Q267-T267), "NA")</f>
        <v>0</v>
      </c>
      <c r="X267" s="15" t="str">
        <f>IFERROR(W267/W444, "NA")</f>
        <v>NA</v>
      </c>
      <c r="Y267" s="2"/>
      <c r="Z267" s="14">
        <f>IFERROR(Z265+Z266, "NA")</f>
        <v>0</v>
      </c>
      <c r="AA267" s="15" t="str">
        <f>IFERROR(Z267/Z444, "NA")</f>
        <v>NA</v>
      </c>
      <c r="AB267" s="2"/>
      <c r="AC267" s="14">
        <f>IFERROR(-(Q267-Z267), "NA")</f>
        <v>0</v>
      </c>
      <c r="AD267" s="15" t="str">
        <f>IFERROR(AC267/AC444, "NA")</f>
        <v>NA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 t="str">
        <f>IFERROR(B269/B444, "NA")</f>
        <v>NA</v>
      </c>
      <c r="D269" s="9"/>
      <c r="E269" s="7">
        <v>0</v>
      </c>
      <c r="F269" s="8" t="str">
        <f>IFERROR(E269/E444, "NA")</f>
        <v>NA</v>
      </c>
      <c r="G269" s="9"/>
      <c r="H269" s="10">
        <f>IFERROR(-(B269-E269), "NA")</f>
        <v>0</v>
      </c>
      <c r="I269" s="8" t="str">
        <f>IFERROR(H269/H444, "NA")</f>
        <v>NA</v>
      </c>
      <c r="J269" s="9"/>
      <c r="K269" s="7">
        <v>0</v>
      </c>
      <c r="L269" s="8" t="str">
        <f>IFERROR(K269/K444, "NA")</f>
        <v>NA</v>
      </c>
      <c r="M269" s="9"/>
      <c r="N269" s="10">
        <f>IFERROR(-(B269-K269), "NA")</f>
        <v>0</v>
      </c>
      <c r="O269" s="8" t="str">
        <f>IFERROR(N269/N444, "NA")</f>
        <v>NA</v>
      </c>
      <c r="P269" s="9"/>
      <c r="Q269" s="7">
        <v>0</v>
      </c>
      <c r="R269" s="8" t="str">
        <f>IFERROR(Q269/Q444, "NA")</f>
        <v>NA</v>
      </c>
      <c r="S269" s="9"/>
      <c r="T269" s="7">
        <v>0</v>
      </c>
      <c r="U269" s="8" t="str">
        <f>IFERROR(T269/T444, "NA")</f>
        <v>NA</v>
      </c>
      <c r="V269" s="9"/>
      <c r="W269" s="10">
        <f>IFERROR(-(Q269-T269), "NA")</f>
        <v>0</v>
      </c>
      <c r="X269" s="8" t="str">
        <f>IFERROR(W269/W444, "NA")</f>
        <v>NA</v>
      </c>
      <c r="Y269" s="9"/>
      <c r="Z269" s="7">
        <v>0</v>
      </c>
      <c r="AA269" s="8" t="str">
        <f>IFERROR(Z269/Z444, "NA")</f>
        <v>NA</v>
      </c>
      <c r="AB269" s="9"/>
      <c r="AC269" s="10">
        <f>IFERROR(-(Q269-Z269), "NA")</f>
        <v>0</v>
      </c>
      <c r="AD269" s="8" t="str">
        <f>IFERROR(AC269/AC444, "NA")</f>
        <v>NA</v>
      </c>
    </row>
    <row r="270" spans="1:30" ht="16.5" hidden="1" customHeight="1" x14ac:dyDescent="0.45">
      <c r="A270" s="6" t="s">
        <v>245</v>
      </c>
      <c r="B270" s="7">
        <v>0</v>
      </c>
      <c r="C270" s="8" t="str">
        <f>IFERROR(B270/B444, "NA")</f>
        <v>NA</v>
      </c>
      <c r="D270" s="9"/>
      <c r="E270" s="7">
        <v>0</v>
      </c>
      <c r="F270" s="8" t="str">
        <f>IFERROR(E270/E444, "NA")</f>
        <v>NA</v>
      </c>
      <c r="G270" s="9"/>
      <c r="H270" s="10">
        <f>IFERROR(-(B270-E270), "NA")</f>
        <v>0</v>
      </c>
      <c r="I270" s="8" t="str">
        <f>IFERROR(H270/H444, "NA")</f>
        <v>NA</v>
      </c>
      <c r="J270" s="9"/>
      <c r="K270" s="7">
        <v>0</v>
      </c>
      <c r="L270" s="8" t="str">
        <f>IFERROR(K270/K444, "NA")</f>
        <v>NA</v>
      </c>
      <c r="M270" s="9"/>
      <c r="N270" s="10">
        <f>IFERROR(-(B270-K270), "NA")</f>
        <v>0</v>
      </c>
      <c r="O270" s="8" t="str">
        <f>IFERROR(N270/N444, "NA")</f>
        <v>NA</v>
      </c>
      <c r="P270" s="9"/>
      <c r="Q270" s="7">
        <v>0</v>
      </c>
      <c r="R270" s="8" t="str">
        <f>IFERROR(Q270/Q444, "NA")</f>
        <v>NA</v>
      </c>
      <c r="S270" s="9"/>
      <c r="T270" s="7">
        <v>0</v>
      </c>
      <c r="U270" s="8" t="str">
        <f>IFERROR(T270/T444, "NA")</f>
        <v>NA</v>
      </c>
      <c r="V270" s="9"/>
      <c r="W270" s="10">
        <f>IFERROR(-(Q270-T270), "NA")</f>
        <v>0</v>
      </c>
      <c r="X270" s="8" t="str">
        <f>IFERROR(W270/W444, "NA")</f>
        <v>NA</v>
      </c>
      <c r="Y270" s="9"/>
      <c r="Z270" s="7">
        <v>0</v>
      </c>
      <c r="AA270" s="8" t="str">
        <f>IFERROR(Z270/Z444, "NA")</f>
        <v>NA</v>
      </c>
      <c r="AB270" s="9"/>
      <c r="AC270" s="10">
        <f>IFERROR(-(Q270-Z270), "NA")</f>
        <v>0</v>
      </c>
      <c r="AD270" s="8" t="str">
        <f>IFERROR(AC270/AC444, "NA")</f>
        <v>NA</v>
      </c>
    </row>
    <row r="271" spans="1:30" ht="16.5" hidden="1" customHeight="1" x14ac:dyDescent="0.45">
      <c r="A271" s="6" t="s">
        <v>246</v>
      </c>
      <c r="B271" s="7">
        <v>0</v>
      </c>
      <c r="C271" s="8" t="str">
        <f>IFERROR(B271/B444, "NA")</f>
        <v>NA</v>
      </c>
      <c r="D271" s="9"/>
      <c r="E271" s="7">
        <v>0</v>
      </c>
      <c r="F271" s="8" t="str">
        <f>IFERROR(E271/E444, "NA")</f>
        <v>NA</v>
      </c>
      <c r="G271" s="9"/>
      <c r="H271" s="10">
        <f>IFERROR(-(B271-E271), "NA")</f>
        <v>0</v>
      </c>
      <c r="I271" s="8" t="str">
        <f>IFERROR(H271/H444, "NA")</f>
        <v>NA</v>
      </c>
      <c r="J271" s="9"/>
      <c r="K271" s="7">
        <v>0</v>
      </c>
      <c r="L271" s="8" t="str">
        <f>IFERROR(K271/K444, "NA")</f>
        <v>NA</v>
      </c>
      <c r="M271" s="9"/>
      <c r="N271" s="10">
        <f>IFERROR(-(B271-K271), "NA")</f>
        <v>0</v>
      </c>
      <c r="O271" s="8" t="str">
        <f>IFERROR(N271/N444, "NA")</f>
        <v>NA</v>
      </c>
      <c r="P271" s="9"/>
      <c r="Q271" s="7">
        <v>0</v>
      </c>
      <c r="R271" s="8" t="str">
        <f>IFERROR(Q271/Q444, "NA")</f>
        <v>NA</v>
      </c>
      <c r="S271" s="9"/>
      <c r="T271" s="7">
        <v>0</v>
      </c>
      <c r="U271" s="8" t="str">
        <f>IFERROR(T271/T444, "NA")</f>
        <v>NA</v>
      </c>
      <c r="V271" s="9"/>
      <c r="W271" s="10">
        <f>IFERROR(-(Q271-T271), "NA")</f>
        <v>0</v>
      </c>
      <c r="X271" s="8" t="str">
        <f>IFERROR(W271/W444, "NA")</f>
        <v>NA</v>
      </c>
      <c r="Y271" s="9"/>
      <c r="Z271" s="7">
        <v>0</v>
      </c>
      <c r="AA271" s="8" t="str">
        <f>IFERROR(Z271/Z444, "NA")</f>
        <v>NA</v>
      </c>
      <c r="AB271" s="9"/>
      <c r="AC271" s="10">
        <f>IFERROR(-(Q271-Z271), "NA")</f>
        <v>0</v>
      </c>
      <c r="AD271" s="8" t="str">
        <f>IFERROR(AC271/AC444, "NA")</f>
        <v>NA</v>
      </c>
    </row>
    <row r="272" spans="1:30" ht="16.5" hidden="1" customHeight="1" x14ac:dyDescent="0.45">
      <c r="A272" s="6" t="s">
        <v>247</v>
      </c>
      <c r="B272" s="7">
        <v>0</v>
      </c>
      <c r="C272" s="8" t="str">
        <f>IFERROR(B272/B444, "NA")</f>
        <v>NA</v>
      </c>
      <c r="D272" s="9"/>
      <c r="E272" s="7">
        <v>0</v>
      </c>
      <c r="F272" s="8" t="str">
        <f>IFERROR(E272/E444, "NA")</f>
        <v>NA</v>
      </c>
      <c r="G272" s="9"/>
      <c r="H272" s="10">
        <f>IFERROR(-(B272-E272), "NA")</f>
        <v>0</v>
      </c>
      <c r="I272" s="8" t="str">
        <f>IFERROR(H272/H444, "NA")</f>
        <v>NA</v>
      </c>
      <c r="J272" s="9"/>
      <c r="K272" s="7">
        <v>0</v>
      </c>
      <c r="L272" s="8" t="str">
        <f>IFERROR(K272/K444, "NA")</f>
        <v>NA</v>
      </c>
      <c r="M272" s="9"/>
      <c r="N272" s="10">
        <f>IFERROR(-(B272-K272), "NA")</f>
        <v>0</v>
      </c>
      <c r="O272" s="8" t="str">
        <f>IFERROR(N272/N444, "NA")</f>
        <v>NA</v>
      </c>
      <c r="P272" s="9"/>
      <c r="Q272" s="7">
        <v>0</v>
      </c>
      <c r="R272" s="8" t="str">
        <f>IFERROR(Q272/Q444, "NA")</f>
        <v>NA</v>
      </c>
      <c r="S272" s="9"/>
      <c r="T272" s="7">
        <v>0</v>
      </c>
      <c r="U272" s="8" t="str">
        <f>IFERROR(T272/T444, "NA")</f>
        <v>NA</v>
      </c>
      <c r="V272" s="9"/>
      <c r="W272" s="10">
        <f>IFERROR(-(Q272-T272), "NA")</f>
        <v>0</v>
      </c>
      <c r="X272" s="8" t="str">
        <f>IFERROR(W272/W444, "NA")</f>
        <v>NA</v>
      </c>
      <c r="Y272" s="9"/>
      <c r="Z272" s="7">
        <v>0</v>
      </c>
      <c r="AA272" s="8" t="str">
        <f>IFERROR(Z272/Z444, "NA")</f>
        <v>NA</v>
      </c>
      <c r="AB272" s="9"/>
      <c r="AC272" s="10">
        <f>IFERROR(-(Q272-Z272), "NA")</f>
        <v>0</v>
      </c>
      <c r="AD272" s="8" t="str">
        <f>IFERROR(AC272/AC444, "NA")</f>
        <v>NA</v>
      </c>
    </row>
    <row r="273" spans="1:30" ht="16.5" customHeight="1" x14ac:dyDescent="0.45">
      <c r="A273" s="19" t="s">
        <v>248</v>
      </c>
      <c r="B273" s="14">
        <f>IFERROR(B269+B270+B271+B272, "NA")</f>
        <v>0</v>
      </c>
      <c r="C273" s="15" t="str">
        <f>IFERROR(B273/B444, "NA")</f>
        <v>NA</v>
      </c>
      <c r="D273" s="2"/>
      <c r="E273" s="14">
        <f>IFERROR(E269+E270+E271+E272, "NA")</f>
        <v>0</v>
      </c>
      <c r="F273" s="15" t="str">
        <f>IFERROR(E273/E444, "NA")</f>
        <v>NA</v>
      </c>
      <c r="G273" s="2"/>
      <c r="H273" s="14">
        <f>IFERROR(-(B273-E273), "NA")</f>
        <v>0</v>
      </c>
      <c r="I273" s="15" t="str">
        <f>IFERROR(H273/H444, "NA")</f>
        <v>NA</v>
      </c>
      <c r="J273" s="2"/>
      <c r="K273" s="14">
        <f>IFERROR(K269+K270+K271+K272, "NA")</f>
        <v>0</v>
      </c>
      <c r="L273" s="15" t="str">
        <f>IFERROR(K273/K444, "NA")</f>
        <v>NA</v>
      </c>
      <c r="M273" s="2"/>
      <c r="N273" s="14">
        <f>IFERROR(-(B273-K273), "NA")</f>
        <v>0</v>
      </c>
      <c r="O273" s="15" t="str">
        <f>IFERROR(N273/N444, "NA")</f>
        <v>NA</v>
      </c>
      <c r="P273" s="2"/>
      <c r="Q273" s="14">
        <f>IFERROR(Q269+Q270+Q271+Q272, "NA")</f>
        <v>0</v>
      </c>
      <c r="R273" s="15" t="str">
        <f>IFERROR(Q273/Q444, "NA")</f>
        <v>NA</v>
      </c>
      <c r="S273" s="2"/>
      <c r="T273" s="14">
        <f>IFERROR(T269+T270+T271+T272, "NA")</f>
        <v>0</v>
      </c>
      <c r="U273" s="15" t="str">
        <f>IFERROR(T273/T444, "NA")</f>
        <v>NA</v>
      </c>
      <c r="V273" s="2"/>
      <c r="W273" s="14">
        <f>IFERROR(-(Q273-T273), "NA")</f>
        <v>0</v>
      </c>
      <c r="X273" s="15" t="str">
        <f>IFERROR(W273/W444, "NA")</f>
        <v>NA</v>
      </c>
      <c r="Y273" s="2"/>
      <c r="Z273" s="14">
        <f>IFERROR(Z269+Z270+Z271+Z272, "NA")</f>
        <v>0</v>
      </c>
      <c r="AA273" s="15" t="str">
        <f>IFERROR(Z273/Z444, "NA")</f>
        <v>NA</v>
      </c>
      <c r="AB273" s="2"/>
      <c r="AC273" s="14">
        <f>IFERROR(-(Q273-Z273), "NA")</f>
        <v>0</v>
      </c>
      <c r="AD273" s="15" t="str">
        <f>IFERROR(AC273/AC444, "NA")</f>
        <v>NA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 t="str">
        <f>IFERROR(B275/B444, "NA")</f>
        <v>NA</v>
      </c>
      <c r="D275" s="9"/>
      <c r="E275" s="7">
        <v>0</v>
      </c>
      <c r="F275" s="8" t="str">
        <f>IFERROR(E275/E444, "NA")</f>
        <v>NA</v>
      </c>
      <c r="G275" s="9"/>
      <c r="H275" s="10">
        <f t="shared" ref="H275:H284" si="68">IFERROR(-(B275-E275), "NA")</f>
        <v>0</v>
      </c>
      <c r="I275" s="8" t="str">
        <f>IFERROR(H275/H444, "NA")</f>
        <v>NA</v>
      </c>
      <c r="J275" s="9"/>
      <c r="K275" s="7">
        <v>0</v>
      </c>
      <c r="L275" s="8" t="str">
        <f>IFERROR(K275/K444, "NA")</f>
        <v>NA</v>
      </c>
      <c r="M275" s="9"/>
      <c r="N275" s="10">
        <f t="shared" ref="N275:N284" si="69">IFERROR(-(B275-K275), "NA")</f>
        <v>0</v>
      </c>
      <c r="O275" s="8" t="str">
        <f>IFERROR(N275/N444, "NA")</f>
        <v>NA</v>
      </c>
      <c r="P275" s="9"/>
      <c r="Q275" s="7">
        <v>0</v>
      </c>
      <c r="R275" s="8" t="str">
        <f>IFERROR(Q275/Q444, "NA")</f>
        <v>NA</v>
      </c>
      <c r="S275" s="9"/>
      <c r="T275" s="7">
        <v>0</v>
      </c>
      <c r="U275" s="8" t="str">
        <f>IFERROR(T275/T444, "NA")</f>
        <v>NA</v>
      </c>
      <c r="V275" s="9"/>
      <c r="W275" s="10">
        <f t="shared" ref="W275:W284" si="70">IFERROR(-(Q275-T275), "NA")</f>
        <v>0</v>
      </c>
      <c r="X275" s="8" t="str">
        <f>IFERROR(W275/W444, "NA")</f>
        <v>NA</v>
      </c>
      <c r="Y275" s="9"/>
      <c r="Z275" s="7">
        <v>0</v>
      </c>
      <c r="AA275" s="8" t="str">
        <f>IFERROR(Z275/Z444, "NA")</f>
        <v>NA</v>
      </c>
      <c r="AB275" s="9"/>
      <c r="AC275" s="10">
        <f t="shared" ref="AC275:AC284" si="71">IFERROR(-(Q275-Z275), "NA")</f>
        <v>0</v>
      </c>
      <c r="AD275" s="8" t="str">
        <f>IFERROR(AC275/AC444, "NA")</f>
        <v>NA</v>
      </c>
    </row>
    <row r="276" spans="1:30" ht="16.5" hidden="1" customHeight="1" x14ac:dyDescent="0.45">
      <c r="A276" s="6" t="s">
        <v>250</v>
      </c>
      <c r="B276" s="7">
        <v>0</v>
      </c>
      <c r="C276" s="8" t="str">
        <f>IFERROR(B276/B444, "NA")</f>
        <v>NA</v>
      </c>
      <c r="D276" s="9"/>
      <c r="E276" s="7">
        <v>0</v>
      </c>
      <c r="F276" s="8" t="str">
        <f>IFERROR(E276/E444, "NA")</f>
        <v>NA</v>
      </c>
      <c r="G276" s="9"/>
      <c r="H276" s="10">
        <f t="shared" si="68"/>
        <v>0</v>
      </c>
      <c r="I276" s="8" t="str">
        <f>IFERROR(H276/H444, "NA")</f>
        <v>NA</v>
      </c>
      <c r="J276" s="9"/>
      <c r="K276" s="7">
        <v>0</v>
      </c>
      <c r="L276" s="8" t="str">
        <f>IFERROR(K276/K444, "NA")</f>
        <v>NA</v>
      </c>
      <c r="M276" s="9"/>
      <c r="N276" s="10">
        <f t="shared" si="69"/>
        <v>0</v>
      </c>
      <c r="O276" s="8" t="str">
        <f>IFERROR(N276/N444, "NA")</f>
        <v>NA</v>
      </c>
      <c r="P276" s="9"/>
      <c r="Q276" s="7">
        <v>0</v>
      </c>
      <c r="R276" s="8" t="str">
        <f>IFERROR(Q276/Q444, "NA")</f>
        <v>NA</v>
      </c>
      <c r="S276" s="9"/>
      <c r="T276" s="7">
        <v>0</v>
      </c>
      <c r="U276" s="8" t="str">
        <f>IFERROR(T276/T444, "NA")</f>
        <v>NA</v>
      </c>
      <c r="V276" s="9"/>
      <c r="W276" s="10">
        <f t="shared" si="70"/>
        <v>0</v>
      </c>
      <c r="X276" s="8" t="str">
        <f>IFERROR(W276/W444, "NA")</f>
        <v>NA</v>
      </c>
      <c r="Y276" s="9"/>
      <c r="Z276" s="7">
        <v>0</v>
      </c>
      <c r="AA276" s="8" t="str">
        <f>IFERROR(Z276/Z444, "NA")</f>
        <v>NA</v>
      </c>
      <c r="AB276" s="9"/>
      <c r="AC276" s="10">
        <f t="shared" si="71"/>
        <v>0</v>
      </c>
      <c r="AD276" s="8" t="str">
        <f>IFERROR(AC276/AC444, "NA")</f>
        <v>NA</v>
      </c>
    </row>
    <row r="277" spans="1:30" ht="16.5" hidden="1" customHeight="1" x14ac:dyDescent="0.45">
      <c r="A277" s="6" t="s">
        <v>251</v>
      </c>
      <c r="B277" s="7">
        <v>0</v>
      </c>
      <c r="C277" s="8" t="str">
        <f>IFERROR(B277/B444, "NA")</f>
        <v>NA</v>
      </c>
      <c r="D277" s="9"/>
      <c r="E277" s="7">
        <v>0</v>
      </c>
      <c r="F277" s="8" t="str">
        <f>IFERROR(E277/E444, "NA")</f>
        <v>NA</v>
      </c>
      <c r="G277" s="9"/>
      <c r="H277" s="10">
        <f t="shared" si="68"/>
        <v>0</v>
      </c>
      <c r="I277" s="8" t="str">
        <f>IFERROR(H277/H444, "NA")</f>
        <v>NA</v>
      </c>
      <c r="J277" s="9"/>
      <c r="K277" s="7">
        <v>0</v>
      </c>
      <c r="L277" s="8" t="str">
        <f>IFERROR(K277/K444, "NA")</f>
        <v>NA</v>
      </c>
      <c r="M277" s="9"/>
      <c r="N277" s="10">
        <f t="shared" si="69"/>
        <v>0</v>
      </c>
      <c r="O277" s="8" t="str">
        <f>IFERROR(N277/N444, "NA")</f>
        <v>NA</v>
      </c>
      <c r="P277" s="9"/>
      <c r="Q277" s="7">
        <v>0</v>
      </c>
      <c r="R277" s="8" t="str">
        <f>IFERROR(Q277/Q444, "NA")</f>
        <v>NA</v>
      </c>
      <c r="S277" s="9"/>
      <c r="T277" s="7">
        <v>0</v>
      </c>
      <c r="U277" s="8" t="str">
        <f>IFERROR(T277/T444, "NA")</f>
        <v>NA</v>
      </c>
      <c r="V277" s="9"/>
      <c r="W277" s="10">
        <f t="shared" si="70"/>
        <v>0</v>
      </c>
      <c r="X277" s="8" t="str">
        <f>IFERROR(W277/W444, "NA")</f>
        <v>NA</v>
      </c>
      <c r="Y277" s="9"/>
      <c r="Z277" s="7">
        <v>0</v>
      </c>
      <c r="AA277" s="8" t="str">
        <f>IFERROR(Z277/Z444, "NA")</f>
        <v>NA</v>
      </c>
      <c r="AB277" s="9"/>
      <c r="AC277" s="10">
        <f t="shared" si="71"/>
        <v>0</v>
      </c>
      <c r="AD277" s="8" t="str">
        <f>IFERROR(AC277/AC444, "NA")</f>
        <v>NA</v>
      </c>
    </row>
    <row r="278" spans="1:30" ht="16.5" hidden="1" customHeight="1" x14ac:dyDescent="0.45">
      <c r="A278" s="6" t="s">
        <v>252</v>
      </c>
      <c r="B278" s="7">
        <v>0</v>
      </c>
      <c r="C278" s="8" t="str">
        <f>IFERROR(B278/B444, "NA")</f>
        <v>NA</v>
      </c>
      <c r="D278" s="9"/>
      <c r="E278" s="7">
        <v>0</v>
      </c>
      <c r="F278" s="8" t="str">
        <f>IFERROR(E278/E444, "NA")</f>
        <v>NA</v>
      </c>
      <c r="G278" s="9"/>
      <c r="H278" s="10">
        <f t="shared" si="68"/>
        <v>0</v>
      </c>
      <c r="I278" s="8" t="str">
        <f>IFERROR(H278/H444, "NA")</f>
        <v>NA</v>
      </c>
      <c r="J278" s="9"/>
      <c r="K278" s="7">
        <v>0</v>
      </c>
      <c r="L278" s="8" t="str">
        <f>IFERROR(K278/K444, "NA")</f>
        <v>NA</v>
      </c>
      <c r="M278" s="9"/>
      <c r="N278" s="10">
        <f t="shared" si="69"/>
        <v>0</v>
      </c>
      <c r="O278" s="8" t="str">
        <f>IFERROR(N278/N444, "NA")</f>
        <v>NA</v>
      </c>
      <c r="P278" s="9"/>
      <c r="Q278" s="7">
        <v>0</v>
      </c>
      <c r="R278" s="8" t="str">
        <f>IFERROR(Q278/Q444, "NA")</f>
        <v>NA</v>
      </c>
      <c r="S278" s="9"/>
      <c r="T278" s="7">
        <v>0</v>
      </c>
      <c r="U278" s="8" t="str">
        <f>IFERROR(T278/T444, "NA")</f>
        <v>NA</v>
      </c>
      <c r="V278" s="9"/>
      <c r="W278" s="10">
        <f t="shared" si="70"/>
        <v>0</v>
      </c>
      <c r="X278" s="8" t="str">
        <f>IFERROR(W278/W444, "NA")</f>
        <v>NA</v>
      </c>
      <c r="Y278" s="9"/>
      <c r="Z278" s="7">
        <v>0</v>
      </c>
      <c r="AA278" s="8" t="str">
        <f>IFERROR(Z278/Z444, "NA")</f>
        <v>NA</v>
      </c>
      <c r="AB278" s="9"/>
      <c r="AC278" s="10">
        <f t="shared" si="71"/>
        <v>0</v>
      </c>
      <c r="AD278" s="8" t="str">
        <f>IFERROR(AC278/AC444, "NA")</f>
        <v>NA</v>
      </c>
    </row>
    <row r="279" spans="1:30" ht="16.5" hidden="1" customHeight="1" x14ac:dyDescent="0.45">
      <c r="A279" s="6" t="s">
        <v>253</v>
      </c>
      <c r="B279" s="7">
        <v>0</v>
      </c>
      <c r="C279" s="8" t="str">
        <f>IFERROR(B279/B444, "NA")</f>
        <v>NA</v>
      </c>
      <c r="D279" s="9"/>
      <c r="E279" s="7">
        <v>0</v>
      </c>
      <c r="F279" s="8" t="str">
        <f>IFERROR(E279/E444, "NA")</f>
        <v>NA</v>
      </c>
      <c r="G279" s="9"/>
      <c r="H279" s="10">
        <f t="shared" si="68"/>
        <v>0</v>
      </c>
      <c r="I279" s="8" t="str">
        <f>IFERROR(H279/H444, "NA")</f>
        <v>NA</v>
      </c>
      <c r="J279" s="9"/>
      <c r="K279" s="7">
        <v>0</v>
      </c>
      <c r="L279" s="8" t="str">
        <f>IFERROR(K279/K444, "NA")</f>
        <v>NA</v>
      </c>
      <c r="M279" s="9"/>
      <c r="N279" s="10">
        <f t="shared" si="69"/>
        <v>0</v>
      </c>
      <c r="O279" s="8" t="str">
        <f>IFERROR(N279/N444, "NA")</f>
        <v>NA</v>
      </c>
      <c r="P279" s="9"/>
      <c r="Q279" s="7">
        <v>0</v>
      </c>
      <c r="R279" s="8" t="str">
        <f>IFERROR(Q279/Q444, "NA")</f>
        <v>NA</v>
      </c>
      <c r="S279" s="9"/>
      <c r="T279" s="7">
        <v>0</v>
      </c>
      <c r="U279" s="8" t="str">
        <f>IFERROR(T279/T444, "NA")</f>
        <v>NA</v>
      </c>
      <c r="V279" s="9"/>
      <c r="W279" s="10">
        <f t="shared" si="70"/>
        <v>0</v>
      </c>
      <c r="X279" s="8" t="str">
        <f>IFERROR(W279/W444, "NA")</f>
        <v>NA</v>
      </c>
      <c r="Y279" s="9"/>
      <c r="Z279" s="7">
        <v>0</v>
      </c>
      <c r="AA279" s="8" t="str">
        <f>IFERROR(Z279/Z444, "NA")</f>
        <v>NA</v>
      </c>
      <c r="AB279" s="9"/>
      <c r="AC279" s="10">
        <f t="shared" si="71"/>
        <v>0</v>
      </c>
      <c r="AD279" s="8" t="str">
        <f>IFERROR(AC279/AC444, "NA")</f>
        <v>NA</v>
      </c>
    </row>
    <row r="280" spans="1:30" ht="16.5" hidden="1" customHeight="1" x14ac:dyDescent="0.45">
      <c r="A280" s="6" t="s">
        <v>254</v>
      </c>
      <c r="B280" s="7">
        <v>0</v>
      </c>
      <c r="C280" s="8" t="str">
        <f>IFERROR(B280/B444, "NA")</f>
        <v>NA</v>
      </c>
      <c r="D280" s="9"/>
      <c r="E280" s="7">
        <v>0</v>
      </c>
      <c r="F280" s="8" t="str">
        <f>IFERROR(E280/E444, "NA")</f>
        <v>NA</v>
      </c>
      <c r="G280" s="9"/>
      <c r="H280" s="10">
        <f t="shared" si="68"/>
        <v>0</v>
      </c>
      <c r="I280" s="8" t="str">
        <f>IFERROR(H280/H444, "NA")</f>
        <v>NA</v>
      </c>
      <c r="J280" s="9"/>
      <c r="K280" s="7">
        <v>0</v>
      </c>
      <c r="L280" s="8" t="str">
        <f>IFERROR(K280/K444, "NA")</f>
        <v>NA</v>
      </c>
      <c r="M280" s="9"/>
      <c r="N280" s="10">
        <f t="shared" si="69"/>
        <v>0</v>
      </c>
      <c r="O280" s="8" t="str">
        <f>IFERROR(N280/N444, "NA")</f>
        <v>NA</v>
      </c>
      <c r="P280" s="9"/>
      <c r="Q280" s="7">
        <v>0</v>
      </c>
      <c r="R280" s="8" t="str">
        <f>IFERROR(Q280/Q444, "NA")</f>
        <v>NA</v>
      </c>
      <c r="S280" s="9"/>
      <c r="T280" s="7">
        <v>0</v>
      </c>
      <c r="U280" s="8" t="str">
        <f>IFERROR(T280/T444, "NA")</f>
        <v>NA</v>
      </c>
      <c r="V280" s="9"/>
      <c r="W280" s="10">
        <f t="shared" si="70"/>
        <v>0</v>
      </c>
      <c r="X280" s="8" t="str">
        <f>IFERROR(W280/W444, "NA")</f>
        <v>NA</v>
      </c>
      <c r="Y280" s="9"/>
      <c r="Z280" s="7">
        <v>0</v>
      </c>
      <c r="AA280" s="8" t="str">
        <f>IFERROR(Z280/Z444, "NA")</f>
        <v>NA</v>
      </c>
      <c r="AB280" s="9"/>
      <c r="AC280" s="10">
        <f t="shared" si="71"/>
        <v>0</v>
      </c>
      <c r="AD280" s="8" t="str">
        <f>IFERROR(AC280/AC444, "NA")</f>
        <v>NA</v>
      </c>
    </row>
    <row r="281" spans="1:30" ht="16.5" hidden="1" customHeight="1" x14ac:dyDescent="0.45">
      <c r="A281" s="6" t="s">
        <v>255</v>
      </c>
      <c r="B281" s="7">
        <v>0</v>
      </c>
      <c r="C281" s="8" t="str">
        <f>IFERROR(B281/B444, "NA")</f>
        <v>NA</v>
      </c>
      <c r="D281" s="9"/>
      <c r="E281" s="7">
        <v>0</v>
      </c>
      <c r="F281" s="8" t="str">
        <f>IFERROR(E281/E444, "NA")</f>
        <v>NA</v>
      </c>
      <c r="G281" s="9"/>
      <c r="H281" s="10">
        <f t="shared" si="68"/>
        <v>0</v>
      </c>
      <c r="I281" s="8" t="str">
        <f>IFERROR(H281/H444, "NA")</f>
        <v>NA</v>
      </c>
      <c r="J281" s="9"/>
      <c r="K281" s="7">
        <v>0</v>
      </c>
      <c r="L281" s="8" t="str">
        <f>IFERROR(K281/K444, "NA")</f>
        <v>NA</v>
      </c>
      <c r="M281" s="9"/>
      <c r="N281" s="10">
        <f t="shared" si="69"/>
        <v>0</v>
      </c>
      <c r="O281" s="8" t="str">
        <f>IFERROR(N281/N444, "NA")</f>
        <v>NA</v>
      </c>
      <c r="P281" s="9"/>
      <c r="Q281" s="7">
        <v>0</v>
      </c>
      <c r="R281" s="8" t="str">
        <f>IFERROR(Q281/Q444, "NA")</f>
        <v>NA</v>
      </c>
      <c r="S281" s="9"/>
      <c r="T281" s="7">
        <v>0</v>
      </c>
      <c r="U281" s="8" t="str">
        <f>IFERROR(T281/T444, "NA")</f>
        <v>NA</v>
      </c>
      <c r="V281" s="9"/>
      <c r="W281" s="10">
        <f t="shared" si="70"/>
        <v>0</v>
      </c>
      <c r="X281" s="8" t="str">
        <f>IFERROR(W281/W444, "NA")</f>
        <v>NA</v>
      </c>
      <c r="Y281" s="9"/>
      <c r="Z281" s="7">
        <v>0</v>
      </c>
      <c r="AA281" s="8" t="str">
        <f>IFERROR(Z281/Z444, "NA")</f>
        <v>NA</v>
      </c>
      <c r="AB281" s="9"/>
      <c r="AC281" s="10">
        <f t="shared" si="71"/>
        <v>0</v>
      </c>
      <c r="AD281" s="8" t="str">
        <f>IFERROR(AC281/AC444, "NA")</f>
        <v>NA</v>
      </c>
    </row>
    <row r="282" spans="1:30" ht="16.5" hidden="1" customHeight="1" x14ac:dyDescent="0.45">
      <c r="A282" s="6" t="s">
        <v>256</v>
      </c>
      <c r="B282" s="7">
        <v>0</v>
      </c>
      <c r="C282" s="8" t="str">
        <f>IFERROR(B282/B444, "NA")</f>
        <v>NA</v>
      </c>
      <c r="D282" s="9"/>
      <c r="E282" s="7">
        <v>0</v>
      </c>
      <c r="F282" s="8" t="str">
        <f>IFERROR(E282/E444, "NA")</f>
        <v>NA</v>
      </c>
      <c r="G282" s="9"/>
      <c r="H282" s="10">
        <f t="shared" si="68"/>
        <v>0</v>
      </c>
      <c r="I282" s="8" t="str">
        <f>IFERROR(H282/H444, "NA")</f>
        <v>NA</v>
      </c>
      <c r="J282" s="9"/>
      <c r="K282" s="7">
        <v>0</v>
      </c>
      <c r="L282" s="8" t="str">
        <f>IFERROR(K282/K444, "NA")</f>
        <v>NA</v>
      </c>
      <c r="M282" s="9"/>
      <c r="N282" s="10">
        <f t="shared" si="69"/>
        <v>0</v>
      </c>
      <c r="O282" s="8" t="str">
        <f>IFERROR(N282/N444, "NA")</f>
        <v>NA</v>
      </c>
      <c r="P282" s="9"/>
      <c r="Q282" s="7">
        <v>0</v>
      </c>
      <c r="R282" s="8" t="str">
        <f>IFERROR(Q282/Q444, "NA")</f>
        <v>NA</v>
      </c>
      <c r="S282" s="9"/>
      <c r="T282" s="7">
        <v>0</v>
      </c>
      <c r="U282" s="8" t="str">
        <f>IFERROR(T282/T444, "NA")</f>
        <v>NA</v>
      </c>
      <c r="V282" s="9"/>
      <c r="W282" s="10">
        <f t="shared" si="70"/>
        <v>0</v>
      </c>
      <c r="X282" s="8" t="str">
        <f>IFERROR(W282/W444, "NA")</f>
        <v>NA</v>
      </c>
      <c r="Y282" s="9"/>
      <c r="Z282" s="7">
        <v>0</v>
      </c>
      <c r="AA282" s="8" t="str">
        <f>IFERROR(Z282/Z444, "NA")</f>
        <v>NA</v>
      </c>
      <c r="AB282" s="9"/>
      <c r="AC282" s="10">
        <f t="shared" si="71"/>
        <v>0</v>
      </c>
      <c r="AD282" s="8" t="str">
        <f>IFERROR(AC282/AC444, "NA")</f>
        <v>NA</v>
      </c>
    </row>
    <row r="283" spans="1:30" ht="16.5" hidden="1" customHeight="1" x14ac:dyDescent="0.45">
      <c r="A283" s="6" t="s">
        <v>257</v>
      </c>
      <c r="B283" s="7">
        <v>0</v>
      </c>
      <c r="C283" s="8" t="str">
        <f>IFERROR(B283/B444, "NA")</f>
        <v>NA</v>
      </c>
      <c r="D283" s="9"/>
      <c r="E283" s="7">
        <v>0</v>
      </c>
      <c r="F283" s="8" t="str">
        <f>IFERROR(E283/E444, "NA")</f>
        <v>NA</v>
      </c>
      <c r="G283" s="9"/>
      <c r="H283" s="10">
        <f t="shared" si="68"/>
        <v>0</v>
      </c>
      <c r="I283" s="8" t="str">
        <f>IFERROR(H283/H444, "NA")</f>
        <v>NA</v>
      </c>
      <c r="J283" s="9"/>
      <c r="K283" s="7">
        <v>0</v>
      </c>
      <c r="L283" s="8" t="str">
        <f>IFERROR(K283/K444, "NA")</f>
        <v>NA</v>
      </c>
      <c r="M283" s="9"/>
      <c r="N283" s="10">
        <f t="shared" si="69"/>
        <v>0</v>
      </c>
      <c r="O283" s="8" t="str">
        <f>IFERROR(N283/N444, "NA")</f>
        <v>NA</v>
      </c>
      <c r="P283" s="9"/>
      <c r="Q283" s="7">
        <v>0</v>
      </c>
      <c r="R283" s="8" t="str">
        <f>IFERROR(Q283/Q444, "NA")</f>
        <v>NA</v>
      </c>
      <c r="S283" s="9"/>
      <c r="T283" s="7">
        <v>0</v>
      </c>
      <c r="U283" s="8" t="str">
        <f>IFERROR(T283/T444, "NA")</f>
        <v>NA</v>
      </c>
      <c r="V283" s="9"/>
      <c r="W283" s="10">
        <f t="shared" si="70"/>
        <v>0</v>
      </c>
      <c r="X283" s="8" t="str">
        <f>IFERROR(W283/W444, "NA")</f>
        <v>NA</v>
      </c>
      <c r="Y283" s="9"/>
      <c r="Z283" s="7">
        <v>0</v>
      </c>
      <c r="AA283" s="8" t="str">
        <f>IFERROR(Z283/Z444, "NA")</f>
        <v>NA</v>
      </c>
      <c r="AB283" s="9"/>
      <c r="AC283" s="10">
        <f t="shared" si="71"/>
        <v>0</v>
      </c>
      <c r="AD283" s="8" t="str">
        <f>IFERROR(AC283/AC444, "NA")</f>
        <v>NA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 t="str">
        <f>IFERROR(B284/B444, "NA")</f>
        <v>NA</v>
      </c>
      <c r="D284" s="2"/>
      <c r="E284" s="14">
        <f>IFERROR(E275+E276+E277+E278+E279+E280+E281+E282+E283, "NA")</f>
        <v>0</v>
      </c>
      <c r="F284" s="15" t="str">
        <f>IFERROR(E284/E444, "NA")</f>
        <v>NA</v>
      </c>
      <c r="G284" s="2"/>
      <c r="H284" s="14">
        <f t="shared" si="68"/>
        <v>0</v>
      </c>
      <c r="I284" s="15" t="str">
        <f>IFERROR(H284/H444, "NA")</f>
        <v>NA</v>
      </c>
      <c r="J284" s="2"/>
      <c r="K284" s="14">
        <f>IFERROR(K275+K276+K277+K278+K279+K280+K281+K282+K283, "NA")</f>
        <v>0</v>
      </c>
      <c r="L284" s="15" t="str">
        <f>IFERROR(K284/K444, "NA")</f>
        <v>NA</v>
      </c>
      <c r="M284" s="2"/>
      <c r="N284" s="14">
        <f t="shared" si="69"/>
        <v>0</v>
      </c>
      <c r="O284" s="15" t="str">
        <f>IFERROR(N284/N444, "NA")</f>
        <v>NA</v>
      </c>
      <c r="P284" s="2"/>
      <c r="Q284" s="14">
        <f>IFERROR(Q275+Q276+Q277+Q278+Q279+Q280+Q281+Q282+Q283, "NA")</f>
        <v>0</v>
      </c>
      <c r="R284" s="15" t="str">
        <f>IFERROR(Q284/Q444, "NA")</f>
        <v>NA</v>
      </c>
      <c r="S284" s="2"/>
      <c r="T284" s="14">
        <f>IFERROR(T275+T276+T277+T278+T279+T280+T281+T282+T283, "NA")</f>
        <v>0</v>
      </c>
      <c r="U284" s="15" t="str">
        <f>IFERROR(T284/T444, "NA")</f>
        <v>NA</v>
      </c>
      <c r="V284" s="2"/>
      <c r="W284" s="14">
        <f t="shared" si="70"/>
        <v>0</v>
      </c>
      <c r="X284" s="15" t="str">
        <f>IFERROR(W284/W444, "NA")</f>
        <v>NA</v>
      </c>
      <c r="Y284" s="2"/>
      <c r="Z284" s="14">
        <f>IFERROR(Z275+Z276+Z277+Z278+Z279+Z280+Z281+Z282+Z283, "NA")</f>
        <v>0</v>
      </c>
      <c r="AA284" s="15" t="str">
        <f>IFERROR(Z284/Z444, "NA")</f>
        <v>NA</v>
      </c>
      <c r="AB284" s="2"/>
      <c r="AC284" s="14">
        <f t="shared" si="71"/>
        <v>0</v>
      </c>
      <c r="AD284" s="15" t="str">
        <f>IFERROR(AC284/AC444, "NA")</f>
        <v>NA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 t="str">
        <f>IFERROR(B286/B444, "NA")</f>
        <v>NA</v>
      </c>
      <c r="D286" s="9"/>
      <c r="E286" s="7">
        <v>0</v>
      </c>
      <c r="F286" s="8" t="str">
        <f>IFERROR(E286/E444, "NA")</f>
        <v>NA</v>
      </c>
      <c r="G286" s="9"/>
      <c r="H286" s="10">
        <f t="shared" ref="H286:H295" si="72">IFERROR(-(B286-E286), "NA")</f>
        <v>0</v>
      </c>
      <c r="I286" s="8" t="str">
        <f>IFERROR(H286/H444, "NA")</f>
        <v>NA</v>
      </c>
      <c r="J286" s="9"/>
      <c r="K286" s="7">
        <v>0</v>
      </c>
      <c r="L286" s="8" t="str">
        <f>IFERROR(K286/K444, "NA")</f>
        <v>NA</v>
      </c>
      <c r="M286" s="9"/>
      <c r="N286" s="10">
        <f t="shared" ref="N286:N295" si="73">IFERROR(-(B286-K286), "NA")</f>
        <v>0</v>
      </c>
      <c r="O286" s="8" t="str">
        <f>IFERROR(N286/N444, "NA")</f>
        <v>NA</v>
      </c>
      <c r="P286" s="9"/>
      <c r="Q286" s="7">
        <v>0</v>
      </c>
      <c r="R286" s="8" t="str">
        <f>IFERROR(Q286/Q444, "NA")</f>
        <v>NA</v>
      </c>
      <c r="S286" s="9"/>
      <c r="T286" s="7">
        <v>0</v>
      </c>
      <c r="U286" s="8" t="str">
        <f>IFERROR(T286/T444, "NA")</f>
        <v>NA</v>
      </c>
      <c r="V286" s="9"/>
      <c r="W286" s="10">
        <f t="shared" ref="W286:W295" si="74">IFERROR(-(Q286-T286), "NA")</f>
        <v>0</v>
      </c>
      <c r="X286" s="8" t="str">
        <f>IFERROR(W286/W444, "NA")</f>
        <v>NA</v>
      </c>
      <c r="Y286" s="9"/>
      <c r="Z286" s="7">
        <v>0</v>
      </c>
      <c r="AA286" s="8" t="str">
        <f>IFERROR(Z286/Z444, "NA")</f>
        <v>NA</v>
      </c>
      <c r="AB286" s="9"/>
      <c r="AC286" s="10">
        <f t="shared" ref="AC286:AC295" si="75">IFERROR(-(Q286-Z286), "NA")</f>
        <v>0</v>
      </c>
      <c r="AD286" s="8" t="str">
        <f>IFERROR(AC286/AC444, "NA")</f>
        <v>NA</v>
      </c>
    </row>
    <row r="287" spans="1:30" ht="16.5" hidden="1" customHeight="1" x14ac:dyDescent="0.45">
      <c r="A287" s="6" t="s">
        <v>260</v>
      </c>
      <c r="B287" s="7">
        <v>0</v>
      </c>
      <c r="C287" s="8" t="str">
        <f>IFERROR(B287/B444, "NA")</f>
        <v>NA</v>
      </c>
      <c r="D287" s="9"/>
      <c r="E287" s="7">
        <v>0</v>
      </c>
      <c r="F287" s="8" t="str">
        <f>IFERROR(E287/E444, "NA")</f>
        <v>NA</v>
      </c>
      <c r="G287" s="9"/>
      <c r="H287" s="10">
        <f t="shared" si="72"/>
        <v>0</v>
      </c>
      <c r="I287" s="8" t="str">
        <f>IFERROR(H287/H444, "NA")</f>
        <v>NA</v>
      </c>
      <c r="J287" s="9"/>
      <c r="K287" s="7">
        <v>0</v>
      </c>
      <c r="L287" s="8" t="str">
        <f>IFERROR(K287/K444, "NA")</f>
        <v>NA</v>
      </c>
      <c r="M287" s="9"/>
      <c r="N287" s="10">
        <f t="shared" si="73"/>
        <v>0</v>
      </c>
      <c r="O287" s="8" t="str">
        <f>IFERROR(N287/N444, "NA")</f>
        <v>NA</v>
      </c>
      <c r="P287" s="9"/>
      <c r="Q287" s="7">
        <v>0</v>
      </c>
      <c r="R287" s="8" t="str">
        <f>IFERROR(Q287/Q444, "NA")</f>
        <v>NA</v>
      </c>
      <c r="S287" s="9"/>
      <c r="T287" s="7">
        <v>0</v>
      </c>
      <c r="U287" s="8" t="str">
        <f>IFERROR(T287/T444, "NA")</f>
        <v>NA</v>
      </c>
      <c r="V287" s="9"/>
      <c r="W287" s="10">
        <f t="shared" si="74"/>
        <v>0</v>
      </c>
      <c r="X287" s="8" t="str">
        <f>IFERROR(W287/W444, "NA")</f>
        <v>NA</v>
      </c>
      <c r="Y287" s="9"/>
      <c r="Z287" s="7">
        <v>0</v>
      </c>
      <c r="AA287" s="8" t="str">
        <f>IFERROR(Z287/Z444, "NA")</f>
        <v>NA</v>
      </c>
      <c r="AB287" s="9"/>
      <c r="AC287" s="10">
        <f t="shared" si="75"/>
        <v>0</v>
      </c>
      <c r="AD287" s="8" t="str">
        <f>IFERROR(AC287/AC444, "NA")</f>
        <v>NA</v>
      </c>
    </row>
    <row r="288" spans="1:30" ht="16.5" hidden="1" customHeight="1" x14ac:dyDescent="0.45">
      <c r="A288" s="6" t="s">
        <v>261</v>
      </c>
      <c r="B288" s="7">
        <v>0</v>
      </c>
      <c r="C288" s="8" t="str">
        <f>IFERROR(B288/B444, "NA")</f>
        <v>NA</v>
      </c>
      <c r="D288" s="9"/>
      <c r="E288" s="7">
        <v>0</v>
      </c>
      <c r="F288" s="8" t="str">
        <f>IFERROR(E288/E444, "NA")</f>
        <v>NA</v>
      </c>
      <c r="G288" s="9"/>
      <c r="H288" s="10">
        <f t="shared" si="72"/>
        <v>0</v>
      </c>
      <c r="I288" s="8" t="str">
        <f>IFERROR(H288/H444, "NA")</f>
        <v>NA</v>
      </c>
      <c r="J288" s="9"/>
      <c r="K288" s="7">
        <v>0</v>
      </c>
      <c r="L288" s="8" t="str">
        <f>IFERROR(K288/K444, "NA")</f>
        <v>NA</v>
      </c>
      <c r="M288" s="9"/>
      <c r="N288" s="10">
        <f t="shared" si="73"/>
        <v>0</v>
      </c>
      <c r="O288" s="8" t="str">
        <f>IFERROR(N288/N444, "NA")</f>
        <v>NA</v>
      </c>
      <c r="P288" s="9"/>
      <c r="Q288" s="7">
        <v>0</v>
      </c>
      <c r="R288" s="8" t="str">
        <f>IFERROR(Q288/Q444, "NA")</f>
        <v>NA</v>
      </c>
      <c r="S288" s="9"/>
      <c r="T288" s="7">
        <v>0</v>
      </c>
      <c r="U288" s="8" t="str">
        <f>IFERROR(T288/T444, "NA")</f>
        <v>NA</v>
      </c>
      <c r="V288" s="9"/>
      <c r="W288" s="10">
        <f t="shared" si="74"/>
        <v>0</v>
      </c>
      <c r="X288" s="8" t="str">
        <f>IFERROR(W288/W444, "NA")</f>
        <v>NA</v>
      </c>
      <c r="Y288" s="9"/>
      <c r="Z288" s="7">
        <v>0</v>
      </c>
      <c r="AA288" s="8" t="str">
        <f>IFERROR(Z288/Z444, "NA")</f>
        <v>NA</v>
      </c>
      <c r="AB288" s="9"/>
      <c r="AC288" s="10">
        <f t="shared" si="75"/>
        <v>0</v>
      </c>
      <c r="AD288" s="8" t="str">
        <f>IFERROR(AC288/AC444, "NA")</f>
        <v>NA</v>
      </c>
    </row>
    <row r="289" spans="1:30" ht="16.5" hidden="1" customHeight="1" x14ac:dyDescent="0.45">
      <c r="A289" s="6" t="s">
        <v>262</v>
      </c>
      <c r="B289" s="7">
        <v>0</v>
      </c>
      <c r="C289" s="8" t="str">
        <f>IFERROR(B289/B444, "NA")</f>
        <v>NA</v>
      </c>
      <c r="D289" s="9"/>
      <c r="E289" s="7">
        <v>0</v>
      </c>
      <c r="F289" s="8" t="str">
        <f>IFERROR(E289/E444, "NA")</f>
        <v>NA</v>
      </c>
      <c r="G289" s="9"/>
      <c r="H289" s="10">
        <f t="shared" si="72"/>
        <v>0</v>
      </c>
      <c r="I289" s="8" t="str">
        <f>IFERROR(H289/H444, "NA")</f>
        <v>NA</v>
      </c>
      <c r="J289" s="9"/>
      <c r="K289" s="7">
        <v>0</v>
      </c>
      <c r="L289" s="8" t="str">
        <f>IFERROR(K289/K444, "NA")</f>
        <v>NA</v>
      </c>
      <c r="M289" s="9"/>
      <c r="N289" s="10">
        <f t="shared" si="73"/>
        <v>0</v>
      </c>
      <c r="O289" s="8" t="str">
        <f>IFERROR(N289/N444, "NA")</f>
        <v>NA</v>
      </c>
      <c r="P289" s="9"/>
      <c r="Q289" s="7">
        <v>0</v>
      </c>
      <c r="R289" s="8" t="str">
        <f>IFERROR(Q289/Q444, "NA")</f>
        <v>NA</v>
      </c>
      <c r="S289" s="9"/>
      <c r="T289" s="7">
        <v>0</v>
      </c>
      <c r="U289" s="8" t="str">
        <f>IFERROR(T289/T444, "NA")</f>
        <v>NA</v>
      </c>
      <c r="V289" s="9"/>
      <c r="W289" s="10">
        <f t="shared" si="74"/>
        <v>0</v>
      </c>
      <c r="X289" s="8" t="str">
        <f>IFERROR(W289/W444, "NA")</f>
        <v>NA</v>
      </c>
      <c r="Y289" s="9"/>
      <c r="Z289" s="7">
        <v>0</v>
      </c>
      <c r="AA289" s="8" t="str">
        <f>IFERROR(Z289/Z444, "NA")</f>
        <v>NA</v>
      </c>
      <c r="AB289" s="9"/>
      <c r="AC289" s="10">
        <f t="shared" si="75"/>
        <v>0</v>
      </c>
      <c r="AD289" s="8" t="str">
        <f>IFERROR(AC289/AC444, "NA")</f>
        <v>NA</v>
      </c>
    </row>
    <row r="290" spans="1:30" ht="16.5" hidden="1" customHeight="1" x14ac:dyDescent="0.45">
      <c r="A290" s="6" t="s">
        <v>263</v>
      </c>
      <c r="B290" s="7">
        <v>0</v>
      </c>
      <c r="C290" s="8" t="str">
        <f>IFERROR(B290/B444, "NA")</f>
        <v>NA</v>
      </c>
      <c r="D290" s="9"/>
      <c r="E290" s="7">
        <v>0</v>
      </c>
      <c r="F290" s="8" t="str">
        <f>IFERROR(E290/E444, "NA")</f>
        <v>NA</v>
      </c>
      <c r="G290" s="9"/>
      <c r="H290" s="10">
        <f t="shared" si="72"/>
        <v>0</v>
      </c>
      <c r="I290" s="8" t="str">
        <f>IFERROR(H290/H444, "NA")</f>
        <v>NA</v>
      </c>
      <c r="J290" s="9"/>
      <c r="K290" s="7">
        <v>0</v>
      </c>
      <c r="L290" s="8" t="str">
        <f>IFERROR(K290/K444, "NA")</f>
        <v>NA</v>
      </c>
      <c r="M290" s="9"/>
      <c r="N290" s="10">
        <f t="shared" si="73"/>
        <v>0</v>
      </c>
      <c r="O290" s="8" t="str">
        <f>IFERROR(N290/N444, "NA")</f>
        <v>NA</v>
      </c>
      <c r="P290" s="9"/>
      <c r="Q290" s="7">
        <v>0</v>
      </c>
      <c r="R290" s="8" t="str">
        <f>IFERROR(Q290/Q444, "NA")</f>
        <v>NA</v>
      </c>
      <c r="S290" s="9"/>
      <c r="T290" s="7">
        <v>0</v>
      </c>
      <c r="U290" s="8" t="str">
        <f>IFERROR(T290/T444, "NA")</f>
        <v>NA</v>
      </c>
      <c r="V290" s="9"/>
      <c r="W290" s="10">
        <f t="shared" si="74"/>
        <v>0</v>
      </c>
      <c r="X290" s="8" t="str">
        <f>IFERROR(W290/W444, "NA")</f>
        <v>NA</v>
      </c>
      <c r="Y290" s="9"/>
      <c r="Z290" s="7">
        <v>0</v>
      </c>
      <c r="AA290" s="8" t="str">
        <f>IFERROR(Z290/Z444, "NA")</f>
        <v>NA</v>
      </c>
      <c r="AB290" s="9"/>
      <c r="AC290" s="10">
        <f t="shared" si="75"/>
        <v>0</v>
      </c>
      <c r="AD290" s="8" t="str">
        <f>IFERROR(AC290/AC444, "NA")</f>
        <v>NA</v>
      </c>
    </row>
    <row r="291" spans="1:30" ht="16.5" hidden="1" customHeight="1" x14ac:dyDescent="0.45">
      <c r="A291" s="6" t="s">
        <v>264</v>
      </c>
      <c r="B291" s="7">
        <v>0</v>
      </c>
      <c r="C291" s="8" t="str">
        <f>IFERROR(B291/B444, "NA")</f>
        <v>NA</v>
      </c>
      <c r="D291" s="9"/>
      <c r="E291" s="7">
        <v>0</v>
      </c>
      <c r="F291" s="8" t="str">
        <f>IFERROR(E291/E444, "NA")</f>
        <v>NA</v>
      </c>
      <c r="G291" s="9"/>
      <c r="H291" s="10">
        <f t="shared" si="72"/>
        <v>0</v>
      </c>
      <c r="I291" s="8" t="str">
        <f>IFERROR(H291/H444, "NA")</f>
        <v>NA</v>
      </c>
      <c r="J291" s="9"/>
      <c r="K291" s="7">
        <v>0</v>
      </c>
      <c r="L291" s="8" t="str">
        <f>IFERROR(K291/K444, "NA")</f>
        <v>NA</v>
      </c>
      <c r="M291" s="9"/>
      <c r="N291" s="10">
        <f t="shared" si="73"/>
        <v>0</v>
      </c>
      <c r="O291" s="8" t="str">
        <f>IFERROR(N291/N444, "NA")</f>
        <v>NA</v>
      </c>
      <c r="P291" s="9"/>
      <c r="Q291" s="7">
        <v>0</v>
      </c>
      <c r="R291" s="8" t="str">
        <f>IFERROR(Q291/Q444, "NA")</f>
        <v>NA</v>
      </c>
      <c r="S291" s="9"/>
      <c r="T291" s="7">
        <v>0</v>
      </c>
      <c r="U291" s="8" t="str">
        <f>IFERROR(T291/T444, "NA")</f>
        <v>NA</v>
      </c>
      <c r="V291" s="9"/>
      <c r="W291" s="10">
        <f t="shared" si="74"/>
        <v>0</v>
      </c>
      <c r="X291" s="8" t="str">
        <f>IFERROR(W291/W444, "NA")</f>
        <v>NA</v>
      </c>
      <c r="Y291" s="9"/>
      <c r="Z291" s="7">
        <v>0</v>
      </c>
      <c r="AA291" s="8" t="str">
        <f>IFERROR(Z291/Z444, "NA")</f>
        <v>NA</v>
      </c>
      <c r="AB291" s="9"/>
      <c r="AC291" s="10">
        <f t="shared" si="75"/>
        <v>0</v>
      </c>
      <c r="AD291" s="8" t="str">
        <f>IFERROR(AC291/AC444, "NA")</f>
        <v>NA</v>
      </c>
    </row>
    <row r="292" spans="1:30" ht="16.5" hidden="1" customHeight="1" x14ac:dyDescent="0.45">
      <c r="A292" s="6" t="s">
        <v>265</v>
      </c>
      <c r="B292" s="7">
        <v>0</v>
      </c>
      <c r="C292" s="8" t="str">
        <f>IFERROR(B292/B444, "NA")</f>
        <v>NA</v>
      </c>
      <c r="D292" s="9"/>
      <c r="E292" s="7">
        <v>0</v>
      </c>
      <c r="F292" s="8" t="str">
        <f>IFERROR(E292/E444, "NA")</f>
        <v>NA</v>
      </c>
      <c r="G292" s="9"/>
      <c r="H292" s="10">
        <f t="shared" si="72"/>
        <v>0</v>
      </c>
      <c r="I292" s="8" t="str">
        <f>IFERROR(H292/H444, "NA")</f>
        <v>NA</v>
      </c>
      <c r="J292" s="9"/>
      <c r="K292" s="7">
        <v>0</v>
      </c>
      <c r="L292" s="8" t="str">
        <f>IFERROR(K292/K444, "NA")</f>
        <v>NA</v>
      </c>
      <c r="M292" s="9"/>
      <c r="N292" s="10">
        <f t="shared" si="73"/>
        <v>0</v>
      </c>
      <c r="O292" s="8" t="str">
        <f>IFERROR(N292/N444, "NA")</f>
        <v>NA</v>
      </c>
      <c r="P292" s="9"/>
      <c r="Q292" s="7">
        <v>0</v>
      </c>
      <c r="R292" s="8" t="str">
        <f>IFERROR(Q292/Q444, "NA")</f>
        <v>NA</v>
      </c>
      <c r="S292" s="9"/>
      <c r="T292" s="7">
        <v>0</v>
      </c>
      <c r="U292" s="8" t="str">
        <f>IFERROR(T292/T444, "NA")</f>
        <v>NA</v>
      </c>
      <c r="V292" s="9"/>
      <c r="W292" s="10">
        <f t="shared" si="74"/>
        <v>0</v>
      </c>
      <c r="X292" s="8" t="str">
        <f>IFERROR(W292/W444, "NA")</f>
        <v>NA</v>
      </c>
      <c r="Y292" s="9"/>
      <c r="Z292" s="7">
        <v>0</v>
      </c>
      <c r="AA292" s="8" t="str">
        <f>IFERROR(Z292/Z444, "NA")</f>
        <v>NA</v>
      </c>
      <c r="AB292" s="9"/>
      <c r="AC292" s="10">
        <f t="shared" si="75"/>
        <v>0</v>
      </c>
      <c r="AD292" s="8" t="str">
        <f>IFERROR(AC292/AC444, "NA")</f>
        <v>NA</v>
      </c>
    </row>
    <row r="293" spans="1:30" ht="16.5" hidden="1" customHeight="1" x14ac:dyDescent="0.45">
      <c r="A293" s="6" t="s">
        <v>266</v>
      </c>
      <c r="B293" s="7">
        <v>0</v>
      </c>
      <c r="C293" s="8" t="str">
        <f>IFERROR(B293/B444, "NA")</f>
        <v>NA</v>
      </c>
      <c r="D293" s="9"/>
      <c r="E293" s="7">
        <v>0</v>
      </c>
      <c r="F293" s="8" t="str">
        <f>IFERROR(E293/E444, "NA")</f>
        <v>NA</v>
      </c>
      <c r="G293" s="9"/>
      <c r="H293" s="10">
        <f t="shared" si="72"/>
        <v>0</v>
      </c>
      <c r="I293" s="8" t="str">
        <f>IFERROR(H293/H444, "NA")</f>
        <v>NA</v>
      </c>
      <c r="J293" s="9"/>
      <c r="K293" s="7">
        <v>0</v>
      </c>
      <c r="L293" s="8" t="str">
        <f>IFERROR(K293/K444, "NA")</f>
        <v>NA</v>
      </c>
      <c r="M293" s="9"/>
      <c r="N293" s="10">
        <f t="shared" si="73"/>
        <v>0</v>
      </c>
      <c r="O293" s="8" t="str">
        <f>IFERROR(N293/N444, "NA")</f>
        <v>NA</v>
      </c>
      <c r="P293" s="9"/>
      <c r="Q293" s="7">
        <v>0</v>
      </c>
      <c r="R293" s="8" t="str">
        <f>IFERROR(Q293/Q444, "NA")</f>
        <v>NA</v>
      </c>
      <c r="S293" s="9"/>
      <c r="T293" s="7">
        <v>0</v>
      </c>
      <c r="U293" s="8" t="str">
        <f>IFERROR(T293/T444, "NA")</f>
        <v>NA</v>
      </c>
      <c r="V293" s="9"/>
      <c r="W293" s="10">
        <f t="shared" si="74"/>
        <v>0</v>
      </c>
      <c r="X293" s="8" t="str">
        <f>IFERROR(W293/W444, "NA")</f>
        <v>NA</v>
      </c>
      <c r="Y293" s="9"/>
      <c r="Z293" s="7">
        <v>0</v>
      </c>
      <c r="AA293" s="8" t="str">
        <f>IFERROR(Z293/Z444, "NA")</f>
        <v>NA</v>
      </c>
      <c r="AB293" s="9"/>
      <c r="AC293" s="10">
        <f t="shared" si="75"/>
        <v>0</v>
      </c>
      <c r="AD293" s="8" t="str">
        <f>IFERROR(AC293/AC444, "NA")</f>
        <v>NA</v>
      </c>
    </row>
    <row r="294" spans="1:30" ht="16.5" hidden="1" customHeight="1" x14ac:dyDescent="0.45">
      <c r="A294" s="6" t="s">
        <v>267</v>
      </c>
      <c r="B294" s="7">
        <v>0</v>
      </c>
      <c r="C294" s="8" t="str">
        <f>IFERROR(B294/B444, "NA")</f>
        <v>NA</v>
      </c>
      <c r="D294" s="9"/>
      <c r="E294" s="7">
        <v>0</v>
      </c>
      <c r="F294" s="8" t="str">
        <f>IFERROR(E294/E444, "NA")</f>
        <v>NA</v>
      </c>
      <c r="G294" s="9"/>
      <c r="H294" s="10">
        <f t="shared" si="72"/>
        <v>0</v>
      </c>
      <c r="I294" s="8" t="str">
        <f>IFERROR(H294/H444, "NA")</f>
        <v>NA</v>
      </c>
      <c r="J294" s="9"/>
      <c r="K294" s="7">
        <v>0</v>
      </c>
      <c r="L294" s="8" t="str">
        <f>IFERROR(K294/K444, "NA")</f>
        <v>NA</v>
      </c>
      <c r="M294" s="9"/>
      <c r="N294" s="10">
        <f t="shared" si="73"/>
        <v>0</v>
      </c>
      <c r="O294" s="8" t="str">
        <f>IFERROR(N294/N444, "NA")</f>
        <v>NA</v>
      </c>
      <c r="P294" s="9"/>
      <c r="Q294" s="7">
        <v>0</v>
      </c>
      <c r="R294" s="8" t="str">
        <f>IFERROR(Q294/Q444, "NA")</f>
        <v>NA</v>
      </c>
      <c r="S294" s="9"/>
      <c r="T294" s="7">
        <v>0</v>
      </c>
      <c r="U294" s="8" t="str">
        <f>IFERROR(T294/T444, "NA")</f>
        <v>NA</v>
      </c>
      <c r="V294" s="9"/>
      <c r="W294" s="10">
        <f t="shared" si="74"/>
        <v>0</v>
      </c>
      <c r="X294" s="8" t="str">
        <f>IFERROR(W294/W444, "NA")</f>
        <v>NA</v>
      </c>
      <c r="Y294" s="9"/>
      <c r="Z294" s="7">
        <v>0</v>
      </c>
      <c r="AA294" s="8" t="str">
        <f>IFERROR(Z294/Z444, "NA")</f>
        <v>NA</v>
      </c>
      <c r="AB294" s="9"/>
      <c r="AC294" s="10">
        <f t="shared" si="75"/>
        <v>0</v>
      </c>
      <c r="AD294" s="8" t="str">
        <f>IFERROR(AC294/AC444, "NA")</f>
        <v>NA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0</v>
      </c>
      <c r="C295" s="15" t="str">
        <f>IFERROR(B295/B444, "NA")</f>
        <v>NA</v>
      </c>
      <c r="D295" s="2"/>
      <c r="E295" s="14">
        <f>IFERROR(E286+E287+E288+E289+E290+E291+E292+E293+E294, "NA")</f>
        <v>0</v>
      </c>
      <c r="F295" s="15" t="str">
        <f>IFERROR(E295/E444, "NA")</f>
        <v>NA</v>
      </c>
      <c r="G295" s="2"/>
      <c r="H295" s="14">
        <f t="shared" si="72"/>
        <v>0</v>
      </c>
      <c r="I295" s="15" t="str">
        <f>IFERROR(H295/H444, "NA")</f>
        <v>NA</v>
      </c>
      <c r="J295" s="2"/>
      <c r="K295" s="14">
        <f>IFERROR(K286+K287+K288+K289+K290+K291+K292+K293+K294, "NA")</f>
        <v>0</v>
      </c>
      <c r="L295" s="15" t="str">
        <f>IFERROR(K295/K444, "NA")</f>
        <v>NA</v>
      </c>
      <c r="M295" s="2"/>
      <c r="N295" s="14">
        <f t="shared" si="73"/>
        <v>0</v>
      </c>
      <c r="O295" s="15" t="str">
        <f>IFERROR(N295/N444, "NA")</f>
        <v>NA</v>
      </c>
      <c r="P295" s="2"/>
      <c r="Q295" s="14">
        <f>IFERROR(Q286+Q287+Q288+Q289+Q290+Q291+Q292+Q293+Q294, "NA")</f>
        <v>0</v>
      </c>
      <c r="R295" s="15" t="str">
        <f>IFERROR(Q295/Q444, "NA")</f>
        <v>NA</v>
      </c>
      <c r="S295" s="2"/>
      <c r="T295" s="14">
        <f>IFERROR(T286+T287+T288+T289+T290+T291+T292+T293+T294, "NA")</f>
        <v>0</v>
      </c>
      <c r="U295" s="15" t="str">
        <f>IFERROR(T295/T444, "NA")</f>
        <v>NA</v>
      </c>
      <c r="V295" s="2"/>
      <c r="W295" s="14">
        <f t="shared" si="74"/>
        <v>0</v>
      </c>
      <c r="X295" s="15" t="str">
        <f>IFERROR(W295/W444, "NA")</f>
        <v>NA</v>
      </c>
      <c r="Y295" s="2"/>
      <c r="Z295" s="14">
        <f>IFERROR(Z286+Z287+Z288+Z289+Z290+Z291+Z292+Z293+Z294, "NA")</f>
        <v>0</v>
      </c>
      <c r="AA295" s="15" t="str">
        <f>IFERROR(Z295/Z444, "NA")</f>
        <v>NA</v>
      </c>
      <c r="AB295" s="2"/>
      <c r="AC295" s="14">
        <f t="shared" si="75"/>
        <v>0</v>
      </c>
      <c r="AD295" s="15" t="str">
        <f>IFERROR(AC295/AC444, "NA")</f>
        <v>NA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 t="str">
        <f>IFERROR(B297/B444, "NA")</f>
        <v>NA</v>
      </c>
      <c r="D297" s="9"/>
      <c r="E297" s="7">
        <v>0</v>
      </c>
      <c r="F297" s="8" t="str">
        <f>IFERROR(E297/E444, "NA")</f>
        <v>NA</v>
      </c>
      <c r="G297" s="9"/>
      <c r="H297" s="10">
        <f t="shared" ref="H297:H325" si="76">IFERROR(-(B297-E297), "NA")</f>
        <v>0</v>
      </c>
      <c r="I297" s="8" t="str">
        <f>IFERROR(H297/H444, "NA")</f>
        <v>NA</v>
      </c>
      <c r="J297" s="9"/>
      <c r="K297" s="7">
        <v>0</v>
      </c>
      <c r="L297" s="8" t="str">
        <f>IFERROR(K297/K444, "NA")</f>
        <v>NA</v>
      </c>
      <c r="M297" s="9"/>
      <c r="N297" s="10">
        <f t="shared" ref="N297:N325" si="77">IFERROR(-(B297-K297), "NA")</f>
        <v>0</v>
      </c>
      <c r="O297" s="8" t="str">
        <f>IFERROR(N297/N444, "NA")</f>
        <v>NA</v>
      </c>
      <c r="P297" s="9"/>
      <c r="Q297" s="7">
        <v>0</v>
      </c>
      <c r="R297" s="8" t="str">
        <f>IFERROR(Q297/Q444, "NA")</f>
        <v>NA</v>
      </c>
      <c r="S297" s="9"/>
      <c r="T297" s="7">
        <v>0</v>
      </c>
      <c r="U297" s="8" t="str">
        <f>IFERROR(T297/T444, "NA")</f>
        <v>NA</v>
      </c>
      <c r="V297" s="9"/>
      <c r="W297" s="10">
        <f t="shared" ref="W297:W325" si="78">IFERROR(-(Q297-T297), "NA")</f>
        <v>0</v>
      </c>
      <c r="X297" s="8" t="str">
        <f>IFERROR(W297/W444, "NA")</f>
        <v>NA</v>
      </c>
      <c r="Y297" s="9"/>
      <c r="Z297" s="7">
        <v>0</v>
      </c>
      <c r="AA297" s="8" t="str">
        <f>IFERROR(Z297/Z444, "NA")</f>
        <v>NA</v>
      </c>
      <c r="AB297" s="9"/>
      <c r="AC297" s="10">
        <f t="shared" ref="AC297:AC325" si="79">IFERROR(-(Q297-Z297), "NA")</f>
        <v>0</v>
      </c>
      <c r="AD297" s="8" t="str">
        <f>IFERROR(AC297/AC444, "NA")</f>
        <v>NA</v>
      </c>
    </row>
    <row r="298" spans="1:30" ht="16.5" hidden="1" customHeight="1" x14ac:dyDescent="0.45">
      <c r="A298" s="6" t="s">
        <v>270</v>
      </c>
      <c r="B298" s="7">
        <v>0</v>
      </c>
      <c r="C298" s="8" t="str">
        <f>IFERROR(B298/B444, "NA")</f>
        <v>NA</v>
      </c>
      <c r="D298" s="9"/>
      <c r="E298" s="7">
        <v>0</v>
      </c>
      <c r="F298" s="8" t="str">
        <f>IFERROR(E298/E444, "NA")</f>
        <v>NA</v>
      </c>
      <c r="G298" s="9"/>
      <c r="H298" s="10">
        <f t="shared" si="76"/>
        <v>0</v>
      </c>
      <c r="I298" s="8" t="str">
        <f>IFERROR(H298/H444, "NA")</f>
        <v>NA</v>
      </c>
      <c r="J298" s="9"/>
      <c r="K298" s="7">
        <v>0</v>
      </c>
      <c r="L298" s="8" t="str">
        <f>IFERROR(K298/K444, "NA")</f>
        <v>NA</v>
      </c>
      <c r="M298" s="9"/>
      <c r="N298" s="10">
        <f t="shared" si="77"/>
        <v>0</v>
      </c>
      <c r="O298" s="8" t="str">
        <f>IFERROR(N298/N444, "NA")</f>
        <v>NA</v>
      </c>
      <c r="P298" s="9"/>
      <c r="Q298" s="7">
        <v>0</v>
      </c>
      <c r="R298" s="8" t="str">
        <f>IFERROR(Q298/Q444, "NA")</f>
        <v>NA</v>
      </c>
      <c r="S298" s="9"/>
      <c r="T298" s="7">
        <v>0</v>
      </c>
      <c r="U298" s="8" t="str">
        <f>IFERROR(T298/T444, "NA")</f>
        <v>NA</v>
      </c>
      <c r="V298" s="9"/>
      <c r="W298" s="10">
        <f t="shared" si="78"/>
        <v>0</v>
      </c>
      <c r="X298" s="8" t="str">
        <f>IFERROR(W298/W444, "NA")</f>
        <v>NA</v>
      </c>
      <c r="Y298" s="9"/>
      <c r="Z298" s="7">
        <v>0</v>
      </c>
      <c r="AA298" s="8" t="str">
        <f>IFERROR(Z298/Z444, "NA")</f>
        <v>NA</v>
      </c>
      <c r="AB298" s="9"/>
      <c r="AC298" s="10">
        <f t="shared" si="79"/>
        <v>0</v>
      </c>
      <c r="AD298" s="8" t="str">
        <f>IFERROR(AC298/AC444, "NA")</f>
        <v>NA</v>
      </c>
    </row>
    <row r="299" spans="1:30" ht="16.5" hidden="1" customHeight="1" x14ac:dyDescent="0.45">
      <c r="A299" s="6" t="s">
        <v>271</v>
      </c>
      <c r="B299" s="7">
        <v>0</v>
      </c>
      <c r="C299" s="8" t="str">
        <f>IFERROR(B299/B444, "NA")</f>
        <v>NA</v>
      </c>
      <c r="D299" s="9"/>
      <c r="E299" s="7">
        <v>0</v>
      </c>
      <c r="F299" s="8" t="str">
        <f>IFERROR(E299/E444, "NA")</f>
        <v>NA</v>
      </c>
      <c r="G299" s="9"/>
      <c r="H299" s="10">
        <f t="shared" si="76"/>
        <v>0</v>
      </c>
      <c r="I299" s="8" t="str">
        <f>IFERROR(H299/H444, "NA")</f>
        <v>NA</v>
      </c>
      <c r="J299" s="9"/>
      <c r="K299" s="7">
        <v>0</v>
      </c>
      <c r="L299" s="8" t="str">
        <f>IFERROR(K299/K444, "NA")</f>
        <v>NA</v>
      </c>
      <c r="M299" s="9"/>
      <c r="N299" s="10">
        <f t="shared" si="77"/>
        <v>0</v>
      </c>
      <c r="O299" s="8" t="str">
        <f>IFERROR(N299/N444, "NA")</f>
        <v>NA</v>
      </c>
      <c r="P299" s="9"/>
      <c r="Q299" s="7">
        <v>0</v>
      </c>
      <c r="R299" s="8" t="str">
        <f>IFERROR(Q299/Q444, "NA")</f>
        <v>NA</v>
      </c>
      <c r="S299" s="9"/>
      <c r="T299" s="7">
        <v>0</v>
      </c>
      <c r="U299" s="8" t="str">
        <f>IFERROR(T299/T444, "NA")</f>
        <v>NA</v>
      </c>
      <c r="V299" s="9"/>
      <c r="W299" s="10">
        <f t="shared" si="78"/>
        <v>0</v>
      </c>
      <c r="X299" s="8" t="str">
        <f>IFERROR(W299/W444, "NA")</f>
        <v>NA</v>
      </c>
      <c r="Y299" s="9"/>
      <c r="Z299" s="7">
        <v>0</v>
      </c>
      <c r="AA299" s="8" t="str">
        <f>IFERROR(Z299/Z444, "NA")</f>
        <v>NA</v>
      </c>
      <c r="AB299" s="9"/>
      <c r="AC299" s="10">
        <f t="shared" si="79"/>
        <v>0</v>
      </c>
      <c r="AD299" s="8" t="str">
        <f>IFERROR(AC299/AC444, "NA")</f>
        <v>NA</v>
      </c>
    </row>
    <row r="300" spans="1:30" ht="16.5" hidden="1" customHeight="1" x14ac:dyDescent="0.45">
      <c r="A300" s="6" t="s">
        <v>272</v>
      </c>
      <c r="B300" s="7">
        <v>0</v>
      </c>
      <c r="C300" s="8" t="str">
        <f>IFERROR(B300/B444, "NA")</f>
        <v>NA</v>
      </c>
      <c r="D300" s="9"/>
      <c r="E300" s="7">
        <v>0</v>
      </c>
      <c r="F300" s="8" t="str">
        <f>IFERROR(E300/E444, "NA")</f>
        <v>NA</v>
      </c>
      <c r="G300" s="9"/>
      <c r="H300" s="10">
        <f t="shared" si="76"/>
        <v>0</v>
      </c>
      <c r="I300" s="8" t="str">
        <f>IFERROR(H300/H444, "NA")</f>
        <v>NA</v>
      </c>
      <c r="J300" s="9"/>
      <c r="K300" s="7">
        <v>0</v>
      </c>
      <c r="L300" s="8" t="str">
        <f>IFERROR(K300/K444, "NA")</f>
        <v>NA</v>
      </c>
      <c r="M300" s="9"/>
      <c r="N300" s="10">
        <f t="shared" si="77"/>
        <v>0</v>
      </c>
      <c r="O300" s="8" t="str">
        <f>IFERROR(N300/N444, "NA")</f>
        <v>NA</v>
      </c>
      <c r="P300" s="9"/>
      <c r="Q300" s="7">
        <v>0</v>
      </c>
      <c r="R300" s="8" t="str">
        <f>IFERROR(Q300/Q444, "NA")</f>
        <v>NA</v>
      </c>
      <c r="S300" s="9"/>
      <c r="T300" s="7">
        <v>0</v>
      </c>
      <c r="U300" s="8" t="str">
        <f>IFERROR(T300/T444, "NA")</f>
        <v>NA</v>
      </c>
      <c r="V300" s="9"/>
      <c r="W300" s="10">
        <f t="shared" si="78"/>
        <v>0</v>
      </c>
      <c r="X300" s="8" t="str">
        <f>IFERROR(W300/W444, "NA")</f>
        <v>NA</v>
      </c>
      <c r="Y300" s="9"/>
      <c r="Z300" s="7">
        <v>0</v>
      </c>
      <c r="AA300" s="8" t="str">
        <f>IFERROR(Z300/Z444, "NA")</f>
        <v>NA</v>
      </c>
      <c r="AB300" s="9"/>
      <c r="AC300" s="10">
        <f t="shared" si="79"/>
        <v>0</v>
      </c>
      <c r="AD300" s="8" t="str">
        <f>IFERROR(AC300/AC444, "NA")</f>
        <v>NA</v>
      </c>
    </row>
    <row r="301" spans="1:30" ht="16.5" hidden="1" customHeight="1" x14ac:dyDescent="0.45">
      <c r="A301" s="6" t="s">
        <v>273</v>
      </c>
      <c r="B301" s="7">
        <v>0</v>
      </c>
      <c r="C301" s="8" t="str">
        <f>IFERROR(B301/B444, "NA")</f>
        <v>NA</v>
      </c>
      <c r="D301" s="9"/>
      <c r="E301" s="7">
        <v>0</v>
      </c>
      <c r="F301" s="8" t="str">
        <f>IFERROR(E301/E444, "NA")</f>
        <v>NA</v>
      </c>
      <c r="G301" s="9"/>
      <c r="H301" s="10">
        <f t="shared" si="76"/>
        <v>0</v>
      </c>
      <c r="I301" s="8" t="str">
        <f>IFERROR(H301/H444, "NA")</f>
        <v>NA</v>
      </c>
      <c r="J301" s="9"/>
      <c r="K301" s="7">
        <v>0</v>
      </c>
      <c r="L301" s="8" t="str">
        <f>IFERROR(K301/K444, "NA")</f>
        <v>NA</v>
      </c>
      <c r="M301" s="9"/>
      <c r="N301" s="10">
        <f t="shared" si="77"/>
        <v>0</v>
      </c>
      <c r="O301" s="8" t="str">
        <f>IFERROR(N301/N444, "NA")</f>
        <v>NA</v>
      </c>
      <c r="P301" s="9"/>
      <c r="Q301" s="7">
        <v>0</v>
      </c>
      <c r="R301" s="8" t="str">
        <f>IFERROR(Q301/Q444, "NA")</f>
        <v>NA</v>
      </c>
      <c r="S301" s="9"/>
      <c r="T301" s="7">
        <v>0</v>
      </c>
      <c r="U301" s="8" t="str">
        <f>IFERROR(T301/T444, "NA")</f>
        <v>NA</v>
      </c>
      <c r="V301" s="9"/>
      <c r="W301" s="10">
        <f t="shared" si="78"/>
        <v>0</v>
      </c>
      <c r="X301" s="8" t="str">
        <f>IFERROR(W301/W444, "NA")</f>
        <v>NA</v>
      </c>
      <c r="Y301" s="9"/>
      <c r="Z301" s="7">
        <v>0</v>
      </c>
      <c r="AA301" s="8" t="str">
        <f>IFERROR(Z301/Z444, "NA")</f>
        <v>NA</v>
      </c>
      <c r="AB301" s="9"/>
      <c r="AC301" s="10">
        <f t="shared" si="79"/>
        <v>0</v>
      </c>
      <c r="AD301" s="8" t="str">
        <f>IFERROR(AC301/AC444, "NA")</f>
        <v>NA</v>
      </c>
    </row>
    <row r="302" spans="1:30" ht="16.5" hidden="1" customHeight="1" x14ac:dyDescent="0.45">
      <c r="A302" s="6" t="s">
        <v>274</v>
      </c>
      <c r="B302" s="7">
        <v>0</v>
      </c>
      <c r="C302" s="8" t="str">
        <f>IFERROR(B302/B444, "NA")</f>
        <v>NA</v>
      </c>
      <c r="D302" s="9"/>
      <c r="E302" s="7">
        <v>0</v>
      </c>
      <c r="F302" s="8" t="str">
        <f>IFERROR(E302/E444, "NA")</f>
        <v>NA</v>
      </c>
      <c r="G302" s="9"/>
      <c r="H302" s="10">
        <f t="shared" si="76"/>
        <v>0</v>
      </c>
      <c r="I302" s="8" t="str">
        <f>IFERROR(H302/H444, "NA")</f>
        <v>NA</v>
      </c>
      <c r="J302" s="9"/>
      <c r="K302" s="7">
        <v>0</v>
      </c>
      <c r="L302" s="8" t="str">
        <f>IFERROR(K302/K444, "NA")</f>
        <v>NA</v>
      </c>
      <c r="M302" s="9"/>
      <c r="N302" s="10">
        <f t="shared" si="77"/>
        <v>0</v>
      </c>
      <c r="O302" s="8" t="str">
        <f>IFERROR(N302/N444, "NA")</f>
        <v>NA</v>
      </c>
      <c r="P302" s="9"/>
      <c r="Q302" s="7">
        <v>0</v>
      </c>
      <c r="R302" s="8" t="str">
        <f>IFERROR(Q302/Q444, "NA")</f>
        <v>NA</v>
      </c>
      <c r="S302" s="9"/>
      <c r="T302" s="7">
        <v>0</v>
      </c>
      <c r="U302" s="8" t="str">
        <f>IFERROR(T302/T444, "NA")</f>
        <v>NA</v>
      </c>
      <c r="V302" s="9"/>
      <c r="W302" s="10">
        <f t="shared" si="78"/>
        <v>0</v>
      </c>
      <c r="X302" s="8" t="str">
        <f>IFERROR(W302/W444, "NA")</f>
        <v>NA</v>
      </c>
      <c r="Y302" s="9"/>
      <c r="Z302" s="7">
        <v>0</v>
      </c>
      <c r="AA302" s="8" t="str">
        <f>IFERROR(Z302/Z444, "NA")</f>
        <v>NA</v>
      </c>
      <c r="AB302" s="9"/>
      <c r="AC302" s="10">
        <f t="shared" si="79"/>
        <v>0</v>
      </c>
      <c r="AD302" s="8" t="str">
        <f>IFERROR(AC302/AC444, "NA")</f>
        <v>NA</v>
      </c>
    </row>
    <row r="303" spans="1:30" ht="16.5" hidden="1" customHeight="1" x14ac:dyDescent="0.45">
      <c r="A303" s="6" t="s">
        <v>275</v>
      </c>
      <c r="B303" s="7">
        <v>0</v>
      </c>
      <c r="C303" s="8" t="str">
        <f>IFERROR(B303/B444, "NA")</f>
        <v>NA</v>
      </c>
      <c r="D303" s="9"/>
      <c r="E303" s="7">
        <v>0</v>
      </c>
      <c r="F303" s="8" t="str">
        <f>IFERROR(E303/E444, "NA")</f>
        <v>NA</v>
      </c>
      <c r="G303" s="9"/>
      <c r="H303" s="10">
        <f t="shared" si="76"/>
        <v>0</v>
      </c>
      <c r="I303" s="8" t="str">
        <f>IFERROR(H303/H444, "NA")</f>
        <v>NA</v>
      </c>
      <c r="J303" s="9"/>
      <c r="K303" s="7">
        <v>0</v>
      </c>
      <c r="L303" s="8" t="str">
        <f>IFERROR(K303/K444, "NA")</f>
        <v>NA</v>
      </c>
      <c r="M303" s="9"/>
      <c r="N303" s="10">
        <f t="shared" si="77"/>
        <v>0</v>
      </c>
      <c r="O303" s="8" t="str">
        <f>IFERROR(N303/N444, "NA")</f>
        <v>NA</v>
      </c>
      <c r="P303" s="9"/>
      <c r="Q303" s="7">
        <v>0</v>
      </c>
      <c r="R303" s="8" t="str">
        <f>IFERROR(Q303/Q444, "NA")</f>
        <v>NA</v>
      </c>
      <c r="S303" s="9"/>
      <c r="T303" s="7">
        <v>0</v>
      </c>
      <c r="U303" s="8" t="str">
        <f>IFERROR(T303/T444, "NA")</f>
        <v>NA</v>
      </c>
      <c r="V303" s="9"/>
      <c r="W303" s="10">
        <f t="shared" si="78"/>
        <v>0</v>
      </c>
      <c r="X303" s="8" t="str">
        <f>IFERROR(W303/W444, "NA")</f>
        <v>NA</v>
      </c>
      <c r="Y303" s="9"/>
      <c r="Z303" s="7">
        <v>0</v>
      </c>
      <c r="AA303" s="8" t="str">
        <f>IFERROR(Z303/Z444, "NA")</f>
        <v>NA</v>
      </c>
      <c r="AB303" s="9"/>
      <c r="AC303" s="10">
        <f t="shared" si="79"/>
        <v>0</v>
      </c>
      <c r="AD303" s="8" t="str">
        <f>IFERROR(AC303/AC444, "NA")</f>
        <v>NA</v>
      </c>
    </row>
    <row r="304" spans="1:30" ht="16.5" hidden="1" customHeight="1" x14ac:dyDescent="0.45">
      <c r="A304" s="6" t="s">
        <v>276</v>
      </c>
      <c r="B304" s="7">
        <v>0</v>
      </c>
      <c r="C304" s="8" t="str">
        <f>IFERROR(B304/B444, "NA")</f>
        <v>NA</v>
      </c>
      <c r="D304" s="9"/>
      <c r="E304" s="7">
        <v>0</v>
      </c>
      <c r="F304" s="8" t="str">
        <f>IFERROR(E304/E444, "NA")</f>
        <v>NA</v>
      </c>
      <c r="G304" s="9"/>
      <c r="H304" s="10">
        <f t="shared" si="76"/>
        <v>0</v>
      </c>
      <c r="I304" s="8" t="str">
        <f>IFERROR(H304/H444, "NA")</f>
        <v>NA</v>
      </c>
      <c r="J304" s="9"/>
      <c r="K304" s="7">
        <v>0</v>
      </c>
      <c r="L304" s="8" t="str">
        <f>IFERROR(K304/K444, "NA")</f>
        <v>NA</v>
      </c>
      <c r="M304" s="9"/>
      <c r="N304" s="10">
        <f t="shared" si="77"/>
        <v>0</v>
      </c>
      <c r="O304" s="8" t="str">
        <f>IFERROR(N304/N444, "NA")</f>
        <v>NA</v>
      </c>
      <c r="P304" s="9"/>
      <c r="Q304" s="7">
        <v>0</v>
      </c>
      <c r="R304" s="8" t="str">
        <f>IFERROR(Q304/Q444, "NA")</f>
        <v>NA</v>
      </c>
      <c r="S304" s="9"/>
      <c r="T304" s="7">
        <v>0</v>
      </c>
      <c r="U304" s="8" t="str">
        <f>IFERROR(T304/T444, "NA")</f>
        <v>NA</v>
      </c>
      <c r="V304" s="9"/>
      <c r="W304" s="10">
        <f t="shared" si="78"/>
        <v>0</v>
      </c>
      <c r="X304" s="8" t="str">
        <f>IFERROR(W304/W444, "NA")</f>
        <v>NA</v>
      </c>
      <c r="Y304" s="9"/>
      <c r="Z304" s="7">
        <v>0</v>
      </c>
      <c r="AA304" s="8" t="str">
        <f>IFERROR(Z304/Z444, "NA")</f>
        <v>NA</v>
      </c>
      <c r="AB304" s="9"/>
      <c r="AC304" s="10">
        <f t="shared" si="79"/>
        <v>0</v>
      </c>
      <c r="AD304" s="8" t="str">
        <f>IFERROR(AC304/AC444, "NA")</f>
        <v>NA</v>
      </c>
    </row>
    <row r="305" spans="1:30" ht="16.5" hidden="1" customHeight="1" x14ac:dyDescent="0.45">
      <c r="A305" s="6" t="s">
        <v>277</v>
      </c>
      <c r="B305" s="7">
        <v>0</v>
      </c>
      <c r="C305" s="8" t="str">
        <f>IFERROR(B305/B444, "NA")</f>
        <v>NA</v>
      </c>
      <c r="D305" s="9"/>
      <c r="E305" s="7">
        <v>0</v>
      </c>
      <c r="F305" s="8" t="str">
        <f>IFERROR(E305/E444, "NA")</f>
        <v>NA</v>
      </c>
      <c r="G305" s="9"/>
      <c r="H305" s="10">
        <f t="shared" si="76"/>
        <v>0</v>
      </c>
      <c r="I305" s="8" t="str">
        <f>IFERROR(H305/H444, "NA")</f>
        <v>NA</v>
      </c>
      <c r="J305" s="9"/>
      <c r="K305" s="7">
        <v>0</v>
      </c>
      <c r="L305" s="8" t="str">
        <f>IFERROR(K305/K444, "NA")</f>
        <v>NA</v>
      </c>
      <c r="M305" s="9"/>
      <c r="N305" s="10">
        <f t="shared" si="77"/>
        <v>0</v>
      </c>
      <c r="O305" s="8" t="str">
        <f>IFERROR(N305/N444, "NA")</f>
        <v>NA</v>
      </c>
      <c r="P305" s="9"/>
      <c r="Q305" s="7">
        <v>0</v>
      </c>
      <c r="R305" s="8" t="str">
        <f>IFERROR(Q305/Q444, "NA")</f>
        <v>NA</v>
      </c>
      <c r="S305" s="9"/>
      <c r="T305" s="7">
        <v>0</v>
      </c>
      <c r="U305" s="8" t="str">
        <f>IFERROR(T305/T444, "NA")</f>
        <v>NA</v>
      </c>
      <c r="V305" s="9"/>
      <c r="W305" s="10">
        <f t="shared" si="78"/>
        <v>0</v>
      </c>
      <c r="X305" s="8" t="str">
        <f>IFERROR(W305/W444, "NA")</f>
        <v>NA</v>
      </c>
      <c r="Y305" s="9"/>
      <c r="Z305" s="7">
        <v>0</v>
      </c>
      <c r="AA305" s="8" t="str">
        <f>IFERROR(Z305/Z444, "NA")</f>
        <v>NA</v>
      </c>
      <c r="AB305" s="9"/>
      <c r="AC305" s="10">
        <f t="shared" si="79"/>
        <v>0</v>
      </c>
      <c r="AD305" s="8" t="str">
        <f>IFERROR(AC305/AC444, "NA")</f>
        <v>NA</v>
      </c>
    </row>
    <row r="306" spans="1:30" ht="16.5" hidden="1" customHeight="1" x14ac:dyDescent="0.45">
      <c r="A306" s="6" t="s">
        <v>278</v>
      </c>
      <c r="B306" s="7">
        <v>0</v>
      </c>
      <c r="C306" s="8" t="str">
        <f>IFERROR(B306/B444, "NA")</f>
        <v>NA</v>
      </c>
      <c r="D306" s="9"/>
      <c r="E306" s="7">
        <v>0</v>
      </c>
      <c r="F306" s="8" t="str">
        <f>IFERROR(E306/E444, "NA")</f>
        <v>NA</v>
      </c>
      <c r="G306" s="9"/>
      <c r="H306" s="10">
        <f t="shared" si="76"/>
        <v>0</v>
      </c>
      <c r="I306" s="8" t="str">
        <f>IFERROR(H306/H444, "NA")</f>
        <v>NA</v>
      </c>
      <c r="J306" s="9"/>
      <c r="K306" s="7">
        <v>0</v>
      </c>
      <c r="L306" s="8" t="str">
        <f>IFERROR(K306/K444, "NA")</f>
        <v>NA</v>
      </c>
      <c r="M306" s="9"/>
      <c r="N306" s="10">
        <f t="shared" si="77"/>
        <v>0</v>
      </c>
      <c r="O306" s="8" t="str">
        <f>IFERROR(N306/N444, "NA")</f>
        <v>NA</v>
      </c>
      <c r="P306" s="9"/>
      <c r="Q306" s="7">
        <v>0</v>
      </c>
      <c r="R306" s="8" t="str">
        <f>IFERROR(Q306/Q444, "NA")</f>
        <v>NA</v>
      </c>
      <c r="S306" s="9"/>
      <c r="T306" s="7">
        <v>0</v>
      </c>
      <c r="U306" s="8" t="str">
        <f>IFERROR(T306/T444, "NA")</f>
        <v>NA</v>
      </c>
      <c r="V306" s="9"/>
      <c r="W306" s="10">
        <f t="shared" si="78"/>
        <v>0</v>
      </c>
      <c r="X306" s="8" t="str">
        <f>IFERROR(W306/W444, "NA")</f>
        <v>NA</v>
      </c>
      <c r="Y306" s="9"/>
      <c r="Z306" s="7">
        <v>0</v>
      </c>
      <c r="AA306" s="8" t="str">
        <f>IFERROR(Z306/Z444, "NA")</f>
        <v>NA</v>
      </c>
      <c r="AB306" s="9"/>
      <c r="AC306" s="10">
        <f t="shared" si="79"/>
        <v>0</v>
      </c>
      <c r="AD306" s="8" t="str">
        <f>IFERROR(AC306/AC444, "NA")</f>
        <v>NA</v>
      </c>
    </row>
    <row r="307" spans="1:30" ht="16.5" hidden="1" customHeight="1" x14ac:dyDescent="0.45">
      <c r="A307" s="6" t="s">
        <v>279</v>
      </c>
      <c r="B307" s="7">
        <v>0</v>
      </c>
      <c r="C307" s="8" t="str">
        <f>IFERROR(B307/B444, "NA")</f>
        <v>NA</v>
      </c>
      <c r="D307" s="9"/>
      <c r="E307" s="7">
        <v>0</v>
      </c>
      <c r="F307" s="8" t="str">
        <f>IFERROR(E307/E444, "NA")</f>
        <v>NA</v>
      </c>
      <c r="G307" s="9"/>
      <c r="H307" s="10">
        <f t="shared" si="76"/>
        <v>0</v>
      </c>
      <c r="I307" s="8" t="str">
        <f>IFERROR(H307/H444, "NA")</f>
        <v>NA</v>
      </c>
      <c r="J307" s="9"/>
      <c r="K307" s="7">
        <v>0</v>
      </c>
      <c r="L307" s="8" t="str">
        <f>IFERROR(K307/K444, "NA")</f>
        <v>NA</v>
      </c>
      <c r="M307" s="9"/>
      <c r="N307" s="10">
        <f t="shared" si="77"/>
        <v>0</v>
      </c>
      <c r="O307" s="8" t="str">
        <f>IFERROR(N307/N444, "NA")</f>
        <v>NA</v>
      </c>
      <c r="P307" s="9"/>
      <c r="Q307" s="7">
        <v>0</v>
      </c>
      <c r="R307" s="8" t="str">
        <f>IFERROR(Q307/Q444, "NA")</f>
        <v>NA</v>
      </c>
      <c r="S307" s="9"/>
      <c r="T307" s="7">
        <v>0</v>
      </c>
      <c r="U307" s="8" t="str">
        <f>IFERROR(T307/T444, "NA")</f>
        <v>NA</v>
      </c>
      <c r="V307" s="9"/>
      <c r="W307" s="10">
        <f t="shared" si="78"/>
        <v>0</v>
      </c>
      <c r="X307" s="8" t="str">
        <f>IFERROR(W307/W444, "NA")</f>
        <v>NA</v>
      </c>
      <c r="Y307" s="9"/>
      <c r="Z307" s="7">
        <v>0</v>
      </c>
      <c r="AA307" s="8" t="str">
        <f>IFERROR(Z307/Z444, "NA")</f>
        <v>NA</v>
      </c>
      <c r="AB307" s="9"/>
      <c r="AC307" s="10">
        <f t="shared" si="79"/>
        <v>0</v>
      </c>
      <c r="AD307" s="8" t="str">
        <f>IFERROR(AC307/AC444, "NA")</f>
        <v>NA</v>
      </c>
    </row>
    <row r="308" spans="1:30" ht="16.5" hidden="1" customHeight="1" x14ac:dyDescent="0.45">
      <c r="A308" s="6" t="s">
        <v>280</v>
      </c>
      <c r="B308" s="7">
        <v>0</v>
      </c>
      <c r="C308" s="8" t="str">
        <f>IFERROR(B308/B444, "NA")</f>
        <v>NA</v>
      </c>
      <c r="D308" s="9"/>
      <c r="E308" s="7">
        <v>0</v>
      </c>
      <c r="F308" s="8" t="str">
        <f>IFERROR(E308/E444, "NA")</f>
        <v>NA</v>
      </c>
      <c r="G308" s="9"/>
      <c r="H308" s="10">
        <f t="shared" si="76"/>
        <v>0</v>
      </c>
      <c r="I308" s="8" t="str">
        <f>IFERROR(H308/H444, "NA")</f>
        <v>NA</v>
      </c>
      <c r="J308" s="9"/>
      <c r="K308" s="7">
        <v>0</v>
      </c>
      <c r="L308" s="8" t="str">
        <f>IFERROR(K308/K444, "NA")</f>
        <v>NA</v>
      </c>
      <c r="M308" s="9"/>
      <c r="N308" s="10">
        <f t="shared" si="77"/>
        <v>0</v>
      </c>
      <c r="O308" s="8" t="str">
        <f>IFERROR(N308/N444, "NA")</f>
        <v>NA</v>
      </c>
      <c r="P308" s="9"/>
      <c r="Q308" s="7">
        <v>0</v>
      </c>
      <c r="R308" s="8" t="str">
        <f>IFERROR(Q308/Q444, "NA")</f>
        <v>NA</v>
      </c>
      <c r="S308" s="9"/>
      <c r="T308" s="7">
        <v>0</v>
      </c>
      <c r="U308" s="8" t="str">
        <f>IFERROR(T308/T444, "NA")</f>
        <v>NA</v>
      </c>
      <c r="V308" s="9"/>
      <c r="W308" s="10">
        <f t="shared" si="78"/>
        <v>0</v>
      </c>
      <c r="X308" s="8" t="str">
        <f>IFERROR(W308/W444, "NA")</f>
        <v>NA</v>
      </c>
      <c r="Y308" s="9"/>
      <c r="Z308" s="7">
        <v>0</v>
      </c>
      <c r="AA308" s="8" t="str">
        <f>IFERROR(Z308/Z444, "NA")</f>
        <v>NA</v>
      </c>
      <c r="AB308" s="9"/>
      <c r="AC308" s="10">
        <f t="shared" si="79"/>
        <v>0</v>
      </c>
      <c r="AD308" s="8" t="str">
        <f>IFERROR(AC308/AC444, "NA")</f>
        <v>NA</v>
      </c>
    </row>
    <row r="309" spans="1:30" ht="16.5" hidden="1" customHeight="1" x14ac:dyDescent="0.45">
      <c r="A309" s="6" t="s">
        <v>281</v>
      </c>
      <c r="B309" s="7">
        <v>0</v>
      </c>
      <c r="C309" s="8" t="str">
        <f>IFERROR(B309/B444, "NA")</f>
        <v>NA</v>
      </c>
      <c r="D309" s="9"/>
      <c r="E309" s="7">
        <v>0</v>
      </c>
      <c r="F309" s="8" t="str">
        <f>IFERROR(E309/E444, "NA")</f>
        <v>NA</v>
      </c>
      <c r="G309" s="9"/>
      <c r="H309" s="10">
        <f t="shared" si="76"/>
        <v>0</v>
      </c>
      <c r="I309" s="8" t="str">
        <f>IFERROR(H309/H444, "NA")</f>
        <v>NA</v>
      </c>
      <c r="J309" s="9"/>
      <c r="K309" s="7">
        <v>0</v>
      </c>
      <c r="L309" s="8" t="str">
        <f>IFERROR(K309/K444, "NA")</f>
        <v>NA</v>
      </c>
      <c r="M309" s="9"/>
      <c r="N309" s="10">
        <f t="shared" si="77"/>
        <v>0</v>
      </c>
      <c r="O309" s="8" t="str">
        <f>IFERROR(N309/N444, "NA")</f>
        <v>NA</v>
      </c>
      <c r="P309" s="9"/>
      <c r="Q309" s="7">
        <v>0</v>
      </c>
      <c r="R309" s="8" t="str">
        <f>IFERROR(Q309/Q444, "NA")</f>
        <v>NA</v>
      </c>
      <c r="S309" s="9"/>
      <c r="T309" s="7">
        <v>0</v>
      </c>
      <c r="U309" s="8" t="str">
        <f>IFERROR(T309/T444, "NA")</f>
        <v>NA</v>
      </c>
      <c r="V309" s="9"/>
      <c r="W309" s="10">
        <f t="shared" si="78"/>
        <v>0</v>
      </c>
      <c r="X309" s="8" t="str">
        <f>IFERROR(W309/W444, "NA")</f>
        <v>NA</v>
      </c>
      <c r="Y309" s="9"/>
      <c r="Z309" s="7">
        <v>0</v>
      </c>
      <c r="AA309" s="8" t="str">
        <f>IFERROR(Z309/Z444, "NA")</f>
        <v>NA</v>
      </c>
      <c r="AB309" s="9"/>
      <c r="AC309" s="10">
        <f t="shared" si="79"/>
        <v>0</v>
      </c>
      <c r="AD309" s="8" t="str">
        <f>IFERROR(AC309/AC444, "NA")</f>
        <v>NA</v>
      </c>
    </row>
    <row r="310" spans="1:30" ht="16.5" hidden="1" customHeight="1" x14ac:dyDescent="0.45">
      <c r="A310" s="6" t="s">
        <v>282</v>
      </c>
      <c r="B310" s="7">
        <v>0</v>
      </c>
      <c r="C310" s="8" t="str">
        <f>IFERROR(B310/B444, "NA")</f>
        <v>NA</v>
      </c>
      <c r="D310" s="9"/>
      <c r="E310" s="7">
        <v>0</v>
      </c>
      <c r="F310" s="8" t="str">
        <f>IFERROR(E310/E444, "NA")</f>
        <v>NA</v>
      </c>
      <c r="G310" s="9"/>
      <c r="H310" s="10">
        <f t="shared" si="76"/>
        <v>0</v>
      </c>
      <c r="I310" s="8" t="str">
        <f>IFERROR(H310/H444, "NA")</f>
        <v>NA</v>
      </c>
      <c r="J310" s="9"/>
      <c r="K310" s="7">
        <v>0</v>
      </c>
      <c r="L310" s="8" t="str">
        <f>IFERROR(K310/K444, "NA")</f>
        <v>NA</v>
      </c>
      <c r="M310" s="9"/>
      <c r="N310" s="10">
        <f t="shared" si="77"/>
        <v>0</v>
      </c>
      <c r="O310" s="8" t="str">
        <f>IFERROR(N310/N444, "NA")</f>
        <v>NA</v>
      </c>
      <c r="P310" s="9"/>
      <c r="Q310" s="7">
        <v>0</v>
      </c>
      <c r="R310" s="8" t="str">
        <f>IFERROR(Q310/Q444, "NA")</f>
        <v>NA</v>
      </c>
      <c r="S310" s="9"/>
      <c r="T310" s="7">
        <v>0</v>
      </c>
      <c r="U310" s="8" t="str">
        <f>IFERROR(T310/T444, "NA")</f>
        <v>NA</v>
      </c>
      <c r="V310" s="9"/>
      <c r="W310" s="10">
        <f t="shared" si="78"/>
        <v>0</v>
      </c>
      <c r="X310" s="8" t="str">
        <f>IFERROR(W310/W444, "NA")</f>
        <v>NA</v>
      </c>
      <c r="Y310" s="9"/>
      <c r="Z310" s="7">
        <v>0</v>
      </c>
      <c r="AA310" s="8" t="str">
        <f>IFERROR(Z310/Z444, "NA")</f>
        <v>NA</v>
      </c>
      <c r="AB310" s="9"/>
      <c r="AC310" s="10">
        <f t="shared" si="79"/>
        <v>0</v>
      </c>
      <c r="AD310" s="8" t="str">
        <f>IFERROR(AC310/AC444, "NA")</f>
        <v>NA</v>
      </c>
    </row>
    <row r="311" spans="1:30" ht="16.5" hidden="1" customHeight="1" x14ac:dyDescent="0.45">
      <c r="A311" s="6" t="s">
        <v>283</v>
      </c>
      <c r="B311" s="7">
        <v>0</v>
      </c>
      <c r="C311" s="8" t="str">
        <f>IFERROR(B311/B444, "NA")</f>
        <v>NA</v>
      </c>
      <c r="D311" s="9"/>
      <c r="E311" s="7">
        <v>0</v>
      </c>
      <c r="F311" s="8" t="str">
        <f>IFERROR(E311/E444, "NA")</f>
        <v>NA</v>
      </c>
      <c r="G311" s="9"/>
      <c r="H311" s="10">
        <f t="shared" si="76"/>
        <v>0</v>
      </c>
      <c r="I311" s="8" t="str">
        <f>IFERROR(H311/H444, "NA")</f>
        <v>NA</v>
      </c>
      <c r="J311" s="9"/>
      <c r="K311" s="7">
        <v>0</v>
      </c>
      <c r="L311" s="8" t="str">
        <f>IFERROR(K311/K444, "NA")</f>
        <v>NA</v>
      </c>
      <c r="M311" s="9"/>
      <c r="N311" s="10">
        <f t="shared" si="77"/>
        <v>0</v>
      </c>
      <c r="O311" s="8" t="str">
        <f>IFERROR(N311/N444, "NA")</f>
        <v>NA</v>
      </c>
      <c r="P311" s="9"/>
      <c r="Q311" s="7">
        <v>0</v>
      </c>
      <c r="R311" s="8" t="str">
        <f>IFERROR(Q311/Q444, "NA")</f>
        <v>NA</v>
      </c>
      <c r="S311" s="9"/>
      <c r="T311" s="7">
        <v>0</v>
      </c>
      <c r="U311" s="8" t="str">
        <f>IFERROR(T311/T444, "NA")</f>
        <v>NA</v>
      </c>
      <c r="V311" s="9"/>
      <c r="W311" s="10">
        <f t="shared" si="78"/>
        <v>0</v>
      </c>
      <c r="X311" s="8" t="str">
        <f>IFERROR(W311/W444, "NA")</f>
        <v>NA</v>
      </c>
      <c r="Y311" s="9"/>
      <c r="Z311" s="7">
        <v>0</v>
      </c>
      <c r="AA311" s="8" t="str">
        <f>IFERROR(Z311/Z444, "NA")</f>
        <v>NA</v>
      </c>
      <c r="AB311" s="9"/>
      <c r="AC311" s="10">
        <f t="shared" si="79"/>
        <v>0</v>
      </c>
      <c r="AD311" s="8" t="str">
        <f>IFERROR(AC311/AC444, "NA")</f>
        <v>NA</v>
      </c>
    </row>
    <row r="312" spans="1:30" ht="16.5" hidden="1" customHeight="1" x14ac:dyDescent="0.45">
      <c r="A312" s="6" t="s">
        <v>284</v>
      </c>
      <c r="B312" s="7">
        <v>0</v>
      </c>
      <c r="C312" s="8" t="str">
        <f>IFERROR(B312/B444, "NA")</f>
        <v>NA</v>
      </c>
      <c r="D312" s="9"/>
      <c r="E312" s="7">
        <v>0</v>
      </c>
      <c r="F312" s="8" t="str">
        <f>IFERROR(E312/E444, "NA")</f>
        <v>NA</v>
      </c>
      <c r="G312" s="9"/>
      <c r="H312" s="10">
        <f t="shared" si="76"/>
        <v>0</v>
      </c>
      <c r="I312" s="8" t="str">
        <f>IFERROR(H312/H444, "NA")</f>
        <v>NA</v>
      </c>
      <c r="J312" s="9"/>
      <c r="K312" s="7">
        <v>0</v>
      </c>
      <c r="L312" s="8" t="str">
        <f>IFERROR(K312/K444, "NA")</f>
        <v>NA</v>
      </c>
      <c r="M312" s="9"/>
      <c r="N312" s="10">
        <f t="shared" si="77"/>
        <v>0</v>
      </c>
      <c r="O312" s="8" t="str">
        <f>IFERROR(N312/N444, "NA")</f>
        <v>NA</v>
      </c>
      <c r="P312" s="9"/>
      <c r="Q312" s="7">
        <v>0</v>
      </c>
      <c r="R312" s="8" t="str">
        <f>IFERROR(Q312/Q444, "NA")</f>
        <v>NA</v>
      </c>
      <c r="S312" s="9"/>
      <c r="T312" s="7">
        <v>0</v>
      </c>
      <c r="U312" s="8" t="str">
        <f>IFERROR(T312/T444, "NA")</f>
        <v>NA</v>
      </c>
      <c r="V312" s="9"/>
      <c r="W312" s="10">
        <f t="shared" si="78"/>
        <v>0</v>
      </c>
      <c r="X312" s="8" t="str">
        <f>IFERROR(W312/W444, "NA")</f>
        <v>NA</v>
      </c>
      <c r="Y312" s="9"/>
      <c r="Z312" s="7">
        <v>0</v>
      </c>
      <c r="AA312" s="8" t="str">
        <f>IFERROR(Z312/Z444, "NA")</f>
        <v>NA</v>
      </c>
      <c r="AB312" s="9"/>
      <c r="AC312" s="10">
        <f t="shared" si="79"/>
        <v>0</v>
      </c>
      <c r="AD312" s="8" t="str">
        <f>IFERROR(AC312/AC444, "NA")</f>
        <v>NA</v>
      </c>
    </row>
    <row r="313" spans="1:30" ht="16.5" hidden="1" customHeight="1" x14ac:dyDescent="0.45">
      <c r="A313" s="6" t="s">
        <v>285</v>
      </c>
      <c r="B313" s="7">
        <v>0</v>
      </c>
      <c r="C313" s="8" t="str">
        <f>IFERROR(B313/B444, "NA")</f>
        <v>NA</v>
      </c>
      <c r="D313" s="9"/>
      <c r="E313" s="7">
        <v>0</v>
      </c>
      <c r="F313" s="8" t="str">
        <f>IFERROR(E313/E444, "NA")</f>
        <v>NA</v>
      </c>
      <c r="G313" s="9"/>
      <c r="H313" s="10">
        <f t="shared" si="76"/>
        <v>0</v>
      </c>
      <c r="I313" s="8" t="str">
        <f>IFERROR(H313/H444, "NA")</f>
        <v>NA</v>
      </c>
      <c r="J313" s="9"/>
      <c r="K313" s="7">
        <v>0</v>
      </c>
      <c r="L313" s="8" t="str">
        <f>IFERROR(K313/K444, "NA")</f>
        <v>NA</v>
      </c>
      <c r="M313" s="9"/>
      <c r="N313" s="10">
        <f t="shared" si="77"/>
        <v>0</v>
      </c>
      <c r="O313" s="8" t="str">
        <f>IFERROR(N313/N444, "NA")</f>
        <v>NA</v>
      </c>
      <c r="P313" s="9"/>
      <c r="Q313" s="7">
        <v>0</v>
      </c>
      <c r="R313" s="8" t="str">
        <f>IFERROR(Q313/Q444, "NA")</f>
        <v>NA</v>
      </c>
      <c r="S313" s="9"/>
      <c r="T313" s="7">
        <v>0</v>
      </c>
      <c r="U313" s="8" t="str">
        <f>IFERROR(T313/T444, "NA")</f>
        <v>NA</v>
      </c>
      <c r="V313" s="9"/>
      <c r="W313" s="10">
        <f t="shared" si="78"/>
        <v>0</v>
      </c>
      <c r="X313" s="8" t="str">
        <f>IFERROR(W313/W444, "NA")</f>
        <v>NA</v>
      </c>
      <c r="Y313" s="9"/>
      <c r="Z313" s="7">
        <v>0</v>
      </c>
      <c r="AA313" s="8" t="str">
        <f>IFERROR(Z313/Z444, "NA")</f>
        <v>NA</v>
      </c>
      <c r="AB313" s="9"/>
      <c r="AC313" s="10">
        <f t="shared" si="79"/>
        <v>0</v>
      </c>
      <c r="AD313" s="8" t="str">
        <f>IFERROR(AC313/AC444, "NA")</f>
        <v>NA</v>
      </c>
    </row>
    <row r="314" spans="1:30" ht="16.5" hidden="1" customHeight="1" x14ac:dyDescent="0.45">
      <c r="A314" s="6" t="s">
        <v>286</v>
      </c>
      <c r="B314" s="7">
        <v>0</v>
      </c>
      <c r="C314" s="8" t="str">
        <f>IFERROR(B314/B444, "NA")</f>
        <v>NA</v>
      </c>
      <c r="D314" s="9"/>
      <c r="E314" s="7">
        <v>0</v>
      </c>
      <c r="F314" s="8" t="str">
        <f>IFERROR(E314/E444, "NA")</f>
        <v>NA</v>
      </c>
      <c r="G314" s="9"/>
      <c r="H314" s="10">
        <f t="shared" si="76"/>
        <v>0</v>
      </c>
      <c r="I314" s="8" t="str">
        <f>IFERROR(H314/H444, "NA")</f>
        <v>NA</v>
      </c>
      <c r="J314" s="9"/>
      <c r="K314" s="7">
        <v>0</v>
      </c>
      <c r="L314" s="8" t="str">
        <f>IFERROR(K314/K444, "NA")</f>
        <v>NA</v>
      </c>
      <c r="M314" s="9"/>
      <c r="N314" s="10">
        <f t="shared" si="77"/>
        <v>0</v>
      </c>
      <c r="O314" s="8" t="str">
        <f>IFERROR(N314/N444, "NA")</f>
        <v>NA</v>
      </c>
      <c r="P314" s="9"/>
      <c r="Q314" s="7">
        <v>0</v>
      </c>
      <c r="R314" s="8" t="str">
        <f>IFERROR(Q314/Q444, "NA")</f>
        <v>NA</v>
      </c>
      <c r="S314" s="9"/>
      <c r="T314" s="7">
        <v>0</v>
      </c>
      <c r="U314" s="8" t="str">
        <f>IFERROR(T314/T444, "NA")</f>
        <v>NA</v>
      </c>
      <c r="V314" s="9"/>
      <c r="W314" s="10">
        <f t="shared" si="78"/>
        <v>0</v>
      </c>
      <c r="X314" s="8" t="str">
        <f>IFERROR(W314/W444, "NA")</f>
        <v>NA</v>
      </c>
      <c r="Y314" s="9"/>
      <c r="Z314" s="7">
        <v>0</v>
      </c>
      <c r="AA314" s="8" t="str">
        <f>IFERROR(Z314/Z444, "NA")</f>
        <v>NA</v>
      </c>
      <c r="AB314" s="9"/>
      <c r="AC314" s="10">
        <f t="shared" si="79"/>
        <v>0</v>
      </c>
      <c r="AD314" s="8" t="str">
        <f>IFERROR(AC314/AC444, "NA")</f>
        <v>NA</v>
      </c>
    </row>
    <row r="315" spans="1:30" ht="16.5" hidden="1" customHeight="1" x14ac:dyDescent="0.45">
      <c r="A315" s="6" t="s">
        <v>287</v>
      </c>
      <c r="B315" s="7">
        <v>0</v>
      </c>
      <c r="C315" s="8" t="str">
        <f>IFERROR(B315/B444, "NA")</f>
        <v>NA</v>
      </c>
      <c r="D315" s="9"/>
      <c r="E315" s="7">
        <v>0</v>
      </c>
      <c r="F315" s="8" t="str">
        <f>IFERROR(E315/E444, "NA")</f>
        <v>NA</v>
      </c>
      <c r="G315" s="9"/>
      <c r="H315" s="10">
        <f t="shared" si="76"/>
        <v>0</v>
      </c>
      <c r="I315" s="8" t="str">
        <f>IFERROR(H315/H444, "NA")</f>
        <v>NA</v>
      </c>
      <c r="J315" s="9"/>
      <c r="K315" s="7">
        <v>0</v>
      </c>
      <c r="L315" s="8" t="str">
        <f>IFERROR(K315/K444, "NA")</f>
        <v>NA</v>
      </c>
      <c r="M315" s="9"/>
      <c r="N315" s="10">
        <f t="shared" si="77"/>
        <v>0</v>
      </c>
      <c r="O315" s="8" t="str">
        <f>IFERROR(N315/N444, "NA")</f>
        <v>NA</v>
      </c>
      <c r="P315" s="9"/>
      <c r="Q315" s="7">
        <v>0</v>
      </c>
      <c r="R315" s="8" t="str">
        <f>IFERROR(Q315/Q444, "NA")</f>
        <v>NA</v>
      </c>
      <c r="S315" s="9"/>
      <c r="T315" s="7">
        <v>0</v>
      </c>
      <c r="U315" s="8" t="str">
        <f>IFERROR(T315/T444, "NA")</f>
        <v>NA</v>
      </c>
      <c r="V315" s="9"/>
      <c r="W315" s="10">
        <f t="shared" si="78"/>
        <v>0</v>
      </c>
      <c r="X315" s="8" t="str">
        <f>IFERROR(W315/W444, "NA")</f>
        <v>NA</v>
      </c>
      <c r="Y315" s="9"/>
      <c r="Z315" s="7">
        <v>0</v>
      </c>
      <c r="AA315" s="8" t="str">
        <f>IFERROR(Z315/Z444, "NA")</f>
        <v>NA</v>
      </c>
      <c r="AB315" s="9"/>
      <c r="AC315" s="10">
        <f t="shared" si="79"/>
        <v>0</v>
      </c>
      <c r="AD315" s="8" t="str">
        <f>IFERROR(AC315/AC444, "NA")</f>
        <v>NA</v>
      </c>
    </row>
    <row r="316" spans="1:30" ht="16.5" hidden="1" customHeight="1" x14ac:dyDescent="0.45">
      <c r="A316" s="6" t="s">
        <v>288</v>
      </c>
      <c r="B316" s="7">
        <v>0</v>
      </c>
      <c r="C316" s="8" t="str">
        <f>IFERROR(B316/B444, "NA")</f>
        <v>NA</v>
      </c>
      <c r="D316" s="9"/>
      <c r="E316" s="7">
        <v>0</v>
      </c>
      <c r="F316" s="8" t="str">
        <f>IFERROR(E316/E444, "NA")</f>
        <v>NA</v>
      </c>
      <c r="G316" s="9"/>
      <c r="H316" s="10">
        <f t="shared" si="76"/>
        <v>0</v>
      </c>
      <c r="I316" s="8" t="str">
        <f>IFERROR(H316/H444, "NA")</f>
        <v>NA</v>
      </c>
      <c r="J316" s="9"/>
      <c r="K316" s="7">
        <v>0</v>
      </c>
      <c r="L316" s="8" t="str">
        <f>IFERROR(K316/K444, "NA")</f>
        <v>NA</v>
      </c>
      <c r="M316" s="9"/>
      <c r="N316" s="10">
        <f t="shared" si="77"/>
        <v>0</v>
      </c>
      <c r="O316" s="8" t="str">
        <f>IFERROR(N316/N444, "NA")</f>
        <v>NA</v>
      </c>
      <c r="P316" s="9"/>
      <c r="Q316" s="7">
        <v>0</v>
      </c>
      <c r="R316" s="8" t="str">
        <f>IFERROR(Q316/Q444, "NA")</f>
        <v>NA</v>
      </c>
      <c r="S316" s="9"/>
      <c r="T316" s="7">
        <v>0</v>
      </c>
      <c r="U316" s="8" t="str">
        <f>IFERROR(T316/T444, "NA")</f>
        <v>NA</v>
      </c>
      <c r="V316" s="9"/>
      <c r="W316" s="10">
        <f t="shared" si="78"/>
        <v>0</v>
      </c>
      <c r="X316" s="8" t="str">
        <f>IFERROR(W316/W444, "NA")</f>
        <v>NA</v>
      </c>
      <c r="Y316" s="9"/>
      <c r="Z316" s="7">
        <v>0</v>
      </c>
      <c r="AA316" s="8" t="str">
        <f>IFERROR(Z316/Z444, "NA")</f>
        <v>NA</v>
      </c>
      <c r="AB316" s="9"/>
      <c r="AC316" s="10">
        <f t="shared" si="79"/>
        <v>0</v>
      </c>
      <c r="AD316" s="8" t="str">
        <f>IFERROR(AC316/AC444, "NA")</f>
        <v>NA</v>
      </c>
    </row>
    <row r="317" spans="1:30" ht="16.5" hidden="1" customHeight="1" x14ac:dyDescent="0.45">
      <c r="A317" s="6" t="s">
        <v>289</v>
      </c>
      <c r="B317" s="7">
        <v>0</v>
      </c>
      <c r="C317" s="8" t="str">
        <f>IFERROR(B317/B444, "NA")</f>
        <v>NA</v>
      </c>
      <c r="D317" s="9"/>
      <c r="E317" s="7">
        <v>0</v>
      </c>
      <c r="F317" s="8" t="str">
        <f>IFERROR(E317/E444, "NA")</f>
        <v>NA</v>
      </c>
      <c r="G317" s="9"/>
      <c r="H317" s="10">
        <f t="shared" si="76"/>
        <v>0</v>
      </c>
      <c r="I317" s="8" t="str">
        <f>IFERROR(H317/H444, "NA")</f>
        <v>NA</v>
      </c>
      <c r="J317" s="9"/>
      <c r="K317" s="7">
        <v>0</v>
      </c>
      <c r="L317" s="8" t="str">
        <f>IFERROR(K317/K444, "NA")</f>
        <v>NA</v>
      </c>
      <c r="M317" s="9"/>
      <c r="N317" s="10">
        <f t="shared" si="77"/>
        <v>0</v>
      </c>
      <c r="O317" s="8" t="str">
        <f>IFERROR(N317/N444, "NA")</f>
        <v>NA</v>
      </c>
      <c r="P317" s="9"/>
      <c r="Q317" s="7">
        <v>0</v>
      </c>
      <c r="R317" s="8" t="str">
        <f>IFERROR(Q317/Q444, "NA")</f>
        <v>NA</v>
      </c>
      <c r="S317" s="9"/>
      <c r="T317" s="7">
        <v>0</v>
      </c>
      <c r="U317" s="8" t="str">
        <f>IFERROR(T317/T444, "NA")</f>
        <v>NA</v>
      </c>
      <c r="V317" s="9"/>
      <c r="W317" s="10">
        <f t="shared" si="78"/>
        <v>0</v>
      </c>
      <c r="X317" s="8" t="str">
        <f>IFERROR(W317/W444, "NA")</f>
        <v>NA</v>
      </c>
      <c r="Y317" s="9"/>
      <c r="Z317" s="7">
        <v>0</v>
      </c>
      <c r="AA317" s="8" t="str">
        <f>IFERROR(Z317/Z444, "NA")</f>
        <v>NA</v>
      </c>
      <c r="AB317" s="9"/>
      <c r="AC317" s="10">
        <f t="shared" si="79"/>
        <v>0</v>
      </c>
      <c r="AD317" s="8" t="str">
        <f>IFERROR(AC317/AC444, "NA")</f>
        <v>NA</v>
      </c>
    </row>
    <row r="318" spans="1:30" ht="16.5" hidden="1" customHeight="1" x14ac:dyDescent="0.45">
      <c r="A318" s="6" t="s">
        <v>290</v>
      </c>
      <c r="B318" s="7">
        <v>0</v>
      </c>
      <c r="C318" s="8" t="str">
        <f>IFERROR(B318/B444, "NA")</f>
        <v>NA</v>
      </c>
      <c r="D318" s="9"/>
      <c r="E318" s="7">
        <v>0</v>
      </c>
      <c r="F318" s="8" t="str">
        <f>IFERROR(E318/E444, "NA")</f>
        <v>NA</v>
      </c>
      <c r="G318" s="9"/>
      <c r="H318" s="10">
        <f t="shared" si="76"/>
        <v>0</v>
      </c>
      <c r="I318" s="8" t="str">
        <f>IFERROR(H318/H444, "NA")</f>
        <v>NA</v>
      </c>
      <c r="J318" s="9"/>
      <c r="K318" s="7">
        <v>0</v>
      </c>
      <c r="L318" s="8" t="str">
        <f>IFERROR(K318/K444, "NA")</f>
        <v>NA</v>
      </c>
      <c r="M318" s="9"/>
      <c r="N318" s="10">
        <f t="shared" si="77"/>
        <v>0</v>
      </c>
      <c r="O318" s="8" t="str">
        <f>IFERROR(N318/N444, "NA")</f>
        <v>NA</v>
      </c>
      <c r="P318" s="9"/>
      <c r="Q318" s="7">
        <v>0</v>
      </c>
      <c r="R318" s="8" t="str">
        <f>IFERROR(Q318/Q444, "NA")</f>
        <v>NA</v>
      </c>
      <c r="S318" s="9"/>
      <c r="T318" s="7">
        <v>0</v>
      </c>
      <c r="U318" s="8" t="str">
        <f>IFERROR(T318/T444, "NA")</f>
        <v>NA</v>
      </c>
      <c r="V318" s="9"/>
      <c r="W318" s="10">
        <f t="shared" si="78"/>
        <v>0</v>
      </c>
      <c r="X318" s="8" t="str">
        <f>IFERROR(W318/W444, "NA")</f>
        <v>NA</v>
      </c>
      <c r="Y318" s="9"/>
      <c r="Z318" s="7">
        <v>0</v>
      </c>
      <c r="AA318" s="8" t="str">
        <f>IFERROR(Z318/Z444, "NA")</f>
        <v>NA</v>
      </c>
      <c r="AB318" s="9"/>
      <c r="AC318" s="10">
        <f t="shared" si="79"/>
        <v>0</v>
      </c>
      <c r="AD318" s="8" t="str">
        <f>IFERROR(AC318/AC444, "NA")</f>
        <v>NA</v>
      </c>
    </row>
    <row r="319" spans="1:30" ht="16.5" hidden="1" customHeight="1" x14ac:dyDescent="0.45">
      <c r="A319" s="6" t="s">
        <v>291</v>
      </c>
      <c r="B319" s="7">
        <v>0</v>
      </c>
      <c r="C319" s="8" t="str">
        <f>IFERROR(B319/B444, "NA")</f>
        <v>NA</v>
      </c>
      <c r="D319" s="9"/>
      <c r="E319" s="7">
        <v>0</v>
      </c>
      <c r="F319" s="8" t="str">
        <f>IFERROR(E319/E444, "NA")</f>
        <v>NA</v>
      </c>
      <c r="G319" s="9"/>
      <c r="H319" s="10">
        <f t="shared" si="76"/>
        <v>0</v>
      </c>
      <c r="I319" s="8" t="str">
        <f>IFERROR(H319/H444, "NA")</f>
        <v>NA</v>
      </c>
      <c r="J319" s="9"/>
      <c r="K319" s="7">
        <v>0</v>
      </c>
      <c r="L319" s="8" t="str">
        <f>IFERROR(K319/K444, "NA")</f>
        <v>NA</v>
      </c>
      <c r="M319" s="9"/>
      <c r="N319" s="10">
        <f t="shared" si="77"/>
        <v>0</v>
      </c>
      <c r="O319" s="8" t="str">
        <f>IFERROR(N319/N444, "NA")</f>
        <v>NA</v>
      </c>
      <c r="P319" s="9"/>
      <c r="Q319" s="7">
        <v>0</v>
      </c>
      <c r="R319" s="8" t="str">
        <f>IFERROR(Q319/Q444, "NA")</f>
        <v>NA</v>
      </c>
      <c r="S319" s="9"/>
      <c r="T319" s="7">
        <v>0</v>
      </c>
      <c r="U319" s="8" t="str">
        <f>IFERROR(T319/T444, "NA")</f>
        <v>NA</v>
      </c>
      <c r="V319" s="9"/>
      <c r="W319" s="10">
        <f t="shared" si="78"/>
        <v>0</v>
      </c>
      <c r="X319" s="8" t="str">
        <f>IFERROR(W319/W444, "NA")</f>
        <v>NA</v>
      </c>
      <c r="Y319" s="9"/>
      <c r="Z319" s="7">
        <v>0</v>
      </c>
      <c r="AA319" s="8" t="str">
        <f>IFERROR(Z319/Z444, "NA")</f>
        <v>NA</v>
      </c>
      <c r="AB319" s="9"/>
      <c r="AC319" s="10">
        <f t="shared" si="79"/>
        <v>0</v>
      </c>
      <c r="AD319" s="8" t="str">
        <f>IFERROR(AC319/AC444, "NA")</f>
        <v>NA</v>
      </c>
    </row>
    <row r="320" spans="1:30" ht="16.5" hidden="1" customHeight="1" x14ac:dyDescent="0.45">
      <c r="A320" s="6" t="s">
        <v>292</v>
      </c>
      <c r="B320" s="7">
        <v>0</v>
      </c>
      <c r="C320" s="8" t="str">
        <f>IFERROR(B320/B444, "NA")</f>
        <v>NA</v>
      </c>
      <c r="D320" s="9"/>
      <c r="E320" s="7">
        <v>0</v>
      </c>
      <c r="F320" s="8" t="str">
        <f>IFERROR(E320/E444, "NA")</f>
        <v>NA</v>
      </c>
      <c r="G320" s="9"/>
      <c r="H320" s="10">
        <f t="shared" si="76"/>
        <v>0</v>
      </c>
      <c r="I320" s="8" t="str">
        <f>IFERROR(H320/H444, "NA")</f>
        <v>NA</v>
      </c>
      <c r="J320" s="9"/>
      <c r="K320" s="7">
        <v>0</v>
      </c>
      <c r="L320" s="8" t="str">
        <f>IFERROR(K320/K444, "NA")</f>
        <v>NA</v>
      </c>
      <c r="M320" s="9"/>
      <c r="N320" s="10">
        <f t="shared" si="77"/>
        <v>0</v>
      </c>
      <c r="O320" s="8" t="str">
        <f>IFERROR(N320/N444, "NA")</f>
        <v>NA</v>
      </c>
      <c r="P320" s="9"/>
      <c r="Q320" s="7">
        <v>0</v>
      </c>
      <c r="R320" s="8" t="str">
        <f>IFERROR(Q320/Q444, "NA")</f>
        <v>NA</v>
      </c>
      <c r="S320" s="9"/>
      <c r="T320" s="7">
        <v>0</v>
      </c>
      <c r="U320" s="8" t="str">
        <f>IFERROR(T320/T444, "NA")</f>
        <v>NA</v>
      </c>
      <c r="V320" s="9"/>
      <c r="W320" s="10">
        <f t="shared" si="78"/>
        <v>0</v>
      </c>
      <c r="X320" s="8" t="str">
        <f>IFERROR(W320/W444, "NA")</f>
        <v>NA</v>
      </c>
      <c r="Y320" s="9"/>
      <c r="Z320" s="7">
        <v>0</v>
      </c>
      <c r="AA320" s="8" t="str">
        <f>IFERROR(Z320/Z444, "NA")</f>
        <v>NA</v>
      </c>
      <c r="AB320" s="9"/>
      <c r="AC320" s="10">
        <f t="shared" si="79"/>
        <v>0</v>
      </c>
      <c r="AD320" s="8" t="str">
        <f>IFERROR(AC320/AC444, "NA")</f>
        <v>NA</v>
      </c>
    </row>
    <row r="321" spans="1:30" ht="16.5" hidden="1" customHeight="1" x14ac:dyDescent="0.45">
      <c r="A321" s="6" t="s">
        <v>293</v>
      </c>
      <c r="B321" s="7">
        <v>0</v>
      </c>
      <c r="C321" s="8" t="str">
        <f>IFERROR(B321/B444, "NA")</f>
        <v>NA</v>
      </c>
      <c r="D321" s="9"/>
      <c r="E321" s="7">
        <v>0</v>
      </c>
      <c r="F321" s="8" t="str">
        <f>IFERROR(E321/E444, "NA")</f>
        <v>NA</v>
      </c>
      <c r="G321" s="9"/>
      <c r="H321" s="10">
        <f t="shared" si="76"/>
        <v>0</v>
      </c>
      <c r="I321" s="8" t="str">
        <f>IFERROR(H321/H444, "NA")</f>
        <v>NA</v>
      </c>
      <c r="J321" s="9"/>
      <c r="K321" s="7">
        <v>0</v>
      </c>
      <c r="L321" s="8" t="str">
        <f>IFERROR(K321/K444, "NA")</f>
        <v>NA</v>
      </c>
      <c r="M321" s="9"/>
      <c r="N321" s="10">
        <f t="shared" si="77"/>
        <v>0</v>
      </c>
      <c r="O321" s="8" t="str">
        <f>IFERROR(N321/N444, "NA")</f>
        <v>NA</v>
      </c>
      <c r="P321" s="9"/>
      <c r="Q321" s="7">
        <v>0</v>
      </c>
      <c r="R321" s="8" t="str">
        <f>IFERROR(Q321/Q444, "NA")</f>
        <v>NA</v>
      </c>
      <c r="S321" s="9"/>
      <c r="T321" s="7">
        <v>0</v>
      </c>
      <c r="U321" s="8" t="str">
        <f>IFERROR(T321/T444, "NA")</f>
        <v>NA</v>
      </c>
      <c r="V321" s="9"/>
      <c r="W321" s="10">
        <f t="shared" si="78"/>
        <v>0</v>
      </c>
      <c r="X321" s="8" t="str">
        <f>IFERROR(W321/W444, "NA")</f>
        <v>NA</v>
      </c>
      <c r="Y321" s="9"/>
      <c r="Z321" s="7">
        <v>0</v>
      </c>
      <c r="AA321" s="8" t="str">
        <f>IFERROR(Z321/Z444, "NA")</f>
        <v>NA</v>
      </c>
      <c r="AB321" s="9"/>
      <c r="AC321" s="10">
        <f t="shared" si="79"/>
        <v>0</v>
      </c>
      <c r="AD321" s="8" t="str">
        <f>IFERROR(AC321/AC444, "NA")</f>
        <v>NA</v>
      </c>
    </row>
    <row r="322" spans="1:30" ht="16.5" hidden="1" customHeight="1" x14ac:dyDescent="0.45">
      <c r="A322" s="6" t="s">
        <v>294</v>
      </c>
      <c r="B322" s="7">
        <v>0</v>
      </c>
      <c r="C322" s="8" t="str">
        <f>IFERROR(B322/B444, "NA")</f>
        <v>NA</v>
      </c>
      <c r="D322" s="9"/>
      <c r="E322" s="7">
        <v>0</v>
      </c>
      <c r="F322" s="8" t="str">
        <f>IFERROR(E322/E444, "NA")</f>
        <v>NA</v>
      </c>
      <c r="G322" s="9"/>
      <c r="H322" s="10">
        <f t="shared" si="76"/>
        <v>0</v>
      </c>
      <c r="I322" s="8" t="str">
        <f>IFERROR(H322/H444, "NA")</f>
        <v>NA</v>
      </c>
      <c r="J322" s="9"/>
      <c r="K322" s="7">
        <v>0</v>
      </c>
      <c r="L322" s="8" t="str">
        <f>IFERROR(K322/K444, "NA")</f>
        <v>NA</v>
      </c>
      <c r="M322" s="9"/>
      <c r="N322" s="10">
        <f t="shared" si="77"/>
        <v>0</v>
      </c>
      <c r="O322" s="8" t="str">
        <f>IFERROR(N322/N444, "NA")</f>
        <v>NA</v>
      </c>
      <c r="P322" s="9"/>
      <c r="Q322" s="7">
        <v>0</v>
      </c>
      <c r="R322" s="8" t="str">
        <f>IFERROR(Q322/Q444, "NA")</f>
        <v>NA</v>
      </c>
      <c r="S322" s="9"/>
      <c r="T322" s="7">
        <v>0</v>
      </c>
      <c r="U322" s="8" t="str">
        <f>IFERROR(T322/T444, "NA")</f>
        <v>NA</v>
      </c>
      <c r="V322" s="9"/>
      <c r="W322" s="10">
        <f t="shared" si="78"/>
        <v>0</v>
      </c>
      <c r="X322" s="8" t="str">
        <f>IFERROR(W322/W444, "NA")</f>
        <v>NA</v>
      </c>
      <c r="Y322" s="9"/>
      <c r="Z322" s="7">
        <v>0</v>
      </c>
      <c r="AA322" s="8" t="str">
        <f>IFERROR(Z322/Z444, "NA")</f>
        <v>NA</v>
      </c>
      <c r="AB322" s="9"/>
      <c r="AC322" s="10">
        <f t="shared" si="79"/>
        <v>0</v>
      </c>
      <c r="AD322" s="8" t="str">
        <f>IFERROR(AC322/AC444, "NA")</f>
        <v>NA</v>
      </c>
    </row>
    <row r="323" spans="1:30" ht="16.5" hidden="1" customHeight="1" x14ac:dyDescent="0.45">
      <c r="A323" s="6" t="s">
        <v>295</v>
      </c>
      <c r="B323" s="7">
        <v>0</v>
      </c>
      <c r="C323" s="8" t="str">
        <f>IFERROR(B323/B444, "NA")</f>
        <v>NA</v>
      </c>
      <c r="D323" s="9"/>
      <c r="E323" s="7">
        <v>0</v>
      </c>
      <c r="F323" s="8" t="str">
        <f>IFERROR(E323/E444, "NA")</f>
        <v>NA</v>
      </c>
      <c r="G323" s="9"/>
      <c r="H323" s="10">
        <f t="shared" si="76"/>
        <v>0</v>
      </c>
      <c r="I323" s="8" t="str">
        <f>IFERROR(H323/H444, "NA")</f>
        <v>NA</v>
      </c>
      <c r="J323" s="9"/>
      <c r="K323" s="7">
        <v>0</v>
      </c>
      <c r="L323" s="8" t="str">
        <f>IFERROR(K323/K444, "NA")</f>
        <v>NA</v>
      </c>
      <c r="M323" s="9"/>
      <c r="N323" s="10">
        <f t="shared" si="77"/>
        <v>0</v>
      </c>
      <c r="O323" s="8" t="str">
        <f>IFERROR(N323/N444, "NA")</f>
        <v>NA</v>
      </c>
      <c r="P323" s="9"/>
      <c r="Q323" s="7">
        <v>0</v>
      </c>
      <c r="R323" s="8" t="str">
        <f>IFERROR(Q323/Q444, "NA")</f>
        <v>NA</v>
      </c>
      <c r="S323" s="9"/>
      <c r="T323" s="7">
        <v>0</v>
      </c>
      <c r="U323" s="8" t="str">
        <f>IFERROR(T323/T444, "NA")</f>
        <v>NA</v>
      </c>
      <c r="V323" s="9"/>
      <c r="W323" s="10">
        <f t="shared" si="78"/>
        <v>0</v>
      </c>
      <c r="X323" s="8" t="str">
        <f>IFERROR(W323/W444, "NA")</f>
        <v>NA</v>
      </c>
      <c r="Y323" s="9"/>
      <c r="Z323" s="7">
        <v>0</v>
      </c>
      <c r="AA323" s="8" t="str">
        <f>IFERROR(Z323/Z444, "NA")</f>
        <v>NA</v>
      </c>
      <c r="AB323" s="9"/>
      <c r="AC323" s="10">
        <f t="shared" si="79"/>
        <v>0</v>
      </c>
      <c r="AD323" s="8" t="str">
        <f>IFERROR(AC323/AC444, "NA")</f>
        <v>NA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0</v>
      </c>
      <c r="C324" s="15" t="str">
        <f>IFERROR(B324/B444, "NA")</f>
        <v>NA</v>
      </c>
      <c r="D324" s="2"/>
      <c r="E324" s="14">
        <f>IFERROR(E297+E298+E299+E300+E301+E302+E303+E304+E305+E306+E307+E308+E309+E310+E311+E312+E313+E314+E315+E316+E317+E318+E319+E320+E321+E322+E323, "NA")</f>
        <v>0</v>
      </c>
      <c r="F324" s="15" t="str">
        <f>IFERROR(E324/E444, "NA")</f>
        <v>NA</v>
      </c>
      <c r="G324" s="2"/>
      <c r="H324" s="14">
        <f t="shared" si="76"/>
        <v>0</v>
      </c>
      <c r="I324" s="15" t="str">
        <f>IFERROR(H324/H444, "NA")</f>
        <v>NA</v>
      </c>
      <c r="J324" s="2"/>
      <c r="K324" s="14">
        <f>IFERROR(K297+K298+K299+K300+K301+K302+K303+K304+K305+K306+K307+K308+K309+K310+K311+K312+K313+K314+K315+K316+K317+K318+K319+K320+K321+K322+K323, "NA")</f>
        <v>0</v>
      </c>
      <c r="L324" s="15" t="str">
        <f>IFERROR(K324/K444, "NA")</f>
        <v>NA</v>
      </c>
      <c r="M324" s="2"/>
      <c r="N324" s="14">
        <f t="shared" si="77"/>
        <v>0</v>
      </c>
      <c r="O324" s="15" t="str">
        <f>IFERROR(N324/N444, "NA")</f>
        <v>NA</v>
      </c>
      <c r="P324" s="2"/>
      <c r="Q324" s="14">
        <f>IFERROR(Q297+Q298+Q299+Q300+Q301+Q302+Q303+Q304+Q305+Q306+Q307+Q308+Q309+Q310+Q311+Q312+Q313+Q314+Q315+Q316+Q317+Q318+Q319+Q320+Q321+Q322+Q323, "NA")</f>
        <v>0</v>
      </c>
      <c r="R324" s="15" t="str">
        <f>IFERROR(Q324/Q444, "NA")</f>
        <v>NA</v>
      </c>
      <c r="S324" s="2"/>
      <c r="T324" s="14">
        <f>IFERROR(T297+T298+T299+T300+T301+T302+T303+T304+T305+T306+T307+T308+T309+T310+T311+T312+T313+T314+T315+T316+T317+T318+T319+T320+T321+T322+T323, "NA")</f>
        <v>0</v>
      </c>
      <c r="U324" s="15" t="str">
        <f>IFERROR(T324/T444, "NA")</f>
        <v>NA</v>
      </c>
      <c r="V324" s="2"/>
      <c r="W324" s="14">
        <f t="shared" si="78"/>
        <v>0</v>
      </c>
      <c r="X324" s="15" t="str">
        <f>IFERROR(W324/W444, "NA")</f>
        <v>NA</v>
      </c>
      <c r="Y324" s="2"/>
      <c r="Z324" s="14">
        <f>IFERROR(Z297+Z298+Z299+Z300+Z301+Z302+Z303+Z304+Z305+Z306+Z307+Z308+Z309+Z310+Z311+Z312+Z313+Z314+Z315+Z316+Z317+Z318+Z319+Z320+Z321+Z322+Z323, "NA")</f>
        <v>0</v>
      </c>
      <c r="AA324" s="15" t="str">
        <f>IFERROR(Z324/Z444, "NA")</f>
        <v>NA</v>
      </c>
      <c r="AB324" s="2"/>
      <c r="AC324" s="14">
        <f t="shared" si="79"/>
        <v>0</v>
      </c>
      <c r="AD324" s="15" t="str">
        <f>IFERROR(AC324/AC444, "NA")</f>
        <v>NA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0</v>
      </c>
      <c r="C325" s="15" t="str">
        <f>IFERROR(B325/B444, "NA")</f>
        <v>NA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0</v>
      </c>
      <c r="F325" s="15" t="str">
        <f>IFERROR(E325/E444, "NA")</f>
        <v>NA</v>
      </c>
      <c r="G325" s="2"/>
      <c r="H325" s="14">
        <f t="shared" si="76"/>
        <v>0</v>
      </c>
      <c r="I325" s="15" t="str">
        <f>IFERROR(H325/H444, "NA")</f>
        <v>NA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0</v>
      </c>
      <c r="L325" s="15" t="str">
        <f>IFERROR(K325/K444, "NA")</f>
        <v>NA</v>
      </c>
      <c r="M325" s="2"/>
      <c r="N325" s="14">
        <f t="shared" si="77"/>
        <v>0</v>
      </c>
      <c r="O325" s="15" t="str">
        <f>IFERROR(N325/N444, "NA")</f>
        <v>NA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0</v>
      </c>
      <c r="R325" s="15" t="str">
        <f>IFERROR(Q325/Q444, "NA")</f>
        <v>NA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0</v>
      </c>
      <c r="U325" s="15" t="str">
        <f>IFERROR(T325/T444, "NA")</f>
        <v>NA</v>
      </c>
      <c r="V325" s="2"/>
      <c r="W325" s="14">
        <f t="shared" si="78"/>
        <v>0</v>
      </c>
      <c r="X325" s="15" t="str">
        <f>IFERROR(W325/W444, "NA")</f>
        <v>NA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0</v>
      </c>
      <c r="AA325" s="15" t="str">
        <f>IFERROR(Z325/Z444, "NA")</f>
        <v>NA</v>
      </c>
      <c r="AB325" s="2"/>
      <c r="AC325" s="14">
        <f t="shared" si="79"/>
        <v>0</v>
      </c>
      <c r="AD325" s="15" t="str">
        <f>IFERROR(AC325/AC444, "NA")</f>
        <v>NA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 t="str">
        <f>IFERROR(B328/B444, "NA")</f>
        <v>NA</v>
      </c>
      <c r="D328" s="9"/>
      <c r="E328" s="7">
        <v>0</v>
      </c>
      <c r="F328" s="8" t="str">
        <f>IFERROR(E328/E444, "NA")</f>
        <v>NA</v>
      </c>
      <c r="G328" s="9"/>
      <c r="H328" s="10">
        <f t="shared" ref="H328:H335" si="80">IFERROR(-(B328-E328), "NA")</f>
        <v>0</v>
      </c>
      <c r="I328" s="8" t="str">
        <f>IFERROR(H328/H444, "NA")</f>
        <v>NA</v>
      </c>
      <c r="J328" s="9"/>
      <c r="K328" s="7">
        <v>0</v>
      </c>
      <c r="L328" s="8" t="str">
        <f>IFERROR(K328/K444, "NA")</f>
        <v>NA</v>
      </c>
      <c r="M328" s="9"/>
      <c r="N328" s="10">
        <f t="shared" ref="N328:N335" si="81">IFERROR(-(B328-K328), "NA")</f>
        <v>0</v>
      </c>
      <c r="O328" s="8" t="str">
        <f>IFERROR(N328/N444, "NA")</f>
        <v>NA</v>
      </c>
      <c r="P328" s="9"/>
      <c r="Q328" s="7">
        <v>0</v>
      </c>
      <c r="R328" s="8" t="str">
        <f>IFERROR(Q328/Q444, "NA")</f>
        <v>NA</v>
      </c>
      <c r="S328" s="9"/>
      <c r="T328" s="7">
        <v>0</v>
      </c>
      <c r="U328" s="8" t="str">
        <f>IFERROR(T328/T444, "NA")</f>
        <v>NA</v>
      </c>
      <c r="V328" s="9"/>
      <c r="W328" s="10">
        <f t="shared" ref="W328:W335" si="82">IFERROR(-(Q328-T328), "NA")</f>
        <v>0</v>
      </c>
      <c r="X328" s="8" t="str">
        <f>IFERROR(W328/W444, "NA")</f>
        <v>NA</v>
      </c>
      <c r="Y328" s="9"/>
      <c r="Z328" s="7">
        <v>0</v>
      </c>
      <c r="AA328" s="8" t="str">
        <f>IFERROR(Z328/Z444, "NA")</f>
        <v>NA</v>
      </c>
      <c r="AB328" s="9"/>
      <c r="AC328" s="10">
        <f t="shared" ref="AC328:AC335" si="83">IFERROR(-(Q328-Z328), "NA")</f>
        <v>0</v>
      </c>
      <c r="AD328" s="8" t="str">
        <f>IFERROR(AC328/AC444, "NA")</f>
        <v>NA</v>
      </c>
    </row>
    <row r="329" spans="1:30" ht="16.5" hidden="1" customHeight="1" x14ac:dyDescent="0.45">
      <c r="A329" s="6" t="s">
        <v>300</v>
      </c>
      <c r="B329" s="7">
        <v>0</v>
      </c>
      <c r="C329" s="8" t="str">
        <f>IFERROR(B329/B444, "NA")</f>
        <v>NA</v>
      </c>
      <c r="D329" s="9"/>
      <c r="E329" s="7">
        <v>0</v>
      </c>
      <c r="F329" s="8" t="str">
        <f>IFERROR(E329/E444, "NA")</f>
        <v>NA</v>
      </c>
      <c r="G329" s="9"/>
      <c r="H329" s="10">
        <f t="shared" si="80"/>
        <v>0</v>
      </c>
      <c r="I329" s="8" t="str">
        <f>IFERROR(H329/H444, "NA")</f>
        <v>NA</v>
      </c>
      <c r="J329" s="9"/>
      <c r="K329" s="7">
        <v>0</v>
      </c>
      <c r="L329" s="8" t="str">
        <f>IFERROR(K329/K444, "NA")</f>
        <v>NA</v>
      </c>
      <c r="M329" s="9"/>
      <c r="N329" s="10">
        <f t="shared" si="81"/>
        <v>0</v>
      </c>
      <c r="O329" s="8" t="str">
        <f>IFERROR(N329/N444, "NA")</f>
        <v>NA</v>
      </c>
      <c r="P329" s="9"/>
      <c r="Q329" s="7">
        <v>0</v>
      </c>
      <c r="R329" s="8" t="str">
        <f>IFERROR(Q329/Q444, "NA")</f>
        <v>NA</v>
      </c>
      <c r="S329" s="9"/>
      <c r="T329" s="7">
        <v>0</v>
      </c>
      <c r="U329" s="8" t="str">
        <f>IFERROR(T329/T444, "NA")</f>
        <v>NA</v>
      </c>
      <c r="V329" s="9"/>
      <c r="W329" s="10">
        <f t="shared" si="82"/>
        <v>0</v>
      </c>
      <c r="X329" s="8" t="str">
        <f>IFERROR(W329/W444, "NA")</f>
        <v>NA</v>
      </c>
      <c r="Y329" s="9"/>
      <c r="Z329" s="7">
        <v>0</v>
      </c>
      <c r="AA329" s="8" t="str">
        <f>IFERROR(Z329/Z444, "NA")</f>
        <v>NA</v>
      </c>
      <c r="AB329" s="9"/>
      <c r="AC329" s="10">
        <f t="shared" si="83"/>
        <v>0</v>
      </c>
      <c r="AD329" s="8" t="str">
        <f>IFERROR(AC329/AC444, "NA")</f>
        <v>NA</v>
      </c>
    </row>
    <row r="330" spans="1:30" ht="16.5" hidden="1" customHeight="1" x14ac:dyDescent="0.45">
      <c r="A330" s="6" t="s">
        <v>301</v>
      </c>
      <c r="B330" s="7">
        <v>0</v>
      </c>
      <c r="C330" s="8" t="str">
        <f>IFERROR(B330/B444, "NA")</f>
        <v>NA</v>
      </c>
      <c r="D330" s="9"/>
      <c r="E330" s="7">
        <v>0</v>
      </c>
      <c r="F330" s="8" t="str">
        <f>IFERROR(E330/E444, "NA")</f>
        <v>NA</v>
      </c>
      <c r="G330" s="9"/>
      <c r="H330" s="10">
        <f t="shared" si="80"/>
        <v>0</v>
      </c>
      <c r="I330" s="8" t="str">
        <f>IFERROR(H330/H444, "NA")</f>
        <v>NA</v>
      </c>
      <c r="J330" s="9"/>
      <c r="K330" s="7">
        <v>0</v>
      </c>
      <c r="L330" s="8" t="str">
        <f>IFERROR(K330/K444, "NA")</f>
        <v>NA</v>
      </c>
      <c r="M330" s="9"/>
      <c r="N330" s="10">
        <f t="shared" si="81"/>
        <v>0</v>
      </c>
      <c r="O330" s="8" t="str">
        <f>IFERROR(N330/N444, "NA")</f>
        <v>NA</v>
      </c>
      <c r="P330" s="9"/>
      <c r="Q330" s="7">
        <v>0</v>
      </c>
      <c r="R330" s="8" t="str">
        <f>IFERROR(Q330/Q444, "NA")</f>
        <v>NA</v>
      </c>
      <c r="S330" s="9"/>
      <c r="T330" s="7">
        <v>0</v>
      </c>
      <c r="U330" s="8" t="str">
        <f>IFERROR(T330/T444, "NA")</f>
        <v>NA</v>
      </c>
      <c r="V330" s="9"/>
      <c r="W330" s="10">
        <f t="shared" si="82"/>
        <v>0</v>
      </c>
      <c r="X330" s="8" t="str">
        <f>IFERROR(W330/W444, "NA")</f>
        <v>NA</v>
      </c>
      <c r="Y330" s="9"/>
      <c r="Z330" s="7">
        <v>0</v>
      </c>
      <c r="AA330" s="8" t="str">
        <f>IFERROR(Z330/Z444, "NA")</f>
        <v>NA</v>
      </c>
      <c r="AB330" s="9"/>
      <c r="AC330" s="10">
        <f t="shared" si="83"/>
        <v>0</v>
      </c>
      <c r="AD330" s="8" t="str">
        <f>IFERROR(AC330/AC444, "NA")</f>
        <v>NA</v>
      </c>
    </row>
    <row r="331" spans="1:30" ht="16.5" hidden="1" customHeight="1" x14ac:dyDescent="0.45">
      <c r="A331" s="6" t="s">
        <v>302</v>
      </c>
      <c r="B331" s="7">
        <v>0</v>
      </c>
      <c r="C331" s="8" t="str">
        <f>IFERROR(B331/B444, "NA")</f>
        <v>NA</v>
      </c>
      <c r="D331" s="9"/>
      <c r="E331" s="7">
        <v>0</v>
      </c>
      <c r="F331" s="8" t="str">
        <f>IFERROR(E331/E444, "NA")</f>
        <v>NA</v>
      </c>
      <c r="G331" s="9"/>
      <c r="H331" s="10">
        <f t="shared" si="80"/>
        <v>0</v>
      </c>
      <c r="I331" s="8" t="str">
        <f>IFERROR(H331/H444, "NA")</f>
        <v>NA</v>
      </c>
      <c r="J331" s="9"/>
      <c r="K331" s="7">
        <v>0</v>
      </c>
      <c r="L331" s="8" t="str">
        <f>IFERROR(K331/K444, "NA")</f>
        <v>NA</v>
      </c>
      <c r="M331" s="9"/>
      <c r="N331" s="10">
        <f t="shared" si="81"/>
        <v>0</v>
      </c>
      <c r="O331" s="8" t="str">
        <f>IFERROR(N331/N444, "NA")</f>
        <v>NA</v>
      </c>
      <c r="P331" s="9"/>
      <c r="Q331" s="7">
        <v>0</v>
      </c>
      <c r="R331" s="8" t="str">
        <f>IFERROR(Q331/Q444, "NA")</f>
        <v>NA</v>
      </c>
      <c r="S331" s="9"/>
      <c r="T331" s="7">
        <v>0</v>
      </c>
      <c r="U331" s="8" t="str">
        <f>IFERROR(T331/T444, "NA")</f>
        <v>NA</v>
      </c>
      <c r="V331" s="9"/>
      <c r="W331" s="10">
        <f t="shared" si="82"/>
        <v>0</v>
      </c>
      <c r="X331" s="8" t="str">
        <f>IFERROR(W331/W444, "NA")</f>
        <v>NA</v>
      </c>
      <c r="Y331" s="9"/>
      <c r="Z331" s="7">
        <v>0</v>
      </c>
      <c r="AA331" s="8" t="str">
        <f>IFERROR(Z331/Z444, "NA")</f>
        <v>NA</v>
      </c>
      <c r="AB331" s="9"/>
      <c r="AC331" s="10">
        <f t="shared" si="83"/>
        <v>0</v>
      </c>
      <c r="AD331" s="8" t="str">
        <f>IFERROR(AC331/AC444, "NA")</f>
        <v>NA</v>
      </c>
    </row>
    <row r="332" spans="1:30" ht="16.5" hidden="1" customHeight="1" x14ac:dyDescent="0.45">
      <c r="A332" s="6" t="s">
        <v>303</v>
      </c>
      <c r="B332" s="7">
        <v>0</v>
      </c>
      <c r="C332" s="8" t="str">
        <f>IFERROR(B332/B444, "NA")</f>
        <v>NA</v>
      </c>
      <c r="D332" s="9"/>
      <c r="E332" s="7">
        <v>0</v>
      </c>
      <c r="F332" s="8" t="str">
        <f>IFERROR(E332/E444, "NA")</f>
        <v>NA</v>
      </c>
      <c r="G332" s="9"/>
      <c r="H332" s="10">
        <f t="shared" si="80"/>
        <v>0</v>
      </c>
      <c r="I332" s="8" t="str">
        <f>IFERROR(H332/H444, "NA")</f>
        <v>NA</v>
      </c>
      <c r="J332" s="9"/>
      <c r="K332" s="7">
        <v>0</v>
      </c>
      <c r="L332" s="8" t="str">
        <f>IFERROR(K332/K444, "NA")</f>
        <v>NA</v>
      </c>
      <c r="M332" s="9"/>
      <c r="N332" s="10">
        <f t="shared" si="81"/>
        <v>0</v>
      </c>
      <c r="O332" s="8" t="str">
        <f>IFERROR(N332/N444, "NA")</f>
        <v>NA</v>
      </c>
      <c r="P332" s="9"/>
      <c r="Q332" s="7">
        <v>0</v>
      </c>
      <c r="R332" s="8" t="str">
        <f>IFERROR(Q332/Q444, "NA")</f>
        <v>NA</v>
      </c>
      <c r="S332" s="9"/>
      <c r="T332" s="7">
        <v>0</v>
      </c>
      <c r="U332" s="8" t="str">
        <f>IFERROR(T332/T444, "NA")</f>
        <v>NA</v>
      </c>
      <c r="V332" s="9"/>
      <c r="W332" s="10">
        <f t="shared" si="82"/>
        <v>0</v>
      </c>
      <c r="X332" s="8" t="str">
        <f>IFERROR(W332/W444, "NA")</f>
        <v>NA</v>
      </c>
      <c r="Y332" s="9"/>
      <c r="Z332" s="7">
        <v>0</v>
      </c>
      <c r="AA332" s="8" t="str">
        <f>IFERROR(Z332/Z444, "NA")</f>
        <v>NA</v>
      </c>
      <c r="AB332" s="9"/>
      <c r="AC332" s="10">
        <f t="shared" si="83"/>
        <v>0</v>
      </c>
      <c r="AD332" s="8" t="str">
        <f>IFERROR(AC332/AC444, "NA")</f>
        <v>NA</v>
      </c>
    </row>
    <row r="333" spans="1:30" ht="16.5" hidden="1" customHeight="1" x14ac:dyDescent="0.45">
      <c r="A333" s="6" t="s">
        <v>304</v>
      </c>
      <c r="B333" s="7">
        <v>0</v>
      </c>
      <c r="C333" s="8" t="str">
        <f>IFERROR(B333/B444, "NA")</f>
        <v>NA</v>
      </c>
      <c r="D333" s="9"/>
      <c r="E333" s="7">
        <v>0</v>
      </c>
      <c r="F333" s="8" t="str">
        <f>IFERROR(E333/E444, "NA")</f>
        <v>NA</v>
      </c>
      <c r="G333" s="9"/>
      <c r="H333" s="10">
        <f t="shared" si="80"/>
        <v>0</v>
      </c>
      <c r="I333" s="8" t="str">
        <f>IFERROR(H333/H444, "NA")</f>
        <v>NA</v>
      </c>
      <c r="J333" s="9"/>
      <c r="K333" s="7">
        <v>0</v>
      </c>
      <c r="L333" s="8" t="str">
        <f>IFERROR(K333/K444, "NA")</f>
        <v>NA</v>
      </c>
      <c r="M333" s="9"/>
      <c r="N333" s="10">
        <f t="shared" si="81"/>
        <v>0</v>
      </c>
      <c r="O333" s="8" t="str">
        <f>IFERROR(N333/N444, "NA")</f>
        <v>NA</v>
      </c>
      <c r="P333" s="9"/>
      <c r="Q333" s="7">
        <v>0</v>
      </c>
      <c r="R333" s="8" t="str">
        <f>IFERROR(Q333/Q444, "NA")</f>
        <v>NA</v>
      </c>
      <c r="S333" s="9"/>
      <c r="T333" s="7">
        <v>0</v>
      </c>
      <c r="U333" s="8" t="str">
        <f>IFERROR(T333/T444, "NA")</f>
        <v>NA</v>
      </c>
      <c r="V333" s="9"/>
      <c r="W333" s="10">
        <f t="shared" si="82"/>
        <v>0</v>
      </c>
      <c r="X333" s="8" t="str">
        <f>IFERROR(W333/W444, "NA")</f>
        <v>NA</v>
      </c>
      <c r="Y333" s="9"/>
      <c r="Z333" s="7">
        <v>0</v>
      </c>
      <c r="AA333" s="8" t="str">
        <f>IFERROR(Z333/Z444, "NA")</f>
        <v>NA</v>
      </c>
      <c r="AB333" s="9"/>
      <c r="AC333" s="10">
        <f t="shared" si="83"/>
        <v>0</v>
      </c>
      <c r="AD333" s="8" t="str">
        <f>IFERROR(AC333/AC444, "NA")</f>
        <v>NA</v>
      </c>
    </row>
    <row r="334" spans="1:30" ht="16.5" hidden="1" customHeight="1" x14ac:dyDescent="0.45">
      <c r="A334" s="6" t="s">
        <v>305</v>
      </c>
      <c r="B334" s="7">
        <v>0</v>
      </c>
      <c r="C334" s="8" t="str">
        <f>IFERROR(B334/B444, "NA")</f>
        <v>NA</v>
      </c>
      <c r="D334" s="9"/>
      <c r="E334" s="7">
        <v>0</v>
      </c>
      <c r="F334" s="8" t="str">
        <f>IFERROR(E334/E444, "NA")</f>
        <v>NA</v>
      </c>
      <c r="G334" s="9"/>
      <c r="H334" s="10">
        <f t="shared" si="80"/>
        <v>0</v>
      </c>
      <c r="I334" s="8" t="str">
        <f>IFERROR(H334/H444, "NA")</f>
        <v>NA</v>
      </c>
      <c r="J334" s="9"/>
      <c r="K334" s="7">
        <v>0</v>
      </c>
      <c r="L334" s="8" t="str">
        <f>IFERROR(K334/K444, "NA")</f>
        <v>NA</v>
      </c>
      <c r="M334" s="9"/>
      <c r="N334" s="10">
        <f t="shared" si="81"/>
        <v>0</v>
      </c>
      <c r="O334" s="8" t="str">
        <f>IFERROR(N334/N444, "NA")</f>
        <v>NA</v>
      </c>
      <c r="P334" s="9"/>
      <c r="Q334" s="7">
        <v>0</v>
      </c>
      <c r="R334" s="8" t="str">
        <f>IFERROR(Q334/Q444, "NA")</f>
        <v>NA</v>
      </c>
      <c r="S334" s="9"/>
      <c r="T334" s="7">
        <v>0</v>
      </c>
      <c r="U334" s="8" t="str">
        <f>IFERROR(T334/T444, "NA")</f>
        <v>NA</v>
      </c>
      <c r="V334" s="9"/>
      <c r="W334" s="10">
        <f t="shared" si="82"/>
        <v>0</v>
      </c>
      <c r="X334" s="8" t="str">
        <f>IFERROR(W334/W444, "NA")</f>
        <v>NA</v>
      </c>
      <c r="Y334" s="9"/>
      <c r="Z334" s="7">
        <v>0</v>
      </c>
      <c r="AA334" s="8" t="str">
        <f>IFERROR(Z334/Z444, "NA")</f>
        <v>NA</v>
      </c>
      <c r="AB334" s="9"/>
      <c r="AC334" s="10">
        <f t="shared" si="83"/>
        <v>0</v>
      </c>
      <c r="AD334" s="8" t="str">
        <f>IFERROR(AC334/AC444, "NA")</f>
        <v>NA</v>
      </c>
    </row>
    <row r="335" spans="1:30" ht="16.5" hidden="1" customHeight="1" x14ac:dyDescent="0.45">
      <c r="A335" s="6" t="s">
        <v>306</v>
      </c>
      <c r="B335" s="7">
        <v>0</v>
      </c>
      <c r="C335" s="8" t="str">
        <f>IFERROR(B335/B444, "NA")</f>
        <v>NA</v>
      </c>
      <c r="D335" s="9"/>
      <c r="E335" s="7">
        <v>0</v>
      </c>
      <c r="F335" s="8" t="str">
        <f>IFERROR(E335/E444, "NA")</f>
        <v>NA</v>
      </c>
      <c r="G335" s="9"/>
      <c r="H335" s="10">
        <f t="shared" si="80"/>
        <v>0</v>
      </c>
      <c r="I335" s="8" t="str">
        <f>IFERROR(H335/H444, "NA")</f>
        <v>NA</v>
      </c>
      <c r="J335" s="9"/>
      <c r="K335" s="7">
        <v>0</v>
      </c>
      <c r="L335" s="8" t="str">
        <f>IFERROR(K335/K444, "NA")</f>
        <v>NA</v>
      </c>
      <c r="M335" s="9"/>
      <c r="N335" s="10">
        <f t="shared" si="81"/>
        <v>0</v>
      </c>
      <c r="O335" s="8" t="str">
        <f>IFERROR(N335/N444, "NA")</f>
        <v>NA</v>
      </c>
      <c r="P335" s="9"/>
      <c r="Q335" s="7">
        <v>0</v>
      </c>
      <c r="R335" s="8" t="str">
        <f>IFERROR(Q335/Q444, "NA")</f>
        <v>NA</v>
      </c>
      <c r="S335" s="9"/>
      <c r="T335" s="7">
        <v>0</v>
      </c>
      <c r="U335" s="8" t="str">
        <f>IFERROR(T335/T444, "NA")</f>
        <v>NA</v>
      </c>
      <c r="V335" s="9"/>
      <c r="W335" s="10">
        <f t="shared" si="82"/>
        <v>0</v>
      </c>
      <c r="X335" s="8" t="str">
        <f>IFERROR(W335/W444, "NA")</f>
        <v>NA</v>
      </c>
      <c r="Y335" s="9"/>
      <c r="Z335" s="7">
        <v>0</v>
      </c>
      <c r="AA335" s="8" t="str">
        <f>IFERROR(Z335/Z444, "NA")</f>
        <v>NA</v>
      </c>
      <c r="AB335" s="9"/>
      <c r="AC335" s="10">
        <f t="shared" si="83"/>
        <v>0</v>
      </c>
      <c r="AD335" s="8" t="str">
        <f>IFERROR(AC335/AC444, "NA")</f>
        <v>NA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 t="str">
        <f>IFERROR(B337/B444, "NA")</f>
        <v>NA</v>
      </c>
      <c r="D337" s="9"/>
      <c r="E337" s="7">
        <v>0</v>
      </c>
      <c r="F337" s="8" t="str">
        <f>IFERROR(E337/E444, "NA")</f>
        <v>NA</v>
      </c>
      <c r="G337" s="9"/>
      <c r="H337" s="10">
        <f t="shared" ref="H337:H344" si="84">IFERROR(-(B337-E337), "NA")</f>
        <v>0</v>
      </c>
      <c r="I337" s="8" t="str">
        <f>IFERROR(H337/H444, "NA")</f>
        <v>NA</v>
      </c>
      <c r="J337" s="9"/>
      <c r="K337" s="7">
        <v>0</v>
      </c>
      <c r="L337" s="8" t="str">
        <f>IFERROR(K337/K444, "NA")</f>
        <v>NA</v>
      </c>
      <c r="M337" s="9"/>
      <c r="N337" s="10">
        <f t="shared" ref="N337:N344" si="85">IFERROR(-(B337-K337), "NA")</f>
        <v>0</v>
      </c>
      <c r="O337" s="8" t="str">
        <f>IFERROR(N337/N444, "NA")</f>
        <v>NA</v>
      </c>
      <c r="P337" s="9"/>
      <c r="Q337" s="7">
        <v>0</v>
      </c>
      <c r="R337" s="8" t="str">
        <f>IFERROR(Q337/Q444, "NA")</f>
        <v>NA</v>
      </c>
      <c r="S337" s="9"/>
      <c r="T337" s="7">
        <v>0</v>
      </c>
      <c r="U337" s="8" t="str">
        <f>IFERROR(T337/T444, "NA")</f>
        <v>NA</v>
      </c>
      <c r="V337" s="9"/>
      <c r="W337" s="10">
        <f t="shared" ref="W337:W344" si="86">IFERROR(-(Q337-T337), "NA")</f>
        <v>0</v>
      </c>
      <c r="X337" s="8" t="str">
        <f>IFERROR(W337/W444, "NA")</f>
        <v>NA</v>
      </c>
      <c r="Y337" s="9"/>
      <c r="Z337" s="7">
        <v>0</v>
      </c>
      <c r="AA337" s="8" t="str">
        <f>IFERROR(Z337/Z444, "NA")</f>
        <v>NA</v>
      </c>
      <c r="AB337" s="9"/>
      <c r="AC337" s="10">
        <f t="shared" ref="AC337:AC344" si="87">IFERROR(-(Q337-Z337), "NA")</f>
        <v>0</v>
      </c>
      <c r="AD337" s="8" t="str">
        <f>IFERROR(AC337/AC444, "NA")</f>
        <v>NA</v>
      </c>
    </row>
    <row r="338" spans="1:30" ht="16.5" hidden="1" customHeight="1" x14ac:dyDescent="0.45">
      <c r="A338" s="12" t="s">
        <v>308</v>
      </c>
      <c r="B338" s="7">
        <v>0</v>
      </c>
      <c r="C338" s="8" t="str">
        <f>IFERROR(B338/B444, "NA")</f>
        <v>NA</v>
      </c>
      <c r="D338" s="9"/>
      <c r="E338" s="7">
        <v>0</v>
      </c>
      <c r="F338" s="8" t="str">
        <f>IFERROR(E338/E444, "NA")</f>
        <v>NA</v>
      </c>
      <c r="G338" s="9"/>
      <c r="H338" s="10">
        <f t="shared" si="84"/>
        <v>0</v>
      </c>
      <c r="I338" s="8" t="str">
        <f>IFERROR(H338/H444, "NA")</f>
        <v>NA</v>
      </c>
      <c r="J338" s="9"/>
      <c r="K338" s="7">
        <v>0</v>
      </c>
      <c r="L338" s="8" t="str">
        <f>IFERROR(K338/K444, "NA")</f>
        <v>NA</v>
      </c>
      <c r="M338" s="9"/>
      <c r="N338" s="10">
        <f t="shared" si="85"/>
        <v>0</v>
      </c>
      <c r="O338" s="8" t="str">
        <f>IFERROR(N338/N444, "NA")</f>
        <v>NA</v>
      </c>
      <c r="P338" s="9"/>
      <c r="Q338" s="7">
        <v>0</v>
      </c>
      <c r="R338" s="8" t="str">
        <f>IFERROR(Q338/Q444, "NA")</f>
        <v>NA</v>
      </c>
      <c r="S338" s="9"/>
      <c r="T338" s="7">
        <v>0</v>
      </c>
      <c r="U338" s="8" t="str">
        <f>IFERROR(T338/T444, "NA")</f>
        <v>NA</v>
      </c>
      <c r="V338" s="9"/>
      <c r="W338" s="10">
        <f t="shared" si="86"/>
        <v>0</v>
      </c>
      <c r="X338" s="8" t="str">
        <f>IFERROR(W338/W444, "NA")</f>
        <v>NA</v>
      </c>
      <c r="Y338" s="9"/>
      <c r="Z338" s="7">
        <v>0</v>
      </c>
      <c r="AA338" s="8" t="str">
        <f>IFERROR(Z338/Z444, "NA")</f>
        <v>NA</v>
      </c>
      <c r="AB338" s="9"/>
      <c r="AC338" s="10">
        <f t="shared" si="87"/>
        <v>0</v>
      </c>
      <c r="AD338" s="8" t="str">
        <f>IFERROR(AC338/AC444, "NA")</f>
        <v>NA</v>
      </c>
    </row>
    <row r="339" spans="1:30" ht="16.5" hidden="1" customHeight="1" x14ac:dyDescent="0.45">
      <c r="A339" s="12" t="s">
        <v>309</v>
      </c>
      <c r="B339" s="7">
        <v>0</v>
      </c>
      <c r="C339" s="8" t="str">
        <f>IFERROR(B339/B444, "NA")</f>
        <v>NA</v>
      </c>
      <c r="D339" s="9"/>
      <c r="E339" s="7">
        <v>0</v>
      </c>
      <c r="F339" s="8" t="str">
        <f>IFERROR(E339/E444, "NA")</f>
        <v>NA</v>
      </c>
      <c r="G339" s="9"/>
      <c r="H339" s="10">
        <f t="shared" si="84"/>
        <v>0</v>
      </c>
      <c r="I339" s="8" t="str">
        <f>IFERROR(H339/H444, "NA")</f>
        <v>NA</v>
      </c>
      <c r="J339" s="9"/>
      <c r="K339" s="7">
        <v>0</v>
      </c>
      <c r="L339" s="8" t="str">
        <f>IFERROR(K339/K444, "NA")</f>
        <v>NA</v>
      </c>
      <c r="M339" s="9"/>
      <c r="N339" s="10">
        <f t="shared" si="85"/>
        <v>0</v>
      </c>
      <c r="O339" s="8" t="str">
        <f>IFERROR(N339/N444, "NA")</f>
        <v>NA</v>
      </c>
      <c r="P339" s="9"/>
      <c r="Q339" s="7">
        <v>0</v>
      </c>
      <c r="R339" s="8" t="str">
        <f>IFERROR(Q339/Q444, "NA")</f>
        <v>NA</v>
      </c>
      <c r="S339" s="9"/>
      <c r="T339" s="7">
        <v>0</v>
      </c>
      <c r="U339" s="8" t="str">
        <f>IFERROR(T339/T444, "NA")</f>
        <v>NA</v>
      </c>
      <c r="V339" s="9"/>
      <c r="W339" s="10">
        <f t="shared" si="86"/>
        <v>0</v>
      </c>
      <c r="X339" s="8" t="str">
        <f>IFERROR(W339/W444, "NA")</f>
        <v>NA</v>
      </c>
      <c r="Y339" s="9"/>
      <c r="Z339" s="7">
        <v>0</v>
      </c>
      <c r="AA339" s="8" t="str">
        <f>IFERROR(Z339/Z444, "NA")</f>
        <v>NA</v>
      </c>
      <c r="AB339" s="9"/>
      <c r="AC339" s="10">
        <f t="shared" si="87"/>
        <v>0</v>
      </c>
      <c r="AD339" s="8" t="str">
        <f>IFERROR(AC339/AC444, "NA")</f>
        <v>NA</v>
      </c>
    </row>
    <row r="340" spans="1:30" ht="16.5" hidden="1" customHeight="1" x14ac:dyDescent="0.45">
      <c r="A340" s="12" t="s">
        <v>310</v>
      </c>
      <c r="B340" s="7">
        <v>0</v>
      </c>
      <c r="C340" s="8" t="str">
        <f>IFERROR(B340/B444, "NA")</f>
        <v>NA</v>
      </c>
      <c r="D340" s="9"/>
      <c r="E340" s="7">
        <v>0</v>
      </c>
      <c r="F340" s="8" t="str">
        <f>IFERROR(E340/E444, "NA")</f>
        <v>NA</v>
      </c>
      <c r="G340" s="9"/>
      <c r="H340" s="10">
        <f t="shared" si="84"/>
        <v>0</v>
      </c>
      <c r="I340" s="8" t="str">
        <f>IFERROR(H340/H444, "NA")</f>
        <v>NA</v>
      </c>
      <c r="J340" s="9"/>
      <c r="K340" s="7">
        <v>0</v>
      </c>
      <c r="L340" s="8" t="str">
        <f>IFERROR(K340/K444, "NA")</f>
        <v>NA</v>
      </c>
      <c r="M340" s="9"/>
      <c r="N340" s="10">
        <f t="shared" si="85"/>
        <v>0</v>
      </c>
      <c r="O340" s="8" t="str">
        <f>IFERROR(N340/N444, "NA")</f>
        <v>NA</v>
      </c>
      <c r="P340" s="9"/>
      <c r="Q340" s="7">
        <v>0</v>
      </c>
      <c r="R340" s="8" t="str">
        <f>IFERROR(Q340/Q444, "NA")</f>
        <v>NA</v>
      </c>
      <c r="S340" s="9"/>
      <c r="T340" s="7">
        <v>0</v>
      </c>
      <c r="U340" s="8" t="str">
        <f>IFERROR(T340/T444, "NA")</f>
        <v>NA</v>
      </c>
      <c r="V340" s="9"/>
      <c r="W340" s="10">
        <f t="shared" si="86"/>
        <v>0</v>
      </c>
      <c r="X340" s="8" t="str">
        <f>IFERROR(W340/W444, "NA")</f>
        <v>NA</v>
      </c>
      <c r="Y340" s="9"/>
      <c r="Z340" s="7">
        <v>0</v>
      </c>
      <c r="AA340" s="8" t="str">
        <f>IFERROR(Z340/Z444, "NA")</f>
        <v>NA</v>
      </c>
      <c r="AB340" s="9"/>
      <c r="AC340" s="10">
        <f t="shared" si="87"/>
        <v>0</v>
      </c>
      <c r="AD340" s="8" t="str">
        <f>IFERROR(AC340/AC444, "NA")</f>
        <v>NA</v>
      </c>
    </row>
    <row r="341" spans="1:30" ht="16.5" hidden="1" customHeight="1" x14ac:dyDescent="0.45">
      <c r="A341" s="12" t="s">
        <v>311</v>
      </c>
      <c r="B341" s="7">
        <v>0</v>
      </c>
      <c r="C341" s="8" t="str">
        <f>IFERROR(B341/B444, "NA")</f>
        <v>NA</v>
      </c>
      <c r="D341" s="9"/>
      <c r="E341" s="7">
        <v>0</v>
      </c>
      <c r="F341" s="8" t="str">
        <f>IFERROR(E341/E444, "NA")</f>
        <v>NA</v>
      </c>
      <c r="G341" s="9"/>
      <c r="H341" s="10">
        <f t="shared" si="84"/>
        <v>0</v>
      </c>
      <c r="I341" s="8" t="str">
        <f>IFERROR(H341/H444, "NA")</f>
        <v>NA</v>
      </c>
      <c r="J341" s="9"/>
      <c r="K341" s="7">
        <v>0</v>
      </c>
      <c r="L341" s="8" t="str">
        <f>IFERROR(K341/K444, "NA")</f>
        <v>NA</v>
      </c>
      <c r="M341" s="9"/>
      <c r="N341" s="10">
        <f t="shared" si="85"/>
        <v>0</v>
      </c>
      <c r="O341" s="8" t="str">
        <f>IFERROR(N341/N444, "NA")</f>
        <v>NA</v>
      </c>
      <c r="P341" s="9"/>
      <c r="Q341" s="7">
        <v>0</v>
      </c>
      <c r="R341" s="8" t="str">
        <f>IFERROR(Q341/Q444, "NA")</f>
        <v>NA</v>
      </c>
      <c r="S341" s="9"/>
      <c r="T341" s="7">
        <v>0</v>
      </c>
      <c r="U341" s="8" t="str">
        <f>IFERROR(T341/T444, "NA")</f>
        <v>NA</v>
      </c>
      <c r="V341" s="9"/>
      <c r="W341" s="10">
        <f t="shared" si="86"/>
        <v>0</v>
      </c>
      <c r="X341" s="8" t="str">
        <f>IFERROR(W341/W444, "NA")</f>
        <v>NA</v>
      </c>
      <c r="Y341" s="9"/>
      <c r="Z341" s="7">
        <v>0</v>
      </c>
      <c r="AA341" s="8" t="str">
        <f>IFERROR(Z341/Z444, "NA")</f>
        <v>NA</v>
      </c>
      <c r="AB341" s="9"/>
      <c r="AC341" s="10">
        <f t="shared" si="87"/>
        <v>0</v>
      </c>
      <c r="AD341" s="8" t="str">
        <f>IFERROR(AC341/AC444, "NA")</f>
        <v>NA</v>
      </c>
    </row>
    <row r="342" spans="1:30" ht="16.5" customHeight="1" x14ac:dyDescent="0.45">
      <c r="A342" s="13" t="s">
        <v>312</v>
      </c>
      <c r="B342" s="14">
        <f>IFERROR(B337+B338+B339+B340+B341, "NA")</f>
        <v>0</v>
      </c>
      <c r="C342" s="15" t="str">
        <f>IFERROR(B342/B444, "NA")</f>
        <v>NA</v>
      </c>
      <c r="D342" s="2"/>
      <c r="E342" s="14">
        <f>IFERROR(E337+E338+E339+E340+E341, "NA")</f>
        <v>0</v>
      </c>
      <c r="F342" s="15" t="str">
        <f>IFERROR(E342/E444, "NA")</f>
        <v>NA</v>
      </c>
      <c r="G342" s="2"/>
      <c r="H342" s="14">
        <f t="shared" si="84"/>
        <v>0</v>
      </c>
      <c r="I342" s="15" t="str">
        <f>IFERROR(H342/H444, "NA")</f>
        <v>NA</v>
      </c>
      <c r="J342" s="2"/>
      <c r="K342" s="14">
        <f>IFERROR(K337+K338+K339+K340+K341, "NA")</f>
        <v>0</v>
      </c>
      <c r="L342" s="15" t="str">
        <f>IFERROR(K342/K444, "NA")</f>
        <v>NA</v>
      </c>
      <c r="M342" s="2"/>
      <c r="N342" s="14">
        <f t="shared" si="85"/>
        <v>0</v>
      </c>
      <c r="O342" s="15" t="str">
        <f>IFERROR(N342/N444, "NA")</f>
        <v>NA</v>
      </c>
      <c r="P342" s="2"/>
      <c r="Q342" s="14">
        <f>IFERROR(Q337+Q338+Q339+Q340+Q341, "NA")</f>
        <v>0</v>
      </c>
      <c r="R342" s="15" t="str">
        <f>IFERROR(Q342/Q444, "NA")</f>
        <v>NA</v>
      </c>
      <c r="S342" s="2"/>
      <c r="T342" s="14">
        <f>IFERROR(T337+T338+T339+T340+T341, "NA")</f>
        <v>0</v>
      </c>
      <c r="U342" s="15" t="str">
        <f>IFERROR(T342/T444, "NA")</f>
        <v>NA</v>
      </c>
      <c r="V342" s="2"/>
      <c r="W342" s="14">
        <f t="shared" si="86"/>
        <v>0</v>
      </c>
      <c r="X342" s="15" t="str">
        <f>IFERROR(W342/W444, "NA")</f>
        <v>NA</v>
      </c>
      <c r="Y342" s="2"/>
      <c r="Z342" s="14">
        <f>IFERROR(Z337+Z338+Z339+Z340+Z341, "NA")</f>
        <v>0</v>
      </c>
      <c r="AA342" s="15" t="str">
        <f>IFERROR(Z342/Z444, "NA")</f>
        <v>NA</v>
      </c>
      <c r="AB342" s="2"/>
      <c r="AC342" s="14">
        <f t="shared" si="87"/>
        <v>0</v>
      </c>
      <c r="AD342" s="15" t="str">
        <f>IFERROR(AC342/AC444, "NA")</f>
        <v>NA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0</v>
      </c>
      <c r="C343" s="15" t="str">
        <f>IFERROR(B343/B444, "NA")</f>
        <v>NA</v>
      </c>
      <c r="D343" s="2"/>
      <c r="E343" s="14">
        <f>IFERROR(E328+E329+E330+E331+E332+E333+E334+E335+E337+E338+E339+E340+E341, "NA")</f>
        <v>0</v>
      </c>
      <c r="F343" s="15" t="str">
        <f>IFERROR(E343/E444, "NA")</f>
        <v>NA</v>
      </c>
      <c r="G343" s="2"/>
      <c r="H343" s="14">
        <f t="shared" si="84"/>
        <v>0</v>
      </c>
      <c r="I343" s="15" t="str">
        <f>IFERROR(H343/H444, "NA")</f>
        <v>NA</v>
      </c>
      <c r="J343" s="2"/>
      <c r="K343" s="14">
        <f>IFERROR(K328+K329+K330+K331+K332+K333+K334+K335+K337+K338+K339+K340+K341, "NA")</f>
        <v>0</v>
      </c>
      <c r="L343" s="15" t="str">
        <f>IFERROR(K343/K444, "NA")</f>
        <v>NA</v>
      </c>
      <c r="M343" s="2"/>
      <c r="N343" s="14">
        <f t="shared" si="85"/>
        <v>0</v>
      </c>
      <c r="O343" s="15" t="str">
        <f>IFERROR(N343/N444, "NA")</f>
        <v>NA</v>
      </c>
      <c r="P343" s="2"/>
      <c r="Q343" s="14">
        <f>IFERROR(Q328+Q329+Q330+Q331+Q332+Q333+Q334+Q335+Q337+Q338+Q339+Q340+Q341, "NA")</f>
        <v>0</v>
      </c>
      <c r="R343" s="15" t="str">
        <f>IFERROR(Q343/Q444, "NA")</f>
        <v>NA</v>
      </c>
      <c r="S343" s="2"/>
      <c r="T343" s="14">
        <f>IFERROR(T328+T329+T330+T331+T332+T333+T334+T335+T337+T338+T339+T340+T341, "NA")</f>
        <v>0</v>
      </c>
      <c r="U343" s="15" t="str">
        <f>IFERROR(T343/T444, "NA")</f>
        <v>NA</v>
      </c>
      <c r="V343" s="2"/>
      <c r="W343" s="14">
        <f t="shared" si="86"/>
        <v>0</v>
      </c>
      <c r="X343" s="15" t="str">
        <f>IFERROR(W343/W444, "NA")</f>
        <v>NA</v>
      </c>
      <c r="Y343" s="2"/>
      <c r="Z343" s="14">
        <f>IFERROR(Z328+Z329+Z330+Z331+Z332+Z333+Z334+Z335+Z337+Z338+Z339+Z340+Z341, "NA")</f>
        <v>0</v>
      </c>
      <c r="AA343" s="15" t="str">
        <f>IFERROR(Z343/Z444, "NA")</f>
        <v>NA</v>
      </c>
      <c r="AB343" s="2"/>
      <c r="AC343" s="14">
        <f t="shared" si="87"/>
        <v>0</v>
      </c>
      <c r="AD343" s="15" t="str">
        <f>IFERROR(AC343/AC444, "NA")</f>
        <v>NA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0</v>
      </c>
      <c r="C344" s="15" t="str">
        <f>IFERROR(B344/B444, "NA")</f>
        <v>NA</v>
      </c>
      <c r="D344" s="2"/>
      <c r="E344" s="14">
        <f>IFERROR(E328+E329+E330+E331+E332+E333+E334+E335+E337+E338+E339+E340+E341, "NA")</f>
        <v>0</v>
      </c>
      <c r="F344" s="15" t="str">
        <f>IFERROR(E344/E444, "NA")</f>
        <v>NA</v>
      </c>
      <c r="G344" s="2"/>
      <c r="H344" s="14">
        <f t="shared" si="84"/>
        <v>0</v>
      </c>
      <c r="I344" s="15" t="str">
        <f>IFERROR(H344/H444, "NA")</f>
        <v>NA</v>
      </c>
      <c r="J344" s="2"/>
      <c r="K344" s="14">
        <f>IFERROR(K328+K329+K330+K331+K332+K333+K334+K335+K337+K338+K339+K340+K341, "NA")</f>
        <v>0</v>
      </c>
      <c r="L344" s="15" t="str">
        <f>IFERROR(K344/K444, "NA")</f>
        <v>NA</v>
      </c>
      <c r="M344" s="2"/>
      <c r="N344" s="14">
        <f t="shared" si="85"/>
        <v>0</v>
      </c>
      <c r="O344" s="15" t="str">
        <f>IFERROR(N344/N444, "NA")</f>
        <v>NA</v>
      </c>
      <c r="P344" s="2"/>
      <c r="Q344" s="14">
        <f>IFERROR(Q328+Q329+Q330+Q331+Q332+Q333+Q334+Q335+Q337+Q338+Q339+Q340+Q341, "NA")</f>
        <v>0</v>
      </c>
      <c r="R344" s="15" t="str">
        <f>IFERROR(Q344/Q444, "NA")</f>
        <v>NA</v>
      </c>
      <c r="S344" s="2"/>
      <c r="T344" s="14">
        <f>IFERROR(T328+T329+T330+T331+T332+T333+T334+T335+T337+T338+T339+T340+T341, "NA")</f>
        <v>0</v>
      </c>
      <c r="U344" s="15" t="str">
        <f>IFERROR(T344/T444, "NA")</f>
        <v>NA</v>
      </c>
      <c r="V344" s="2"/>
      <c r="W344" s="14">
        <f t="shared" si="86"/>
        <v>0</v>
      </c>
      <c r="X344" s="15" t="str">
        <f>IFERROR(W344/W444, "NA")</f>
        <v>NA</v>
      </c>
      <c r="Y344" s="2"/>
      <c r="Z344" s="14">
        <f>IFERROR(Z328+Z329+Z330+Z331+Z332+Z333+Z334+Z335+Z337+Z338+Z339+Z340+Z341, "NA")</f>
        <v>0</v>
      </c>
      <c r="AA344" s="15" t="str">
        <f>IFERROR(Z344/Z444, "NA")</f>
        <v>NA</v>
      </c>
      <c r="AB344" s="2"/>
      <c r="AC344" s="14">
        <f t="shared" si="87"/>
        <v>0</v>
      </c>
      <c r="AD344" s="15" t="str">
        <f>IFERROR(AC344/AC444, "NA")</f>
        <v>NA</v>
      </c>
    </row>
    <row r="345" spans="1:30" ht="16.5" customHeight="1" x14ac:dyDescent="0.45">
      <c r="A345" s="22" t="s">
        <v>315</v>
      </c>
      <c r="B345" s="23">
        <f>IFERROR(B198-B325-B344, "NA")</f>
        <v>0</v>
      </c>
      <c r="C345" s="24" t="str">
        <f>IFERROR(B345/B444, "NA")</f>
        <v>NA</v>
      </c>
      <c r="D345" s="25"/>
      <c r="E345" s="23">
        <f>IFERROR(E198-E325-E344, "NA")</f>
        <v>0</v>
      </c>
      <c r="F345" s="24" t="str">
        <f>IFERROR(E345/E444, "NA")</f>
        <v>NA</v>
      </c>
      <c r="G345" s="25"/>
      <c r="H345" s="23">
        <f>IFERROR(B345-E345, "NA")</f>
        <v>0</v>
      </c>
      <c r="I345" s="24" t="str">
        <f>IFERROR(H345/H444, "NA")</f>
        <v>NA</v>
      </c>
      <c r="J345" s="25"/>
      <c r="K345" s="23">
        <f>IFERROR(K198-K325-K344, "NA")</f>
        <v>0</v>
      </c>
      <c r="L345" s="24" t="str">
        <f>IFERROR(K345/K444, "NA")</f>
        <v>NA</v>
      </c>
      <c r="M345" s="25"/>
      <c r="N345" s="23">
        <f>IFERROR(B345-K345, "NA")</f>
        <v>0</v>
      </c>
      <c r="O345" s="24" t="str">
        <f>IFERROR(N345/N444, "NA")</f>
        <v>NA</v>
      </c>
      <c r="P345" s="25"/>
      <c r="Q345" s="23">
        <f>IFERROR(Q198-Q325-Q344, "NA")</f>
        <v>0</v>
      </c>
      <c r="R345" s="24" t="str">
        <f>IFERROR(Q345/Q444, "NA")</f>
        <v>NA</v>
      </c>
      <c r="S345" s="25"/>
      <c r="T345" s="23">
        <f>IFERROR(T198-T325-T344, "NA")</f>
        <v>0</v>
      </c>
      <c r="U345" s="24" t="str">
        <f>IFERROR(T345/T444, "NA")</f>
        <v>NA</v>
      </c>
      <c r="V345" s="25"/>
      <c r="W345" s="23">
        <f>IFERROR(Q345-T345, "NA")</f>
        <v>0</v>
      </c>
      <c r="X345" s="24" t="str">
        <f>IFERROR(W345/W444, "NA")</f>
        <v>NA</v>
      </c>
      <c r="Y345" s="25"/>
      <c r="Z345" s="23">
        <f>IFERROR(Z198-Z325-Z344, "NA")</f>
        <v>0</v>
      </c>
      <c r="AA345" s="24" t="str">
        <f>IFERROR(Z345/Z444, "NA")</f>
        <v>NA</v>
      </c>
      <c r="AB345" s="25"/>
      <c r="AC345" s="23">
        <f>IFERROR(Q345-Z345, "NA")</f>
        <v>0</v>
      </c>
      <c r="AD345" s="24" t="str">
        <f>IFERROR(AC345/AC444, "NA")</f>
        <v>NA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 t="str">
        <f>IFERROR(B347/B444, "NA")</f>
        <v>NA</v>
      </c>
      <c r="D347" s="9"/>
      <c r="E347" s="7">
        <v>0</v>
      </c>
      <c r="F347" s="8" t="str">
        <f>IFERROR(E347/E444, "NA")</f>
        <v>NA</v>
      </c>
      <c r="G347" s="9"/>
      <c r="H347" s="10">
        <f>IFERROR(-(B347-E347), "NA")</f>
        <v>0</v>
      </c>
      <c r="I347" s="8" t="str">
        <f>IFERROR(H347/H444, "NA")</f>
        <v>NA</v>
      </c>
      <c r="J347" s="9"/>
      <c r="K347" s="7">
        <v>0</v>
      </c>
      <c r="L347" s="8" t="str">
        <f>IFERROR(K347/K444, "NA")</f>
        <v>NA</v>
      </c>
      <c r="M347" s="9"/>
      <c r="N347" s="10">
        <f>IFERROR(-(B347-K347), "NA")</f>
        <v>0</v>
      </c>
      <c r="O347" s="8" t="str">
        <f>IFERROR(N347/N444, "NA")</f>
        <v>NA</v>
      </c>
      <c r="P347" s="9"/>
      <c r="Q347" s="7">
        <v>0</v>
      </c>
      <c r="R347" s="8" t="str">
        <f>IFERROR(Q347/Q444, "NA")</f>
        <v>NA</v>
      </c>
      <c r="S347" s="9"/>
      <c r="T347" s="7">
        <v>0</v>
      </c>
      <c r="U347" s="8" t="str">
        <f>IFERROR(T347/T444, "NA")</f>
        <v>NA</v>
      </c>
      <c r="V347" s="9"/>
      <c r="W347" s="10">
        <f>IFERROR(-(Q347-T347), "NA")</f>
        <v>0</v>
      </c>
      <c r="X347" s="8" t="str">
        <f>IFERROR(W347/W444, "NA")</f>
        <v>NA</v>
      </c>
      <c r="Y347" s="9"/>
      <c r="Z347" s="7">
        <v>0</v>
      </c>
      <c r="AA347" s="8" t="str">
        <f>IFERROR(Z347/Z444, "NA")</f>
        <v>NA</v>
      </c>
      <c r="AB347" s="9"/>
      <c r="AC347" s="10">
        <f>IFERROR(-(Q347-Z347), "NA")</f>
        <v>0</v>
      </c>
      <c r="AD347" s="8" t="str">
        <f>IFERROR(AC347/AC444, "NA")</f>
        <v>NA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 t="str">
        <f>IFERROR(B349/B444, "NA")</f>
        <v>NA</v>
      </c>
      <c r="D349" s="9"/>
      <c r="E349" s="7">
        <v>0</v>
      </c>
      <c r="F349" s="8" t="str">
        <f>IFERROR(E349/E444, "NA")</f>
        <v>NA</v>
      </c>
      <c r="G349" s="9"/>
      <c r="H349" s="10">
        <f t="shared" ref="H349:H358" si="88">IFERROR(-(B349-E349), "NA")</f>
        <v>0</v>
      </c>
      <c r="I349" s="8" t="str">
        <f>IFERROR(H349/H444, "NA")</f>
        <v>NA</v>
      </c>
      <c r="J349" s="9"/>
      <c r="K349" s="7">
        <v>0</v>
      </c>
      <c r="L349" s="8" t="str">
        <f>IFERROR(K349/K444, "NA")</f>
        <v>NA</v>
      </c>
      <c r="M349" s="9"/>
      <c r="N349" s="10">
        <f t="shared" ref="N349:N358" si="89">IFERROR(-(B349-K349), "NA")</f>
        <v>0</v>
      </c>
      <c r="O349" s="8" t="str">
        <f>IFERROR(N349/N444, "NA")</f>
        <v>NA</v>
      </c>
      <c r="P349" s="9"/>
      <c r="Q349" s="7">
        <v>0</v>
      </c>
      <c r="R349" s="8" t="str">
        <f>IFERROR(Q349/Q444, "NA")</f>
        <v>NA</v>
      </c>
      <c r="S349" s="9"/>
      <c r="T349" s="7">
        <v>0</v>
      </c>
      <c r="U349" s="8" t="str">
        <f>IFERROR(T349/T444, "NA")</f>
        <v>NA</v>
      </c>
      <c r="V349" s="9"/>
      <c r="W349" s="10">
        <f t="shared" ref="W349:W358" si="90">IFERROR(-(Q349-T349), "NA")</f>
        <v>0</v>
      </c>
      <c r="X349" s="8" t="str">
        <f>IFERROR(W349/W444, "NA")</f>
        <v>NA</v>
      </c>
      <c r="Y349" s="9"/>
      <c r="Z349" s="7">
        <v>0</v>
      </c>
      <c r="AA349" s="8" t="str">
        <f>IFERROR(Z349/Z444, "NA")</f>
        <v>NA</v>
      </c>
      <c r="AB349" s="9"/>
      <c r="AC349" s="10">
        <f t="shared" ref="AC349:AC358" si="91">IFERROR(-(Q349-Z349), "NA")</f>
        <v>0</v>
      </c>
      <c r="AD349" s="8" t="str">
        <f>IFERROR(AC349/AC444, "NA")</f>
        <v>NA</v>
      </c>
    </row>
    <row r="350" spans="1:30" ht="16.5" customHeight="1" x14ac:dyDescent="0.45">
      <c r="A350" s="6" t="s">
        <v>319</v>
      </c>
      <c r="B350" s="7">
        <v>42557.64</v>
      </c>
      <c r="C350" s="8" t="str">
        <f>IFERROR(B350/B444, "NA")</f>
        <v>NA</v>
      </c>
      <c r="D350" s="9"/>
      <c r="E350" s="7">
        <v>62115</v>
      </c>
      <c r="F350" s="8" t="str">
        <f>IFERROR(E350/E444, "NA")</f>
        <v>NA</v>
      </c>
      <c r="G350" s="9"/>
      <c r="H350" s="10">
        <f t="shared" si="88"/>
        <v>19557.36</v>
      </c>
      <c r="I350" s="8" t="str">
        <f>IFERROR(H350/H444, "NA")</f>
        <v>NA</v>
      </c>
      <c r="J350" s="9"/>
      <c r="K350" s="7">
        <v>50423.040000000001</v>
      </c>
      <c r="L350" s="8" t="str">
        <f>IFERROR(K350/K444, "NA")</f>
        <v>NA</v>
      </c>
      <c r="M350" s="9"/>
      <c r="N350" s="10">
        <f t="shared" si="89"/>
        <v>7865.4000000000015</v>
      </c>
      <c r="O350" s="8" t="str">
        <f>IFERROR(N350/N444, "NA")</f>
        <v>NA</v>
      </c>
      <c r="P350" s="9"/>
      <c r="Q350" s="7">
        <v>221429.61</v>
      </c>
      <c r="R350" s="8" t="str">
        <f>IFERROR(Q350/Q444, "NA")</f>
        <v>NA</v>
      </c>
      <c r="S350" s="9"/>
      <c r="T350" s="7">
        <v>256682</v>
      </c>
      <c r="U350" s="8" t="str">
        <f>IFERROR(T350/T444, "NA")</f>
        <v>NA</v>
      </c>
      <c r="V350" s="9"/>
      <c r="W350" s="10">
        <f t="shared" si="90"/>
        <v>35252.390000000014</v>
      </c>
      <c r="X350" s="8" t="str">
        <f>IFERROR(W350/W444, "NA")</f>
        <v>NA</v>
      </c>
      <c r="Y350" s="9"/>
      <c r="Z350" s="7">
        <v>220128.38</v>
      </c>
      <c r="AA350" s="8" t="str">
        <f>IFERROR(Z350/Z444, "NA")</f>
        <v>NA</v>
      </c>
      <c r="AB350" s="9"/>
      <c r="AC350" s="10">
        <f t="shared" si="91"/>
        <v>-1301.2299999999814</v>
      </c>
      <c r="AD350" s="8" t="str">
        <f>IFERROR(AC350/AC444, "NA")</f>
        <v>NA</v>
      </c>
    </row>
    <row r="351" spans="1:30" ht="16.5" hidden="1" customHeight="1" x14ac:dyDescent="0.45">
      <c r="A351" s="6" t="s">
        <v>320</v>
      </c>
      <c r="B351" s="7">
        <v>0</v>
      </c>
      <c r="C351" s="8" t="str">
        <f>IFERROR(B351/B444, "NA")</f>
        <v>NA</v>
      </c>
      <c r="D351" s="9"/>
      <c r="E351" s="7">
        <v>0</v>
      </c>
      <c r="F351" s="8" t="str">
        <f>IFERROR(E351/E444, "NA")</f>
        <v>NA</v>
      </c>
      <c r="G351" s="9"/>
      <c r="H351" s="10">
        <f t="shared" si="88"/>
        <v>0</v>
      </c>
      <c r="I351" s="8" t="str">
        <f>IFERROR(H351/H444, "NA")</f>
        <v>NA</v>
      </c>
      <c r="J351" s="9"/>
      <c r="K351" s="7">
        <v>0</v>
      </c>
      <c r="L351" s="8" t="str">
        <f>IFERROR(K351/K444, "NA")</f>
        <v>NA</v>
      </c>
      <c r="M351" s="9"/>
      <c r="N351" s="10">
        <f t="shared" si="89"/>
        <v>0</v>
      </c>
      <c r="O351" s="8" t="str">
        <f>IFERROR(N351/N444, "NA")</f>
        <v>NA</v>
      </c>
      <c r="P351" s="9"/>
      <c r="Q351" s="7">
        <v>0</v>
      </c>
      <c r="R351" s="8" t="str">
        <f>IFERROR(Q351/Q444, "NA")</f>
        <v>NA</v>
      </c>
      <c r="S351" s="9"/>
      <c r="T351" s="7">
        <v>0</v>
      </c>
      <c r="U351" s="8" t="str">
        <f>IFERROR(T351/T444, "NA")</f>
        <v>NA</v>
      </c>
      <c r="V351" s="9"/>
      <c r="W351" s="10">
        <f t="shared" si="90"/>
        <v>0</v>
      </c>
      <c r="X351" s="8" t="str">
        <f>IFERROR(W351/W444, "NA")</f>
        <v>NA</v>
      </c>
      <c r="Y351" s="9"/>
      <c r="Z351" s="7">
        <v>0</v>
      </c>
      <c r="AA351" s="8" t="str">
        <f>IFERROR(Z351/Z444, "NA")</f>
        <v>NA</v>
      </c>
      <c r="AB351" s="9"/>
      <c r="AC351" s="10">
        <f t="shared" si="91"/>
        <v>0</v>
      </c>
      <c r="AD351" s="8" t="str">
        <f>IFERROR(AC351/AC444, "NA")</f>
        <v>NA</v>
      </c>
    </row>
    <row r="352" spans="1:30" ht="16.5" customHeight="1" x14ac:dyDescent="0.45">
      <c r="A352" s="6" t="s">
        <v>321</v>
      </c>
      <c r="B352" s="7">
        <v>0</v>
      </c>
      <c r="C352" s="8" t="str">
        <f>IFERROR(B352/B444, "NA")</f>
        <v>NA</v>
      </c>
      <c r="D352" s="9"/>
      <c r="E352" s="7">
        <v>5500</v>
      </c>
      <c r="F352" s="8" t="str">
        <f>IFERROR(E352/E444, "NA")</f>
        <v>NA</v>
      </c>
      <c r="G352" s="9"/>
      <c r="H352" s="10">
        <f t="shared" si="88"/>
        <v>5500</v>
      </c>
      <c r="I352" s="8" t="str">
        <f>IFERROR(H352/H444, "NA")</f>
        <v>NA</v>
      </c>
      <c r="J352" s="9"/>
      <c r="K352" s="7">
        <v>10000</v>
      </c>
      <c r="L352" s="8" t="str">
        <f>IFERROR(K352/K444, "NA")</f>
        <v>NA</v>
      </c>
      <c r="M352" s="9"/>
      <c r="N352" s="10">
        <f t="shared" si="89"/>
        <v>10000</v>
      </c>
      <c r="O352" s="8" t="str">
        <f>IFERROR(N352/N444, "NA")</f>
        <v>NA</v>
      </c>
      <c r="P352" s="9"/>
      <c r="Q352" s="7">
        <v>0</v>
      </c>
      <c r="R352" s="8" t="str">
        <f>IFERROR(Q352/Q444, "NA")</f>
        <v>NA</v>
      </c>
      <c r="S352" s="9"/>
      <c r="T352" s="7">
        <v>12375</v>
      </c>
      <c r="U352" s="8" t="str">
        <f>IFERROR(T352/T444, "NA")</f>
        <v>NA</v>
      </c>
      <c r="V352" s="9"/>
      <c r="W352" s="10">
        <f t="shared" si="90"/>
        <v>12375</v>
      </c>
      <c r="X352" s="8" t="str">
        <f>IFERROR(W352/W444, "NA")</f>
        <v>NA</v>
      </c>
      <c r="Y352" s="9"/>
      <c r="Z352" s="7">
        <v>35769.25</v>
      </c>
      <c r="AA352" s="8" t="str">
        <f>IFERROR(Z352/Z444, "NA")</f>
        <v>NA</v>
      </c>
      <c r="AB352" s="9"/>
      <c r="AC352" s="10">
        <f t="shared" si="91"/>
        <v>35769.25</v>
      </c>
      <c r="AD352" s="8" t="str">
        <f>IFERROR(AC352/AC444, "NA")</f>
        <v>NA</v>
      </c>
    </row>
    <row r="353" spans="1:30" ht="16.5" customHeight="1" x14ac:dyDescent="0.45">
      <c r="A353" s="6" t="s">
        <v>322</v>
      </c>
      <c r="B353" s="7">
        <v>0</v>
      </c>
      <c r="C353" s="8" t="str">
        <f>IFERROR(B353/B444, "NA")</f>
        <v>NA</v>
      </c>
      <c r="D353" s="9"/>
      <c r="E353" s="7">
        <v>5443.97</v>
      </c>
      <c r="F353" s="8" t="str">
        <f>IFERROR(E353/E444, "NA")</f>
        <v>NA</v>
      </c>
      <c r="G353" s="9"/>
      <c r="H353" s="10">
        <f t="shared" si="88"/>
        <v>5443.97</v>
      </c>
      <c r="I353" s="8" t="str">
        <f>IFERROR(H353/H444, "NA")</f>
        <v>NA</v>
      </c>
      <c r="J353" s="9"/>
      <c r="K353" s="7">
        <v>0</v>
      </c>
      <c r="L353" s="8" t="str">
        <f>IFERROR(K353/K444, "NA")</f>
        <v>NA</v>
      </c>
      <c r="M353" s="9"/>
      <c r="N353" s="10">
        <f t="shared" si="89"/>
        <v>0</v>
      </c>
      <c r="O353" s="8" t="str">
        <f>IFERROR(N353/N444, "NA")</f>
        <v>NA</v>
      </c>
      <c r="P353" s="9"/>
      <c r="Q353" s="7">
        <v>6774.8</v>
      </c>
      <c r="R353" s="8" t="str">
        <f>IFERROR(Q353/Q444, "NA")</f>
        <v>NA</v>
      </c>
      <c r="S353" s="9"/>
      <c r="T353" s="7">
        <v>18228.61</v>
      </c>
      <c r="U353" s="8" t="str">
        <f>IFERROR(T353/T444, "NA")</f>
        <v>NA</v>
      </c>
      <c r="V353" s="9"/>
      <c r="W353" s="10">
        <f t="shared" si="90"/>
        <v>11453.810000000001</v>
      </c>
      <c r="X353" s="8" t="str">
        <f>IFERROR(W353/W444, "NA")</f>
        <v>NA</v>
      </c>
      <c r="Y353" s="9"/>
      <c r="Z353" s="7">
        <v>0</v>
      </c>
      <c r="AA353" s="8" t="str">
        <f>IFERROR(Z353/Z444, "NA")</f>
        <v>NA</v>
      </c>
      <c r="AB353" s="9"/>
      <c r="AC353" s="10">
        <f t="shared" si="91"/>
        <v>-6774.8</v>
      </c>
      <c r="AD353" s="8" t="str">
        <f>IFERROR(AC353/AC444, "NA")</f>
        <v>NA</v>
      </c>
    </row>
    <row r="354" spans="1:30" ht="16.5" customHeight="1" x14ac:dyDescent="0.45">
      <c r="A354" s="6" t="s">
        <v>323</v>
      </c>
      <c r="B354" s="7">
        <v>3476.68</v>
      </c>
      <c r="C354" s="8" t="str">
        <f>IFERROR(B354/B444, "NA")</f>
        <v>NA</v>
      </c>
      <c r="D354" s="9"/>
      <c r="E354" s="7">
        <v>5066.7</v>
      </c>
      <c r="F354" s="8" t="str">
        <f>IFERROR(E354/E444, "NA")</f>
        <v>NA</v>
      </c>
      <c r="G354" s="9"/>
      <c r="H354" s="10">
        <f t="shared" si="88"/>
        <v>1590.02</v>
      </c>
      <c r="I354" s="8" t="str">
        <f>IFERROR(H354/H444, "NA")</f>
        <v>NA</v>
      </c>
      <c r="J354" s="9"/>
      <c r="K354" s="7">
        <v>4499.3599999999997</v>
      </c>
      <c r="L354" s="8" t="str">
        <f>IFERROR(K354/K444, "NA")</f>
        <v>NA</v>
      </c>
      <c r="M354" s="9"/>
      <c r="N354" s="10">
        <f t="shared" si="89"/>
        <v>1022.6799999999998</v>
      </c>
      <c r="O354" s="8" t="str">
        <f>IFERROR(N354/N444, "NA")</f>
        <v>NA</v>
      </c>
      <c r="P354" s="9"/>
      <c r="Q354" s="7">
        <v>20206.98</v>
      </c>
      <c r="R354" s="8" t="str">
        <f>IFERROR(Q354/Q444, "NA")</f>
        <v>NA</v>
      </c>
      <c r="S354" s="9"/>
      <c r="T354" s="7">
        <v>23708.12</v>
      </c>
      <c r="U354" s="8" t="str">
        <f>IFERROR(T354/T444, "NA")</f>
        <v>NA</v>
      </c>
      <c r="V354" s="9"/>
      <c r="W354" s="10">
        <f t="shared" si="90"/>
        <v>3501.1399999999994</v>
      </c>
      <c r="X354" s="8" t="str">
        <f>IFERROR(W354/W444, "NA")</f>
        <v>NA</v>
      </c>
      <c r="Y354" s="9"/>
      <c r="Z354" s="7">
        <v>19883.669999999998</v>
      </c>
      <c r="AA354" s="8" t="str">
        <f>IFERROR(Z354/Z444, "NA")</f>
        <v>NA</v>
      </c>
      <c r="AB354" s="9"/>
      <c r="AC354" s="10">
        <f t="shared" si="91"/>
        <v>-323.31000000000131</v>
      </c>
      <c r="AD354" s="8" t="str">
        <f>IFERROR(AC354/AC444, "NA")</f>
        <v>NA</v>
      </c>
    </row>
    <row r="355" spans="1:30" ht="16.5" customHeight="1" x14ac:dyDescent="0.45">
      <c r="A355" s="6" t="s">
        <v>324</v>
      </c>
      <c r="B355" s="7">
        <v>212</v>
      </c>
      <c r="C355" s="8" t="str">
        <f>IFERROR(B355/B444, "NA")</f>
        <v>NA</v>
      </c>
      <c r="D355" s="9"/>
      <c r="E355" s="7">
        <v>280</v>
      </c>
      <c r="F355" s="8" t="str">
        <f>IFERROR(E355/E444, "NA")</f>
        <v>NA</v>
      </c>
      <c r="G355" s="9"/>
      <c r="H355" s="10">
        <f t="shared" si="88"/>
        <v>68</v>
      </c>
      <c r="I355" s="8" t="str">
        <f>IFERROR(H355/H444, "NA")</f>
        <v>NA</v>
      </c>
      <c r="J355" s="9"/>
      <c r="K355" s="7">
        <v>0</v>
      </c>
      <c r="L355" s="8" t="str">
        <f>IFERROR(K355/K444, "NA")</f>
        <v>NA</v>
      </c>
      <c r="M355" s="9"/>
      <c r="N355" s="10">
        <f t="shared" si="89"/>
        <v>-212</v>
      </c>
      <c r="O355" s="8" t="str">
        <f>IFERROR(N355/N444, "NA")</f>
        <v>NA</v>
      </c>
      <c r="P355" s="9"/>
      <c r="Q355" s="7">
        <v>1007</v>
      </c>
      <c r="R355" s="8" t="str">
        <f>IFERROR(Q355/Q444, "NA")</f>
        <v>NA</v>
      </c>
      <c r="S355" s="9"/>
      <c r="T355" s="7">
        <v>1190</v>
      </c>
      <c r="U355" s="8" t="str">
        <f>IFERROR(T355/T444, "NA")</f>
        <v>NA</v>
      </c>
      <c r="V355" s="9"/>
      <c r="W355" s="10">
        <f t="shared" si="90"/>
        <v>183</v>
      </c>
      <c r="X355" s="8" t="str">
        <f>IFERROR(W355/W444, "NA")</f>
        <v>NA</v>
      </c>
      <c r="Y355" s="9"/>
      <c r="Z355" s="7">
        <v>775.92</v>
      </c>
      <c r="AA355" s="8" t="str">
        <f>IFERROR(Z355/Z444, "NA")</f>
        <v>NA</v>
      </c>
      <c r="AB355" s="9"/>
      <c r="AC355" s="10">
        <f t="shared" si="91"/>
        <v>-231.08000000000004</v>
      </c>
      <c r="AD355" s="8" t="str">
        <f>IFERROR(AC355/AC444, "NA")</f>
        <v>NA</v>
      </c>
    </row>
    <row r="356" spans="1:30" ht="16.5" customHeight="1" x14ac:dyDescent="0.45">
      <c r="A356" s="6" t="s">
        <v>325</v>
      </c>
      <c r="B356" s="7">
        <v>6515</v>
      </c>
      <c r="C356" s="8" t="str">
        <f>IFERROR(B356/B444, "NA")</f>
        <v>NA</v>
      </c>
      <c r="D356" s="9"/>
      <c r="E356" s="7">
        <v>6187.5</v>
      </c>
      <c r="F356" s="8" t="str">
        <f>IFERROR(E356/E444, "NA")</f>
        <v>NA</v>
      </c>
      <c r="G356" s="9"/>
      <c r="H356" s="10">
        <f t="shared" si="88"/>
        <v>-327.5</v>
      </c>
      <c r="I356" s="8" t="str">
        <f>IFERROR(H356/H444, "NA")</f>
        <v>NA</v>
      </c>
      <c r="J356" s="9"/>
      <c r="K356" s="7">
        <v>0</v>
      </c>
      <c r="L356" s="8" t="str">
        <f>IFERROR(K356/K444, "NA")</f>
        <v>NA</v>
      </c>
      <c r="M356" s="9"/>
      <c r="N356" s="10">
        <f t="shared" si="89"/>
        <v>-6515</v>
      </c>
      <c r="O356" s="8" t="str">
        <f>IFERROR(N356/N444, "NA")</f>
        <v>NA</v>
      </c>
      <c r="P356" s="9"/>
      <c r="Q356" s="7">
        <v>27362.5</v>
      </c>
      <c r="R356" s="8" t="str">
        <f>IFERROR(Q356/Q444, "NA")</f>
        <v>NA</v>
      </c>
      <c r="S356" s="9"/>
      <c r="T356" s="7">
        <v>24750</v>
      </c>
      <c r="U356" s="8" t="str">
        <f>IFERROR(T356/T444, "NA")</f>
        <v>NA</v>
      </c>
      <c r="V356" s="9"/>
      <c r="W356" s="10">
        <f t="shared" si="90"/>
        <v>-2612.5</v>
      </c>
      <c r="X356" s="8" t="str">
        <f>IFERROR(W356/W444, "NA")</f>
        <v>NA</v>
      </c>
      <c r="Y356" s="9"/>
      <c r="Z356" s="7">
        <v>1800</v>
      </c>
      <c r="AA356" s="8" t="str">
        <f>IFERROR(Z356/Z444, "NA")</f>
        <v>NA</v>
      </c>
      <c r="AB356" s="9"/>
      <c r="AC356" s="10">
        <f t="shared" si="91"/>
        <v>-25562.5</v>
      </c>
      <c r="AD356" s="8" t="str">
        <f>IFERROR(AC356/AC444, "NA")</f>
        <v>NA</v>
      </c>
    </row>
    <row r="357" spans="1:30" ht="16.5" customHeight="1" x14ac:dyDescent="0.45">
      <c r="A357" s="6" t="s">
        <v>326</v>
      </c>
      <c r="B357" s="7">
        <v>3674.43</v>
      </c>
      <c r="C357" s="8" t="str">
        <f>IFERROR(B357/B444, "NA")</f>
        <v>NA</v>
      </c>
      <c r="D357" s="9"/>
      <c r="E357" s="7">
        <v>2546.7199999999998</v>
      </c>
      <c r="F357" s="8" t="str">
        <f>IFERROR(E357/E444, "NA")</f>
        <v>NA</v>
      </c>
      <c r="G357" s="9"/>
      <c r="H357" s="10">
        <f t="shared" si="88"/>
        <v>-1127.71</v>
      </c>
      <c r="I357" s="8" t="str">
        <f>IFERROR(H357/H444, "NA")</f>
        <v>NA</v>
      </c>
      <c r="J357" s="9"/>
      <c r="K357" s="7">
        <v>2976.76</v>
      </c>
      <c r="L357" s="8" t="str">
        <f>IFERROR(K357/K444, "NA")</f>
        <v>NA</v>
      </c>
      <c r="M357" s="9"/>
      <c r="N357" s="10">
        <f t="shared" si="89"/>
        <v>-697.66999999999962</v>
      </c>
      <c r="O357" s="8" t="str">
        <f>IFERROR(N357/N444, "NA")</f>
        <v>NA</v>
      </c>
      <c r="P357" s="9"/>
      <c r="Q357" s="7">
        <v>13830.6</v>
      </c>
      <c r="R357" s="8" t="str">
        <f>IFERROR(Q357/Q444, "NA")</f>
        <v>NA</v>
      </c>
      <c r="S357" s="9"/>
      <c r="T357" s="7">
        <v>10523.96</v>
      </c>
      <c r="U357" s="8" t="str">
        <f>IFERROR(T357/T444, "NA")</f>
        <v>NA</v>
      </c>
      <c r="V357" s="9"/>
      <c r="W357" s="10">
        <f t="shared" si="90"/>
        <v>-3306.6400000000012</v>
      </c>
      <c r="X357" s="8" t="str">
        <f>IFERROR(W357/W444, "NA")</f>
        <v>NA</v>
      </c>
      <c r="Y357" s="9"/>
      <c r="Z357" s="7">
        <v>8988.49</v>
      </c>
      <c r="AA357" s="8" t="str">
        <f>IFERROR(Z357/Z444, "NA")</f>
        <v>NA</v>
      </c>
      <c r="AB357" s="9"/>
      <c r="AC357" s="10">
        <f t="shared" si="91"/>
        <v>-4842.1100000000006</v>
      </c>
      <c r="AD357" s="8" t="str">
        <f>IFERROR(AC357/AC444, "NA")</f>
        <v>NA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56435.75</v>
      </c>
      <c r="C358" s="15" t="str">
        <f>IFERROR(B358/B444, "NA")</f>
        <v>NA</v>
      </c>
      <c r="D358" s="2"/>
      <c r="E358" s="14">
        <f>IFERROR(E349+E350+E351+E352+E353+E354+E355+E356+E357, "NA")</f>
        <v>87139.89</v>
      </c>
      <c r="F358" s="15" t="str">
        <f>IFERROR(E358/E444, "NA")</f>
        <v>NA</v>
      </c>
      <c r="G358" s="2"/>
      <c r="H358" s="14">
        <f t="shared" si="88"/>
        <v>30704.14</v>
      </c>
      <c r="I358" s="15" t="str">
        <f>IFERROR(H358/H444, "NA")</f>
        <v>NA</v>
      </c>
      <c r="J358" s="2"/>
      <c r="K358" s="14">
        <f>IFERROR(K349+K350+K351+K352+K353+K354+K355+K356+K357, "NA")</f>
        <v>67899.16</v>
      </c>
      <c r="L358" s="15" t="str">
        <f>IFERROR(K358/K444, "NA")</f>
        <v>NA</v>
      </c>
      <c r="M358" s="2"/>
      <c r="N358" s="14">
        <f t="shared" si="89"/>
        <v>11463.410000000003</v>
      </c>
      <c r="O358" s="15" t="str">
        <f>IFERROR(N358/N444, "NA")</f>
        <v>NA</v>
      </c>
      <c r="P358" s="2"/>
      <c r="Q358" s="14">
        <f>IFERROR(Q349+Q350+Q351+Q352+Q353+Q354+Q355+Q356+Q357, "NA")</f>
        <v>290611.49</v>
      </c>
      <c r="R358" s="15" t="str">
        <f>IFERROR(Q358/Q444, "NA")</f>
        <v>NA</v>
      </c>
      <c r="S358" s="2"/>
      <c r="T358" s="14">
        <f>IFERROR(T349+T350+T351+T352+T353+T354+T355+T356+T357, "NA")</f>
        <v>347457.69</v>
      </c>
      <c r="U358" s="15" t="str">
        <f>IFERROR(T358/T444, "NA")</f>
        <v>NA</v>
      </c>
      <c r="V358" s="2"/>
      <c r="W358" s="14">
        <f t="shared" si="90"/>
        <v>56846.200000000012</v>
      </c>
      <c r="X358" s="15" t="str">
        <f>IFERROR(W358/W444, "NA")</f>
        <v>NA</v>
      </c>
      <c r="Y358" s="2"/>
      <c r="Z358" s="14">
        <f>IFERROR(Z349+Z350+Z351+Z352+Z353+Z354+Z355+Z356+Z357, "NA")</f>
        <v>287345.70999999996</v>
      </c>
      <c r="AA358" s="15" t="str">
        <f>IFERROR(Z358/Z444, "NA")</f>
        <v>NA</v>
      </c>
      <c r="AB358" s="2"/>
      <c r="AC358" s="14">
        <f t="shared" si="91"/>
        <v>-3265.7800000000279</v>
      </c>
      <c r="AD358" s="15" t="str">
        <f>IFERROR(AC358/AC444, "NA")</f>
        <v>NA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 t="str">
        <f>IFERROR(B360/B444, "NA")</f>
        <v>NA</v>
      </c>
      <c r="D360" s="9"/>
      <c r="E360" s="7">
        <v>1500</v>
      </c>
      <c r="F360" s="8" t="str">
        <f>IFERROR(E360/E444, "NA")</f>
        <v>NA</v>
      </c>
      <c r="G360" s="9"/>
      <c r="H360" s="10">
        <f t="shared" ref="H360:H383" si="92">IFERROR(-(B360-E360), "NA")</f>
        <v>1500</v>
      </c>
      <c r="I360" s="8" t="str">
        <f>IFERROR(H360/H444, "NA")</f>
        <v>NA</v>
      </c>
      <c r="J360" s="9"/>
      <c r="K360" s="7">
        <v>0</v>
      </c>
      <c r="L360" s="8" t="str">
        <f>IFERROR(K360/K444, "NA")</f>
        <v>NA</v>
      </c>
      <c r="M360" s="9"/>
      <c r="N360" s="10">
        <f t="shared" ref="N360:N383" si="93">IFERROR(-(B360-K360), "NA")</f>
        <v>0</v>
      </c>
      <c r="O360" s="8" t="str">
        <f>IFERROR(N360/N444, "NA")</f>
        <v>NA</v>
      </c>
      <c r="P360" s="9"/>
      <c r="Q360" s="7">
        <v>0</v>
      </c>
      <c r="R360" s="8" t="str">
        <f>IFERROR(Q360/Q444, "NA")</f>
        <v>NA</v>
      </c>
      <c r="S360" s="9"/>
      <c r="T360" s="7">
        <v>5500</v>
      </c>
      <c r="U360" s="8" t="str">
        <f>IFERROR(T360/T444, "NA")</f>
        <v>NA</v>
      </c>
      <c r="V360" s="9"/>
      <c r="W360" s="10">
        <f t="shared" ref="W360:W383" si="94">IFERROR(-(Q360-T360), "NA")</f>
        <v>5500</v>
      </c>
      <c r="X360" s="8" t="str">
        <f>IFERROR(W360/W444, "NA")</f>
        <v>NA</v>
      </c>
      <c r="Y360" s="9"/>
      <c r="Z360" s="7">
        <v>0</v>
      </c>
      <c r="AA360" s="8" t="str">
        <f>IFERROR(Z360/Z444, "NA")</f>
        <v>NA</v>
      </c>
      <c r="AB360" s="9"/>
      <c r="AC360" s="10">
        <f t="shared" ref="AC360:AC383" si="95">IFERROR(-(Q360-Z360), "NA")</f>
        <v>0</v>
      </c>
      <c r="AD360" s="8" t="str">
        <f>IFERROR(AC360/AC444, "NA")</f>
        <v>NA</v>
      </c>
    </row>
    <row r="361" spans="1:30" ht="16.5" customHeight="1" x14ac:dyDescent="0.45">
      <c r="A361" s="6" t="s">
        <v>329</v>
      </c>
      <c r="B361" s="7">
        <v>0</v>
      </c>
      <c r="C361" s="8" t="str">
        <f>IFERROR(B361/B444, "NA")</f>
        <v>NA</v>
      </c>
      <c r="D361" s="9"/>
      <c r="E361" s="7">
        <v>0</v>
      </c>
      <c r="F361" s="8" t="str">
        <f>IFERROR(E361/E444, "NA")</f>
        <v>NA</v>
      </c>
      <c r="G361" s="9"/>
      <c r="H361" s="10">
        <f t="shared" si="92"/>
        <v>0</v>
      </c>
      <c r="I361" s="8" t="str">
        <f>IFERROR(H361/H444, "NA")</f>
        <v>NA</v>
      </c>
      <c r="J361" s="9"/>
      <c r="K361" s="7">
        <v>990.39</v>
      </c>
      <c r="L361" s="8" t="str">
        <f>IFERROR(K361/K444, "NA")</f>
        <v>NA</v>
      </c>
      <c r="M361" s="9"/>
      <c r="N361" s="10">
        <f t="shared" si="93"/>
        <v>990.39</v>
      </c>
      <c r="O361" s="8" t="str">
        <f>IFERROR(N361/N444, "NA")</f>
        <v>NA</v>
      </c>
      <c r="P361" s="9"/>
      <c r="Q361" s="7">
        <v>0</v>
      </c>
      <c r="R361" s="8" t="str">
        <f>IFERROR(Q361/Q444, "NA")</f>
        <v>NA</v>
      </c>
      <c r="S361" s="9"/>
      <c r="T361" s="7">
        <v>0</v>
      </c>
      <c r="U361" s="8" t="str">
        <f>IFERROR(T361/T444, "NA")</f>
        <v>NA</v>
      </c>
      <c r="V361" s="9"/>
      <c r="W361" s="10">
        <f t="shared" si="94"/>
        <v>0</v>
      </c>
      <c r="X361" s="8" t="str">
        <f>IFERROR(W361/W444, "NA")</f>
        <v>NA</v>
      </c>
      <c r="Y361" s="9"/>
      <c r="Z361" s="7">
        <v>1642.54</v>
      </c>
      <c r="AA361" s="8" t="str">
        <f>IFERROR(Z361/Z444, "NA")</f>
        <v>NA</v>
      </c>
      <c r="AB361" s="9"/>
      <c r="AC361" s="10">
        <f t="shared" si="95"/>
        <v>1642.54</v>
      </c>
      <c r="AD361" s="8" t="str">
        <f>IFERROR(AC361/AC444, "NA")</f>
        <v>NA</v>
      </c>
    </row>
    <row r="362" spans="1:30" ht="16.5" customHeight="1" x14ac:dyDescent="0.45">
      <c r="A362" s="6" t="s">
        <v>330</v>
      </c>
      <c r="B362" s="7">
        <v>744.11</v>
      </c>
      <c r="C362" s="8" t="str">
        <f>IFERROR(B362/B444, "NA")</f>
        <v>NA</v>
      </c>
      <c r="D362" s="9"/>
      <c r="E362" s="7">
        <v>500</v>
      </c>
      <c r="F362" s="8" t="str">
        <f>IFERROR(E362/E444, "NA")</f>
        <v>NA</v>
      </c>
      <c r="G362" s="9"/>
      <c r="H362" s="10">
        <f t="shared" si="92"/>
        <v>-244.11</v>
      </c>
      <c r="I362" s="8" t="str">
        <f>IFERROR(H362/H444, "NA")</f>
        <v>NA</v>
      </c>
      <c r="J362" s="9"/>
      <c r="K362" s="7">
        <v>371.74</v>
      </c>
      <c r="L362" s="8" t="str">
        <f>IFERROR(K362/K444, "NA")</f>
        <v>NA</v>
      </c>
      <c r="M362" s="9"/>
      <c r="N362" s="10">
        <f t="shared" si="93"/>
        <v>-372.37</v>
      </c>
      <c r="O362" s="8" t="str">
        <f>IFERROR(N362/N444, "NA")</f>
        <v>NA</v>
      </c>
      <c r="P362" s="9"/>
      <c r="Q362" s="7">
        <v>3496.95</v>
      </c>
      <c r="R362" s="8" t="str">
        <f>IFERROR(Q362/Q444, "NA")</f>
        <v>NA</v>
      </c>
      <c r="S362" s="9"/>
      <c r="T362" s="7">
        <v>1800</v>
      </c>
      <c r="U362" s="8" t="str">
        <f>IFERROR(T362/T444, "NA")</f>
        <v>NA</v>
      </c>
      <c r="V362" s="9"/>
      <c r="W362" s="10">
        <f t="shared" si="94"/>
        <v>-1696.9499999999998</v>
      </c>
      <c r="X362" s="8" t="str">
        <f>IFERROR(W362/W444, "NA")</f>
        <v>NA</v>
      </c>
      <c r="Y362" s="9"/>
      <c r="Z362" s="7">
        <v>1517.84</v>
      </c>
      <c r="AA362" s="8" t="str">
        <f>IFERROR(Z362/Z444, "NA")</f>
        <v>NA</v>
      </c>
      <c r="AB362" s="9"/>
      <c r="AC362" s="10">
        <f t="shared" si="95"/>
        <v>-1979.11</v>
      </c>
      <c r="AD362" s="8" t="str">
        <f>IFERROR(AC362/AC444, "NA")</f>
        <v>NA</v>
      </c>
    </row>
    <row r="363" spans="1:30" ht="16.5" customHeight="1" x14ac:dyDescent="0.45">
      <c r="A363" s="6" t="s">
        <v>331</v>
      </c>
      <c r="B363" s="7">
        <v>732.85</v>
      </c>
      <c r="C363" s="8" t="str">
        <f>IFERROR(B363/B444, "NA")</f>
        <v>NA</v>
      </c>
      <c r="D363" s="9"/>
      <c r="E363" s="7">
        <v>200</v>
      </c>
      <c r="F363" s="8" t="str">
        <f>IFERROR(E363/E444, "NA")</f>
        <v>NA</v>
      </c>
      <c r="G363" s="9"/>
      <c r="H363" s="10">
        <f t="shared" si="92"/>
        <v>-532.85</v>
      </c>
      <c r="I363" s="8" t="str">
        <f>IFERROR(H363/H444, "NA")</f>
        <v>NA</v>
      </c>
      <c r="J363" s="9"/>
      <c r="K363" s="7">
        <v>2533.33</v>
      </c>
      <c r="L363" s="8" t="str">
        <f>IFERROR(K363/K444, "NA")</f>
        <v>NA</v>
      </c>
      <c r="M363" s="9"/>
      <c r="N363" s="10">
        <f t="shared" si="93"/>
        <v>1800.48</v>
      </c>
      <c r="O363" s="8" t="str">
        <f>IFERROR(N363/N444, "NA")</f>
        <v>NA</v>
      </c>
      <c r="P363" s="9"/>
      <c r="Q363" s="7">
        <v>3427.7</v>
      </c>
      <c r="R363" s="8" t="str">
        <f>IFERROR(Q363/Q444, "NA")</f>
        <v>NA</v>
      </c>
      <c r="S363" s="9"/>
      <c r="T363" s="7">
        <v>850</v>
      </c>
      <c r="U363" s="8" t="str">
        <f>IFERROR(T363/T444, "NA")</f>
        <v>NA</v>
      </c>
      <c r="V363" s="9"/>
      <c r="W363" s="10">
        <f t="shared" si="94"/>
        <v>-2577.6999999999998</v>
      </c>
      <c r="X363" s="8" t="str">
        <f>IFERROR(W363/W444, "NA")</f>
        <v>NA</v>
      </c>
      <c r="Y363" s="9"/>
      <c r="Z363" s="7">
        <v>3922.93</v>
      </c>
      <c r="AA363" s="8" t="str">
        <f>IFERROR(Z363/Z444, "NA")</f>
        <v>NA</v>
      </c>
      <c r="AB363" s="9"/>
      <c r="AC363" s="10">
        <f t="shared" si="95"/>
        <v>495.23</v>
      </c>
      <c r="AD363" s="8" t="str">
        <f>IFERROR(AC363/AC444, "NA")</f>
        <v>NA</v>
      </c>
    </row>
    <row r="364" spans="1:30" ht="16.5" customHeight="1" x14ac:dyDescent="0.45">
      <c r="A364" s="6" t="s">
        <v>332</v>
      </c>
      <c r="B364" s="7">
        <v>338.78</v>
      </c>
      <c r="C364" s="8" t="str">
        <f>IFERROR(B364/B444, "NA")</f>
        <v>NA</v>
      </c>
      <c r="D364" s="9"/>
      <c r="E364" s="7">
        <v>0</v>
      </c>
      <c r="F364" s="8" t="str">
        <f>IFERROR(E364/E444, "NA")</f>
        <v>NA</v>
      </c>
      <c r="G364" s="9"/>
      <c r="H364" s="10">
        <f t="shared" si="92"/>
        <v>-338.78</v>
      </c>
      <c r="I364" s="8" t="str">
        <f>IFERROR(H364/H444, "NA")</f>
        <v>NA</v>
      </c>
      <c r="J364" s="9"/>
      <c r="K364" s="7">
        <v>784.23</v>
      </c>
      <c r="L364" s="8" t="str">
        <f>IFERROR(K364/K444, "NA")</f>
        <v>NA</v>
      </c>
      <c r="M364" s="9"/>
      <c r="N364" s="10">
        <f t="shared" si="93"/>
        <v>445.45000000000005</v>
      </c>
      <c r="O364" s="8" t="str">
        <f>IFERROR(N364/N444, "NA")</f>
        <v>NA</v>
      </c>
      <c r="P364" s="9"/>
      <c r="Q364" s="7">
        <v>2924.75</v>
      </c>
      <c r="R364" s="8" t="str">
        <f>IFERROR(Q364/Q444, "NA")</f>
        <v>NA</v>
      </c>
      <c r="S364" s="9"/>
      <c r="T364" s="7">
        <v>0</v>
      </c>
      <c r="U364" s="8" t="str">
        <f>IFERROR(T364/T444, "NA")</f>
        <v>NA</v>
      </c>
      <c r="V364" s="9"/>
      <c r="W364" s="10">
        <f t="shared" si="94"/>
        <v>-2924.75</v>
      </c>
      <c r="X364" s="8" t="str">
        <f>IFERROR(W364/W444, "NA")</f>
        <v>NA</v>
      </c>
      <c r="Y364" s="9"/>
      <c r="Z364" s="7">
        <v>2403.3200000000002</v>
      </c>
      <c r="AA364" s="8" t="str">
        <f>IFERROR(Z364/Z444, "NA")</f>
        <v>NA</v>
      </c>
      <c r="AB364" s="9"/>
      <c r="AC364" s="10">
        <f t="shared" si="95"/>
        <v>-521.42999999999984</v>
      </c>
      <c r="AD364" s="8" t="str">
        <f>IFERROR(AC364/AC444, "NA")</f>
        <v>NA</v>
      </c>
    </row>
    <row r="365" spans="1:30" ht="16.5" customHeight="1" x14ac:dyDescent="0.45">
      <c r="A365" s="6" t="s">
        <v>333</v>
      </c>
      <c r="B365" s="7">
        <v>1655.67</v>
      </c>
      <c r="C365" s="8" t="str">
        <f>IFERROR(B365/B444, "NA")</f>
        <v>NA</v>
      </c>
      <c r="D365" s="9"/>
      <c r="E365" s="7">
        <v>420</v>
      </c>
      <c r="F365" s="8" t="str">
        <f>IFERROR(E365/E444, "NA")</f>
        <v>NA</v>
      </c>
      <c r="G365" s="9"/>
      <c r="H365" s="10">
        <f t="shared" si="92"/>
        <v>-1235.67</v>
      </c>
      <c r="I365" s="8" t="str">
        <f>IFERROR(H365/H444, "NA")</f>
        <v>NA</v>
      </c>
      <c r="J365" s="9"/>
      <c r="K365" s="7">
        <v>0</v>
      </c>
      <c r="L365" s="8" t="str">
        <f>IFERROR(K365/K444, "NA")</f>
        <v>NA</v>
      </c>
      <c r="M365" s="9"/>
      <c r="N365" s="10">
        <f t="shared" si="93"/>
        <v>-1655.67</v>
      </c>
      <c r="O365" s="8" t="str">
        <f>IFERROR(N365/N444, "NA")</f>
        <v>NA</v>
      </c>
      <c r="P365" s="9"/>
      <c r="Q365" s="7">
        <v>2535.06</v>
      </c>
      <c r="R365" s="8" t="str">
        <f>IFERROR(Q365/Q444, "NA")</f>
        <v>NA</v>
      </c>
      <c r="S365" s="9"/>
      <c r="T365" s="7">
        <v>630</v>
      </c>
      <c r="U365" s="8" t="str">
        <f>IFERROR(T365/T444, "NA")</f>
        <v>NA</v>
      </c>
      <c r="V365" s="9"/>
      <c r="W365" s="10">
        <f t="shared" si="94"/>
        <v>-1905.06</v>
      </c>
      <c r="X365" s="8" t="str">
        <f>IFERROR(W365/W444, "NA")</f>
        <v>NA</v>
      </c>
      <c r="Y365" s="9"/>
      <c r="Z365" s="7">
        <v>0</v>
      </c>
      <c r="AA365" s="8" t="str">
        <f>IFERROR(Z365/Z444, "NA")</f>
        <v>NA</v>
      </c>
      <c r="AB365" s="9"/>
      <c r="AC365" s="10">
        <f t="shared" si="95"/>
        <v>-2535.06</v>
      </c>
      <c r="AD365" s="8" t="str">
        <f>IFERROR(AC365/AC444, "NA")</f>
        <v>NA</v>
      </c>
    </row>
    <row r="366" spans="1:30" ht="16.5" customHeight="1" x14ac:dyDescent="0.45">
      <c r="A366" s="6" t="s">
        <v>334</v>
      </c>
      <c r="B366" s="7">
        <v>1417.91</v>
      </c>
      <c r="C366" s="8" t="str">
        <f>IFERROR(B366/B444, "NA")</f>
        <v>NA</v>
      </c>
      <c r="D366" s="9"/>
      <c r="E366" s="7">
        <v>690</v>
      </c>
      <c r="F366" s="8" t="str">
        <f>IFERROR(E366/E444, "NA")</f>
        <v>NA</v>
      </c>
      <c r="G366" s="9"/>
      <c r="H366" s="10">
        <f t="shared" si="92"/>
        <v>-727.91000000000008</v>
      </c>
      <c r="I366" s="8" t="str">
        <f>IFERROR(H366/H444, "NA")</f>
        <v>NA</v>
      </c>
      <c r="J366" s="9"/>
      <c r="K366" s="7">
        <v>0</v>
      </c>
      <c r="L366" s="8" t="str">
        <f>IFERROR(K366/K444, "NA")</f>
        <v>NA</v>
      </c>
      <c r="M366" s="9"/>
      <c r="N366" s="10">
        <f t="shared" si="93"/>
        <v>-1417.91</v>
      </c>
      <c r="O366" s="8" t="str">
        <f>IFERROR(N366/N444, "NA")</f>
        <v>NA</v>
      </c>
      <c r="P366" s="9"/>
      <c r="Q366" s="7">
        <v>1417.91</v>
      </c>
      <c r="R366" s="8" t="str">
        <f>IFERROR(Q366/Q444, "NA")</f>
        <v>NA</v>
      </c>
      <c r="S366" s="9"/>
      <c r="T366" s="7">
        <v>1380</v>
      </c>
      <c r="U366" s="8" t="str">
        <f>IFERROR(T366/T444, "NA")</f>
        <v>NA</v>
      </c>
      <c r="V366" s="9"/>
      <c r="W366" s="10">
        <f t="shared" si="94"/>
        <v>-37.910000000000082</v>
      </c>
      <c r="X366" s="8" t="str">
        <f>IFERROR(W366/W444, "NA")</f>
        <v>NA</v>
      </c>
      <c r="Y366" s="9"/>
      <c r="Z366" s="7">
        <v>0</v>
      </c>
      <c r="AA366" s="8" t="str">
        <f>IFERROR(Z366/Z444, "NA")</f>
        <v>NA</v>
      </c>
      <c r="AB366" s="9"/>
      <c r="AC366" s="10">
        <f t="shared" si="95"/>
        <v>-1417.91</v>
      </c>
      <c r="AD366" s="8" t="str">
        <f>IFERROR(AC366/AC444, "NA")</f>
        <v>NA</v>
      </c>
    </row>
    <row r="367" spans="1:30" ht="16.5" customHeight="1" x14ac:dyDescent="0.45">
      <c r="A367" s="6" t="s">
        <v>335</v>
      </c>
      <c r="B367" s="7">
        <v>0</v>
      </c>
      <c r="C367" s="8" t="str">
        <f>IFERROR(B367/B444, "NA")</f>
        <v>NA</v>
      </c>
      <c r="D367" s="9"/>
      <c r="E367" s="7">
        <v>0</v>
      </c>
      <c r="F367" s="8" t="str">
        <f>IFERROR(E367/E444, "NA")</f>
        <v>NA</v>
      </c>
      <c r="G367" s="9"/>
      <c r="H367" s="10">
        <f t="shared" si="92"/>
        <v>0</v>
      </c>
      <c r="I367" s="8" t="str">
        <f>IFERROR(H367/H444, "NA")</f>
        <v>NA</v>
      </c>
      <c r="J367" s="9"/>
      <c r="K367" s="7">
        <v>0</v>
      </c>
      <c r="L367" s="8" t="str">
        <f>IFERROR(K367/K444, "NA")</f>
        <v>NA</v>
      </c>
      <c r="M367" s="9"/>
      <c r="N367" s="10">
        <f t="shared" si="93"/>
        <v>0</v>
      </c>
      <c r="O367" s="8" t="str">
        <f>IFERROR(N367/N444, "NA")</f>
        <v>NA</v>
      </c>
      <c r="P367" s="9"/>
      <c r="Q367" s="7">
        <v>5481.74</v>
      </c>
      <c r="R367" s="8" t="str">
        <f>IFERROR(Q367/Q444, "NA")</f>
        <v>NA</v>
      </c>
      <c r="S367" s="9"/>
      <c r="T367" s="7">
        <v>0</v>
      </c>
      <c r="U367" s="8" t="str">
        <f>IFERROR(T367/T444, "NA")</f>
        <v>NA</v>
      </c>
      <c r="V367" s="9"/>
      <c r="W367" s="10">
        <f t="shared" si="94"/>
        <v>-5481.74</v>
      </c>
      <c r="X367" s="8" t="str">
        <f>IFERROR(W367/W444, "NA")</f>
        <v>NA</v>
      </c>
      <c r="Y367" s="9"/>
      <c r="Z367" s="7">
        <v>0</v>
      </c>
      <c r="AA367" s="8" t="str">
        <f>IFERROR(Z367/Z444, "NA")</f>
        <v>NA</v>
      </c>
      <c r="AB367" s="9"/>
      <c r="AC367" s="10">
        <f t="shared" si="95"/>
        <v>-5481.74</v>
      </c>
      <c r="AD367" s="8" t="str">
        <f>IFERROR(AC367/AC444, "NA")</f>
        <v>NA</v>
      </c>
    </row>
    <row r="368" spans="1:30" ht="16.5" customHeight="1" x14ac:dyDescent="0.45">
      <c r="A368" s="19" t="s">
        <v>336</v>
      </c>
      <c r="B368" s="14">
        <f>IFERROR(B360+B361+B362+B363+B364+B365+B366+B367, "NA")</f>
        <v>4889.32</v>
      </c>
      <c r="C368" s="15" t="str">
        <f>IFERROR(B368/B444, "NA")</f>
        <v>NA</v>
      </c>
      <c r="D368" s="2"/>
      <c r="E368" s="14">
        <f>IFERROR(E360+E361+E362+E363+E364+E365+E366+E367, "NA")</f>
        <v>3310</v>
      </c>
      <c r="F368" s="15" t="str">
        <f>IFERROR(E368/E444, "NA")</f>
        <v>NA</v>
      </c>
      <c r="G368" s="2"/>
      <c r="H368" s="14">
        <f t="shared" si="92"/>
        <v>-1579.3199999999997</v>
      </c>
      <c r="I368" s="15" t="str">
        <f>IFERROR(H368/H444, "NA")</f>
        <v>NA</v>
      </c>
      <c r="J368" s="2"/>
      <c r="K368" s="14">
        <f>IFERROR(K360+K361+K362+K363+K364+K365+K366+K367, "NA")</f>
        <v>4679.6900000000005</v>
      </c>
      <c r="L368" s="15" t="str">
        <f>IFERROR(K368/K444, "NA")</f>
        <v>NA</v>
      </c>
      <c r="M368" s="2"/>
      <c r="N368" s="14">
        <f t="shared" si="93"/>
        <v>-209.6299999999992</v>
      </c>
      <c r="O368" s="15" t="str">
        <f>IFERROR(N368/N444, "NA")</f>
        <v>NA</v>
      </c>
      <c r="P368" s="2"/>
      <c r="Q368" s="14">
        <f>IFERROR(Q360+Q361+Q362+Q363+Q364+Q365+Q366+Q367, "NA")</f>
        <v>19284.11</v>
      </c>
      <c r="R368" s="15" t="str">
        <f>IFERROR(Q368/Q444, "NA")</f>
        <v>NA</v>
      </c>
      <c r="S368" s="2"/>
      <c r="T368" s="14">
        <f>IFERROR(T360+T361+T362+T363+T364+T365+T366+T367, "NA")</f>
        <v>10160</v>
      </c>
      <c r="U368" s="15" t="str">
        <f>IFERROR(T368/T444, "NA")</f>
        <v>NA</v>
      </c>
      <c r="V368" s="2"/>
      <c r="W368" s="14">
        <f t="shared" si="94"/>
        <v>-9124.11</v>
      </c>
      <c r="X368" s="15" t="str">
        <f>IFERROR(W368/W444, "NA")</f>
        <v>NA</v>
      </c>
      <c r="Y368" s="2"/>
      <c r="Z368" s="14">
        <f>IFERROR(Z360+Z361+Z362+Z363+Z364+Z365+Z366+Z367, "NA")</f>
        <v>9486.6299999999992</v>
      </c>
      <c r="AA368" s="15" t="str">
        <f>IFERROR(Z368/Z444, "NA")</f>
        <v>NA</v>
      </c>
      <c r="AB368" s="2"/>
      <c r="AC368" s="14">
        <f t="shared" si="95"/>
        <v>-9797.4800000000014</v>
      </c>
      <c r="AD368" s="15" t="str">
        <f>IFERROR(AC368/AC444, "NA")</f>
        <v>NA</v>
      </c>
    </row>
    <row r="369" spans="1:30" ht="16.5" hidden="1" customHeight="1" x14ac:dyDescent="0.45">
      <c r="A369" s="20" t="s">
        <v>337</v>
      </c>
      <c r="B369" s="7">
        <v>0</v>
      </c>
      <c r="C369" s="8" t="str">
        <f>IFERROR(B369/B444, "NA")</f>
        <v>NA</v>
      </c>
      <c r="D369" s="9"/>
      <c r="E369" s="7">
        <v>0</v>
      </c>
      <c r="F369" s="8" t="str">
        <f>IFERROR(E369/E444, "NA")</f>
        <v>NA</v>
      </c>
      <c r="G369" s="9"/>
      <c r="H369" s="10">
        <f t="shared" si="92"/>
        <v>0</v>
      </c>
      <c r="I369" s="8" t="str">
        <f>IFERROR(H369/H444, "NA")</f>
        <v>NA</v>
      </c>
      <c r="J369" s="9"/>
      <c r="K369" s="7">
        <v>0</v>
      </c>
      <c r="L369" s="8" t="str">
        <f>IFERROR(K369/K444, "NA")</f>
        <v>NA</v>
      </c>
      <c r="M369" s="9"/>
      <c r="N369" s="10">
        <f t="shared" si="93"/>
        <v>0</v>
      </c>
      <c r="O369" s="8" t="str">
        <f>IFERROR(N369/N444, "NA")</f>
        <v>NA</v>
      </c>
      <c r="P369" s="9"/>
      <c r="Q369" s="7">
        <v>0</v>
      </c>
      <c r="R369" s="8" t="str">
        <f>IFERROR(Q369/Q444, "NA")</f>
        <v>NA</v>
      </c>
      <c r="S369" s="9"/>
      <c r="T369" s="7">
        <v>0</v>
      </c>
      <c r="U369" s="8" t="str">
        <f>IFERROR(T369/T444, "NA")</f>
        <v>NA</v>
      </c>
      <c r="V369" s="9"/>
      <c r="W369" s="10">
        <f t="shared" si="94"/>
        <v>0</v>
      </c>
      <c r="X369" s="8" t="str">
        <f>IFERROR(W369/W444, "NA")</f>
        <v>NA</v>
      </c>
      <c r="Y369" s="9"/>
      <c r="Z369" s="7">
        <v>0</v>
      </c>
      <c r="AA369" s="8" t="str">
        <f>IFERROR(Z369/Z444, "NA")</f>
        <v>NA</v>
      </c>
      <c r="AB369" s="9"/>
      <c r="AC369" s="10">
        <f t="shared" si="95"/>
        <v>0</v>
      </c>
      <c r="AD369" s="8" t="str">
        <f>IFERROR(AC369/AC444, "NA")</f>
        <v>NA</v>
      </c>
    </row>
    <row r="370" spans="1:30" ht="16.5" customHeight="1" x14ac:dyDescent="0.45">
      <c r="A370" s="20" t="s">
        <v>338</v>
      </c>
      <c r="B370" s="7">
        <v>317</v>
      </c>
      <c r="C370" s="8" t="str">
        <f>IFERROR(B370/B444, "NA")</f>
        <v>NA</v>
      </c>
      <c r="D370" s="9"/>
      <c r="E370" s="7">
        <v>635</v>
      </c>
      <c r="F370" s="8" t="str">
        <f>IFERROR(E370/E444, "NA")</f>
        <v>NA</v>
      </c>
      <c r="G370" s="9"/>
      <c r="H370" s="10">
        <f t="shared" si="92"/>
        <v>318</v>
      </c>
      <c r="I370" s="8" t="str">
        <f>IFERROR(H370/H444, "NA")</f>
        <v>NA</v>
      </c>
      <c r="J370" s="9"/>
      <c r="K370" s="7">
        <v>467.5</v>
      </c>
      <c r="L370" s="8" t="str">
        <f>IFERROR(K370/K444, "NA")</f>
        <v>NA</v>
      </c>
      <c r="M370" s="9"/>
      <c r="N370" s="10">
        <f t="shared" si="93"/>
        <v>150.5</v>
      </c>
      <c r="O370" s="8" t="str">
        <f>IFERROR(N370/N444, "NA")</f>
        <v>NA</v>
      </c>
      <c r="P370" s="9"/>
      <c r="Q370" s="7">
        <v>1291</v>
      </c>
      <c r="R370" s="8" t="str">
        <f>IFERROR(Q370/Q444, "NA")</f>
        <v>NA</v>
      </c>
      <c r="S370" s="9"/>
      <c r="T370" s="7">
        <v>2540</v>
      </c>
      <c r="U370" s="8" t="str">
        <f>IFERROR(T370/T444, "NA")</f>
        <v>NA</v>
      </c>
      <c r="V370" s="9"/>
      <c r="W370" s="10">
        <f t="shared" si="94"/>
        <v>1249</v>
      </c>
      <c r="X370" s="8" t="str">
        <f>IFERROR(W370/W444, "NA")</f>
        <v>NA</v>
      </c>
      <c r="Y370" s="9"/>
      <c r="Z370" s="7">
        <v>2350.1</v>
      </c>
      <c r="AA370" s="8" t="str">
        <f>IFERROR(Z370/Z444, "NA")</f>
        <v>NA</v>
      </c>
      <c r="AB370" s="9"/>
      <c r="AC370" s="10">
        <f t="shared" si="95"/>
        <v>1059.0999999999999</v>
      </c>
      <c r="AD370" s="8" t="str">
        <f>IFERROR(AC370/AC444, "NA")</f>
        <v>NA</v>
      </c>
    </row>
    <row r="371" spans="1:30" ht="16.5" customHeight="1" x14ac:dyDescent="0.45">
      <c r="A371" s="20" t="s">
        <v>339</v>
      </c>
      <c r="B371" s="7">
        <v>368.86</v>
      </c>
      <c r="C371" s="8" t="str">
        <f>IFERROR(B371/B444, "NA")</f>
        <v>NA</v>
      </c>
      <c r="D371" s="9"/>
      <c r="E371" s="7">
        <v>100</v>
      </c>
      <c r="F371" s="8" t="str">
        <f>IFERROR(E371/E444, "NA")</f>
        <v>NA</v>
      </c>
      <c r="G371" s="9"/>
      <c r="H371" s="10">
        <f t="shared" si="92"/>
        <v>-268.86</v>
      </c>
      <c r="I371" s="8" t="str">
        <f>IFERROR(H371/H444, "NA")</f>
        <v>NA</v>
      </c>
      <c r="J371" s="9"/>
      <c r="K371" s="7">
        <v>1109.78</v>
      </c>
      <c r="L371" s="8" t="str">
        <f>IFERROR(K371/K444, "NA")</f>
        <v>NA</v>
      </c>
      <c r="M371" s="9"/>
      <c r="N371" s="10">
        <f t="shared" si="93"/>
        <v>740.92</v>
      </c>
      <c r="O371" s="8" t="str">
        <f>IFERROR(N371/N444, "NA")</f>
        <v>NA</v>
      </c>
      <c r="P371" s="9"/>
      <c r="Q371" s="7">
        <v>875.47</v>
      </c>
      <c r="R371" s="8" t="str">
        <f>IFERROR(Q371/Q444, "NA")</f>
        <v>NA</v>
      </c>
      <c r="S371" s="9"/>
      <c r="T371" s="7">
        <v>400</v>
      </c>
      <c r="U371" s="8" t="str">
        <f>IFERROR(T371/T444, "NA")</f>
        <v>NA</v>
      </c>
      <c r="V371" s="9"/>
      <c r="W371" s="10">
        <f t="shared" si="94"/>
        <v>-475.47</v>
      </c>
      <c r="X371" s="8" t="str">
        <f>IFERROR(W371/W444, "NA")</f>
        <v>NA</v>
      </c>
      <c r="Y371" s="9"/>
      <c r="Z371" s="7">
        <v>2209.3000000000002</v>
      </c>
      <c r="AA371" s="8" t="str">
        <f>IFERROR(Z371/Z444, "NA")</f>
        <v>NA</v>
      </c>
      <c r="AB371" s="9"/>
      <c r="AC371" s="10">
        <f t="shared" si="95"/>
        <v>1333.8300000000002</v>
      </c>
      <c r="AD371" s="8" t="str">
        <f>IFERROR(AC371/AC444, "NA")</f>
        <v>NA</v>
      </c>
    </row>
    <row r="372" spans="1:30" ht="16.5" customHeight="1" x14ac:dyDescent="0.45">
      <c r="A372" s="20" t="s">
        <v>340</v>
      </c>
      <c r="B372" s="7">
        <v>1277.17</v>
      </c>
      <c r="C372" s="8" t="str">
        <f>IFERROR(B372/B444, "NA")</f>
        <v>NA</v>
      </c>
      <c r="D372" s="9"/>
      <c r="E372" s="7">
        <v>1000</v>
      </c>
      <c r="F372" s="8" t="str">
        <f>IFERROR(E372/E444, "NA")</f>
        <v>NA</v>
      </c>
      <c r="G372" s="9"/>
      <c r="H372" s="10">
        <f t="shared" si="92"/>
        <v>-277.17000000000007</v>
      </c>
      <c r="I372" s="8" t="str">
        <f>IFERROR(H372/H444, "NA")</f>
        <v>NA</v>
      </c>
      <c r="J372" s="9"/>
      <c r="K372" s="7">
        <v>1000</v>
      </c>
      <c r="L372" s="8" t="str">
        <f>IFERROR(K372/K444, "NA")</f>
        <v>NA</v>
      </c>
      <c r="M372" s="9"/>
      <c r="N372" s="10">
        <f t="shared" si="93"/>
        <v>-277.17000000000007</v>
      </c>
      <c r="O372" s="8" t="str">
        <f>IFERROR(N372/N444, "NA")</f>
        <v>NA</v>
      </c>
      <c r="P372" s="9"/>
      <c r="Q372" s="7">
        <v>1831.51</v>
      </c>
      <c r="R372" s="8" t="str">
        <f>IFERROR(Q372/Q444, "NA")</f>
        <v>NA</v>
      </c>
      <c r="S372" s="9"/>
      <c r="T372" s="7">
        <v>3500</v>
      </c>
      <c r="U372" s="8" t="str">
        <f>IFERROR(T372/T444, "NA")</f>
        <v>NA</v>
      </c>
      <c r="V372" s="9"/>
      <c r="W372" s="10">
        <f t="shared" si="94"/>
        <v>1668.49</v>
      </c>
      <c r="X372" s="8" t="str">
        <f>IFERROR(W372/W444, "NA")</f>
        <v>NA</v>
      </c>
      <c r="Y372" s="9"/>
      <c r="Z372" s="7">
        <v>3450</v>
      </c>
      <c r="AA372" s="8" t="str">
        <f>IFERROR(Z372/Z444, "NA")</f>
        <v>NA</v>
      </c>
      <c r="AB372" s="9"/>
      <c r="AC372" s="10">
        <f t="shared" si="95"/>
        <v>1618.49</v>
      </c>
      <c r="AD372" s="8" t="str">
        <f>IFERROR(AC372/AC444, "NA")</f>
        <v>NA</v>
      </c>
    </row>
    <row r="373" spans="1:30" ht="16.5" customHeight="1" x14ac:dyDescent="0.45">
      <c r="A373" s="20" t="s">
        <v>341</v>
      </c>
      <c r="B373" s="7">
        <v>337.08</v>
      </c>
      <c r="C373" s="8" t="str">
        <f>IFERROR(B373/B444, "NA")</f>
        <v>NA</v>
      </c>
      <c r="D373" s="9"/>
      <c r="E373" s="7">
        <v>325</v>
      </c>
      <c r="F373" s="8" t="str">
        <f>IFERROR(E373/E444, "NA")</f>
        <v>NA</v>
      </c>
      <c r="G373" s="9"/>
      <c r="H373" s="10">
        <f t="shared" si="92"/>
        <v>-12.079999999999984</v>
      </c>
      <c r="I373" s="8" t="str">
        <f>IFERROR(H373/H444, "NA")</f>
        <v>NA</v>
      </c>
      <c r="J373" s="9"/>
      <c r="K373" s="7">
        <v>930.61</v>
      </c>
      <c r="L373" s="8" t="str">
        <f>IFERROR(K373/K444, "NA")</f>
        <v>NA</v>
      </c>
      <c r="M373" s="9"/>
      <c r="N373" s="10">
        <f t="shared" si="93"/>
        <v>593.53</v>
      </c>
      <c r="O373" s="8" t="str">
        <f>IFERROR(N373/N444, "NA")</f>
        <v>NA</v>
      </c>
      <c r="P373" s="9"/>
      <c r="Q373" s="7">
        <v>1782.31</v>
      </c>
      <c r="R373" s="8" t="str">
        <f>IFERROR(Q373/Q444, "NA")</f>
        <v>NA</v>
      </c>
      <c r="S373" s="9"/>
      <c r="T373" s="7">
        <v>1300</v>
      </c>
      <c r="U373" s="8" t="str">
        <f>IFERROR(T373/T444, "NA")</f>
        <v>NA</v>
      </c>
      <c r="V373" s="9"/>
      <c r="W373" s="10">
        <f t="shared" si="94"/>
        <v>-482.30999999999995</v>
      </c>
      <c r="X373" s="8" t="str">
        <f>IFERROR(W373/W444, "NA")</f>
        <v>NA</v>
      </c>
      <c r="Y373" s="9"/>
      <c r="Z373" s="7">
        <v>3413.18</v>
      </c>
      <c r="AA373" s="8" t="str">
        <f>IFERROR(Z373/Z444, "NA")</f>
        <v>NA</v>
      </c>
      <c r="AB373" s="9"/>
      <c r="AC373" s="10">
        <f t="shared" si="95"/>
        <v>1630.87</v>
      </c>
      <c r="AD373" s="8" t="str">
        <f>IFERROR(AC373/AC444, "NA")</f>
        <v>NA</v>
      </c>
    </row>
    <row r="374" spans="1:30" ht="16.5" customHeight="1" x14ac:dyDescent="0.45">
      <c r="A374" s="20" t="s">
        <v>342</v>
      </c>
      <c r="B374" s="7">
        <v>1924.98</v>
      </c>
      <c r="C374" s="8" t="str">
        <f>IFERROR(B374/B444, "NA")</f>
        <v>NA</v>
      </c>
      <c r="D374" s="9"/>
      <c r="E374" s="7">
        <v>1900</v>
      </c>
      <c r="F374" s="8" t="str">
        <f>IFERROR(E374/E444, "NA")</f>
        <v>NA</v>
      </c>
      <c r="G374" s="9"/>
      <c r="H374" s="10">
        <f t="shared" si="92"/>
        <v>-24.980000000000018</v>
      </c>
      <c r="I374" s="8" t="str">
        <f>IFERROR(H374/H444, "NA")</f>
        <v>NA</v>
      </c>
      <c r="J374" s="9"/>
      <c r="K374" s="7">
        <v>1883.13</v>
      </c>
      <c r="L374" s="8" t="str">
        <f>IFERROR(K374/K444, "NA")</f>
        <v>NA</v>
      </c>
      <c r="M374" s="9"/>
      <c r="N374" s="10">
        <f t="shared" si="93"/>
        <v>-41.849999999999909</v>
      </c>
      <c r="O374" s="8" t="str">
        <f>IFERROR(N374/N444, "NA")</f>
        <v>NA</v>
      </c>
      <c r="P374" s="9"/>
      <c r="Q374" s="7">
        <v>7659.01</v>
      </c>
      <c r="R374" s="8" t="str">
        <f>IFERROR(Q374/Q444, "NA")</f>
        <v>NA</v>
      </c>
      <c r="S374" s="9"/>
      <c r="T374" s="7">
        <v>7600</v>
      </c>
      <c r="U374" s="8" t="str">
        <f>IFERROR(T374/T444, "NA")</f>
        <v>NA</v>
      </c>
      <c r="V374" s="9"/>
      <c r="W374" s="10">
        <f t="shared" si="94"/>
        <v>-59.010000000000218</v>
      </c>
      <c r="X374" s="8" t="str">
        <f>IFERROR(W374/W444, "NA")</f>
        <v>NA</v>
      </c>
      <c r="Y374" s="9"/>
      <c r="Z374" s="7">
        <v>6943.59</v>
      </c>
      <c r="AA374" s="8" t="str">
        <f>IFERROR(Z374/Z444, "NA")</f>
        <v>NA</v>
      </c>
      <c r="AB374" s="9"/>
      <c r="AC374" s="10">
        <f t="shared" si="95"/>
        <v>-715.42000000000007</v>
      </c>
      <c r="AD374" s="8" t="str">
        <f>IFERROR(AC374/AC444, "NA")</f>
        <v>NA</v>
      </c>
    </row>
    <row r="375" spans="1:30" ht="16.5" customHeight="1" x14ac:dyDescent="0.45">
      <c r="A375" s="20" t="s">
        <v>343</v>
      </c>
      <c r="B375" s="7">
        <v>0</v>
      </c>
      <c r="C375" s="8" t="str">
        <f>IFERROR(B375/B444, "NA")</f>
        <v>NA</v>
      </c>
      <c r="D375" s="9"/>
      <c r="E375" s="7">
        <v>0</v>
      </c>
      <c r="F375" s="8" t="str">
        <f>IFERROR(E375/E444, "NA")</f>
        <v>NA</v>
      </c>
      <c r="G375" s="9"/>
      <c r="H375" s="10">
        <f t="shared" si="92"/>
        <v>0</v>
      </c>
      <c r="I375" s="8" t="str">
        <f>IFERROR(H375/H444, "NA")</f>
        <v>NA</v>
      </c>
      <c r="J375" s="9"/>
      <c r="K375" s="7">
        <v>0</v>
      </c>
      <c r="L375" s="8" t="str">
        <f>IFERROR(K375/K444, "NA")</f>
        <v>NA</v>
      </c>
      <c r="M375" s="9"/>
      <c r="N375" s="10">
        <f t="shared" si="93"/>
        <v>0</v>
      </c>
      <c r="O375" s="8" t="str">
        <f>IFERROR(N375/N444, "NA")</f>
        <v>NA</v>
      </c>
      <c r="P375" s="9"/>
      <c r="Q375" s="7">
        <v>205.26</v>
      </c>
      <c r="R375" s="8" t="str">
        <f>IFERROR(Q375/Q444, "NA")</f>
        <v>NA</v>
      </c>
      <c r="S375" s="9"/>
      <c r="T375" s="7">
        <v>0</v>
      </c>
      <c r="U375" s="8" t="str">
        <f>IFERROR(T375/T444, "NA")</f>
        <v>NA</v>
      </c>
      <c r="V375" s="9"/>
      <c r="W375" s="10">
        <f t="shared" si="94"/>
        <v>-205.26</v>
      </c>
      <c r="X375" s="8" t="str">
        <f>IFERROR(W375/W444, "NA")</f>
        <v>NA</v>
      </c>
      <c r="Y375" s="9"/>
      <c r="Z375" s="7">
        <v>184.99</v>
      </c>
      <c r="AA375" s="8" t="str">
        <f>IFERROR(Z375/Z444, "NA")</f>
        <v>NA</v>
      </c>
      <c r="AB375" s="9"/>
      <c r="AC375" s="10">
        <f t="shared" si="95"/>
        <v>-20.269999999999982</v>
      </c>
      <c r="AD375" s="8" t="str">
        <f>IFERROR(AC375/AC444, "NA")</f>
        <v>NA</v>
      </c>
    </row>
    <row r="376" spans="1:30" ht="16.5" customHeight="1" x14ac:dyDescent="0.45">
      <c r="A376" s="20" t="s">
        <v>344</v>
      </c>
      <c r="B376" s="7">
        <v>0</v>
      </c>
      <c r="C376" s="8" t="str">
        <f>IFERROR(B376/B444, "NA")</f>
        <v>NA</v>
      </c>
      <c r="D376" s="9"/>
      <c r="E376" s="7">
        <v>0</v>
      </c>
      <c r="F376" s="8" t="str">
        <f>IFERROR(E376/E444, "NA")</f>
        <v>NA</v>
      </c>
      <c r="G376" s="9"/>
      <c r="H376" s="10">
        <f t="shared" si="92"/>
        <v>0</v>
      </c>
      <c r="I376" s="8" t="str">
        <f>IFERROR(H376/H444, "NA")</f>
        <v>NA</v>
      </c>
      <c r="J376" s="9"/>
      <c r="K376" s="7">
        <v>0</v>
      </c>
      <c r="L376" s="8" t="str">
        <f>IFERROR(K376/K444, "NA")</f>
        <v>NA</v>
      </c>
      <c r="M376" s="9"/>
      <c r="N376" s="10">
        <f t="shared" si="93"/>
        <v>0</v>
      </c>
      <c r="O376" s="8" t="str">
        <f>IFERROR(N376/N444, "NA")</f>
        <v>NA</v>
      </c>
      <c r="P376" s="9"/>
      <c r="Q376" s="7">
        <v>-2413</v>
      </c>
      <c r="R376" s="8" t="str">
        <f>IFERROR(Q376/Q444, "NA")</f>
        <v>NA</v>
      </c>
      <c r="S376" s="9"/>
      <c r="T376" s="7">
        <v>0</v>
      </c>
      <c r="U376" s="8" t="str">
        <f>IFERROR(T376/T444, "NA")</f>
        <v>NA</v>
      </c>
      <c r="V376" s="9"/>
      <c r="W376" s="10">
        <f t="shared" si="94"/>
        <v>2413</v>
      </c>
      <c r="X376" s="8" t="str">
        <f>IFERROR(W376/W444, "NA")</f>
        <v>NA</v>
      </c>
      <c r="Y376" s="9"/>
      <c r="Z376" s="7">
        <v>0</v>
      </c>
      <c r="AA376" s="8" t="str">
        <f>IFERROR(Z376/Z444, "NA")</f>
        <v>NA</v>
      </c>
      <c r="AB376" s="9"/>
      <c r="AC376" s="10">
        <f t="shared" si="95"/>
        <v>2413</v>
      </c>
      <c r="AD376" s="8" t="str">
        <f>IFERROR(AC376/AC444, "NA")</f>
        <v>NA</v>
      </c>
    </row>
    <row r="377" spans="1:30" ht="16.5" hidden="1" customHeight="1" x14ac:dyDescent="0.45">
      <c r="A377" s="20" t="s">
        <v>345</v>
      </c>
      <c r="B377" s="7">
        <v>0</v>
      </c>
      <c r="C377" s="8" t="str">
        <f>IFERROR(B377/B444, "NA")</f>
        <v>NA</v>
      </c>
      <c r="D377" s="9"/>
      <c r="E377" s="7">
        <v>0</v>
      </c>
      <c r="F377" s="8" t="str">
        <f>IFERROR(E377/E444, "NA")</f>
        <v>NA</v>
      </c>
      <c r="G377" s="9"/>
      <c r="H377" s="10">
        <f t="shared" si="92"/>
        <v>0</v>
      </c>
      <c r="I377" s="8" t="str">
        <f>IFERROR(H377/H444, "NA")</f>
        <v>NA</v>
      </c>
      <c r="J377" s="9"/>
      <c r="K377" s="7">
        <v>0</v>
      </c>
      <c r="L377" s="8" t="str">
        <f>IFERROR(K377/K444, "NA")</f>
        <v>NA</v>
      </c>
      <c r="M377" s="9"/>
      <c r="N377" s="10">
        <f t="shared" si="93"/>
        <v>0</v>
      </c>
      <c r="O377" s="8" t="str">
        <f>IFERROR(N377/N444, "NA")</f>
        <v>NA</v>
      </c>
      <c r="P377" s="9"/>
      <c r="Q377" s="7">
        <v>0</v>
      </c>
      <c r="R377" s="8" t="str">
        <f>IFERROR(Q377/Q444, "NA")</f>
        <v>NA</v>
      </c>
      <c r="S377" s="9"/>
      <c r="T377" s="7">
        <v>0</v>
      </c>
      <c r="U377" s="8" t="str">
        <f>IFERROR(T377/T444, "NA")</f>
        <v>NA</v>
      </c>
      <c r="V377" s="9"/>
      <c r="W377" s="10">
        <f t="shared" si="94"/>
        <v>0</v>
      </c>
      <c r="X377" s="8" t="str">
        <f>IFERROR(W377/W444, "NA")</f>
        <v>NA</v>
      </c>
      <c r="Y377" s="9"/>
      <c r="Z377" s="7">
        <v>0</v>
      </c>
      <c r="AA377" s="8" t="str">
        <f>IFERROR(Z377/Z444, "NA")</f>
        <v>NA</v>
      </c>
      <c r="AB377" s="9"/>
      <c r="AC377" s="10">
        <f t="shared" si="95"/>
        <v>0</v>
      </c>
      <c r="AD377" s="8" t="str">
        <f>IFERROR(AC377/AC444, "NA")</f>
        <v>NA</v>
      </c>
    </row>
    <row r="378" spans="1:30" ht="16.5" customHeight="1" x14ac:dyDescent="0.45">
      <c r="A378" s="20" t="s">
        <v>346</v>
      </c>
      <c r="B378" s="7">
        <v>8749.64</v>
      </c>
      <c r="C378" s="8" t="str">
        <f>IFERROR(B378/B444, "NA")</f>
        <v>NA</v>
      </c>
      <c r="D378" s="9"/>
      <c r="E378" s="7">
        <v>8470.33</v>
      </c>
      <c r="F378" s="8" t="str">
        <f>IFERROR(E378/E444, "NA")</f>
        <v>NA</v>
      </c>
      <c r="G378" s="9"/>
      <c r="H378" s="10">
        <f t="shared" si="92"/>
        <v>-279.30999999999949</v>
      </c>
      <c r="I378" s="8" t="str">
        <f>IFERROR(H378/H444, "NA")</f>
        <v>NA</v>
      </c>
      <c r="J378" s="9"/>
      <c r="K378" s="7">
        <v>5762.22</v>
      </c>
      <c r="L378" s="8" t="str">
        <f>IFERROR(K378/K444, "NA")</f>
        <v>NA</v>
      </c>
      <c r="M378" s="9"/>
      <c r="N378" s="10">
        <f t="shared" si="93"/>
        <v>-2987.4199999999992</v>
      </c>
      <c r="O378" s="8" t="str">
        <f>IFERROR(N378/N444, "NA")</f>
        <v>NA</v>
      </c>
      <c r="P378" s="9"/>
      <c r="Q378" s="7">
        <v>34568.120000000003</v>
      </c>
      <c r="R378" s="8" t="str">
        <f>IFERROR(Q378/Q444, "NA")</f>
        <v>NA</v>
      </c>
      <c r="S378" s="9"/>
      <c r="T378" s="7">
        <v>33881.32</v>
      </c>
      <c r="U378" s="8" t="str">
        <f>IFERROR(T378/T444, "NA")</f>
        <v>NA</v>
      </c>
      <c r="V378" s="9"/>
      <c r="W378" s="10">
        <f t="shared" si="94"/>
        <v>-686.80000000000291</v>
      </c>
      <c r="X378" s="8" t="str">
        <f>IFERROR(W378/W444, "NA")</f>
        <v>NA</v>
      </c>
      <c r="Y378" s="9"/>
      <c r="Z378" s="7">
        <v>23119.29</v>
      </c>
      <c r="AA378" s="8" t="str">
        <f>IFERROR(Z378/Z444, "NA")</f>
        <v>NA</v>
      </c>
      <c r="AB378" s="9"/>
      <c r="AC378" s="10">
        <f t="shared" si="95"/>
        <v>-11448.830000000002</v>
      </c>
      <c r="AD378" s="8" t="str">
        <f>IFERROR(AC378/AC444, "NA")</f>
        <v>NA</v>
      </c>
    </row>
    <row r="379" spans="1:30" ht="16.5" customHeight="1" x14ac:dyDescent="0.45">
      <c r="A379" s="20" t="s">
        <v>347</v>
      </c>
      <c r="B379" s="7">
        <v>2421.58</v>
      </c>
      <c r="C379" s="8" t="str">
        <f>IFERROR(B379/B444, "NA")</f>
        <v>NA</v>
      </c>
      <c r="D379" s="9"/>
      <c r="E379" s="7">
        <v>200</v>
      </c>
      <c r="F379" s="8" t="str">
        <f>IFERROR(E379/E444, "NA")</f>
        <v>NA</v>
      </c>
      <c r="G379" s="9"/>
      <c r="H379" s="10">
        <f t="shared" si="92"/>
        <v>-2221.58</v>
      </c>
      <c r="I379" s="8" t="str">
        <f>IFERROR(H379/H444, "NA")</f>
        <v>NA</v>
      </c>
      <c r="J379" s="9"/>
      <c r="K379" s="7">
        <v>208.94</v>
      </c>
      <c r="L379" s="8" t="str">
        <f>IFERROR(K379/K444, "NA")</f>
        <v>NA</v>
      </c>
      <c r="M379" s="9"/>
      <c r="N379" s="10">
        <f t="shared" si="93"/>
        <v>-2212.64</v>
      </c>
      <c r="O379" s="8" t="str">
        <f>IFERROR(N379/N444, "NA")</f>
        <v>NA</v>
      </c>
      <c r="P379" s="9"/>
      <c r="Q379" s="7">
        <v>3811.64</v>
      </c>
      <c r="R379" s="8" t="str">
        <f>IFERROR(Q379/Q444, "NA")</f>
        <v>NA</v>
      </c>
      <c r="S379" s="9"/>
      <c r="T379" s="7">
        <v>800</v>
      </c>
      <c r="U379" s="8" t="str">
        <f>IFERROR(T379/T444, "NA")</f>
        <v>NA</v>
      </c>
      <c r="V379" s="9"/>
      <c r="W379" s="10">
        <f t="shared" si="94"/>
        <v>-3011.64</v>
      </c>
      <c r="X379" s="8" t="str">
        <f>IFERROR(W379/W444, "NA")</f>
        <v>NA</v>
      </c>
      <c r="Y379" s="9"/>
      <c r="Z379" s="7">
        <v>1358.23</v>
      </c>
      <c r="AA379" s="8" t="str">
        <f>IFERROR(Z379/Z444, "NA")</f>
        <v>NA</v>
      </c>
      <c r="AB379" s="9"/>
      <c r="AC379" s="10">
        <f t="shared" si="95"/>
        <v>-2453.41</v>
      </c>
      <c r="AD379" s="8" t="str">
        <f>IFERROR(AC379/AC444, "NA")</f>
        <v>NA</v>
      </c>
    </row>
    <row r="380" spans="1:30" ht="16.5" customHeight="1" x14ac:dyDescent="0.45">
      <c r="A380" s="20" t="s">
        <v>348</v>
      </c>
      <c r="B380" s="7">
        <v>11500</v>
      </c>
      <c r="C380" s="8" t="str">
        <f>IFERROR(B380/B444, "NA")</f>
        <v>NA</v>
      </c>
      <c r="D380" s="9"/>
      <c r="E380" s="7">
        <v>11500</v>
      </c>
      <c r="F380" s="8" t="str">
        <f>IFERROR(E380/E444, "NA")</f>
        <v>NA</v>
      </c>
      <c r="G380" s="9"/>
      <c r="H380" s="10">
        <f t="shared" si="92"/>
        <v>0</v>
      </c>
      <c r="I380" s="8" t="str">
        <f>IFERROR(H380/H444, "NA")</f>
        <v>NA</v>
      </c>
      <c r="J380" s="9"/>
      <c r="K380" s="7">
        <v>11500</v>
      </c>
      <c r="L380" s="8" t="str">
        <f>IFERROR(K380/K444, "NA")</f>
        <v>NA</v>
      </c>
      <c r="M380" s="9"/>
      <c r="N380" s="10">
        <f t="shared" si="93"/>
        <v>0</v>
      </c>
      <c r="O380" s="8" t="str">
        <f>IFERROR(N380/N444, "NA")</f>
        <v>NA</v>
      </c>
      <c r="P380" s="9"/>
      <c r="Q380" s="7">
        <v>46000</v>
      </c>
      <c r="R380" s="8" t="str">
        <f>IFERROR(Q380/Q444, "NA")</f>
        <v>NA</v>
      </c>
      <c r="S380" s="9"/>
      <c r="T380" s="7">
        <v>46000</v>
      </c>
      <c r="U380" s="8" t="str">
        <f>IFERROR(T380/T444, "NA")</f>
        <v>NA</v>
      </c>
      <c r="V380" s="9"/>
      <c r="W380" s="10">
        <f t="shared" si="94"/>
        <v>0</v>
      </c>
      <c r="X380" s="8" t="str">
        <f>IFERROR(W380/W444, "NA")</f>
        <v>NA</v>
      </c>
      <c r="Y380" s="9"/>
      <c r="Z380" s="7">
        <v>46000</v>
      </c>
      <c r="AA380" s="8" t="str">
        <f>IFERROR(Z380/Z444, "NA")</f>
        <v>NA</v>
      </c>
      <c r="AB380" s="9"/>
      <c r="AC380" s="10">
        <f t="shared" si="95"/>
        <v>0</v>
      </c>
      <c r="AD380" s="8" t="str">
        <f>IFERROR(AC380/AC444, "NA")</f>
        <v>NA</v>
      </c>
    </row>
    <row r="381" spans="1:30" ht="16.5" customHeight="1" x14ac:dyDescent="0.45">
      <c r="A381" s="20" t="s">
        <v>349</v>
      </c>
      <c r="B381" s="7">
        <v>4275</v>
      </c>
      <c r="C381" s="8" t="str">
        <f>IFERROR(B381/B444, "NA")</f>
        <v>NA</v>
      </c>
      <c r="D381" s="9"/>
      <c r="E381" s="7">
        <v>4000</v>
      </c>
      <c r="F381" s="8" t="str">
        <f>IFERROR(E381/E444, "NA")</f>
        <v>NA</v>
      </c>
      <c r="G381" s="9"/>
      <c r="H381" s="10">
        <f t="shared" si="92"/>
        <v>-275</v>
      </c>
      <c r="I381" s="8" t="str">
        <f>IFERROR(H381/H444, "NA")</f>
        <v>NA</v>
      </c>
      <c r="J381" s="9"/>
      <c r="K381" s="7">
        <v>7667</v>
      </c>
      <c r="L381" s="8" t="str">
        <f>IFERROR(K381/K444, "NA")</f>
        <v>NA</v>
      </c>
      <c r="M381" s="9"/>
      <c r="N381" s="10">
        <f t="shared" si="93"/>
        <v>3392</v>
      </c>
      <c r="O381" s="8" t="str">
        <f>IFERROR(N381/N444, "NA")</f>
        <v>NA</v>
      </c>
      <c r="P381" s="9"/>
      <c r="Q381" s="7">
        <v>26491.51</v>
      </c>
      <c r="R381" s="8" t="str">
        <f>IFERROR(Q381/Q444, "NA")</f>
        <v>NA</v>
      </c>
      <c r="S381" s="9"/>
      <c r="T381" s="7">
        <v>16000</v>
      </c>
      <c r="U381" s="8" t="str">
        <f>IFERROR(T381/T444, "NA")</f>
        <v>NA</v>
      </c>
      <c r="V381" s="9"/>
      <c r="W381" s="10">
        <f t="shared" si="94"/>
        <v>-10491.509999999998</v>
      </c>
      <c r="X381" s="8" t="str">
        <f>IFERROR(W381/W444, "NA")</f>
        <v>NA</v>
      </c>
      <c r="Y381" s="9"/>
      <c r="Z381" s="7">
        <v>35862.519999999997</v>
      </c>
      <c r="AA381" s="8" t="str">
        <f>IFERROR(Z381/Z444, "NA")</f>
        <v>NA</v>
      </c>
      <c r="AB381" s="9"/>
      <c r="AC381" s="10">
        <f t="shared" si="95"/>
        <v>9371.0099999999984</v>
      </c>
      <c r="AD381" s="8" t="str">
        <f>IFERROR(AC381/AC444, "NA")</f>
        <v>NA</v>
      </c>
    </row>
    <row r="382" spans="1:30" ht="16.5" customHeight="1" x14ac:dyDescent="0.45">
      <c r="A382" s="20" t="s">
        <v>350</v>
      </c>
      <c r="B382" s="7">
        <v>1131.8</v>
      </c>
      <c r="C382" s="8" t="str">
        <f>IFERROR(B382/B444, "NA")</f>
        <v>NA</v>
      </c>
      <c r="D382" s="9"/>
      <c r="E382" s="7">
        <v>795</v>
      </c>
      <c r="F382" s="8" t="str">
        <f>IFERROR(E382/E444, "NA")</f>
        <v>NA</v>
      </c>
      <c r="G382" s="9"/>
      <c r="H382" s="10">
        <f t="shared" si="92"/>
        <v>-336.79999999999995</v>
      </c>
      <c r="I382" s="8" t="str">
        <f>IFERROR(H382/H444, "NA")</f>
        <v>NA</v>
      </c>
      <c r="J382" s="9"/>
      <c r="K382" s="7">
        <v>1267.71</v>
      </c>
      <c r="L382" s="8" t="str">
        <f>IFERROR(K382/K444, "NA")</f>
        <v>NA</v>
      </c>
      <c r="M382" s="9"/>
      <c r="N382" s="10">
        <f t="shared" si="93"/>
        <v>135.91000000000008</v>
      </c>
      <c r="O382" s="8" t="str">
        <f>IFERROR(N382/N444, "NA")</f>
        <v>NA</v>
      </c>
      <c r="P382" s="9"/>
      <c r="Q382" s="7">
        <v>2143.04</v>
      </c>
      <c r="R382" s="8" t="str">
        <f>IFERROR(Q382/Q444, "NA")</f>
        <v>NA</v>
      </c>
      <c r="S382" s="9"/>
      <c r="T382" s="7">
        <v>3180</v>
      </c>
      <c r="U382" s="8" t="str">
        <f>IFERROR(T382/T444, "NA")</f>
        <v>NA</v>
      </c>
      <c r="V382" s="9"/>
      <c r="W382" s="10">
        <f t="shared" si="94"/>
        <v>1036.96</v>
      </c>
      <c r="X382" s="8" t="str">
        <f>IFERROR(W382/W444, "NA")</f>
        <v>NA</v>
      </c>
      <c r="Y382" s="9"/>
      <c r="Z382" s="7">
        <v>1479.69</v>
      </c>
      <c r="AA382" s="8" t="str">
        <f>IFERROR(Z382/Z444, "NA")</f>
        <v>NA</v>
      </c>
      <c r="AB382" s="9"/>
      <c r="AC382" s="10">
        <f t="shared" si="95"/>
        <v>-663.34999999999991</v>
      </c>
      <c r="AD382" s="8" t="str">
        <f>IFERROR(AC382/AC444, "NA")</f>
        <v>NA</v>
      </c>
    </row>
    <row r="383" spans="1:30" ht="16.5" hidden="1" customHeight="1" x14ac:dyDescent="0.45">
      <c r="A383" s="20" t="s">
        <v>351</v>
      </c>
      <c r="B383" s="7">
        <v>0</v>
      </c>
      <c r="C383" s="8" t="str">
        <f>IFERROR(B383/B444, "NA")</f>
        <v>NA</v>
      </c>
      <c r="D383" s="9"/>
      <c r="E383" s="7">
        <v>0</v>
      </c>
      <c r="F383" s="8" t="str">
        <f>IFERROR(E383/E444, "NA")</f>
        <v>NA</v>
      </c>
      <c r="G383" s="9"/>
      <c r="H383" s="10">
        <f t="shared" si="92"/>
        <v>0</v>
      </c>
      <c r="I383" s="8" t="str">
        <f>IFERROR(H383/H444, "NA")</f>
        <v>NA</v>
      </c>
      <c r="J383" s="9"/>
      <c r="K383" s="7">
        <v>0</v>
      </c>
      <c r="L383" s="8" t="str">
        <f>IFERROR(K383/K444, "NA")</f>
        <v>NA</v>
      </c>
      <c r="M383" s="9"/>
      <c r="N383" s="10">
        <f t="shared" si="93"/>
        <v>0</v>
      </c>
      <c r="O383" s="8" t="str">
        <f>IFERROR(N383/N444, "NA")</f>
        <v>NA</v>
      </c>
      <c r="P383" s="9"/>
      <c r="Q383" s="7">
        <v>0</v>
      </c>
      <c r="R383" s="8" t="str">
        <f>IFERROR(Q383/Q444, "NA")</f>
        <v>NA</v>
      </c>
      <c r="S383" s="9"/>
      <c r="T383" s="7">
        <v>0</v>
      </c>
      <c r="U383" s="8" t="str">
        <f>IFERROR(T383/T444, "NA")</f>
        <v>NA</v>
      </c>
      <c r="V383" s="9"/>
      <c r="W383" s="10">
        <f t="shared" si="94"/>
        <v>0</v>
      </c>
      <c r="X383" s="8" t="str">
        <f>IFERROR(W383/W444, "NA")</f>
        <v>NA</v>
      </c>
      <c r="Y383" s="9"/>
      <c r="Z383" s="7">
        <v>0</v>
      </c>
      <c r="AA383" s="8" t="str">
        <f>IFERROR(Z383/Z444, "NA")</f>
        <v>NA</v>
      </c>
      <c r="AB383" s="9"/>
      <c r="AC383" s="10">
        <f t="shared" si="95"/>
        <v>0</v>
      </c>
      <c r="AD383" s="8" t="str">
        <f>IFERROR(AC383/AC444, "NA")</f>
        <v>NA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573.57000000000005</v>
      </c>
      <c r="C385" s="8" t="str">
        <f>IFERROR(B385/B444, "NA")</f>
        <v>NA</v>
      </c>
      <c r="D385" s="9"/>
      <c r="E385" s="7">
        <v>4500</v>
      </c>
      <c r="F385" s="8" t="str">
        <f>IFERROR(E385/E444, "NA")</f>
        <v>NA</v>
      </c>
      <c r="G385" s="9"/>
      <c r="H385" s="10">
        <f>IFERROR(-(B385-E385), "NA")</f>
        <v>3926.43</v>
      </c>
      <c r="I385" s="8" t="str">
        <f>IFERROR(H385/H444, "NA")</f>
        <v>NA</v>
      </c>
      <c r="J385" s="9"/>
      <c r="K385" s="7">
        <v>3159.76</v>
      </c>
      <c r="L385" s="8" t="str">
        <f>IFERROR(K385/K444, "NA")</f>
        <v>NA</v>
      </c>
      <c r="M385" s="9"/>
      <c r="N385" s="10">
        <f>IFERROR(-(B385-K385), "NA")</f>
        <v>2586.19</v>
      </c>
      <c r="O385" s="8" t="str">
        <f>IFERROR(N385/N444, "NA")</f>
        <v>NA</v>
      </c>
      <c r="P385" s="9"/>
      <c r="Q385" s="7">
        <v>13817.76</v>
      </c>
      <c r="R385" s="8" t="str">
        <f>IFERROR(Q385/Q444, "NA")</f>
        <v>NA</v>
      </c>
      <c r="S385" s="9"/>
      <c r="T385" s="7">
        <v>12172.12</v>
      </c>
      <c r="U385" s="8" t="str">
        <f>IFERROR(T385/T444, "NA")</f>
        <v>NA</v>
      </c>
      <c r="V385" s="9"/>
      <c r="W385" s="10">
        <f>IFERROR(-(Q385-T385), "NA")</f>
        <v>-1645.6399999999994</v>
      </c>
      <c r="X385" s="8" t="str">
        <f>IFERROR(W385/W444, "NA")</f>
        <v>NA</v>
      </c>
      <c r="Y385" s="9"/>
      <c r="Z385" s="7">
        <v>10142.030000000001</v>
      </c>
      <c r="AA385" s="8" t="str">
        <f>IFERROR(Z385/Z444, "NA")</f>
        <v>NA</v>
      </c>
      <c r="AB385" s="9"/>
      <c r="AC385" s="10">
        <f>IFERROR(-(Q385-Z385), "NA")</f>
        <v>-3675.7299999999996</v>
      </c>
      <c r="AD385" s="8" t="str">
        <f>IFERROR(AC385/AC444, "NA")</f>
        <v>NA</v>
      </c>
    </row>
    <row r="386" spans="1:30" ht="16.5" customHeight="1" x14ac:dyDescent="0.45">
      <c r="A386" s="6" t="s">
        <v>353</v>
      </c>
      <c r="B386" s="7">
        <v>0</v>
      </c>
      <c r="C386" s="8" t="str">
        <f>IFERROR(B386/B444, "NA")</f>
        <v>NA</v>
      </c>
      <c r="D386" s="9"/>
      <c r="E386" s="7">
        <v>0</v>
      </c>
      <c r="F386" s="8" t="str">
        <f>IFERROR(E386/E444, "NA")</f>
        <v>NA</v>
      </c>
      <c r="G386" s="9"/>
      <c r="H386" s="10">
        <f>IFERROR(-(B386-E386), "NA")</f>
        <v>0</v>
      </c>
      <c r="I386" s="8" t="str">
        <f>IFERROR(H386/H444, "NA")</f>
        <v>NA</v>
      </c>
      <c r="J386" s="9"/>
      <c r="K386" s="7">
        <v>7.39</v>
      </c>
      <c r="L386" s="8" t="str">
        <f>IFERROR(K386/K444, "NA")</f>
        <v>NA</v>
      </c>
      <c r="M386" s="9"/>
      <c r="N386" s="10">
        <f>IFERROR(-(B386-K386), "NA")</f>
        <v>7.39</v>
      </c>
      <c r="O386" s="8" t="str">
        <f>IFERROR(N386/N444, "NA")</f>
        <v>NA</v>
      </c>
      <c r="P386" s="9"/>
      <c r="Q386" s="7">
        <v>51.47</v>
      </c>
      <c r="R386" s="8" t="str">
        <f>IFERROR(Q386/Q444, "NA")</f>
        <v>NA</v>
      </c>
      <c r="S386" s="9"/>
      <c r="T386" s="7">
        <v>0</v>
      </c>
      <c r="U386" s="8" t="str">
        <f>IFERROR(T386/T444, "NA")</f>
        <v>NA</v>
      </c>
      <c r="V386" s="9"/>
      <c r="W386" s="10">
        <f>IFERROR(-(Q386-T386), "NA")</f>
        <v>-51.47</v>
      </c>
      <c r="X386" s="8" t="str">
        <f>IFERROR(W386/W444, "NA")</f>
        <v>NA</v>
      </c>
      <c r="Y386" s="9"/>
      <c r="Z386" s="7">
        <v>2654.23</v>
      </c>
      <c r="AA386" s="8" t="str">
        <f>IFERROR(Z386/Z444, "NA")</f>
        <v>NA</v>
      </c>
      <c r="AB386" s="9"/>
      <c r="AC386" s="10">
        <f>IFERROR(-(Q386-Z386), "NA")</f>
        <v>2602.7600000000002</v>
      </c>
      <c r="AD386" s="8" t="str">
        <f>IFERROR(AC386/AC444, "NA")</f>
        <v>NA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 t="str">
        <f>IFERROR(B388/B444, "NA")</f>
        <v>NA</v>
      </c>
      <c r="D388" s="9"/>
      <c r="E388" s="7">
        <v>0</v>
      </c>
      <c r="F388" s="8" t="str">
        <f>IFERROR(E388/E444, "NA")</f>
        <v>NA</v>
      </c>
      <c r="G388" s="9"/>
      <c r="H388" s="10">
        <f t="shared" ref="H388:H403" si="96">IFERROR(-(B388-E388), "NA")</f>
        <v>0</v>
      </c>
      <c r="I388" s="8" t="str">
        <f>IFERROR(H388/H444, "NA")</f>
        <v>NA</v>
      </c>
      <c r="J388" s="9"/>
      <c r="K388" s="7">
        <v>0</v>
      </c>
      <c r="L388" s="8" t="str">
        <f>IFERROR(K388/K444, "NA")</f>
        <v>NA</v>
      </c>
      <c r="M388" s="9"/>
      <c r="N388" s="10">
        <f t="shared" ref="N388:N403" si="97">IFERROR(-(B388-K388), "NA")</f>
        <v>0</v>
      </c>
      <c r="O388" s="8" t="str">
        <f>IFERROR(N388/N444, "NA")</f>
        <v>NA</v>
      </c>
      <c r="P388" s="9"/>
      <c r="Q388" s="7">
        <v>0</v>
      </c>
      <c r="R388" s="8" t="str">
        <f>IFERROR(Q388/Q444, "NA")</f>
        <v>NA</v>
      </c>
      <c r="S388" s="9"/>
      <c r="T388" s="7">
        <v>0</v>
      </c>
      <c r="U388" s="8" t="str">
        <f>IFERROR(T388/T444, "NA")</f>
        <v>NA</v>
      </c>
      <c r="V388" s="9"/>
      <c r="W388" s="10">
        <f t="shared" ref="W388:W403" si="98">IFERROR(-(Q388-T388), "NA")</f>
        <v>0</v>
      </c>
      <c r="X388" s="8" t="str">
        <f>IFERROR(W388/W444, "NA")</f>
        <v>NA</v>
      </c>
      <c r="Y388" s="9"/>
      <c r="Z388" s="7">
        <v>0</v>
      </c>
      <c r="AA388" s="8" t="str">
        <f>IFERROR(Z388/Z444, "NA")</f>
        <v>NA</v>
      </c>
      <c r="AB388" s="9"/>
      <c r="AC388" s="10">
        <f t="shared" ref="AC388:AC403" si="99">IFERROR(-(Q388-Z388), "NA")</f>
        <v>0</v>
      </c>
      <c r="AD388" s="8" t="str">
        <f>IFERROR(AC388/AC444, "NA")</f>
        <v>NA</v>
      </c>
    </row>
    <row r="389" spans="1:30" ht="16.5" customHeight="1" x14ac:dyDescent="0.45">
      <c r="A389" s="12" t="s">
        <v>355</v>
      </c>
      <c r="B389" s="7">
        <v>5544.91</v>
      </c>
      <c r="C389" s="8" t="str">
        <f>IFERROR(B389/B444, "NA")</f>
        <v>NA</v>
      </c>
      <c r="D389" s="9"/>
      <c r="E389" s="7">
        <v>2966.31</v>
      </c>
      <c r="F389" s="8" t="str">
        <f>IFERROR(E389/E444, "NA")</f>
        <v>NA</v>
      </c>
      <c r="G389" s="9"/>
      <c r="H389" s="10">
        <f t="shared" si="96"/>
        <v>-2578.6</v>
      </c>
      <c r="I389" s="8" t="str">
        <f>IFERROR(H389/H444, "NA")</f>
        <v>NA</v>
      </c>
      <c r="J389" s="9"/>
      <c r="K389" s="7">
        <v>1360.4</v>
      </c>
      <c r="L389" s="8" t="str">
        <f>IFERROR(K389/K444, "NA")</f>
        <v>NA</v>
      </c>
      <c r="M389" s="9"/>
      <c r="N389" s="10">
        <f t="shared" si="97"/>
        <v>-4184.51</v>
      </c>
      <c r="O389" s="8" t="str">
        <f>IFERROR(N389/N444, "NA")</f>
        <v>NA</v>
      </c>
      <c r="P389" s="9"/>
      <c r="Q389" s="7">
        <v>16542.3</v>
      </c>
      <c r="R389" s="8" t="str">
        <f>IFERROR(Q389/Q444, "NA")</f>
        <v>NA</v>
      </c>
      <c r="S389" s="9"/>
      <c r="T389" s="7">
        <v>10085.42</v>
      </c>
      <c r="U389" s="8" t="str">
        <f>IFERROR(T389/T444, "NA")</f>
        <v>NA</v>
      </c>
      <c r="V389" s="9"/>
      <c r="W389" s="10">
        <f t="shared" si="98"/>
        <v>-6456.8799999999992</v>
      </c>
      <c r="X389" s="8" t="str">
        <f>IFERROR(W389/W444, "NA")</f>
        <v>NA</v>
      </c>
      <c r="Y389" s="9"/>
      <c r="Z389" s="7">
        <v>4782.45</v>
      </c>
      <c r="AA389" s="8" t="str">
        <f>IFERROR(Z389/Z444, "NA")</f>
        <v>NA</v>
      </c>
      <c r="AB389" s="9"/>
      <c r="AC389" s="10">
        <f t="shared" si="99"/>
        <v>-11759.849999999999</v>
      </c>
      <c r="AD389" s="8" t="str">
        <f>IFERROR(AC389/AC444, "NA")</f>
        <v>NA</v>
      </c>
    </row>
    <row r="390" spans="1:30" ht="16.5" customHeight="1" x14ac:dyDescent="0.45">
      <c r="A390" s="12" t="s">
        <v>356</v>
      </c>
      <c r="B390" s="7">
        <v>8822.19</v>
      </c>
      <c r="C390" s="8" t="str">
        <f>IFERROR(B390/B444, "NA")</f>
        <v>NA</v>
      </c>
      <c r="D390" s="9"/>
      <c r="E390" s="7">
        <v>14413.65</v>
      </c>
      <c r="F390" s="8" t="str">
        <f>IFERROR(E390/E444, "NA")</f>
        <v>NA</v>
      </c>
      <c r="G390" s="9"/>
      <c r="H390" s="10">
        <f t="shared" si="96"/>
        <v>5591.4599999999991</v>
      </c>
      <c r="I390" s="8" t="str">
        <f>IFERROR(H390/H444, "NA")</f>
        <v>NA</v>
      </c>
      <c r="J390" s="9"/>
      <c r="K390" s="7">
        <v>21815.3</v>
      </c>
      <c r="L390" s="8" t="str">
        <f>IFERROR(K390/K444, "NA")</f>
        <v>NA</v>
      </c>
      <c r="M390" s="9"/>
      <c r="N390" s="10">
        <f t="shared" si="97"/>
        <v>12993.109999999999</v>
      </c>
      <c r="O390" s="8" t="str">
        <f>IFERROR(N390/N444, "NA")</f>
        <v>NA</v>
      </c>
      <c r="P390" s="9"/>
      <c r="Q390" s="7">
        <v>44969.22</v>
      </c>
      <c r="R390" s="8" t="str">
        <f>IFERROR(Q390/Q444, "NA")</f>
        <v>NA</v>
      </c>
      <c r="S390" s="9"/>
      <c r="T390" s="7">
        <v>49006.19</v>
      </c>
      <c r="U390" s="8" t="str">
        <f>IFERROR(T390/T444, "NA")</f>
        <v>NA</v>
      </c>
      <c r="V390" s="9"/>
      <c r="W390" s="10">
        <f t="shared" si="98"/>
        <v>4036.9700000000012</v>
      </c>
      <c r="X390" s="8" t="str">
        <f>IFERROR(W390/W444, "NA")</f>
        <v>NA</v>
      </c>
      <c r="Y390" s="9"/>
      <c r="Z390" s="7">
        <v>47519.65</v>
      </c>
      <c r="AA390" s="8" t="str">
        <f>IFERROR(Z390/Z444, "NA")</f>
        <v>NA</v>
      </c>
      <c r="AB390" s="9"/>
      <c r="AC390" s="10">
        <f t="shared" si="99"/>
        <v>2550.4300000000003</v>
      </c>
      <c r="AD390" s="8" t="str">
        <f>IFERROR(AC390/AC444, "NA")</f>
        <v>NA</v>
      </c>
    </row>
    <row r="391" spans="1:30" ht="16.5" hidden="1" customHeight="1" x14ac:dyDescent="0.45">
      <c r="A391" s="12" t="s">
        <v>357</v>
      </c>
      <c r="B391" s="7">
        <v>0</v>
      </c>
      <c r="C391" s="8" t="str">
        <f>IFERROR(B391/B444, "NA")</f>
        <v>NA</v>
      </c>
      <c r="D391" s="9"/>
      <c r="E391" s="7">
        <v>0</v>
      </c>
      <c r="F391" s="8" t="str">
        <f>IFERROR(E391/E444, "NA")</f>
        <v>NA</v>
      </c>
      <c r="G391" s="9"/>
      <c r="H391" s="10">
        <f t="shared" si="96"/>
        <v>0</v>
      </c>
      <c r="I391" s="8" t="str">
        <f>IFERROR(H391/H444, "NA")</f>
        <v>NA</v>
      </c>
      <c r="J391" s="9"/>
      <c r="K391" s="7">
        <v>0</v>
      </c>
      <c r="L391" s="8" t="str">
        <f>IFERROR(K391/K444, "NA")</f>
        <v>NA</v>
      </c>
      <c r="M391" s="9"/>
      <c r="N391" s="10">
        <f t="shared" si="97"/>
        <v>0</v>
      </c>
      <c r="O391" s="8" t="str">
        <f>IFERROR(N391/N444, "NA")</f>
        <v>NA</v>
      </c>
      <c r="P391" s="9"/>
      <c r="Q391" s="7">
        <v>0</v>
      </c>
      <c r="R391" s="8" t="str">
        <f>IFERROR(Q391/Q444, "NA")</f>
        <v>NA</v>
      </c>
      <c r="S391" s="9"/>
      <c r="T391" s="7">
        <v>0</v>
      </c>
      <c r="U391" s="8" t="str">
        <f>IFERROR(T391/T444, "NA")</f>
        <v>NA</v>
      </c>
      <c r="V391" s="9"/>
      <c r="W391" s="10">
        <f t="shared" si="98"/>
        <v>0</v>
      </c>
      <c r="X391" s="8" t="str">
        <f>IFERROR(W391/W444, "NA")</f>
        <v>NA</v>
      </c>
      <c r="Y391" s="9"/>
      <c r="Z391" s="7">
        <v>0</v>
      </c>
      <c r="AA391" s="8" t="str">
        <f>IFERROR(Z391/Z444, "NA")</f>
        <v>NA</v>
      </c>
      <c r="AB391" s="9"/>
      <c r="AC391" s="10">
        <f t="shared" si="99"/>
        <v>0</v>
      </c>
      <c r="AD391" s="8" t="str">
        <f>IFERROR(AC391/AC444, "NA")</f>
        <v>NA</v>
      </c>
    </row>
    <row r="392" spans="1:30" ht="16.5" customHeight="1" x14ac:dyDescent="0.45">
      <c r="A392" s="12" t="s">
        <v>358</v>
      </c>
      <c r="B392" s="7">
        <v>4697.71</v>
      </c>
      <c r="C392" s="8" t="str">
        <f>IFERROR(B392/B444, "NA")</f>
        <v>NA</v>
      </c>
      <c r="D392" s="9"/>
      <c r="E392" s="7">
        <v>2214.2800000000002</v>
      </c>
      <c r="F392" s="8" t="str">
        <f>IFERROR(E392/E444, "NA")</f>
        <v>NA</v>
      </c>
      <c r="G392" s="9"/>
      <c r="H392" s="10">
        <f t="shared" si="96"/>
        <v>-2483.4299999999998</v>
      </c>
      <c r="I392" s="8" t="str">
        <f>IFERROR(H392/H444, "NA")</f>
        <v>NA</v>
      </c>
      <c r="J392" s="9"/>
      <c r="K392" s="7">
        <v>3714.14</v>
      </c>
      <c r="L392" s="8" t="str">
        <f>IFERROR(K392/K444, "NA")</f>
        <v>NA</v>
      </c>
      <c r="M392" s="9"/>
      <c r="N392" s="10">
        <f t="shared" si="97"/>
        <v>-983.57000000000016</v>
      </c>
      <c r="O392" s="8" t="str">
        <f>IFERROR(N392/N444, "NA")</f>
        <v>NA</v>
      </c>
      <c r="P392" s="9"/>
      <c r="Q392" s="7">
        <v>19974.88</v>
      </c>
      <c r="R392" s="8" t="str">
        <f>IFERROR(Q392/Q444, "NA")</f>
        <v>NA</v>
      </c>
      <c r="S392" s="9"/>
      <c r="T392" s="7">
        <v>7528.52</v>
      </c>
      <c r="U392" s="8" t="str">
        <f>IFERROR(T392/T444, "NA")</f>
        <v>NA</v>
      </c>
      <c r="V392" s="9"/>
      <c r="W392" s="10">
        <f t="shared" si="98"/>
        <v>-12446.36</v>
      </c>
      <c r="X392" s="8" t="str">
        <f>IFERROR(W392/W444, "NA")</f>
        <v>NA</v>
      </c>
      <c r="Y392" s="9"/>
      <c r="Z392" s="7">
        <v>10077.969999999999</v>
      </c>
      <c r="AA392" s="8" t="str">
        <f>IFERROR(Z392/Z444, "NA")</f>
        <v>NA</v>
      </c>
      <c r="AB392" s="9"/>
      <c r="AC392" s="10">
        <f t="shared" si="99"/>
        <v>-9896.9100000000017</v>
      </c>
      <c r="AD392" s="8" t="str">
        <f>IFERROR(AC392/AC444, "NA")</f>
        <v>NA</v>
      </c>
    </row>
    <row r="393" spans="1:30" ht="16.5" customHeight="1" x14ac:dyDescent="0.45">
      <c r="A393" s="13" t="s">
        <v>359</v>
      </c>
      <c r="B393" s="14">
        <f>IFERROR(B388+B389+B390+B391+B392, "NA")</f>
        <v>19064.810000000001</v>
      </c>
      <c r="C393" s="15" t="str">
        <f>IFERROR(B393/B444, "NA")</f>
        <v>NA</v>
      </c>
      <c r="D393" s="2"/>
      <c r="E393" s="14">
        <f>IFERROR(E388+E389+E390+E391+E392, "NA")</f>
        <v>19594.239999999998</v>
      </c>
      <c r="F393" s="15" t="str">
        <f>IFERROR(E393/E444, "NA")</f>
        <v>NA</v>
      </c>
      <c r="G393" s="2"/>
      <c r="H393" s="14">
        <f t="shared" si="96"/>
        <v>529.42999999999665</v>
      </c>
      <c r="I393" s="15" t="str">
        <f>IFERROR(H393/H444, "NA")</f>
        <v>NA</v>
      </c>
      <c r="J393" s="2"/>
      <c r="K393" s="14">
        <f>IFERROR(K388+K389+K390+K391+K392, "NA")</f>
        <v>26889.84</v>
      </c>
      <c r="L393" s="15" t="str">
        <f>IFERROR(K393/K444, "NA")</f>
        <v>NA</v>
      </c>
      <c r="M393" s="2"/>
      <c r="N393" s="14">
        <f t="shared" si="97"/>
        <v>7825.0299999999988</v>
      </c>
      <c r="O393" s="15" t="str">
        <f>IFERROR(N393/N444, "NA")</f>
        <v>NA</v>
      </c>
      <c r="P393" s="2"/>
      <c r="Q393" s="14">
        <f>IFERROR(Q388+Q389+Q390+Q391+Q392, "NA")</f>
        <v>81486.400000000009</v>
      </c>
      <c r="R393" s="15" t="str">
        <f>IFERROR(Q393/Q444, "NA")</f>
        <v>NA</v>
      </c>
      <c r="S393" s="2"/>
      <c r="T393" s="14">
        <f>IFERROR(T388+T389+T390+T391+T392, "NA")</f>
        <v>66620.13</v>
      </c>
      <c r="U393" s="15" t="str">
        <f>IFERROR(T393/T444, "NA")</f>
        <v>NA</v>
      </c>
      <c r="V393" s="2"/>
      <c r="W393" s="14">
        <f t="shared" si="98"/>
        <v>-14866.270000000004</v>
      </c>
      <c r="X393" s="15" t="str">
        <f>IFERROR(W393/W444, "NA")</f>
        <v>NA</v>
      </c>
      <c r="Y393" s="2"/>
      <c r="Z393" s="14">
        <f>IFERROR(Z388+Z389+Z390+Z391+Z392, "NA")</f>
        <v>62380.07</v>
      </c>
      <c r="AA393" s="15" t="str">
        <f>IFERROR(Z393/Z444, "NA")</f>
        <v>NA</v>
      </c>
      <c r="AB393" s="2"/>
      <c r="AC393" s="14">
        <f t="shared" si="99"/>
        <v>-19106.330000000009</v>
      </c>
      <c r="AD393" s="15" t="str">
        <f>IFERROR(AC393/AC444, "NA")</f>
        <v>NA</v>
      </c>
    </row>
    <row r="394" spans="1:30" ht="16.5" customHeight="1" x14ac:dyDescent="0.45">
      <c r="A394" s="6" t="s">
        <v>360</v>
      </c>
      <c r="B394" s="7">
        <v>0</v>
      </c>
      <c r="C394" s="8" t="str">
        <f>IFERROR(B394/B444, "NA")</f>
        <v>NA</v>
      </c>
      <c r="D394" s="9"/>
      <c r="E394" s="7">
        <v>5948.02</v>
      </c>
      <c r="F394" s="8" t="str">
        <f>IFERROR(E394/E444, "NA")</f>
        <v>NA</v>
      </c>
      <c r="G394" s="9"/>
      <c r="H394" s="10">
        <f t="shared" si="96"/>
        <v>5948.02</v>
      </c>
      <c r="I394" s="8" t="str">
        <f>IFERROR(H394/H444, "NA")</f>
        <v>NA</v>
      </c>
      <c r="J394" s="9"/>
      <c r="K394" s="7">
        <v>2139.64</v>
      </c>
      <c r="L394" s="8" t="str">
        <f>IFERROR(K394/K444, "NA")</f>
        <v>NA</v>
      </c>
      <c r="M394" s="9"/>
      <c r="N394" s="10">
        <f t="shared" si="97"/>
        <v>2139.64</v>
      </c>
      <c r="O394" s="8" t="str">
        <f>IFERROR(N394/N444, "NA")</f>
        <v>NA</v>
      </c>
      <c r="P394" s="9"/>
      <c r="Q394" s="7">
        <v>6612.06</v>
      </c>
      <c r="R394" s="8" t="str">
        <f>IFERROR(Q394/Q444, "NA")</f>
        <v>NA</v>
      </c>
      <c r="S394" s="9"/>
      <c r="T394" s="7">
        <v>15452.29</v>
      </c>
      <c r="U394" s="8" t="str">
        <f>IFERROR(T394/T444, "NA")</f>
        <v>NA</v>
      </c>
      <c r="V394" s="9"/>
      <c r="W394" s="10">
        <f t="shared" si="98"/>
        <v>8840.23</v>
      </c>
      <c r="X394" s="8" t="str">
        <f>IFERROR(W394/W444, "NA")</f>
        <v>NA</v>
      </c>
      <c r="Y394" s="9"/>
      <c r="Z394" s="7">
        <v>21285.94</v>
      </c>
      <c r="AA394" s="8" t="str">
        <f>IFERROR(Z394/Z444, "NA")</f>
        <v>NA</v>
      </c>
      <c r="AB394" s="9"/>
      <c r="AC394" s="10">
        <f t="shared" si="99"/>
        <v>14673.879999999997</v>
      </c>
      <c r="AD394" s="8" t="str">
        <f>IFERROR(AC394/AC444, "NA")</f>
        <v>NA</v>
      </c>
    </row>
    <row r="395" spans="1:30" ht="16.5" hidden="1" customHeight="1" x14ac:dyDescent="0.45">
      <c r="A395" s="6" t="s">
        <v>361</v>
      </c>
      <c r="B395" s="7">
        <v>0</v>
      </c>
      <c r="C395" s="8" t="str">
        <f>IFERROR(B395/B444, "NA")</f>
        <v>NA</v>
      </c>
      <c r="D395" s="9"/>
      <c r="E395" s="7">
        <v>0</v>
      </c>
      <c r="F395" s="8" t="str">
        <f>IFERROR(E395/E444, "NA")</f>
        <v>NA</v>
      </c>
      <c r="G395" s="9"/>
      <c r="H395" s="10">
        <f t="shared" si="96"/>
        <v>0</v>
      </c>
      <c r="I395" s="8" t="str">
        <f>IFERROR(H395/H444, "NA")</f>
        <v>NA</v>
      </c>
      <c r="J395" s="9"/>
      <c r="K395" s="7">
        <v>0</v>
      </c>
      <c r="L395" s="8" t="str">
        <f>IFERROR(K395/K444, "NA")</f>
        <v>NA</v>
      </c>
      <c r="M395" s="9"/>
      <c r="N395" s="10">
        <f t="shared" si="97"/>
        <v>0</v>
      </c>
      <c r="O395" s="8" t="str">
        <f>IFERROR(N395/N444, "NA")</f>
        <v>NA</v>
      </c>
      <c r="P395" s="9"/>
      <c r="Q395" s="7">
        <v>0</v>
      </c>
      <c r="R395" s="8" t="str">
        <f>IFERROR(Q395/Q444, "NA")</f>
        <v>NA</v>
      </c>
      <c r="S395" s="9"/>
      <c r="T395" s="7">
        <v>0</v>
      </c>
      <c r="U395" s="8" t="str">
        <f>IFERROR(T395/T444, "NA")</f>
        <v>NA</v>
      </c>
      <c r="V395" s="9"/>
      <c r="W395" s="10">
        <f t="shared" si="98"/>
        <v>0</v>
      </c>
      <c r="X395" s="8" t="str">
        <f>IFERROR(W395/W444, "NA")</f>
        <v>NA</v>
      </c>
      <c r="Y395" s="9"/>
      <c r="Z395" s="7">
        <v>0</v>
      </c>
      <c r="AA395" s="8" t="str">
        <f>IFERROR(Z395/Z444, "NA")</f>
        <v>NA</v>
      </c>
      <c r="AB395" s="9"/>
      <c r="AC395" s="10">
        <f t="shared" si="99"/>
        <v>0</v>
      </c>
      <c r="AD395" s="8" t="str">
        <f>IFERROR(AC395/AC444, "NA")</f>
        <v>NA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19638.38</v>
      </c>
      <c r="C396" s="15" t="str">
        <f>IFERROR(B396/B444, "NA")</f>
        <v>NA</v>
      </c>
      <c r="D396" s="2"/>
      <c r="E396" s="14">
        <f>IFERROR(E385+E386+E388+E389+E390+E391+E392+E394+E395, "NA")</f>
        <v>30042.26</v>
      </c>
      <c r="F396" s="15" t="str">
        <f>IFERROR(E396/E444, "NA")</f>
        <v>NA</v>
      </c>
      <c r="G396" s="2"/>
      <c r="H396" s="14">
        <f t="shared" si="96"/>
        <v>10403.879999999997</v>
      </c>
      <c r="I396" s="15" t="str">
        <f>IFERROR(H396/H444, "NA")</f>
        <v>NA</v>
      </c>
      <c r="J396" s="2"/>
      <c r="K396" s="14">
        <f>IFERROR(K385+K386+K388+K389+K390+K391+K392+K394+K395, "NA")</f>
        <v>32196.629999999997</v>
      </c>
      <c r="L396" s="15" t="str">
        <f>IFERROR(K396/K444, "NA")</f>
        <v>NA</v>
      </c>
      <c r="M396" s="2"/>
      <c r="N396" s="14">
        <f t="shared" si="97"/>
        <v>12558.249999999996</v>
      </c>
      <c r="O396" s="15" t="str">
        <f>IFERROR(N396/N444, "NA")</f>
        <v>NA</v>
      </c>
      <c r="P396" s="2"/>
      <c r="Q396" s="14">
        <f>IFERROR(Q385+Q386+Q388+Q389+Q390+Q391+Q392+Q394+Q395, "NA")</f>
        <v>101967.69</v>
      </c>
      <c r="R396" s="15" t="str">
        <f>IFERROR(Q396/Q444, "NA")</f>
        <v>NA</v>
      </c>
      <c r="S396" s="2"/>
      <c r="T396" s="14">
        <f>IFERROR(T385+T386+T388+T389+T390+T391+T392+T394+T395, "NA")</f>
        <v>94244.540000000008</v>
      </c>
      <c r="U396" s="15" t="str">
        <f>IFERROR(T396/T444, "NA")</f>
        <v>NA</v>
      </c>
      <c r="V396" s="2"/>
      <c r="W396" s="14">
        <f t="shared" si="98"/>
        <v>-7723.1499999999942</v>
      </c>
      <c r="X396" s="15" t="str">
        <f>IFERROR(W396/W444, "NA")</f>
        <v>NA</v>
      </c>
      <c r="Y396" s="2"/>
      <c r="Z396" s="14">
        <f>IFERROR(Z385+Z386+Z388+Z389+Z390+Z391+Z392+Z394+Z395, "NA")</f>
        <v>96462.27</v>
      </c>
      <c r="AA396" s="15" t="str">
        <f>IFERROR(Z396/Z444, "NA")</f>
        <v>NA</v>
      </c>
      <c r="AB396" s="2"/>
      <c r="AC396" s="14">
        <f t="shared" si="99"/>
        <v>-5505.4199999999983</v>
      </c>
      <c r="AD396" s="15" t="str">
        <f>IFERROR(AC396/AC444, "NA")</f>
        <v>NA</v>
      </c>
    </row>
    <row r="397" spans="1:30" ht="16.5" customHeight="1" x14ac:dyDescent="0.45">
      <c r="A397" s="20" t="s">
        <v>363</v>
      </c>
      <c r="B397" s="7">
        <v>7124.99</v>
      </c>
      <c r="C397" s="8" t="str">
        <f>IFERROR(B397/B444, "NA")</f>
        <v>NA</v>
      </c>
      <c r="D397" s="9"/>
      <c r="E397" s="7">
        <v>23224.240000000002</v>
      </c>
      <c r="F397" s="8" t="str">
        <f>IFERROR(E397/E444, "NA")</f>
        <v>NA</v>
      </c>
      <c r="G397" s="9"/>
      <c r="H397" s="10">
        <f t="shared" si="96"/>
        <v>16099.250000000002</v>
      </c>
      <c r="I397" s="8" t="str">
        <f>IFERROR(H397/H444, "NA")</f>
        <v>NA</v>
      </c>
      <c r="J397" s="9"/>
      <c r="K397" s="7">
        <v>7663.83</v>
      </c>
      <c r="L397" s="8" t="str">
        <f>IFERROR(K397/K444, "NA")</f>
        <v>NA</v>
      </c>
      <c r="M397" s="9"/>
      <c r="N397" s="10">
        <f t="shared" si="97"/>
        <v>538.84000000000015</v>
      </c>
      <c r="O397" s="8" t="str">
        <f>IFERROR(N397/N444, "NA")</f>
        <v>NA</v>
      </c>
      <c r="P397" s="9"/>
      <c r="Q397" s="7">
        <v>15800.27</v>
      </c>
      <c r="R397" s="8" t="str">
        <f>IFERROR(Q397/Q444, "NA")</f>
        <v>NA</v>
      </c>
      <c r="S397" s="9"/>
      <c r="T397" s="7">
        <v>63306.05</v>
      </c>
      <c r="U397" s="8" t="str">
        <f>IFERROR(T397/T444, "NA")</f>
        <v>NA</v>
      </c>
      <c r="V397" s="9"/>
      <c r="W397" s="10">
        <f t="shared" si="98"/>
        <v>47505.78</v>
      </c>
      <c r="X397" s="8" t="str">
        <f>IFERROR(W397/W444, "NA")</f>
        <v>NA</v>
      </c>
      <c r="Y397" s="9"/>
      <c r="Z397" s="7">
        <v>25653.94</v>
      </c>
      <c r="AA397" s="8" t="str">
        <f>IFERROR(Z397/Z444, "NA")</f>
        <v>NA</v>
      </c>
      <c r="AB397" s="9"/>
      <c r="AC397" s="10">
        <f t="shared" si="99"/>
        <v>9853.6699999999983</v>
      </c>
      <c r="AD397" s="8" t="str">
        <f>IFERROR(AC397/AC444, "NA")</f>
        <v>NA</v>
      </c>
    </row>
    <row r="398" spans="1:30" ht="16.5" customHeight="1" x14ac:dyDescent="0.45">
      <c r="A398" s="20" t="s">
        <v>364</v>
      </c>
      <c r="B398" s="7">
        <v>84.26</v>
      </c>
      <c r="C398" s="8" t="str">
        <f>IFERROR(B398/B444, "NA")</f>
        <v>NA</v>
      </c>
      <c r="D398" s="9"/>
      <c r="E398" s="7">
        <v>75</v>
      </c>
      <c r="F398" s="8" t="str">
        <f>IFERROR(E398/E444, "NA")</f>
        <v>NA</v>
      </c>
      <c r="G398" s="9"/>
      <c r="H398" s="10">
        <f t="shared" si="96"/>
        <v>-9.2600000000000051</v>
      </c>
      <c r="I398" s="8" t="str">
        <f>IFERROR(H398/H444, "NA")</f>
        <v>NA</v>
      </c>
      <c r="J398" s="9"/>
      <c r="K398" s="7">
        <v>101.56</v>
      </c>
      <c r="L398" s="8" t="str">
        <f>IFERROR(K398/K444, "NA")</f>
        <v>NA</v>
      </c>
      <c r="M398" s="9"/>
      <c r="N398" s="10">
        <f t="shared" si="97"/>
        <v>17.299999999999997</v>
      </c>
      <c r="O398" s="8" t="str">
        <f>IFERROR(N398/N444, "NA")</f>
        <v>NA</v>
      </c>
      <c r="P398" s="9"/>
      <c r="Q398" s="7">
        <v>582.91</v>
      </c>
      <c r="R398" s="8" t="str">
        <f>IFERROR(Q398/Q444, "NA")</f>
        <v>NA</v>
      </c>
      <c r="S398" s="9"/>
      <c r="T398" s="7">
        <v>300</v>
      </c>
      <c r="U398" s="8" t="str">
        <f>IFERROR(T398/T444, "NA")</f>
        <v>NA</v>
      </c>
      <c r="V398" s="9"/>
      <c r="W398" s="10">
        <f t="shared" si="98"/>
        <v>-282.90999999999997</v>
      </c>
      <c r="X398" s="8" t="str">
        <f>IFERROR(W398/W444, "NA")</f>
        <v>NA</v>
      </c>
      <c r="Y398" s="9"/>
      <c r="Z398" s="7">
        <v>477.85</v>
      </c>
      <c r="AA398" s="8" t="str">
        <f>IFERROR(Z398/Z444, "NA")</f>
        <v>NA</v>
      </c>
      <c r="AB398" s="9"/>
      <c r="AC398" s="10">
        <f t="shared" si="99"/>
        <v>-105.05999999999995</v>
      </c>
      <c r="AD398" s="8" t="str">
        <f>IFERROR(AC398/AC444, "NA")</f>
        <v>NA</v>
      </c>
    </row>
    <row r="399" spans="1:30" ht="16.5" customHeight="1" x14ac:dyDescent="0.45">
      <c r="A399" s="20" t="s">
        <v>365</v>
      </c>
      <c r="B399" s="7">
        <v>400</v>
      </c>
      <c r="C399" s="8" t="str">
        <f>IFERROR(B399/B444, "NA")</f>
        <v>NA</v>
      </c>
      <c r="D399" s="9"/>
      <c r="E399" s="7">
        <v>700</v>
      </c>
      <c r="F399" s="8" t="str">
        <f>IFERROR(E399/E444, "NA")</f>
        <v>NA</v>
      </c>
      <c r="G399" s="9"/>
      <c r="H399" s="10">
        <f t="shared" si="96"/>
        <v>300</v>
      </c>
      <c r="I399" s="8" t="str">
        <f>IFERROR(H399/H444, "NA")</f>
        <v>NA</v>
      </c>
      <c r="J399" s="9"/>
      <c r="K399" s="7">
        <v>1457.5</v>
      </c>
      <c r="L399" s="8" t="str">
        <f>IFERROR(K399/K444, "NA")</f>
        <v>NA</v>
      </c>
      <c r="M399" s="9"/>
      <c r="N399" s="10">
        <f t="shared" si="97"/>
        <v>1057.5</v>
      </c>
      <c r="O399" s="8" t="str">
        <f>IFERROR(N399/N444, "NA")</f>
        <v>NA</v>
      </c>
      <c r="P399" s="9"/>
      <c r="Q399" s="7">
        <v>500</v>
      </c>
      <c r="R399" s="8" t="str">
        <f>IFERROR(Q399/Q444, "NA")</f>
        <v>NA</v>
      </c>
      <c r="S399" s="9"/>
      <c r="T399" s="7">
        <v>2800</v>
      </c>
      <c r="U399" s="8" t="str">
        <f>IFERROR(T399/T444, "NA")</f>
        <v>NA</v>
      </c>
      <c r="V399" s="9"/>
      <c r="W399" s="10">
        <f t="shared" si="98"/>
        <v>2300</v>
      </c>
      <c r="X399" s="8" t="str">
        <f>IFERROR(W399/W444, "NA")</f>
        <v>NA</v>
      </c>
      <c r="Y399" s="9"/>
      <c r="Z399" s="7">
        <v>3020</v>
      </c>
      <c r="AA399" s="8" t="str">
        <f>IFERROR(Z399/Z444, "NA")</f>
        <v>NA</v>
      </c>
      <c r="AB399" s="9"/>
      <c r="AC399" s="10">
        <f t="shared" si="99"/>
        <v>2520</v>
      </c>
      <c r="AD399" s="8" t="str">
        <f>IFERROR(AC399/AC444, "NA")</f>
        <v>NA</v>
      </c>
    </row>
    <row r="400" spans="1:30" ht="16.5" hidden="1" customHeight="1" x14ac:dyDescent="0.45">
      <c r="A400" s="20" t="s">
        <v>366</v>
      </c>
      <c r="B400" s="7">
        <v>0</v>
      </c>
      <c r="C400" s="8" t="str">
        <f>IFERROR(B400/B444, "NA")</f>
        <v>NA</v>
      </c>
      <c r="D400" s="9"/>
      <c r="E400" s="7">
        <v>0</v>
      </c>
      <c r="F400" s="8" t="str">
        <f>IFERROR(E400/E444, "NA")</f>
        <v>NA</v>
      </c>
      <c r="G400" s="9"/>
      <c r="H400" s="10">
        <f t="shared" si="96"/>
        <v>0</v>
      </c>
      <c r="I400" s="8" t="str">
        <f>IFERROR(H400/H444, "NA")</f>
        <v>NA</v>
      </c>
      <c r="J400" s="9"/>
      <c r="K400" s="7">
        <v>0</v>
      </c>
      <c r="L400" s="8" t="str">
        <f>IFERROR(K400/K444, "NA")</f>
        <v>NA</v>
      </c>
      <c r="M400" s="9"/>
      <c r="N400" s="10">
        <f t="shared" si="97"/>
        <v>0</v>
      </c>
      <c r="O400" s="8" t="str">
        <f>IFERROR(N400/N444, "NA")</f>
        <v>NA</v>
      </c>
      <c r="P400" s="9"/>
      <c r="Q400" s="7">
        <v>0</v>
      </c>
      <c r="R400" s="8" t="str">
        <f>IFERROR(Q400/Q444, "NA")</f>
        <v>NA</v>
      </c>
      <c r="S400" s="9"/>
      <c r="T400" s="7">
        <v>0</v>
      </c>
      <c r="U400" s="8" t="str">
        <f>IFERROR(T400/T444, "NA")</f>
        <v>NA</v>
      </c>
      <c r="V400" s="9"/>
      <c r="W400" s="10">
        <f t="shared" si="98"/>
        <v>0</v>
      </c>
      <c r="X400" s="8" t="str">
        <f>IFERROR(W400/W444, "NA")</f>
        <v>NA</v>
      </c>
      <c r="Y400" s="9"/>
      <c r="Z400" s="7">
        <v>0</v>
      </c>
      <c r="AA400" s="8" t="str">
        <f>IFERROR(Z400/Z444, "NA")</f>
        <v>NA</v>
      </c>
      <c r="AB400" s="9"/>
      <c r="AC400" s="10">
        <f t="shared" si="99"/>
        <v>0</v>
      </c>
      <c r="AD400" s="8" t="str">
        <f>IFERROR(AC400/AC444, "NA")</f>
        <v>NA</v>
      </c>
    </row>
    <row r="401" spans="1:30" ht="16.5" customHeight="1" x14ac:dyDescent="0.45">
      <c r="A401" s="20" t="s">
        <v>367</v>
      </c>
      <c r="B401" s="7">
        <v>0</v>
      </c>
      <c r="C401" s="8" t="str">
        <f>IFERROR(B401/B444, "NA")</f>
        <v>NA</v>
      </c>
      <c r="D401" s="9"/>
      <c r="E401" s="7">
        <v>0</v>
      </c>
      <c r="F401" s="8" t="str">
        <f>IFERROR(E401/E444, "NA")</f>
        <v>NA</v>
      </c>
      <c r="G401" s="9"/>
      <c r="H401" s="10">
        <f t="shared" si="96"/>
        <v>0</v>
      </c>
      <c r="I401" s="8" t="str">
        <f>IFERROR(H401/H444, "NA")</f>
        <v>NA</v>
      </c>
      <c r="J401" s="9"/>
      <c r="K401" s="7">
        <v>8333.33</v>
      </c>
      <c r="L401" s="8" t="str">
        <f>IFERROR(K401/K444, "NA")</f>
        <v>NA</v>
      </c>
      <c r="M401" s="9"/>
      <c r="N401" s="10">
        <f t="shared" si="97"/>
        <v>8333.33</v>
      </c>
      <c r="O401" s="8" t="str">
        <f>IFERROR(N401/N444, "NA")</f>
        <v>NA</v>
      </c>
      <c r="P401" s="9"/>
      <c r="Q401" s="7">
        <v>0</v>
      </c>
      <c r="R401" s="8" t="str">
        <f>IFERROR(Q401/Q444, "NA")</f>
        <v>NA</v>
      </c>
      <c r="S401" s="9"/>
      <c r="T401" s="7">
        <v>0</v>
      </c>
      <c r="U401" s="8" t="str">
        <f>IFERROR(T401/T444, "NA")</f>
        <v>NA</v>
      </c>
      <c r="V401" s="9"/>
      <c r="W401" s="10">
        <f t="shared" si="98"/>
        <v>0</v>
      </c>
      <c r="X401" s="8" t="str">
        <f>IFERROR(W401/W444, "NA")</f>
        <v>NA</v>
      </c>
      <c r="Y401" s="9"/>
      <c r="Z401" s="7">
        <v>33333.33</v>
      </c>
      <c r="AA401" s="8" t="str">
        <f>IFERROR(Z401/Z444, "NA")</f>
        <v>NA</v>
      </c>
      <c r="AB401" s="9"/>
      <c r="AC401" s="10">
        <f t="shared" si="99"/>
        <v>33333.33</v>
      </c>
      <c r="AD401" s="8" t="str">
        <f>IFERROR(AC401/AC444, "NA")</f>
        <v>NA</v>
      </c>
    </row>
    <row r="402" spans="1:30" ht="16.5" hidden="1" customHeight="1" x14ac:dyDescent="0.45">
      <c r="A402" s="20" t="s">
        <v>368</v>
      </c>
      <c r="B402" s="7">
        <v>0</v>
      </c>
      <c r="C402" s="8" t="str">
        <f>IFERROR(B402/B444, "NA")</f>
        <v>NA</v>
      </c>
      <c r="D402" s="9"/>
      <c r="E402" s="7">
        <v>0</v>
      </c>
      <c r="F402" s="8" t="str">
        <f>IFERROR(E402/E444, "NA")</f>
        <v>NA</v>
      </c>
      <c r="G402" s="9"/>
      <c r="H402" s="10">
        <f t="shared" si="96"/>
        <v>0</v>
      </c>
      <c r="I402" s="8" t="str">
        <f>IFERROR(H402/H444, "NA")</f>
        <v>NA</v>
      </c>
      <c r="J402" s="9"/>
      <c r="K402" s="7">
        <v>0</v>
      </c>
      <c r="L402" s="8" t="str">
        <f>IFERROR(K402/K444, "NA")</f>
        <v>NA</v>
      </c>
      <c r="M402" s="9"/>
      <c r="N402" s="10">
        <f t="shared" si="97"/>
        <v>0</v>
      </c>
      <c r="O402" s="8" t="str">
        <f>IFERROR(N402/N444, "NA")</f>
        <v>NA</v>
      </c>
      <c r="P402" s="9"/>
      <c r="Q402" s="7">
        <v>0</v>
      </c>
      <c r="R402" s="8" t="str">
        <f>IFERROR(Q402/Q444, "NA")</f>
        <v>NA</v>
      </c>
      <c r="S402" s="9"/>
      <c r="T402" s="7">
        <v>0</v>
      </c>
      <c r="U402" s="8" t="str">
        <f>IFERROR(T402/T444, "NA")</f>
        <v>NA</v>
      </c>
      <c r="V402" s="9"/>
      <c r="W402" s="10">
        <f t="shared" si="98"/>
        <v>0</v>
      </c>
      <c r="X402" s="8" t="str">
        <f>IFERROR(W402/W444, "NA")</f>
        <v>NA</v>
      </c>
      <c r="Y402" s="9"/>
      <c r="Z402" s="7">
        <v>0</v>
      </c>
      <c r="AA402" s="8" t="str">
        <f>IFERROR(Z402/Z444, "NA")</f>
        <v>NA</v>
      </c>
      <c r="AB402" s="9"/>
      <c r="AC402" s="10">
        <f t="shared" si="99"/>
        <v>0</v>
      </c>
      <c r="AD402" s="8" t="str">
        <f>IFERROR(AC402/AC444, "NA")</f>
        <v>NA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120875.81000000003</v>
      </c>
      <c r="C403" s="15" t="str">
        <f>IFERROR(B403/B444, "NA")</f>
        <v>NA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173416.71999999997</v>
      </c>
      <c r="F403" s="15" t="str">
        <f>IFERROR(E403/E444, "NA")</f>
        <v>NA</v>
      </c>
      <c r="G403" s="2"/>
      <c r="H403" s="14">
        <f t="shared" si="96"/>
        <v>52540.909999999945</v>
      </c>
      <c r="I403" s="15" t="str">
        <f>IFERROR(H403/H444, "NA")</f>
        <v>NA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154128.59</v>
      </c>
      <c r="L403" s="15" t="str">
        <f>IFERROR(K403/K444, "NA")</f>
        <v>NA</v>
      </c>
      <c r="M403" s="2"/>
      <c r="N403" s="14">
        <f t="shared" si="97"/>
        <v>33252.77999999997</v>
      </c>
      <c r="O403" s="15" t="str">
        <f>IFERROR(N403/N444, "NA")</f>
        <v>NA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552992.34000000008</v>
      </c>
      <c r="R403" s="15" t="str">
        <f>IFERROR(Q403/Q444, "NA")</f>
        <v>NA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633469.60000000009</v>
      </c>
      <c r="U403" s="15" t="str">
        <f>IFERROR(T403/T444, "NA")</f>
        <v>NA</v>
      </c>
      <c r="V403" s="2"/>
      <c r="W403" s="14">
        <f t="shared" si="98"/>
        <v>80477.260000000009</v>
      </c>
      <c r="X403" s="15" t="str">
        <f>IFERROR(W403/W444, "NA")</f>
        <v>NA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582150.61999999988</v>
      </c>
      <c r="AA403" s="15" t="str">
        <f>IFERROR(Z403/Z444, "NA")</f>
        <v>NA</v>
      </c>
      <c r="AB403" s="2"/>
      <c r="AC403" s="14">
        <f t="shared" si="99"/>
        <v>29158.279999999795</v>
      </c>
      <c r="AD403" s="15" t="str">
        <f>IFERROR(AC403/AC444, "NA")</f>
        <v>NA</v>
      </c>
    </row>
    <row r="404" spans="1:30" ht="16.5" customHeight="1" x14ac:dyDescent="0.45">
      <c r="A404" s="22" t="s">
        <v>370</v>
      </c>
      <c r="B404" s="23">
        <f>IFERROR(B345-B403, "NA")</f>
        <v>-120875.81000000003</v>
      </c>
      <c r="C404" s="24" t="str">
        <f>IFERROR(B404/B444, "NA")</f>
        <v>NA</v>
      </c>
      <c r="D404" s="25"/>
      <c r="E404" s="23">
        <f>IFERROR(E345-E403, "NA")</f>
        <v>-173416.71999999997</v>
      </c>
      <c r="F404" s="24" t="str">
        <f>IFERROR(E404/E444, "NA")</f>
        <v>NA</v>
      </c>
      <c r="G404" s="25"/>
      <c r="H404" s="23">
        <f>IFERROR(B404-E404, "NA")</f>
        <v>52540.909999999945</v>
      </c>
      <c r="I404" s="24" t="str">
        <f>IFERROR(H404/H444, "NA")</f>
        <v>NA</v>
      </c>
      <c r="J404" s="25"/>
      <c r="K404" s="23">
        <f>IFERROR(K345-K403, "NA")</f>
        <v>-154128.59</v>
      </c>
      <c r="L404" s="24" t="str">
        <f>IFERROR(K404/K444, "NA")</f>
        <v>NA</v>
      </c>
      <c r="M404" s="25"/>
      <c r="N404" s="23">
        <f>IFERROR(B404-K404, "NA")</f>
        <v>33252.77999999997</v>
      </c>
      <c r="O404" s="24" t="str">
        <f>IFERROR(N404/N444, "NA")</f>
        <v>NA</v>
      </c>
      <c r="P404" s="25"/>
      <c r="Q404" s="23">
        <f>IFERROR(Q345-Q403, "NA")</f>
        <v>-552992.34000000008</v>
      </c>
      <c r="R404" s="24" t="str">
        <f>IFERROR(Q404/Q444, "NA")</f>
        <v>NA</v>
      </c>
      <c r="S404" s="25"/>
      <c r="T404" s="23">
        <f>IFERROR(T345-T403, "NA")</f>
        <v>-633469.60000000009</v>
      </c>
      <c r="U404" s="24" t="str">
        <f>IFERROR(T404/T444, "NA")</f>
        <v>NA</v>
      </c>
      <c r="V404" s="25"/>
      <c r="W404" s="23">
        <f>IFERROR(Q404-T404, "NA")</f>
        <v>80477.260000000009</v>
      </c>
      <c r="X404" s="24" t="str">
        <f>IFERROR(W404/W444, "NA")</f>
        <v>NA</v>
      </c>
      <c r="Y404" s="25"/>
      <c r="Z404" s="23">
        <f>IFERROR(Z345-Z403, "NA")</f>
        <v>-582150.61999999988</v>
      </c>
      <c r="AA404" s="24" t="str">
        <f>IFERROR(Z404/Z444, "NA")</f>
        <v>NA</v>
      </c>
      <c r="AB404" s="25"/>
      <c r="AC404" s="23">
        <f>IFERROR(Q404-Z404, "NA")</f>
        <v>29158.279999999795</v>
      </c>
      <c r="AD404" s="24" t="str">
        <f>IFERROR(AC404/AC444, "NA")</f>
        <v>NA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 t="str">
        <f>IFERROR(B407/B444, "NA")</f>
        <v>NA</v>
      </c>
      <c r="D407" s="9"/>
      <c r="E407" s="7">
        <v>0</v>
      </c>
      <c r="F407" s="8" t="str">
        <f>IFERROR(E407/E444, "NA")</f>
        <v>NA</v>
      </c>
      <c r="G407" s="9"/>
      <c r="H407" s="10">
        <f t="shared" ref="H407:H429" si="100">IFERROR(-(B407-E407), "NA")</f>
        <v>0</v>
      </c>
      <c r="I407" s="8" t="str">
        <f>IFERROR(H407/H444, "NA")</f>
        <v>NA</v>
      </c>
      <c r="J407" s="9"/>
      <c r="K407" s="7">
        <v>0</v>
      </c>
      <c r="L407" s="8" t="str">
        <f>IFERROR(K407/K444, "NA")</f>
        <v>NA</v>
      </c>
      <c r="M407" s="9"/>
      <c r="N407" s="10">
        <f t="shared" ref="N407:N429" si="101">IFERROR(-(B407-K407), "NA")</f>
        <v>0</v>
      </c>
      <c r="O407" s="8" t="str">
        <f>IFERROR(N407/N444, "NA")</f>
        <v>NA</v>
      </c>
      <c r="P407" s="9"/>
      <c r="Q407" s="7">
        <v>0</v>
      </c>
      <c r="R407" s="8" t="str">
        <f>IFERROR(Q407/Q444, "NA")</f>
        <v>NA</v>
      </c>
      <c r="S407" s="9"/>
      <c r="T407" s="7">
        <v>0</v>
      </c>
      <c r="U407" s="8" t="str">
        <f>IFERROR(T407/T444, "NA")</f>
        <v>NA</v>
      </c>
      <c r="V407" s="9"/>
      <c r="W407" s="10">
        <f t="shared" ref="W407:W429" si="102">IFERROR(-(Q407-T407), "NA")</f>
        <v>0</v>
      </c>
      <c r="X407" s="8" t="str">
        <f>IFERROR(W407/W444, "NA")</f>
        <v>NA</v>
      </c>
      <c r="Y407" s="9"/>
      <c r="Z407" s="7">
        <v>0</v>
      </c>
      <c r="AA407" s="8" t="str">
        <f>IFERROR(Z407/Z444, "NA")</f>
        <v>NA</v>
      </c>
      <c r="AB407" s="9"/>
      <c r="AC407" s="10">
        <f t="shared" ref="AC407:AC429" si="103">IFERROR(-(Q407-Z407), "NA")</f>
        <v>0</v>
      </c>
      <c r="AD407" s="8" t="str">
        <f>IFERROR(AC407/AC444, "NA")</f>
        <v>NA</v>
      </c>
    </row>
    <row r="408" spans="1:30" ht="16.5" hidden="1" customHeight="1" x14ac:dyDescent="0.45">
      <c r="A408" s="6" t="s">
        <v>373</v>
      </c>
      <c r="B408" s="7">
        <v>0</v>
      </c>
      <c r="C408" s="8" t="str">
        <f>IFERROR(B408/B444, "NA")</f>
        <v>NA</v>
      </c>
      <c r="D408" s="9"/>
      <c r="E408" s="7">
        <v>0</v>
      </c>
      <c r="F408" s="8" t="str">
        <f>IFERROR(E408/E444, "NA")</f>
        <v>NA</v>
      </c>
      <c r="G408" s="9"/>
      <c r="H408" s="10">
        <f t="shared" si="100"/>
        <v>0</v>
      </c>
      <c r="I408" s="8" t="str">
        <f>IFERROR(H408/H444, "NA")</f>
        <v>NA</v>
      </c>
      <c r="J408" s="9"/>
      <c r="K408" s="7">
        <v>0</v>
      </c>
      <c r="L408" s="8" t="str">
        <f>IFERROR(K408/K444, "NA")</f>
        <v>NA</v>
      </c>
      <c r="M408" s="9"/>
      <c r="N408" s="10">
        <f t="shared" si="101"/>
        <v>0</v>
      </c>
      <c r="O408" s="8" t="str">
        <f>IFERROR(N408/N444, "NA")</f>
        <v>NA</v>
      </c>
      <c r="P408" s="9"/>
      <c r="Q408" s="7">
        <v>0</v>
      </c>
      <c r="R408" s="8" t="str">
        <f>IFERROR(Q408/Q444, "NA")</f>
        <v>NA</v>
      </c>
      <c r="S408" s="9"/>
      <c r="T408" s="7">
        <v>0</v>
      </c>
      <c r="U408" s="8" t="str">
        <f>IFERROR(T408/T444, "NA")</f>
        <v>NA</v>
      </c>
      <c r="V408" s="9"/>
      <c r="W408" s="10">
        <f t="shared" si="102"/>
        <v>0</v>
      </c>
      <c r="X408" s="8" t="str">
        <f>IFERROR(W408/W444, "NA")</f>
        <v>NA</v>
      </c>
      <c r="Y408" s="9"/>
      <c r="Z408" s="7">
        <v>0</v>
      </c>
      <c r="AA408" s="8" t="str">
        <f>IFERROR(Z408/Z444, "NA")</f>
        <v>NA</v>
      </c>
      <c r="AB408" s="9"/>
      <c r="AC408" s="10">
        <f t="shared" si="103"/>
        <v>0</v>
      </c>
      <c r="AD408" s="8" t="str">
        <f>IFERROR(AC408/AC444, "NA")</f>
        <v>NA</v>
      </c>
    </row>
    <row r="409" spans="1:30" ht="16.5" hidden="1" customHeight="1" x14ac:dyDescent="0.45">
      <c r="A409" s="6" t="s">
        <v>374</v>
      </c>
      <c r="B409" s="7">
        <v>0</v>
      </c>
      <c r="C409" s="8" t="str">
        <f>IFERROR(B409/B444, "NA")</f>
        <v>NA</v>
      </c>
      <c r="D409" s="9"/>
      <c r="E409" s="7">
        <v>0</v>
      </c>
      <c r="F409" s="8" t="str">
        <f>IFERROR(E409/E444, "NA")</f>
        <v>NA</v>
      </c>
      <c r="G409" s="9"/>
      <c r="H409" s="10">
        <f t="shared" si="100"/>
        <v>0</v>
      </c>
      <c r="I409" s="8" t="str">
        <f>IFERROR(H409/H444, "NA")</f>
        <v>NA</v>
      </c>
      <c r="J409" s="9"/>
      <c r="K409" s="7">
        <v>0</v>
      </c>
      <c r="L409" s="8" t="str">
        <f>IFERROR(K409/K444, "NA")</f>
        <v>NA</v>
      </c>
      <c r="M409" s="9"/>
      <c r="N409" s="10">
        <f t="shared" si="101"/>
        <v>0</v>
      </c>
      <c r="O409" s="8" t="str">
        <f>IFERROR(N409/N444, "NA")</f>
        <v>NA</v>
      </c>
      <c r="P409" s="9"/>
      <c r="Q409" s="7">
        <v>0</v>
      </c>
      <c r="R409" s="8" t="str">
        <f>IFERROR(Q409/Q444, "NA")</f>
        <v>NA</v>
      </c>
      <c r="S409" s="9"/>
      <c r="T409" s="7">
        <v>0</v>
      </c>
      <c r="U409" s="8" t="str">
        <f>IFERROR(T409/T444, "NA")</f>
        <v>NA</v>
      </c>
      <c r="V409" s="9"/>
      <c r="W409" s="10">
        <f t="shared" si="102"/>
        <v>0</v>
      </c>
      <c r="X409" s="8" t="str">
        <f>IFERROR(W409/W444, "NA")</f>
        <v>NA</v>
      </c>
      <c r="Y409" s="9"/>
      <c r="Z409" s="7">
        <v>0</v>
      </c>
      <c r="AA409" s="8" t="str">
        <f>IFERROR(Z409/Z444, "NA")</f>
        <v>NA</v>
      </c>
      <c r="AB409" s="9"/>
      <c r="AC409" s="10">
        <f t="shared" si="103"/>
        <v>0</v>
      </c>
      <c r="AD409" s="8" t="str">
        <f>IFERROR(AC409/AC444, "NA")</f>
        <v>NA</v>
      </c>
    </row>
    <row r="410" spans="1:30" ht="16.5" customHeight="1" x14ac:dyDescent="0.45">
      <c r="A410" s="6" t="s">
        <v>375</v>
      </c>
      <c r="B410" s="7">
        <v>59.7</v>
      </c>
      <c r="C410" s="8" t="str">
        <f>IFERROR(B410/B444, "NA")</f>
        <v>NA</v>
      </c>
      <c r="D410" s="9"/>
      <c r="E410" s="7">
        <v>0</v>
      </c>
      <c r="F410" s="8" t="str">
        <f>IFERROR(E410/E444, "NA")</f>
        <v>NA</v>
      </c>
      <c r="G410" s="9"/>
      <c r="H410" s="10">
        <f t="shared" si="100"/>
        <v>-59.7</v>
      </c>
      <c r="I410" s="8" t="str">
        <f>IFERROR(H410/H444, "NA")</f>
        <v>NA</v>
      </c>
      <c r="J410" s="9"/>
      <c r="K410" s="7">
        <v>184.89</v>
      </c>
      <c r="L410" s="8" t="str">
        <f>IFERROR(K410/K444, "NA")</f>
        <v>NA</v>
      </c>
      <c r="M410" s="9"/>
      <c r="N410" s="10">
        <f t="shared" si="101"/>
        <v>125.18999999999998</v>
      </c>
      <c r="O410" s="8" t="str">
        <f>IFERROR(N410/N444, "NA")</f>
        <v>NA</v>
      </c>
      <c r="P410" s="9"/>
      <c r="Q410" s="7">
        <v>363.99</v>
      </c>
      <c r="R410" s="8" t="str">
        <f>IFERROR(Q410/Q444, "NA")</f>
        <v>NA</v>
      </c>
      <c r="S410" s="9"/>
      <c r="T410" s="7">
        <v>0</v>
      </c>
      <c r="U410" s="8" t="str">
        <f>IFERROR(T410/T444, "NA")</f>
        <v>NA</v>
      </c>
      <c r="V410" s="9"/>
      <c r="W410" s="10">
        <f t="shared" si="102"/>
        <v>-363.99</v>
      </c>
      <c r="X410" s="8" t="str">
        <f>IFERROR(W410/W444, "NA")</f>
        <v>NA</v>
      </c>
      <c r="Y410" s="9"/>
      <c r="Z410" s="7">
        <v>739.56</v>
      </c>
      <c r="AA410" s="8" t="str">
        <f>IFERROR(Z410/Z444, "NA")</f>
        <v>NA</v>
      </c>
      <c r="AB410" s="9"/>
      <c r="AC410" s="10">
        <f t="shared" si="103"/>
        <v>375.56999999999994</v>
      </c>
      <c r="AD410" s="8" t="str">
        <f>IFERROR(AC410/AC444, "NA")</f>
        <v>NA</v>
      </c>
    </row>
    <row r="411" spans="1:30" ht="16.5" customHeight="1" x14ac:dyDescent="0.45">
      <c r="A411" s="6" t="s">
        <v>376</v>
      </c>
      <c r="B411" s="7">
        <v>268.37</v>
      </c>
      <c r="C411" s="8" t="str">
        <f>IFERROR(B411/B444, "NA")</f>
        <v>NA</v>
      </c>
      <c r="D411" s="9"/>
      <c r="E411" s="7">
        <v>0</v>
      </c>
      <c r="F411" s="8" t="str">
        <f>IFERROR(E411/E444, "NA")</f>
        <v>NA</v>
      </c>
      <c r="G411" s="9"/>
      <c r="H411" s="10">
        <f t="shared" si="100"/>
        <v>-268.37</v>
      </c>
      <c r="I411" s="8" t="str">
        <f>IFERROR(H411/H444, "NA")</f>
        <v>NA</v>
      </c>
      <c r="J411" s="9"/>
      <c r="K411" s="7">
        <v>0</v>
      </c>
      <c r="L411" s="8" t="str">
        <f>IFERROR(K411/K444, "NA")</f>
        <v>NA</v>
      </c>
      <c r="M411" s="9"/>
      <c r="N411" s="10">
        <f t="shared" si="101"/>
        <v>-268.37</v>
      </c>
      <c r="O411" s="8" t="str">
        <f>IFERROR(N411/N444, "NA")</f>
        <v>NA</v>
      </c>
      <c r="P411" s="9"/>
      <c r="Q411" s="7">
        <v>805.11</v>
      </c>
      <c r="R411" s="8" t="str">
        <f>IFERROR(Q411/Q444, "NA")</f>
        <v>NA</v>
      </c>
      <c r="S411" s="9"/>
      <c r="T411" s="7">
        <v>0</v>
      </c>
      <c r="U411" s="8" t="str">
        <f>IFERROR(T411/T444, "NA")</f>
        <v>NA</v>
      </c>
      <c r="V411" s="9"/>
      <c r="W411" s="10">
        <f t="shared" si="102"/>
        <v>-805.11</v>
      </c>
      <c r="X411" s="8" t="str">
        <f>IFERROR(W411/W444, "NA")</f>
        <v>NA</v>
      </c>
      <c r="Y411" s="9"/>
      <c r="Z411" s="7">
        <v>0</v>
      </c>
      <c r="AA411" s="8" t="str">
        <f>IFERROR(Z411/Z444, "NA")</f>
        <v>NA</v>
      </c>
      <c r="AB411" s="9"/>
      <c r="AC411" s="10">
        <f t="shared" si="103"/>
        <v>-805.11</v>
      </c>
      <c r="AD411" s="8" t="str">
        <f>IFERROR(AC411/AC444, "NA")</f>
        <v>NA</v>
      </c>
    </row>
    <row r="412" spans="1:30" ht="16.5" hidden="1" customHeight="1" x14ac:dyDescent="0.45">
      <c r="A412" s="6" t="s">
        <v>377</v>
      </c>
      <c r="B412" s="7">
        <v>0</v>
      </c>
      <c r="C412" s="8" t="str">
        <f>IFERROR(B412/B444, "NA")</f>
        <v>NA</v>
      </c>
      <c r="D412" s="9"/>
      <c r="E412" s="7">
        <v>0</v>
      </c>
      <c r="F412" s="8" t="str">
        <f>IFERROR(E412/E444, "NA")</f>
        <v>NA</v>
      </c>
      <c r="G412" s="9"/>
      <c r="H412" s="10">
        <f t="shared" si="100"/>
        <v>0</v>
      </c>
      <c r="I412" s="8" t="str">
        <f>IFERROR(H412/H444, "NA")</f>
        <v>NA</v>
      </c>
      <c r="J412" s="9"/>
      <c r="K412" s="7">
        <v>0</v>
      </c>
      <c r="L412" s="8" t="str">
        <f>IFERROR(K412/K444, "NA")</f>
        <v>NA</v>
      </c>
      <c r="M412" s="9"/>
      <c r="N412" s="10">
        <f t="shared" si="101"/>
        <v>0</v>
      </c>
      <c r="O412" s="8" t="str">
        <f>IFERROR(N412/N444, "NA")</f>
        <v>NA</v>
      </c>
      <c r="P412" s="9"/>
      <c r="Q412" s="7">
        <v>0</v>
      </c>
      <c r="R412" s="8" t="str">
        <f>IFERROR(Q412/Q444, "NA")</f>
        <v>NA</v>
      </c>
      <c r="S412" s="9"/>
      <c r="T412" s="7">
        <v>0</v>
      </c>
      <c r="U412" s="8" t="str">
        <f>IFERROR(T412/T444, "NA")</f>
        <v>NA</v>
      </c>
      <c r="V412" s="9"/>
      <c r="W412" s="10">
        <f t="shared" si="102"/>
        <v>0</v>
      </c>
      <c r="X412" s="8" t="str">
        <f>IFERROR(W412/W444, "NA")</f>
        <v>NA</v>
      </c>
      <c r="Y412" s="9"/>
      <c r="Z412" s="7">
        <v>0</v>
      </c>
      <c r="AA412" s="8" t="str">
        <f>IFERROR(Z412/Z444, "NA")</f>
        <v>NA</v>
      </c>
      <c r="AB412" s="9"/>
      <c r="AC412" s="10">
        <f t="shared" si="103"/>
        <v>0</v>
      </c>
      <c r="AD412" s="8" t="str">
        <f>IFERROR(AC412/AC444, "NA")</f>
        <v>NA</v>
      </c>
    </row>
    <row r="413" spans="1:30" ht="16.5" hidden="1" customHeight="1" x14ac:dyDescent="0.45">
      <c r="A413" s="6" t="s">
        <v>378</v>
      </c>
      <c r="B413" s="7">
        <v>0</v>
      </c>
      <c r="C413" s="8" t="str">
        <f>IFERROR(B413/B444, "NA")</f>
        <v>NA</v>
      </c>
      <c r="D413" s="9"/>
      <c r="E413" s="7">
        <v>0</v>
      </c>
      <c r="F413" s="8" t="str">
        <f>IFERROR(E413/E444, "NA")</f>
        <v>NA</v>
      </c>
      <c r="G413" s="9"/>
      <c r="H413" s="10">
        <f t="shared" si="100"/>
        <v>0</v>
      </c>
      <c r="I413" s="8" t="str">
        <f>IFERROR(H413/H444, "NA")</f>
        <v>NA</v>
      </c>
      <c r="J413" s="9"/>
      <c r="K413" s="7">
        <v>0</v>
      </c>
      <c r="L413" s="8" t="str">
        <f>IFERROR(K413/K444, "NA")</f>
        <v>NA</v>
      </c>
      <c r="M413" s="9"/>
      <c r="N413" s="10">
        <f t="shared" si="101"/>
        <v>0</v>
      </c>
      <c r="O413" s="8" t="str">
        <f>IFERROR(N413/N444, "NA")</f>
        <v>NA</v>
      </c>
      <c r="P413" s="9"/>
      <c r="Q413" s="7">
        <v>0</v>
      </c>
      <c r="R413" s="8" t="str">
        <f>IFERROR(Q413/Q444, "NA")</f>
        <v>NA</v>
      </c>
      <c r="S413" s="9"/>
      <c r="T413" s="7">
        <v>0</v>
      </c>
      <c r="U413" s="8" t="str">
        <f>IFERROR(T413/T444, "NA")</f>
        <v>NA</v>
      </c>
      <c r="V413" s="9"/>
      <c r="W413" s="10">
        <f t="shared" si="102"/>
        <v>0</v>
      </c>
      <c r="X413" s="8" t="str">
        <f>IFERROR(W413/W444, "NA")</f>
        <v>NA</v>
      </c>
      <c r="Y413" s="9"/>
      <c r="Z413" s="7">
        <v>0</v>
      </c>
      <c r="AA413" s="8" t="str">
        <f>IFERROR(Z413/Z444, "NA")</f>
        <v>NA</v>
      </c>
      <c r="AB413" s="9"/>
      <c r="AC413" s="10">
        <f t="shared" si="103"/>
        <v>0</v>
      </c>
      <c r="AD413" s="8" t="str">
        <f>IFERROR(AC413/AC444, "NA")</f>
        <v>NA</v>
      </c>
    </row>
    <row r="414" spans="1:30" ht="16.5" hidden="1" customHeight="1" x14ac:dyDescent="0.45">
      <c r="A414" s="6" t="s">
        <v>379</v>
      </c>
      <c r="B414" s="7">
        <v>0</v>
      </c>
      <c r="C414" s="8" t="str">
        <f>IFERROR(B414/B444, "NA")</f>
        <v>NA</v>
      </c>
      <c r="D414" s="9"/>
      <c r="E414" s="7">
        <v>0</v>
      </c>
      <c r="F414" s="8" t="str">
        <f>IFERROR(E414/E444, "NA")</f>
        <v>NA</v>
      </c>
      <c r="G414" s="9"/>
      <c r="H414" s="10">
        <f t="shared" si="100"/>
        <v>0</v>
      </c>
      <c r="I414" s="8" t="str">
        <f>IFERROR(H414/H444, "NA")</f>
        <v>NA</v>
      </c>
      <c r="J414" s="9"/>
      <c r="K414" s="7">
        <v>0</v>
      </c>
      <c r="L414" s="8" t="str">
        <f>IFERROR(K414/K444, "NA")</f>
        <v>NA</v>
      </c>
      <c r="M414" s="9"/>
      <c r="N414" s="10">
        <f t="shared" si="101"/>
        <v>0</v>
      </c>
      <c r="O414" s="8" t="str">
        <f>IFERROR(N414/N444, "NA")</f>
        <v>NA</v>
      </c>
      <c r="P414" s="9"/>
      <c r="Q414" s="7">
        <v>0</v>
      </c>
      <c r="R414" s="8" t="str">
        <f>IFERROR(Q414/Q444, "NA")</f>
        <v>NA</v>
      </c>
      <c r="S414" s="9"/>
      <c r="T414" s="7">
        <v>0</v>
      </c>
      <c r="U414" s="8" t="str">
        <f>IFERROR(T414/T444, "NA")</f>
        <v>NA</v>
      </c>
      <c r="V414" s="9"/>
      <c r="W414" s="10">
        <f t="shared" si="102"/>
        <v>0</v>
      </c>
      <c r="X414" s="8" t="str">
        <f>IFERROR(W414/W444, "NA")</f>
        <v>NA</v>
      </c>
      <c r="Y414" s="9"/>
      <c r="Z414" s="7">
        <v>0</v>
      </c>
      <c r="AA414" s="8" t="str">
        <f>IFERROR(Z414/Z444, "NA")</f>
        <v>NA</v>
      </c>
      <c r="AB414" s="9"/>
      <c r="AC414" s="10">
        <f t="shared" si="103"/>
        <v>0</v>
      </c>
      <c r="AD414" s="8" t="str">
        <f>IFERROR(AC414/AC444, "NA")</f>
        <v>NA</v>
      </c>
    </row>
    <row r="415" spans="1:30" ht="16.5" hidden="1" customHeight="1" x14ac:dyDescent="0.45">
      <c r="A415" s="6" t="s">
        <v>380</v>
      </c>
      <c r="B415" s="7">
        <v>0</v>
      </c>
      <c r="C415" s="8" t="str">
        <f>IFERROR(B415/B444, "NA")</f>
        <v>NA</v>
      </c>
      <c r="D415" s="9"/>
      <c r="E415" s="7">
        <v>0</v>
      </c>
      <c r="F415" s="8" t="str">
        <f>IFERROR(E415/E444, "NA")</f>
        <v>NA</v>
      </c>
      <c r="G415" s="9"/>
      <c r="H415" s="10">
        <f t="shared" si="100"/>
        <v>0</v>
      </c>
      <c r="I415" s="8" t="str">
        <f>IFERROR(H415/H444, "NA")</f>
        <v>NA</v>
      </c>
      <c r="J415" s="9"/>
      <c r="K415" s="7">
        <v>0</v>
      </c>
      <c r="L415" s="8" t="str">
        <f>IFERROR(K415/K444, "NA")</f>
        <v>NA</v>
      </c>
      <c r="M415" s="9"/>
      <c r="N415" s="10">
        <f t="shared" si="101"/>
        <v>0</v>
      </c>
      <c r="O415" s="8" t="str">
        <f>IFERROR(N415/N444, "NA")</f>
        <v>NA</v>
      </c>
      <c r="P415" s="9"/>
      <c r="Q415" s="7">
        <v>0</v>
      </c>
      <c r="R415" s="8" t="str">
        <f>IFERROR(Q415/Q444, "NA")</f>
        <v>NA</v>
      </c>
      <c r="S415" s="9"/>
      <c r="T415" s="7">
        <v>0</v>
      </c>
      <c r="U415" s="8" t="str">
        <f>IFERROR(T415/T444, "NA")</f>
        <v>NA</v>
      </c>
      <c r="V415" s="9"/>
      <c r="W415" s="10">
        <f t="shared" si="102"/>
        <v>0</v>
      </c>
      <c r="X415" s="8" t="str">
        <f>IFERROR(W415/W444, "NA")</f>
        <v>NA</v>
      </c>
      <c r="Y415" s="9"/>
      <c r="Z415" s="7">
        <v>0</v>
      </c>
      <c r="AA415" s="8" t="str">
        <f>IFERROR(Z415/Z444, "NA")</f>
        <v>NA</v>
      </c>
      <c r="AB415" s="9"/>
      <c r="AC415" s="10">
        <f t="shared" si="103"/>
        <v>0</v>
      </c>
      <c r="AD415" s="8" t="str">
        <f>IFERROR(AC415/AC444, "NA")</f>
        <v>NA</v>
      </c>
    </row>
    <row r="416" spans="1:30" ht="16.5" hidden="1" customHeight="1" x14ac:dyDescent="0.45">
      <c r="A416" s="6" t="s">
        <v>381</v>
      </c>
      <c r="B416" s="7">
        <v>0</v>
      </c>
      <c r="C416" s="8" t="str">
        <f>IFERROR(B416/B444, "NA")</f>
        <v>NA</v>
      </c>
      <c r="D416" s="9"/>
      <c r="E416" s="7">
        <v>0</v>
      </c>
      <c r="F416" s="8" t="str">
        <f>IFERROR(E416/E444, "NA")</f>
        <v>NA</v>
      </c>
      <c r="G416" s="9"/>
      <c r="H416" s="10">
        <f t="shared" si="100"/>
        <v>0</v>
      </c>
      <c r="I416" s="8" t="str">
        <f>IFERROR(H416/H444, "NA")</f>
        <v>NA</v>
      </c>
      <c r="J416" s="9"/>
      <c r="K416" s="7">
        <v>0</v>
      </c>
      <c r="L416" s="8" t="str">
        <f>IFERROR(K416/K444, "NA")</f>
        <v>NA</v>
      </c>
      <c r="M416" s="9"/>
      <c r="N416" s="10">
        <f t="shared" si="101"/>
        <v>0</v>
      </c>
      <c r="O416" s="8" t="str">
        <f>IFERROR(N416/N444, "NA")</f>
        <v>NA</v>
      </c>
      <c r="P416" s="9"/>
      <c r="Q416" s="7">
        <v>0</v>
      </c>
      <c r="R416" s="8" t="str">
        <f>IFERROR(Q416/Q444, "NA")</f>
        <v>NA</v>
      </c>
      <c r="S416" s="9"/>
      <c r="T416" s="7">
        <v>0</v>
      </c>
      <c r="U416" s="8" t="str">
        <f>IFERROR(T416/T444, "NA")</f>
        <v>NA</v>
      </c>
      <c r="V416" s="9"/>
      <c r="W416" s="10">
        <f t="shared" si="102"/>
        <v>0</v>
      </c>
      <c r="X416" s="8" t="str">
        <f>IFERROR(W416/W444, "NA")</f>
        <v>NA</v>
      </c>
      <c r="Y416" s="9"/>
      <c r="Z416" s="7">
        <v>0</v>
      </c>
      <c r="AA416" s="8" t="str">
        <f>IFERROR(Z416/Z444, "NA")</f>
        <v>NA</v>
      </c>
      <c r="AB416" s="9"/>
      <c r="AC416" s="10">
        <f t="shared" si="103"/>
        <v>0</v>
      </c>
      <c r="AD416" s="8" t="str">
        <f>IFERROR(AC416/AC444, "NA")</f>
        <v>NA</v>
      </c>
    </row>
    <row r="417" spans="1:30" ht="16.5" hidden="1" customHeight="1" x14ac:dyDescent="0.45">
      <c r="A417" s="6" t="s">
        <v>382</v>
      </c>
      <c r="B417" s="7">
        <v>0</v>
      </c>
      <c r="C417" s="8" t="str">
        <f>IFERROR(B417/B444, "NA")</f>
        <v>NA</v>
      </c>
      <c r="D417" s="9"/>
      <c r="E417" s="7">
        <v>0</v>
      </c>
      <c r="F417" s="8" t="str">
        <f>IFERROR(E417/E444, "NA")</f>
        <v>NA</v>
      </c>
      <c r="G417" s="9"/>
      <c r="H417" s="10">
        <f t="shared" si="100"/>
        <v>0</v>
      </c>
      <c r="I417" s="8" t="str">
        <f>IFERROR(H417/H444, "NA")</f>
        <v>NA</v>
      </c>
      <c r="J417" s="9"/>
      <c r="K417" s="7">
        <v>0</v>
      </c>
      <c r="L417" s="8" t="str">
        <f>IFERROR(K417/K444, "NA")</f>
        <v>NA</v>
      </c>
      <c r="M417" s="9"/>
      <c r="N417" s="10">
        <f t="shared" si="101"/>
        <v>0</v>
      </c>
      <c r="O417" s="8" t="str">
        <f>IFERROR(N417/N444, "NA")</f>
        <v>NA</v>
      </c>
      <c r="P417" s="9"/>
      <c r="Q417" s="7">
        <v>0</v>
      </c>
      <c r="R417" s="8" t="str">
        <f>IFERROR(Q417/Q444, "NA")</f>
        <v>NA</v>
      </c>
      <c r="S417" s="9"/>
      <c r="T417" s="7">
        <v>0</v>
      </c>
      <c r="U417" s="8" t="str">
        <f>IFERROR(T417/T444, "NA")</f>
        <v>NA</v>
      </c>
      <c r="V417" s="9"/>
      <c r="W417" s="10">
        <f t="shared" si="102"/>
        <v>0</v>
      </c>
      <c r="X417" s="8" t="str">
        <f>IFERROR(W417/W444, "NA")</f>
        <v>NA</v>
      </c>
      <c r="Y417" s="9"/>
      <c r="Z417" s="7">
        <v>0</v>
      </c>
      <c r="AA417" s="8" t="str">
        <f>IFERROR(Z417/Z444, "NA")</f>
        <v>NA</v>
      </c>
      <c r="AB417" s="9"/>
      <c r="AC417" s="10">
        <f t="shared" si="103"/>
        <v>0</v>
      </c>
      <c r="AD417" s="8" t="str">
        <f>IFERROR(AC417/AC444, "NA")</f>
        <v>NA</v>
      </c>
    </row>
    <row r="418" spans="1:30" ht="16.5" customHeight="1" x14ac:dyDescent="0.45">
      <c r="A418" s="6" t="s">
        <v>383</v>
      </c>
      <c r="B418" s="7">
        <v>0</v>
      </c>
      <c r="C418" s="8" t="str">
        <f>IFERROR(B418/B444, "NA")</f>
        <v>NA</v>
      </c>
      <c r="D418" s="9"/>
      <c r="E418" s="7">
        <v>0</v>
      </c>
      <c r="F418" s="8" t="str">
        <f>IFERROR(E418/E444, "NA")</f>
        <v>NA</v>
      </c>
      <c r="G418" s="9"/>
      <c r="H418" s="10">
        <f t="shared" si="100"/>
        <v>0</v>
      </c>
      <c r="I418" s="8" t="str">
        <f>IFERROR(H418/H444, "NA")</f>
        <v>NA</v>
      </c>
      <c r="J418" s="9"/>
      <c r="K418" s="7">
        <v>0</v>
      </c>
      <c r="L418" s="8" t="str">
        <f>IFERROR(K418/K444, "NA")</f>
        <v>NA</v>
      </c>
      <c r="M418" s="9"/>
      <c r="N418" s="10">
        <f t="shared" si="101"/>
        <v>0</v>
      </c>
      <c r="O418" s="8" t="str">
        <f>IFERROR(N418/N444, "NA")</f>
        <v>NA</v>
      </c>
      <c r="P418" s="9"/>
      <c r="Q418" s="7">
        <v>-1725.69</v>
      </c>
      <c r="R418" s="8" t="str">
        <f>IFERROR(Q418/Q444, "NA")</f>
        <v>NA</v>
      </c>
      <c r="S418" s="9"/>
      <c r="T418" s="7">
        <v>0</v>
      </c>
      <c r="U418" s="8" t="str">
        <f>IFERROR(T418/T444, "NA")</f>
        <v>NA</v>
      </c>
      <c r="V418" s="9"/>
      <c r="W418" s="10">
        <f t="shared" si="102"/>
        <v>1725.69</v>
      </c>
      <c r="X418" s="8" t="str">
        <f>IFERROR(W418/W444, "NA")</f>
        <v>NA</v>
      </c>
      <c r="Y418" s="9"/>
      <c r="Z418" s="7">
        <v>-2278.69</v>
      </c>
      <c r="AA418" s="8" t="str">
        <f>IFERROR(Z418/Z444, "NA")</f>
        <v>NA</v>
      </c>
      <c r="AB418" s="9"/>
      <c r="AC418" s="10">
        <f t="shared" si="103"/>
        <v>-553</v>
      </c>
      <c r="AD418" s="8" t="str">
        <f>IFERROR(AC418/AC444, "NA")</f>
        <v>NA</v>
      </c>
    </row>
    <row r="419" spans="1:30" ht="16.5" hidden="1" customHeight="1" x14ac:dyDescent="0.45">
      <c r="A419" s="6" t="s">
        <v>384</v>
      </c>
      <c r="B419" s="7">
        <v>0</v>
      </c>
      <c r="C419" s="8" t="str">
        <f>IFERROR(B419/B444, "NA")</f>
        <v>NA</v>
      </c>
      <c r="D419" s="9"/>
      <c r="E419" s="7">
        <v>0</v>
      </c>
      <c r="F419" s="8" t="str">
        <f>IFERROR(E419/E444, "NA")</f>
        <v>NA</v>
      </c>
      <c r="G419" s="9"/>
      <c r="H419" s="10">
        <f t="shared" si="100"/>
        <v>0</v>
      </c>
      <c r="I419" s="8" t="str">
        <f>IFERROR(H419/H444, "NA")</f>
        <v>NA</v>
      </c>
      <c r="J419" s="9"/>
      <c r="K419" s="7">
        <v>0</v>
      </c>
      <c r="L419" s="8" t="str">
        <f>IFERROR(K419/K444, "NA")</f>
        <v>NA</v>
      </c>
      <c r="M419" s="9"/>
      <c r="N419" s="10">
        <f t="shared" si="101"/>
        <v>0</v>
      </c>
      <c r="O419" s="8" t="str">
        <f>IFERROR(N419/N444, "NA")</f>
        <v>NA</v>
      </c>
      <c r="P419" s="9"/>
      <c r="Q419" s="7">
        <v>0</v>
      </c>
      <c r="R419" s="8" t="str">
        <f>IFERROR(Q419/Q444, "NA")</f>
        <v>NA</v>
      </c>
      <c r="S419" s="9"/>
      <c r="T419" s="7">
        <v>0</v>
      </c>
      <c r="U419" s="8" t="str">
        <f>IFERROR(T419/T444, "NA")</f>
        <v>NA</v>
      </c>
      <c r="V419" s="9"/>
      <c r="W419" s="10">
        <f t="shared" si="102"/>
        <v>0</v>
      </c>
      <c r="X419" s="8" t="str">
        <f>IFERROR(W419/W444, "NA")</f>
        <v>NA</v>
      </c>
      <c r="Y419" s="9"/>
      <c r="Z419" s="7">
        <v>0</v>
      </c>
      <c r="AA419" s="8" t="str">
        <f>IFERROR(Z419/Z444, "NA")</f>
        <v>NA</v>
      </c>
      <c r="AB419" s="9"/>
      <c r="AC419" s="10">
        <f t="shared" si="103"/>
        <v>0</v>
      </c>
      <c r="AD419" s="8" t="str">
        <f>IFERROR(AC419/AC444, "NA")</f>
        <v>NA</v>
      </c>
    </row>
    <row r="420" spans="1:30" ht="16.5" hidden="1" customHeight="1" x14ac:dyDescent="0.45">
      <c r="A420" s="6" t="s">
        <v>385</v>
      </c>
      <c r="B420" s="7">
        <v>0</v>
      </c>
      <c r="C420" s="8" t="str">
        <f>IFERROR(B420/B444, "NA")</f>
        <v>NA</v>
      </c>
      <c r="D420" s="9"/>
      <c r="E420" s="7">
        <v>0</v>
      </c>
      <c r="F420" s="8" t="str">
        <f>IFERROR(E420/E444, "NA")</f>
        <v>NA</v>
      </c>
      <c r="G420" s="9"/>
      <c r="H420" s="10">
        <f t="shared" si="100"/>
        <v>0</v>
      </c>
      <c r="I420" s="8" t="str">
        <f>IFERROR(H420/H444, "NA")</f>
        <v>NA</v>
      </c>
      <c r="J420" s="9"/>
      <c r="K420" s="7">
        <v>0</v>
      </c>
      <c r="L420" s="8" t="str">
        <f>IFERROR(K420/K444, "NA")</f>
        <v>NA</v>
      </c>
      <c r="M420" s="9"/>
      <c r="N420" s="10">
        <f t="shared" si="101"/>
        <v>0</v>
      </c>
      <c r="O420" s="8" t="str">
        <f>IFERROR(N420/N444, "NA")</f>
        <v>NA</v>
      </c>
      <c r="P420" s="9"/>
      <c r="Q420" s="7">
        <v>0</v>
      </c>
      <c r="R420" s="8" t="str">
        <f>IFERROR(Q420/Q444, "NA")</f>
        <v>NA</v>
      </c>
      <c r="S420" s="9"/>
      <c r="T420" s="7">
        <v>0</v>
      </c>
      <c r="U420" s="8" t="str">
        <f>IFERROR(T420/T444, "NA")</f>
        <v>NA</v>
      </c>
      <c r="V420" s="9"/>
      <c r="W420" s="10">
        <f t="shared" si="102"/>
        <v>0</v>
      </c>
      <c r="X420" s="8" t="str">
        <f>IFERROR(W420/W444, "NA")</f>
        <v>NA</v>
      </c>
      <c r="Y420" s="9"/>
      <c r="Z420" s="7">
        <v>0</v>
      </c>
      <c r="AA420" s="8" t="str">
        <f>IFERROR(Z420/Z444, "NA")</f>
        <v>NA</v>
      </c>
      <c r="AB420" s="9"/>
      <c r="AC420" s="10">
        <f t="shared" si="103"/>
        <v>0</v>
      </c>
      <c r="AD420" s="8" t="str">
        <f>IFERROR(AC420/AC444, "NA")</f>
        <v>NA</v>
      </c>
    </row>
    <row r="421" spans="1:30" ht="16.5" hidden="1" customHeight="1" x14ac:dyDescent="0.45">
      <c r="A421" s="6" t="s">
        <v>386</v>
      </c>
      <c r="B421" s="7">
        <v>0</v>
      </c>
      <c r="C421" s="8" t="str">
        <f>IFERROR(B421/B444, "NA")</f>
        <v>NA</v>
      </c>
      <c r="D421" s="9"/>
      <c r="E421" s="7">
        <v>0</v>
      </c>
      <c r="F421" s="8" t="str">
        <f>IFERROR(E421/E444, "NA")</f>
        <v>NA</v>
      </c>
      <c r="G421" s="9"/>
      <c r="H421" s="10">
        <f t="shared" si="100"/>
        <v>0</v>
      </c>
      <c r="I421" s="8" t="str">
        <f>IFERROR(H421/H444, "NA")</f>
        <v>NA</v>
      </c>
      <c r="J421" s="9"/>
      <c r="K421" s="7">
        <v>0</v>
      </c>
      <c r="L421" s="8" t="str">
        <f>IFERROR(K421/K444, "NA")</f>
        <v>NA</v>
      </c>
      <c r="M421" s="9"/>
      <c r="N421" s="10">
        <f t="shared" si="101"/>
        <v>0</v>
      </c>
      <c r="O421" s="8" t="str">
        <f>IFERROR(N421/N444, "NA")</f>
        <v>NA</v>
      </c>
      <c r="P421" s="9"/>
      <c r="Q421" s="7">
        <v>0</v>
      </c>
      <c r="R421" s="8" t="str">
        <f>IFERROR(Q421/Q444, "NA")</f>
        <v>NA</v>
      </c>
      <c r="S421" s="9"/>
      <c r="T421" s="7">
        <v>0</v>
      </c>
      <c r="U421" s="8" t="str">
        <f>IFERROR(T421/T444, "NA")</f>
        <v>NA</v>
      </c>
      <c r="V421" s="9"/>
      <c r="W421" s="10">
        <f t="shared" si="102"/>
        <v>0</v>
      </c>
      <c r="X421" s="8" t="str">
        <f>IFERROR(W421/W444, "NA")</f>
        <v>NA</v>
      </c>
      <c r="Y421" s="9"/>
      <c r="Z421" s="7">
        <v>0</v>
      </c>
      <c r="AA421" s="8" t="str">
        <f>IFERROR(Z421/Z444, "NA")</f>
        <v>NA</v>
      </c>
      <c r="AB421" s="9"/>
      <c r="AC421" s="10">
        <f t="shared" si="103"/>
        <v>0</v>
      </c>
      <c r="AD421" s="8" t="str">
        <f>IFERROR(AC421/AC444, "NA")</f>
        <v>NA</v>
      </c>
    </row>
    <row r="422" spans="1:30" ht="16.5" hidden="1" customHeight="1" x14ac:dyDescent="0.45">
      <c r="A422" s="6" t="s">
        <v>387</v>
      </c>
      <c r="B422" s="7">
        <v>0</v>
      </c>
      <c r="C422" s="8" t="str">
        <f>IFERROR(B422/B444, "NA")</f>
        <v>NA</v>
      </c>
      <c r="D422" s="9"/>
      <c r="E422" s="7">
        <v>0</v>
      </c>
      <c r="F422" s="8" t="str">
        <f>IFERROR(E422/E444, "NA")</f>
        <v>NA</v>
      </c>
      <c r="G422" s="9"/>
      <c r="H422" s="10">
        <f t="shared" si="100"/>
        <v>0</v>
      </c>
      <c r="I422" s="8" t="str">
        <f>IFERROR(H422/H444, "NA")</f>
        <v>NA</v>
      </c>
      <c r="J422" s="9"/>
      <c r="K422" s="7">
        <v>0</v>
      </c>
      <c r="L422" s="8" t="str">
        <f>IFERROR(K422/K444, "NA")</f>
        <v>NA</v>
      </c>
      <c r="M422" s="9"/>
      <c r="N422" s="10">
        <f t="shared" si="101"/>
        <v>0</v>
      </c>
      <c r="O422" s="8" t="str">
        <f>IFERROR(N422/N444, "NA")</f>
        <v>NA</v>
      </c>
      <c r="P422" s="9"/>
      <c r="Q422" s="7">
        <v>0</v>
      </c>
      <c r="R422" s="8" t="str">
        <f>IFERROR(Q422/Q444, "NA")</f>
        <v>NA</v>
      </c>
      <c r="S422" s="9"/>
      <c r="T422" s="7">
        <v>0</v>
      </c>
      <c r="U422" s="8" t="str">
        <f>IFERROR(T422/T444, "NA")</f>
        <v>NA</v>
      </c>
      <c r="V422" s="9"/>
      <c r="W422" s="10">
        <f t="shared" si="102"/>
        <v>0</v>
      </c>
      <c r="X422" s="8" t="str">
        <f>IFERROR(W422/W444, "NA")</f>
        <v>NA</v>
      </c>
      <c r="Y422" s="9"/>
      <c r="Z422" s="7">
        <v>0</v>
      </c>
      <c r="AA422" s="8" t="str">
        <f>IFERROR(Z422/Z444, "NA")</f>
        <v>NA</v>
      </c>
      <c r="AB422" s="9"/>
      <c r="AC422" s="10">
        <f t="shared" si="103"/>
        <v>0</v>
      </c>
      <c r="AD422" s="8" t="str">
        <f>IFERROR(AC422/AC444, "NA")</f>
        <v>NA</v>
      </c>
    </row>
    <row r="423" spans="1:30" ht="16.5" customHeight="1" x14ac:dyDescent="0.45">
      <c r="A423" s="6" t="s">
        <v>388</v>
      </c>
      <c r="B423" s="7">
        <v>-2.85</v>
      </c>
      <c r="C423" s="8" t="str">
        <f>IFERROR(B423/B444, "NA")</f>
        <v>NA</v>
      </c>
      <c r="D423" s="9"/>
      <c r="E423" s="7">
        <v>0</v>
      </c>
      <c r="F423" s="8" t="str">
        <f>IFERROR(E423/E444, "NA")</f>
        <v>NA</v>
      </c>
      <c r="G423" s="9"/>
      <c r="H423" s="10">
        <f t="shared" si="100"/>
        <v>2.85</v>
      </c>
      <c r="I423" s="8" t="str">
        <f>IFERROR(H423/H444, "NA")</f>
        <v>NA</v>
      </c>
      <c r="J423" s="9"/>
      <c r="K423" s="7">
        <v>0</v>
      </c>
      <c r="L423" s="8" t="str">
        <f>IFERROR(K423/K444, "NA")</f>
        <v>NA</v>
      </c>
      <c r="M423" s="9"/>
      <c r="N423" s="10">
        <f t="shared" si="101"/>
        <v>2.85</v>
      </c>
      <c r="O423" s="8" t="str">
        <f>IFERROR(N423/N444, "NA")</f>
        <v>NA</v>
      </c>
      <c r="P423" s="9"/>
      <c r="Q423" s="7">
        <v>-3.84</v>
      </c>
      <c r="R423" s="8" t="str">
        <f>IFERROR(Q423/Q444, "NA")</f>
        <v>NA</v>
      </c>
      <c r="S423" s="9"/>
      <c r="T423" s="7">
        <v>0</v>
      </c>
      <c r="U423" s="8" t="str">
        <f>IFERROR(T423/T444, "NA")</f>
        <v>NA</v>
      </c>
      <c r="V423" s="9"/>
      <c r="W423" s="10">
        <f t="shared" si="102"/>
        <v>3.84</v>
      </c>
      <c r="X423" s="8" t="str">
        <f>IFERROR(W423/W444, "NA")</f>
        <v>NA</v>
      </c>
      <c r="Y423" s="9"/>
      <c r="Z423" s="7">
        <v>0</v>
      </c>
      <c r="AA423" s="8" t="str">
        <f>IFERROR(Z423/Z444, "NA")</f>
        <v>NA</v>
      </c>
      <c r="AB423" s="9"/>
      <c r="AC423" s="10">
        <f t="shared" si="103"/>
        <v>3.84</v>
      </c>
      <c r="AD423" s="8" t="str">
        <f>IFERROR(AC423/AC444, "NA")</f>
        <v>NA</v>
      </c>
    </row>
    <row r="424" spans="1:30" ht="16.5" hidden="1" customHeight="1" x14ac:dyDescent="0.45">
      <c r="A424" s="6" t="s">
        <v>389</v>
      </c>
      <c r="B424" s="7">
        <v>0</v>
      </c>
      <c r="C424" s="8" t="str">
        <f>IFERROR(B424/B444, "NA")</f>
        <v>NA</v>
      </c>
      <c r="D424" s="9"/>
      <c r="E424" s="7">
        <v>0</v>
      </c>
      <c r="F424" s="8" t="str">
        <f>IFERROR(E424/E444, "NA")</f>
        <v>NA</v>
      </c>
      <c r="G424" s="9"/>
      <c r="H424" s="10">
        <f t="shared" si="100"/>
        <v>0</v>
      </c>
      <c r="I424" s="8" t="str">
        <f>IFERROR(H424/H444, "NA")</f>
        <v>NA</v>
      </c>
      <c r="J424" s="9"/>
      <c r="K424" s="7">
        <v>0</v>
      </c>
      <c r="L424" s="8" t="str">
        <f>IFERROR(K424/K444, "NA")</f>
        <v>NA</v>
      </c>
      <c r="M424" s="9"/>
      <c r="N424" s="10">
        <f t="shared" si="101"/>
        <v>0</v>
      </c>
      <c r="O424" s="8" t="str">
        <f>IFERROR(N424/N444, "NA")</f>
        <v>NA</v>
      </c>
      <c r="P424" s="9"/>
      <c r="Q424" s="7">
        <v>0</v>
      </c>
      <c r="R424" s="8" t="str">
        <f>IFERROR(Q424/Q444, "NA")</f>
        <v>NA</v>
      </c>
      <c r="S424" s="9"/>
      <c r="T424" s="7">
        <v>0</v>
      </c>
      <c r="U424" s="8" t="str">
        <f>IFERROR(T424/T444, "NA")</f>
        <v>NA</v>
      </c>
      <c r="V424" s="9"/>
      <c r="W424" s="10">
        <f t="shared" si="102"/>
        <v>0</v>
      </c>
      <c r="X424" s="8" t="str">
        <f>IFERROR(W424/W444, "NA")</f>
        <v>NA</v>
      </c>
      <c r="Y424" s="9"/>
      <c r="Z424" s="7">
        <v>0</v>
      </c>
      <c r="AA424" s="8" t="str">
        <f>IFERROR(Z424/Z444, "NA")</f>
        <v>NA</v>
      </c>
      <c r="AB424" s="9"/>
      <c r="AC424" s="10">
        <f t="shared" si="103"/>
        <v>0</v>
      </c>
      <c r="AD424" s="8" t="str">
        <f>IFERROR(AC424/AC444, "NA")</f>
        <v>NA</v>
      </c>
    </row>
    <row r="425" spans="1:30" ht="16.5" hidden="1" customHeight="1" x14ac:dyDescent="0.45">
      <c r="A425" s="6" t="s">
        <v>390</v>
      </c>
      <c r="B425" s="7">
        <v>0</v>
      </c>
      <c r="C425" s="8" t="str">
        <f>IFERROR(B425/B444, "NA")</f>
        <v>NA</v>
      </c>
      <c r="D425" s="9"/>
      <c r="E425" s="7">
        <v>0</v>
      </c>
      <c r="F425" s="8" t="str">
        <f>IFERROR(E425/E444, "NA")</f>
        <v>NA</v>
      </c>
      <c r="G425" s="9"/>
      <c r="H425" s="10">
        <f t="shared" si="100"/>
        <v>0</v>
      </c>
      <c r="I425" s="8" t="str">
        <f>IFERROR(H425/H444, "NA")</f>
        <v>NA</v>
      </c>
      <c r="J425" s="9"/>
      <c r="K425" s="7">
        <v>0</v>
      </c>
      <c r="L425" s="8" t="str">
        <f>IFERROR(K425/K444, "NA")</f>
        <v>NA</v>
      </c>
      <c r="M425" s="9"/>
      <c r="N425" s="10">
        <f t="shared" si="101"/>
        <v>0</v>
      </c>
      <c r="O425" s="8" t="str">
        <f>IFERROR(N425/N444, "NA")</f>
        <v>NA</v>
      </c>
      <c r="P425" s="9"/>
      <c r="Q425" s="7">
        <v>0</v>
      </c>
      <c r="R425" s="8" t="str">
        <f>IFERROR(Q425/Q444, "NA")</f>
        <v>NA</v>
      </c>
      <c r="S425" s="9"/>
      <c r="T425" s="7">
        <v>0</v>
      </c>
      <c r="U425" s="8" t="str">
        <f>IFERROR(T425/T444, "NA")</f>
        <v>NA</v>
      </c>
      <c r="V425" s="9"/>
      <c r="W425" s="10">
        <f t="shared" si="102"/>
        <v>0</v>
      </c>
      <c r="X425" s="8" t="str">
        <f>IFERROR(W425/W444, "NA")</f>
        <v>NA</v>
      </c>
      <c r="Y425" s="9"/>
      <c r="Z425" s="7">
        <v>0</v>
      </c>
      <c r="AA425" s="8" t="str">
        <f>IFERROR(Z425/Z444, "NA")</f>
        <v>NA</v>
      </c>
      <c r="AB425" s="9"/>
      <c r="AC425" s="10">
        <f t="shared" si="103"/>
        <v>0</v>
      </c>
      <c r="AD425" s="8" t="str">
        <f>IFERROR(AC425/AC444, "NA")</f>
        <v>NA</v>
      </c>
    </row>
    <row r="426" spans="1:30" ht="16.5" customHeight="1" x14ac:dyDescent="0.45">
      <c r="A426" s="6" t="s">
        <v>391</v>
      </c>
      <c r="B426" s="7">
        <v>-16931.27</v>
      </c>
      <c r="C426" s="8" t="str">
        <f>IFERROR(B426/B444, "NA")</f>
        <v>NA</v>
      </c>
      <c r="D426" s="9"/>
      <c r="E426" s="7">
        <v>0</v>
      </c>
      <c r="F426" s="8" t="str">
        <f>IFERROR(E426/E444, "NA")</f>
        <v>NA</v>
      </c>
      <c r="G426" s="9"/>
      <c r="H426" s="10">
        <f t="shared" si="100"/>
        <v>16931.27</v>
      </c>
      <c r="I426" s="8" t="str">
        <f>IFERROR(H426/H444, "NA")</f>
        <v>NA</v>
      </c>
      <c r="J426" s="9"/>
      <c r="K426" s="7">
        <v>0</v>
      </c>
      <c r="L426" s="8" t="str">
        <f>IFERROR(K426/K444, "NA")</f>
        <v>NA</v>
      </c>
      <c r="M426" s="9"/>
      <c r="N426" s="10">
        <f t="shared" si="101"/>
        <v>16931.27</v>
      </c>
      <c r="O426" s="8" t="str">
        <f>IFERROR(N426/N444, "NA")</f>
        <v>NA</v>
      </c>
      <c r="P426" s="9"/>
      <c r="Q426" s="7">
        <v>-29415.07</v>
      </c>
      <c r="R426" s="8" t="str">
        <f>IFERROR(Q426/Q444, "NA")</f>
        <v>NA</v>
      </c>
      <c r="S426" s="9"/>
      <c r="T426" s="7">
        <v>0</v>
      </c>
      <c r="U426" s="8" t="str">
        <f>IFERROR(T426/T444, "NA")</f>
        <v>NA</v>
      </c>
      <c r="V426" s="9"/>
      <c r="W426" s="10">
        <f t="shared" si="102"/>
        <v>29415.07</v>
      </c>
      <c r="X426" s="8" t="str">
        <f>IFERROR(W426/W444, "NA")</f>
        <v>NA</v>
      </c>
      <c r="Y426" s="9"/>
      <c r="Z426" s="7">
        <v>-1456.88</v>
      </c>
      <c r="AA426" s="8" t="str">
        <f>IFERROR(Z426/Z444, "NA")</f>
        <v>NA</v>
      </c>
      <c r="AB426" s="9"/>
      <c r="AC426" s="10">
        <f t="shared" si="103"/>
        <v>27958.19</v>
      </c>
      <c r="AD426" s="8" t="str">
        <f>IFERROR(AC426/AC444, "NA")</f>
        <v>NA</v>
      </c>
    </row>
    <row r="427" spans="1:30" ht="16.5" hidden="1" customHeight="1" x14ac:dyDescent="0.45">
      <c r="A427" s="6" t="s">
        <v>392</v>
      </c>
      <c r="B427" s="7">
        <v>0</v>
      </c>
      <c r="C427" s="8" t="str">
        <f>IFERROR(B427/B444, "NA")</f>
        <v>NA</v>
      </c>
      <c r="D427" s="9"/>
      <c r="E427" s="7">
        <v>0</v>
      </c>
      <c r="F427" s="8" t="str">
        <f>IFERROR(E427/E444, "NA")</f>
        <v>NA</v>
      </c>
      <c r="G427" s="9"/>
      <c r="H427" s="10">
        <f t="shared" si="100"/>
        <v>0</v>
      </c>
      <c r="I427" s="8" t="str">
        <f>IFERROR(H427/H444, "NA")</f>
        <v>NA</v>
      </c>
      <c r="J427" s="9"/>
      <c r="K427" s="7">
        <v>0</v>
      </c>
      <c r="L427" s="8" t="str">
        <f>IFERROR(K427/K444, "NA")</f>
        <v>NA</v>
      </c>
      <c r="M427" s="9"/>
      <c r="N427" s="10">
        <f t="shared" si="101"/>
        <v>0</v>
      </c>
      <c r="O427" s="8" t="str">
        <f>IFERROR(N427/N444, "NA")</f>
        <v>NA</v>
      </c>
      <c r="P427" s="9"/>
      <c r="Q427" s="7">
        <v>0</v>
      </c>
      <c r="R427" s="8" t="str">
        <f>IFERROR(Q427/Q444, "NA")</f>
        <v>NA</v>
      </c>
      <c r="S427" s="9"/>
      <c r="T427" s="7">
        <v>0</v>
      </c>
      <c r="U427" s="8" t="str">
        <f>IFERROR(T427/T444, "NA")</f>
        <v>NA</v>
      </c>
      <c r="V427" s="9"/>
      <c r="W427" s="10">
        <f t="shared" si="102"/>
        <v>0</v>
      </c>
      <c r="X427" s="8" t="str">
        <f>IFERROR(W427/W444, "NA")</f>
        <v>NA</v>
      </c>
      <c r="Y427" s="9"/>
      <c r="Z427" s="7">
        <v>0</v>
      </c>
      <c r="AA427" s="8" t="str">
        <f>IFERROR(Z427/Z444, "NA")</f>
        <v>NA</v>
      </c>
      <c r="AB427" s="9"/>
      <c r="AC427" s="10">
        <f t="shared" si="103"/>
        <v>0</v>
      </c>
      <c r="AD427" s="8" t="str">
        <f>IFERROR(AC427/AC444, "NA")</f>
        <v>NA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-16606.05</v>
      </c>
      <c r="C428" s="15" t="str">
        <f>IFERROR(B428/B444, "NA")</f>
        <v>NA</v>
      </c>
      <c r="D428" s="2"/>
      <c r="E428" s="14">
        <f>IFERROR(E407+E408+E409+E410+E411+E412+E413+E414+E415+E416+E417+E418+E419+E420+E421+E422+E423+E424+E425+E426+E427, "NA")</f>
        <v>0</v>
      </c>
      <c r="F428" s="15" t="str">
        <f>IFERROR(E428/E444, "NA")</f>
        <v>NA</v>
      </c>
      <c r="G428" s="2"/>
      <c r="H428" s="14">
        <f t="shared" si="100"/>
        <v>16606.05</v>
      </c>
      <c r="I428" s="15" t="str">
        <f>IFERROR(H428/H444, "NA")</f>
        <v>NA</v>
      </c>
      <c r="J428" s="2"/>
      <c r="K428" s="14">
        <f>IFERROR(K407+K408+K409+K410+K411+K412+K413+K414+K415+K416+K417+K418+K419+K420+K421+K422+K423+K424+K425+K426+K427, "NA")</f>
        <v>184.89</v>
      </c>
      <c r="L428" s="15" t="str">
        <f>IFERROR(K428/K444, "NA")</f>
        <v>NA</v>
      </c>
      <c r="M428" s="2"/>
      <c r="N428" s="14">
        <f t="shared" si="101"/>
        <v>16790.939999999999</v>
      </c>
      <c r="O428" s="15" t="str">
        <f>IFERROR(N428/N444, "NA")</f>
        <v>NA</v>
      </c>
      <c r="P428" s="2"/>
      <c r="Q428" s="14">
        <f>IFERROR(Q407+Q408+Q409+Q410+Q411+Q412+Q413+Q414+Q415+Q416+Q417+Q418+Q419+Q420+Q421+Q422+Q423+Q424+Q425+Q426+Q427, "NA")</f>
        <v>-29975.5</v>
      </c>
      <c r="R428" s="15" t="str">
        <f>IFERROR(Q428/Q444, "NA")</f>
        <v>NA</v>
      </c>
      <c r="S428" s="2"/>
      <c r="T428" s="14">
        <f>IFERROR(T407+T408+T409+T410+T411+T412+T413+T414+T415+T416+T417+T418+T419+T420+T421+T422+T423+T424+T425+T426+T427, "NA")</f>
        <v>0</v>
      </c>
      <c r="U428" s="15" t="str">
        <f>IFERROR(T428/T444, "NA")</f>
        <v>NA</v>
      </c>
      <c r="V428" s="2"/>
      <c r="W428" s="14">
        <f t="shared" si="102"/>
        <v>29975.5</v>
      </c>
      <c r="X428" s="15" t="str">
        <f>IFERROR(W428/W444, "NA")</f>
        <v>NA</v>
      </c>
      <c r="Y428" s="2"/>
      <c r="Z428" s="14">
        <f>IFERROR(Z407+Z408+Z409+Z410+Z411+Z412+Z413+Z414+Z415+Z416+Z417+Z418+Z419+Z420+Z421+Z422+Z423+Z424+Z425+Z426+Z427, "NA")</f>
        <v>-2996.01</v>
      </c>
      <c r="AA428" s="15" t="str">
        <f>IFERROR(Z428/Z444, "NA")</f>
        <v>NA</v>
      </c>
      <c r="AB428" s="2"/>
      <c r="AC428" s="14">
        <f t="shared" si="103"/>
        <v>26979.489999999998</v>
      </c>
      <c r="AD428" s="15" t="str">
        <f>IFERROR(AC428/AC444, "NA")</f>
        <v>NA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-16606.05</v>
      </c>
      <c r="C429" s="15" t="str">
        <f>IFERROR(B429/B444, "NA")</f>
        <v>NA</v>
      </c>
      <c r="D429" s="2"/>
      <c r="E429" s="14">
        <f>IFERROR(E407+E408+E409+E410+E411+E412+E413+E414+E415+E416+E417+E418+E419+E420+E421+E422+E423+E424+E425+E426+E427, "NA")</f>
        <v>0</v>
      </c>
      <c r="F429" s="15" t="str">
        <f>IFERROR(E429/E444, "NA")</f>
        <v>NA</v>
      </c>
      <c r="G429" s="2"/>
      <c r="H429" s="14">
        <f t="shared" si="100"/>
        <v>16606.05</v>
      </c>
      <c r="I429" s="15" t="str">
        <f>IFERROR(H429/H444, "NA")</f>
        <v>NA</v>
      </c>
      <c r="J429" s="2"/>
      <c r="K429" s="14">
        <f>IFERROR(K407+K408+K409+K410+K411+K412+K413+K414+K415+K416+K417+K418+K419+K420+K421+K422+K423+K424+K425+K426+K427, "NA")</f>
        <v>184.89</v>
      </c>
      <c r="L429" s="15" t="str">
        <f>IFERROR(K429/K444, "NA")</f>
        <v>NA</v>
      </c>
      <c r="M429" s="2"/>
      <c r="N429" s="14">
        <f t="shared" si="101"/>
        <v>16790.939999999999</v>
      </c>
      <c r="O429" s="15" t="str">
        <f>IFERROR(N429/N444, "NA")</f>
        <v>NA</v>
      </c>
      <c r="P429" s="2"/>
      <c r="Q429" s="14">
        <f>IFERROR(Q407+Q408+Q409+Q410+Q411+Q412+Q413+Q414+Q415+Q416+Q417+Q418+Q419+Q420+Q421+Q422+Q423+Q424+Q425+Q426+Q427, "NA")</f>
        <v>-29975.5</v>
      </c>
      <c r="R429" s="15" t="str">
        <f>IFERROR(Q429/Q444, "NA")</f>
        <v>NA</v>
      </c>
      <c r="S429" s="2"/>
      <c r="T429" s="14">
        <f>IFERROR(T407+T408+T409+T410+T411+T412+T413+T414+T415+T416+T417+T418+T419+T420+T421+T422+T423+T424+T425+T426+T427, "NA")</f>
        <v>0</v>
      </c>
      <c r="U429" s="15" t="str">
        <f>IFERROR(T429/T444, "NA")</f>
        <v>NA</v>
      </c>
      <c r="V429" s="2"/>
      <c r="W429" s="14">
        <f t="shared" si="102"/>
        <v>29975.5</v>
      </c>
      <c r="X429" s="15" t="str">
        <f>IFERROR(W429/W444, "NA")</f>
        <v>NA</v>
      </c>
      <c r="Y429" s="2"/>
      <c r="Z429" s="14">
        <f>IFERROR(Z407+Z408+Z409+Z410+Z411+Z412+Z413+Z414+Z415+Z416+Z417+Z418+Z419+Z420+Z421+Z422+Z423+Z424+Z425+Z426+Z427, "NA")</f>
        <v>-2996.01</v>
      </c>
      <c r="AA429" s="15" t="str">
        <f>IFERROR(Z429/Z444, "NA")</f>
        <v>NA</v>
      </c>
      <c r="AB429" s="2"/>
      <c r="AC429" s="14">
        <f t="shared" si="103"/>
        <v>26979.489999999998</v>
      </c>
      <c r="AD429" s="15" t="str">
        <f>IFERROR(AC429/AC444, "NA")</f>
        <v>NA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 t="str">
        <f>IFERROR(B432/B444, "NA")</f>
        <v>NA</v>
      </c>
      <c r="D432" s="9"/>
      <c r="E432" s="7">
        <v>0</v>
      </c>
      <c r="F432" s="8" t="str">
        <f>IFERROR(E432/E444, "NA")</f>
        <v>NA</v>
      </c>
      <c r="G432" s="9"/>
      <c r="H432" s="10">
        <f t="shared" ref="H432:H442" si="104">IFERROR(-(B432-E432), "NA")</f>
        <v>0</v>
      </c>
      <c r="I432" s="8" t="str">
        <f>IFERROR(H432/H444, "NA")</f>
        <v>NA</v>
      </c>
      <c r="J432" s="9"/>
      <c r="K432" s="7">
        <v>0</v>
      </c>
      <c r="L432" s="8" t="str">
        <f>IFERROR(K432/K444, "NA")</f>
        <v>NA</v>
      </c>
      <c r="M432" s="9"/>
      <c r="N432" s="10">
        <f t="shared" ref="N432:N442" si="105">IFERROR(-(B432-K432), "NA")</f>
        <v>0</v>
      </c>
      <c r="O432" s="8" t="str">
        <f>IFERROR(N432/N444, "NA")</f>
        <v>NA</v>
      </c>
      <c r="P432" s="9"/>
      <c r="Q432" s="7">
        <v>0</v>
      </c>
      <c r="R432" s="8" t="str">
        <f>IFERROR(Q432/Q444, "NA")</f>
        <v>NA</v>
      </c>
      <c r="S432" s="9"/>
      <c r="T432" s="7">
        <v>0</v>
      </c>
      <c r="U432" s="8" t="str">
        <f>IFERROR(T432/T444, "NA")</f>
        <v>NA</v>
      </c>
      <c r="V432" s="9"/>
      <c r="W432" s="10">
        <f t="shared" ref="W432:W442" si="106">IFERROR(-(Q432-T432), "NA")</f>
        <v>0</v>
      </c>
      <c r="X432" s="8" t="str">
        <f>IFERROR(W432/W444, "NA")</f>
        <v>NA</v>
      </c>
      <c r="Y432" s="9"/>
      <c r="Z432" s="7">
        <v>0</v>
      </c>
      <c r="AA432" s="8" t="str">
        <f>IFERROR(Z432/Z444, "NA")</f>
        <v>NA</v>
      </c>
      <c r="AB432" s="9"/>
      <c r="AC432" s="10">
        <f t="shared" ref="AC432:AC442" si="107">IFERROR(-(Q432-Z432), "NA")</f>
        <v>0</v>
      </c>
      <c r="AD432" s="8" t="str">
        <f>IFERROR(AC432/AC444, "NA")</f>
        <v>NA</v>
      </c>
    </row>
    <row r="433" spans="1:30" ht="16.5" hidden="1" customHeight="1" x14ac:dyDescent="0.45">
      <c r="A433" s="6" t="s">
        <v>397</v>
      </c>
      <c r="B433" s="7">
        <v>0</v>
      </c>
      <c r="C433" s="8" t="str">
        <f>IFERROR(B433/B444, "NA")</f>
        <v>NA</v>
      </c>
      <c r="D433" s="9"/>
      <c r="E433" s="7">
        <v>0</v>
      </c>
      <c r="F433" s="8" t="str">
        <f>IFERROR(E433/E444, "NA")</f>
        <v>NA</v>
      </c>
      <c r="G433" s="9"/>
      <c r="H433" s="10">
        <f t="shared" si="104"/>
        <v>0</v>
      </c>
      <c r="I433" s="8" t="str">
        <f>IFERROR(H433/H444, "NA")</f>
        <v>NA</v>
      </c>
      <c r="J433" s="9"/>
      <c r="K433" s="7">
        <v>0</v>
      </c>
      <c r="L433" s="8" t="str">
        <f>IFERROR(K433/K444, "NA")</f>
        <v>NA</v>
      </c>
      <c r="M433" s="9"/>
      <c r="N433" s="10">
        <f t="shared" si="105"/>
        <v>0</v>
      </c>
      <c r="O433" s="8" t="str">
        <f>IFERROR(N433/N444, "NA")</f>
        <v>NA</v>
      </c>
      <c r="P433" s="9"/>
      <c r="Q433" s="7">
        <v>0</v>
      </c>
      <c r="R433" s="8" t="str">
        <f>IFERROR(Q433/Q444, "NA")</f>
        <v>NA</v>
      </c>
      <c r="S433" s="9"/>
      <c r="T433" s="7">
        <v>0</v>
      </c>
      <c r="U433" s="8" t="str">
        <f>IFERROR(T433/T444, "NA")</f>
        <v>NA</v>
      </c>
      <c r="V433" s="9"/>
      <c r="W433" s="10">
        <f t="shared" si="106"/>
        <v>0</v>
      </c>
      <c r="X433" s="8" t="str">
        <f>IFERROR(W433/W444, "NA")</f>
        <v>NA</v>
      </c>
      <c r="Y433" s="9"/>
      <c r="Z433" s="7">
        <v>0</v>
      </c>
      <c r="AA433" s="8" t="str">
        <f>IFERROR(Z433/Z444, "NA")</f>
        <v>NA</v>
      </c>
      <c r="AB433" s="9"/>
      <c r="AC433" s="10">
        <f t="shared" si="107"/>
        <v>0</v>
      </c>
      <c r="AD433" s="8" t="str">
        <f>IFERROR(AC433/AC444, "NA")</f>
        <v>NA</v>
      </c>
    </row>
    <row r="434" spans="1:30" ht="16.5" hidden="1" customHeight="1" x14ac:dyDescent="0.45">
      <c r="A434" s="6" t="s">
        <v>398</v>
      </c>
      <c r="B434" s="7">
        <v>0</v>
      </c>
      <c r="C434" s="8" t="str">
        <f>IFERROR(B434/B444, "NA")</f>
        <v>NA</v>
      </c>
      <c r="D434" s="9"/>
      <c r="E434" s="7">
        <v>0</v>
      </c>
      <c r="F434" s="8" t="str">
        <f>IFERROR(E434/E444, "NA")</f>
        <v>NA</v>
      </c>
      <c r="G434" s="9"/>
      <c r="H434" s="10">
        <f t="shared" si="104"/>
        <v>0</v>
      </c>
      <c r="I434" s="8" t="str">
        <f>IFERROR(H434/H444, "NA")</f>
        <v>NA</v>
      </c>
      <c r="J434" s="9"/>
      <c r="K434" s="7">
        <v>0</v>
      </c>
      <c r="L434" s="8" t="str">
        <f>IFERROR(K434/K444, "NA")</f>
        <v>NA</v>
      </c>
      <c r="M434" s="9"/>
      <c r="N434" s="10">
        <f t="shared" si="105"/>
        <v>0</v>
      </c>
      <c r="O434" s="8" t="str">
        <f>IFERROR(N434/N444, "NA")</f>
        <v>NA</v>
      </c>
      <c r="P434" s="9"/>
      <c r="Q434" s="7">
        <v>0</v>
      </c>
      <c r="R434" s="8" t="str">
        <f>IFERROR(Q434/Q444, "NA")</f>
        <v>NA</v>
      </c>
      <c r="S434" s="9"/>
      <c r="T434" s="7">
        <v>0</v>
      </c>
      <c r="U434" s="8" t="str">
        <f>IFERROR(T434/T444, "NA")</f>
        <v>NA</v>
      </c>
      <c r="V434" s="9"/>
      <c r="W434" s="10">
        <f t="shared" si="106"/>
        <v>0</v>
      </c>
      <c r="X434" s="8" t="str">
        <f>IFERROR(W434/W444, "NA")</f>
        <v>NA</v>
      </c>
      <c r="Y434" s="9"/>
      <c r="Z434" s="7">
        <v>0</v>
      </c>
      <c r="AA434" s="8" t="str">
        <f>IFERROR(Z434/Z444, "NA")</f>
        <v>NA</v>
      </c>
      <c r="AB434" s="9"/>
      <c r="AC434" s="10">
        <f t="shared" si="107"/>
        <v>0</v>
      </c>
      <c r="AD434" s="8" t="str">
        <f>IFERROR(AC434/AC444, "NA")</f>
        <v>NA</v>
      </c>
    </row>
    <row r="435" spans="1:30" ht="16.5" hidden="1" customHeight="1" x14ac:dyDescent="0.45">
      <c r="A435" s="6" t="s">
        <v>399</v>
      </c>
      <c r="B435" s="7">
        <v>0</v>
      </c>
      <c r="C435" s="8" t="str">
        <f>IFERROR(B435/B444, "NA")</f>
        <v>NA</v>
      </c>
      <c r="D435" s="9"/>
      <c r="E435" s="7">
        <v>0</v>
      </c>
      <c r="F435" s="8" t="str">
        <f>IFERROR(E435/E444, "NA")</f>
        <v>NA</v>
      </c>
      <c r="G435" s="9"/>
      <c r="H435" s="10">
        <f t="shared" si="104"/>
        <v>0</v>
      </c>
      <c r="I435" s="8" t="str">
        <f>IFERROR(H435/H444, "NA")</f>
        <v>NA</v>
      </c>
      <c r="J435" s="9"/>
      <c r="K435" s="7">
        <v>0</v>
      </c>
      <c r="L435" s="8" t="str">
        <f>IFERROR(K435/K444, "NA")</f>
        <v>NA</v>
      </c>
      <c r="M435" s="9"/>
      <c r="N435" s="10">
        <f t="shared" si="105"/>
        <v>0</v>
      </c>
      <c r="O435" s="8" t="str">
        <f>IFERROR(N435/N444, "NA")</f>
        <v>NA</v>
      </c>
      <c r="P435" s="9"/>
      <c r="Q435" s="7">
        <v>0</v>
      </c>
      <c r="R435" s="8" t="str">
        <f>IFERROR(Q435/Q444, "NA")</f>
        <v>NA</v>
      </c>
      <c r="S435" s="9"/>
      <c r="T435" s="7">
        <v>0</v>
      </c>
      <c r="U435" s="8" t="str">
        <f>IFERROR(T435/T444, "NA")</f>
        <v>NA</v>
      </c>
      <c r="V435" s="9"/>
      <c r="W435" s="10">
        <f t="shared" si="106"/>
        <v>0</v>
      </c>
      <c r="X435" s="8" t="str">
        <f>IFERROR(W435/W444, "NA")</f>
        <v>NA</v>
      </c>
      <c r="Y435" s="9"/>
      <c r="Z435" s="7">
        <v>0</v>
      </c>
      <c r="AA435" s="8" t="str">
        <f>IFERROR(Z435/Z444, "NA")</f>
        <v>NA</v>
      </c>
      <c r="AB435" s="9"/>
      <c r="AC435" s="10">
        <f t="shared" si="107"/>
        <v>0</v>
      </c>
      <c r="AD435" s="8" t="str">
        <f>IFERROR(AC435/AC444, "NA")</f>
        <v>NA</v>
      </c>
    </row>
    <row r="436" spans="1:30" ht="16.5" hidden="1" customHeight="1" x14ac:dyDescent="0.45">
      <c r="A436" s="6" t="s">
        <v>400</v>
      </c>
      <c r="B436" s="7">
        <v>0</v>
      </c>
      <c r="C436" s="8" t="str">
        <f>IFERROR(B436/B444, "NA")</f>
        <v>NA</v>
      </c>
      <c r="D436" s="9"/>
      <c r="E436" s="7">
        <v>0</v>
      </c>
      <c r="F436" s="8" t="str">
        <f>IFERROR(E436/E444, "NA")</f>
        <v>NA</v>
      </c>
      <c r="G436" s="9"/>
      <c r="H436" s="10">
        <f t="shared" si="104"/>
        <v>0</v>
      </c>
      <c r="I436" s="8" t="str">
        <f>IFERROR(H436/H444, "NA")</f>
        <v>NA</v>
      </c>
      <c r="J436" s="9"/>
      <c r="K436" s="7">
        <v>0</v>
      </c>
      <c r="L436" s="8" t="str">
        <f>IFERROR(K436/K444, "NA")</f>
        <v>NA</v>
      </c>
      <c r="M436" s="9"/>
      <c r="N436" s="10">
        <f t="shared" si="105"/>
        <v>0</v>
      </c>
      <c r="O436" s="8" t="str">
        <f>IFERROR(N436/N444, "NA")</f>
        <v>NA</v>
      </c>
      <c r="P436" s="9"/>
      <c r="Q436" s="7">
        <v>0</v>
      </c>
      <c r="R436" s="8" t="str">
        <f>IFERROR(Q436/Q444, "NA")</f>
        <v>NA</v>
      </c>
      <c r="S436" s="9"/>
      <c r="T436" s="7">
        <v>0</v>
      </c>
      <c r="U436" s="8" t="str">
        <f>IFERROR(T436/T444, "NA")</f>
        <v>NA</v>
      </c>
      <c r="V436" s="9"/>
      <c r="W436" s="10">
        <f t="shared" si="106"/>
        <v>0</v>
      </c>
      <c r="X436" s="8" t="str">
        <f>IFERROR(W436/W444, "NA")</f>
        <v>NA</v>
      </c>
      <c r="Y436" s="9"/>
      <c r="Z436" s="7">
        <v>0</v>
      </c>
      <c r="AA436" s="8" t="str">
        <f>IFERROR(Z436/Z444, "NA")</f>
        <v>NA</v>
      </c>
      <c r="AB436" s="9"/>
      <c r="AC436" s="10">
        <f t="shared" si="107"/>
        <v>0</v>
      </c>
      <c r="AD436" s="8" t="str">
        <f>IFERROR(AC436/AC444, "NA")</f>
        <v>NA</v>
      </c>
    </row>
    <row r="437" spans="1:30" ht="16.5" hidden="1" customHeight="1" x14ac:dyDescent="0.45">
      <c r="A437" s="6" t="s">
        <v>401</v>
      </c>
      <c r="B437" s="7">
        <v>0</v>
      </c>
      <c r="C437" s="8" t="str">
        <f>IFERROR(B437/B444, "NA")</f>
        <v>NA</v>
      </c>
      <c r="D437" s="9"/>
      <c r="E437" s="7">
        <v>0</v>
      </c>
      <c r="F437" s="8" t="str">
        <f>IFERROR(E437/E444, "NA")</f>
        <v>NA</v>
      </c>
      <c r="G437" s="9"/>
      <c r="H437" s="10">
        <f t="shared" si="104"/>
        <v>0</v>
      </c>
      <c r="I437" s="8" t="str">
        <f>IFERROR(H437/H444, "NA")</f>
        <v>NA</v>
      </c>
      <c r="J437" s="9"/>
      <c r="K437" s="7">
        <v>0</v>
      </c>
      <c r="L437" s="8" t="str">
        <f>IFERROR(K437/K444, "NA")</f>
        <v>NA</v>
      </c>
      <c r="M437" s="9"/>
      <c r="N437" s="10">
        <f t="shared" si="105"/>
        <v>0</v>
      </c>
      <c r="O437" s="8" t="str">
        <f>IFERROR(N437/N444, "NA")</f>
        <v>NA</v>
      </c>
      <c r="P437" s="9"/>
      <c r="Q437" s="7">
        <v>0</v>
      </c>
      <c r="R437" s="8" t="str">
        <f>IFERROR(Q437/Q444, "NA")</f>
        <v>NA</v>
      </c>
      <c r="S437" s="9"/>
      <c r="T437" s="7">
        <v>0</v>
      </c>
      <c r="U437" s="8" t="str">
        <f>IFERROR(T437/T444, "NA")</f>
        <v>NA</v>
      </c>
      <c r="V437" s="9"/>
      <c r="W437" s="10">
        <f t="shared" si="106"/>
        <v>0</v>
      </c>
      <c r="X437" s="8" t="str">
        <f>IFERROR(W437/W444, "NA")</f>
        <v>NA</v>
      </c>
      <c r="Y437" s="9"/>
      <c r="Z437" s="7">
        <v>0</v>
      </c>
      <c r="AA437" s="8" t="str">
        <f>IFERROR(Z437/Z444, "NA")</f>
        <v>NA</v>
      </c>
      <c r="AB437" s="9"/>
      <c r="AC437" s="10">
        <f t="shared" si="107"/>
        <v>0</v>
      </c>
      <c r="AD437" s="8" t="str">
        <f>IFERROR(AC437/AC444, "NA")</f>
        <v>NA</v>
      </c>
    </row>
    <row r="438" spans="1:30" ht="30.75" hidden="1" customHeight="1" x14ac:dyDescent="0.45">
      <c r="A438" s="6" t="s">
        <v>402</v>
      </c>
      <c r="B438" s="7">
        <v>0</v>
      </c>
      <c r="C438" s="8" t="str">
        <f>IFERROR(B438/B444, "NA")</f>
        <v>NA</v>
      </c>
      <c r="D438" s="9"/>
      <c r="E438" s="7">
        <v>0</v>
      </c>
      <c r="F438" s="8" t="str">
        <f>IFERROR(E438/E444, "NA")</f>
        <v>NA</v>
      </c>
      <c r="G438" s="9"/>
      <c r="H438" s="10">
        <f t="shared" si="104"/>
        <v>0</v>
      </c>
      <c r="I438" s="8" t="str">
        <f>IFERROR(H438/H444, "NA")</f>
        <v>NA</v>
      </c>
      <c r="J438" s="9"/>
      <c r="K438" s="7">
        <v>0</v>
      </c>
      <c r="L438" s="8" t="str">
        <f>IFERROR(K438/K444, "NA")</f>
        <v>NA</v>
      </c>
      <c r="M438" s="9"/>
      <c r="N438" s="10">
        <f t="shared" si="105"/>
        <v>0</v>
      </c>
      <c r="O438" s="8" t="str">
        <f>IFERROR(N438/N444, "NA")</f>
        <v>NA</v>
      </c>
      <c r="P438" s="9"/>
      <c r="Q438" s="7">
        <v>0</v>
      </c>
      <c r="R438" s="8" t="str">
        <f>IFERROR(Q438/Q444, "NA")</f>
        <v>NA</v>
      </c>
      <c r="S438" s="9"/>
      <c r="T438" s="7">
        <v>0</v>
      </c>
      <c r="U438" s="8" t="str">
        <f>IFERROR(T438/T444, "NA")</f>
        <v>NA</v>
      </c>
      <c r="V438" s="9"/>
      <c r="W438" s="10">
        <f t="shared" si="106"/>
        <v>0</v>
      </c>
      <c r="X438" s="8" t="str">
        <f>IFERROR(W438/W444, "NA")</f>
        <v>NA</v>
      </c>
      <c r="Y438" s="9"/>
      <c r="Z438" s="7">
        <v>0</v>
      </c>
      <c r="AA438" s="8" t="str">
        <f>IFERROR(Z438/Z444, "NA")</f>
        <v>NA</v>
      </c>
      <c r="AB438" s="9"/>
      <c r="AC438" s="10">
        <f t="shared" si="107"/>
        <v>0</v>
      </c>
      <c r="AD438" s="8" t="str">
        <f>IFERROR(AC438/AC444, "NA")</f>
        <v>NA</v>
      </c>
    </row>
    <row r="439" spans="1:30" ht="16.5" hidden="1" customHeight="1" x14ac:dyDescent="0.45">
      <c r="A439" s="6" t="s">
        <v>403</v>
      </c>
      <c r="B439" s="7">
        <v>0</v>
      </c>
      <c r="C439" s="8" t="str">
        <f>IFERROR(B439/B444, "NA")</f>
        <v>NA</v>
      </c>
      <c r="D439" s="9"/>
      <c r="E439" s="7">
        <v>0</v>
      </c>
      <c r="F439" s="8" t="str">
        <f>IFERROR(E439/E444, "NA")</f>
        <v>NA</v>
      </c>
      <c r="G439" s="9"/>
      <c r="H439" s="10">
        <f t="shared" si="104"/>
        <v>0</v>
      </c>
      <c r="I439" s="8" t="str">
        <f>IFERROR(H439/H444, "NA")</f>
        <v>NA</v>
      </c>
      <c r="J439" s="9"/>
      <c r="K439" s="7">
        <v>0</v>
      </c>
      <c r="L439" s="8" t="str">
        <f>IFERROR(K439/K444, "NA")</f>
        <v>NA</v>
      </c>
      <c r="M439" s="9"/>
      <c r="N439" s="10">
        <f t="shared" si="105"/>
        <v>0</v>
      </c>
      <c r="O439" s="8" t="str">
        <f>IFERROR(N439/N444, "NA")</f>
        <v>NA</v>
      </c>
      <c r="P439" s="9"/>
      <c r="Q439" s="7">
        <v>0</v>
      </c>
      <c r="R439" s="8" t="str">
        <f>IFERROR(Q439/Q444, "NA")</f>
        <v>NA</v>
      </c>
      <c r="S439" s="9"/>
      <c r="T439" s="7">
        <v>0</v>
      </c>
      <c r="U439" s="8" t="str">
        <f>IFERROR(T439/T444, "NA")</f>
        <v>NA</v>
      </c>
      <c r="V439" s="9"/>
      <c r="W439" s="10">
        <f t="shared" si="106"/>
        <v>0</v>
      </c>
      <c r="X439" s="8" t="str">
        <f>IFERROR(W439/W444, "NA")</f>
        <v>NA</v>
      </c>
      <c r="Y439" s="9"/>
      <c r="Z439" s="7">
        <v>0</v>
      </c>
      <c r="AA439" s="8" t="str">
        <f>IFERROR(Z439/Z444, "NA")</f>
        <v>NA</v>
      </c>
      <c r="AB439" s="9"/>
      <c r="AC439" s="10">
        <f t="shared" si="107"/>
        <v>0</v>
      </c>
      <c r="AD439" s="8" t="str">
        <f>IFERROR(AC439/AC444, "NA")</f>
        <v>NA</v>
      </c>
    </row>
    <row r="440" spans="1:30" ht="30.75" hidden="1" customHeight="1" x14ac:dyDescent="0.45">
      <c r="A440" s="6" t="s">
        <v>404</v>
      </c>
      <c r="B440" s="7">
        <v>0</v>
      </c>
      <c r="C440" s="8" t="str">
        <f>IFERROR(B440/B444, "NA")</f>
        <v>NA</v>
      </c>
      <c r="D440" s="9"/>
      <c r="E440" s="7">
        <v>0</v>
      </c>
      <c r="F440" s="8" t="str">
        <f>IFERROR(E440/E444, "NA")</f>
        <v>NA</v>
      </c>
      <c r="G440" s="9"/>
      <c r="H440" s="10">
        <f t="shared" si="104"/>
        <v>0</v>
      </c>
      <c r="I440" s="8" t="str">
        <f>IFERROR(H440/H444, "NA")</f>
        <v>NA</v>
      </c>
      <c r="J440" s="9"/>
      <c r="K440" s="7">
        <v>0</v>
      </c>
      <c r="L440" s="8" t="str">
        <f>IFERROR(K440/K444, "NA")</f>
        <v>NA</v>
      </c>
      <c r="M440" s="9"/>
      <c r="N440" s="10">
        <f t="shared" si="105"/>
        <v>0</v>
      </c>
      <c r="O440" s="8" t="str">
        <f>IFERROR(N440/N444, "NA")</f>
        <v>NA</v>
      </c>
      <c r="P440" s="9"/>
      <c r="Q440" s="7">
        <v>0</v>
      </c>
      <c r="R440" s="8" t="str">
        <f>IFERROR(Q440/Q444, "NA")</f>
        <v>NA</v>
      </c>
      <c r="S440" s="9"/>
      <c r="T440" s="7">
        <v>0</v>
      </c>
      <c r="U440" s="8" t="str">
        <f>IFERROR(T440/T444, "NA")</f>
        <v>NA</v>
      </c>
      <c r="V440" s="9"/>
      <c r="W440" s="10">
        <f t="shared" si="106"/>
        <v>0</v>
      </c>
      <c r="X440" s="8" t="str">
        <f>IFERROR(W440/W444, "NA")</f>
        <v>NA</v>
      </c>
      <c r="Y440" s="9"/>
      <c r="Z440" s="7">
        <v>0</v>
      </c>
      <c r="AA440" s="8" t="str">
        <f>IFERROR(Z440/Z444, "NA")</f>
        <v>NA</v>
      </c>
      <c r="AB440" s="9"/>
      <c r="AC440" s="10">
        <f t="shared" si="107"/>
        <v>0</v>
      </c>
      <c r="AD440" s="8" t="str">
        <f>IFERROR(AC440/AC444, "NA")</f>
        <v>NA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 t="str">
        <f>IFERROR(B441/B444, "NA")</f>
        <v>NA</v>
      </c>
      <c r="D441" s="2"/>
      <c r="E441" s="14">
        <f>IFERROR(E432+E433+E434+E435+E436+E437+E438+E439+E440, "NA")</f>
        <v>0</v>
      </c>
      <c r="F441" s="15" t="str">
        <f>IFERROR(E441/E444, "NA")</f>
        <v>NA</v>
      </c>
      <c r="G441" s="2"/>
      <c r="H441" s="14">
        <f t="shared" si="104"/>
        <v>0</v>
      </c>
      <c r="I441" s="15" t="str">
        <f>IFERROR(H441/H444, "NA")</f>
        <v>NA</v>
      </c>
      <c r="J441" s="2"/>
      <c r="K441" s="14">
        <f>IFERROR(K432+K433+K434+K435+K436+K437+K438+K439+K440, "NA")</f>
        <v>0</v>
      </c>
      <c r="L441" s="15" t="str">
        <f>IFERROR(K441/K444, "NA")</f>
        <v>NA</v>
      </c>
      <c r="M441" s="2"/>
      <c r="N441" s="14">
        <f t="shared" si="105"/>
        <v>0</v>
      </c>
      <c r="O441" s="15" t="str">
        <f>IFERROR(N441/N444, "NA")</f>
        <v>NA</v>
      </c>
      <c r="P441" s="2"/>
      <c r="Q441" s="14">
        <f>IFERROR(Q432+Q433+Q434+Q435+Q436+Q437+Q438+Q439+Q440, "NA")</f>
        <v>0</v>
      </c>
      <c r="R441" s="15" t="str">
        <f>IFERROR(Q441/Q444, "NA")</f>
        <v>NA</v>
      </c>
      <c r="S441" s="2"/>
      <c r="T441" s="14">
        <f>IFERROR(T432+T433+T434+T435+T436+T437+T438+T439+T440, "NA")</f>
        <v>0</v>
      </c>
      <c r="U441" s="15" t="str">
        <f>IFERROR(T441/T444, "NA")</f>
        <v>NA</v>
      </c>
      <c r="V441" s="2"/>
      <c r="W441" s="14">
        <f t="shared" si="106"/>
        <v>0</v>
      </c>
      <c r="X441" s="15" t="str">
        <f>IFERROR(W441/W444, "NA")</f>
        <v>NA</v>
      </c>
      <c r="Y441" s="2"/>
      <c r="Z441" s="14">
        <f>IFERROR(Z432+Z433+Z434+Z435+Z436+Z437+Z438+Z439+Z440, "NA")</f>
        <v>0</v>
      </c>
      <c r="AA441" s="15" t="str">
        <f>IFERROR(Z441/Z444, "NA")</f>
        <v>NA</v>
      </c>
      <c r="AB441" s="2"/>
      <c r="AC441" s="14">
        <f t="shared" si="107"/>
        <v>0</v>
      </c>
      <c r="AD441" s="15" t="str">
        <f>IFERROR(AC441/AC444, "NA")</f>
        <v>NA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 t="str">
        <f>IFERROR(B442/B444, "NA")</f>
        <v>NA</v>
      </c>
      <c r="D442" s="2"/>
      <c r="E442" s="14">
        <f>IFERROR(E432+E433+E434+E435+E436+E437+E438+E439+E440, "NA")</f>
        <v>0</v>
      </c>
      <c r="F442" s="15" t="str">
        <f>IFERROR(E442/E444, "NA")</f>
        <v>NA</v>
      </c>
      <c r="G442" s="2"/>
      <c r="H442" s="14">
        <f t="shared" si="104"/>
        <v>0</v>
      </c>
      <c r="I442" s="15" t="str">
        <f>IFERROR(H442/H444, "NA")</f>
        <v>NA</v>
      </c>
      <c r="J442" s="2"/>
      <c r="K442" s="14">
        <f>IFERROR(K432+K433+K434+K435+K436+K437+K438+K439+K440, "NA")</f>
        <v>0</v>
      </c>
      <c r="L442" s="15" t="str">
        <f>IFERROR(K442/K444, "NA")</f>
        <v>NA</v>
      </c>
      <c r="M442" s="2"/>
      <c r="N442" s="14">
        <f t="shared" si="105"/>
        <v>0</v>
      </c>
      <c r="O442" s="15" t="str">
        <f>IFERROR(N442/N444, "NA")</f>
        <v>NA</v>
      </c>
      <c r="P442" s="2"/>
      <c r="Q442" s="14">
        <f>IFERROR(Q432+Q433+Q434+Q435+Q436+Q437+Q438+Q439+Q440, "NA")</f>
        <v>0</v>
      </c>
      <c r="R442" s="15" t="str">
        <f>IFERROR(Q442/Q444, "NA")</f>
        <v>NA</v>
      </c>
      <c r="S442" s="2"/>
      <c r="T442" s="14">
        <f>IFERROR(T432+T433+T434+T435+T436+T437+T438+T439+T440, "NA")</f>
        <v>0</v>
      </c>
      <c r="U442" s="15" t="str">
        <f>IFERROR(T442/T444, "NA")</f>
        <v>NA</v>
      </c>
      <c r="V442" s="2"/>
      <c r="W442" s="14">
        <f t="shared" si="106"/>
        <v>0</v>
      </c>
      <c r="X442" s="15" t="str">
        <f>IFERROR(W442/W444, "NA")</f>
        <v>NA</v>
      </c>
      <c r="Y442" s="2"/>
      <c r="Z442" s="14">
        <f>IFERROR(Z432+Z433+Z434+Z435+Z436+Z437+Z438+Z439+Z440, "NA")</f>
        <v>0</v>
      </c>
      <c r="AA442" s="15" t="str">
        <f>IFERROR(Z442/Z444, "NA")</f>
        <v>NA</v>
      </c>
      <c r="AB442" s="2"/>
      <c r="AC442" s="14">
        <f t="shared" si="107"/>
        <v>0</v>
      </c>
      <c r="AD442" s="15" t="str">
        <f>IFERROR(AC442/AC444, "NA")</f>
        <v>NA</v>
      </c>
    </row>
    <row r="443" spans="1:30" ht="16.5" customHeight="1" x14ac:dyDescent="0.45">
      <c r="A443" s="22" t="s">
        <v>407</v>
      </c>
      <c r="B443" s="23">
        <f>IFERROR(B404-B429-B442, "NA")</f>
        <v>-104269.76000000002</v>
      </c>
      <c r="C443" s="24" t="str">
        <f>IFERROR(B443/B444, "NA")</f>
        <v>NA</v>
      </c>
      <c r="D443" s="25"/>
      <c r="E443" s="23">
        <f>IFERROR(E404-E429-E442, "NA")</f>
        <v>-173416.71999999997</v>
      </c>
      <c r="F443" s="24" t="str">
        <f>IFERROR(E443/E444, "NA")</f>
        <v>NA</v>
      </c>
      <c r="G443" s="25"/>
      <c r="H443" s="23">
        <f>IFERROR(B443-E443, "NA")</f>
        <v>69146.959999999948</v>
      </c>
      <c r="I443" s="24" t="str">
        <f>IFERROR(H443/H444, "NA")</f>
        <v>NA</v>
      </c>
      <c r="J443" s="25"/>
      <c r="K443" s="23">
        <f>IFERROR(K404-K429-K442, "NA")</f>
        <v>-154313.48000000001</v>
      </c>
      <c r="L443" s="24" t="str">
        <f>IFERROR(K443/K444, "NA")</f>
        <v>NA</v>
      </c>
      <c r="M443" s="25"/>
      <c r="N443" s="23">
        <f>IFERROR(B443-K443, "NA")</f>
        <v>50043.719999999987</v>
      </c>
      <c r="O443" s="24" t="str">
        <f>IFERROR(N443/N444, "NA")</f>
        <v>NA</v>
      </c>
      <c r="P443" s="25"/>
      <c r="Q443" s="23">
        <f>IFERROR(Q404-Q429-Q442, "NA")</f>
        <v>-523016.84000000008</v>
      </c>
      <c r="R443" s="24" t="str">
        <f>IFERROR(Q443/Q444, "NA")</f>
        <v>NA</v>
      </c>
      <c r="S443" s="25"/>
      <c r="T443" s="23">
        <f>IFERROR(T404-T429-T442, "NA")</f>
        <v>-633469.60000000009</v>
      </c>
      <c r="U443" s="24" t="str">
        <f>IFERROR(T443/T444, "NA")</f>
        <v>NA</v>
      </c>
      <c r="V443" s="25"/>
      <c r="W443" s="23">
        <f>IFERROR(Q443-T443, "NA")</f>
        <v>110452.76000000001</v>
      </c>
      <c r="X443" s="24" t="str">
        <f>IFERROR(W443/W444, "NA")</f>
        <v>NA</v>
      </c>
      <c r="Y443" s="25"/>
      <c r="Z443" s="23">
        <f>IFERROR(Z404-Z429-Z442, "NA")</f>
        <v>-579154.60999999987</v>
      </c>
      <c r="AA443" s="24" t="str">
        <f>IFERROR(Z443/Z444, "NA")</f>
        <v>NA</v>
      </c>
      <c r="AB443" s="25"/>
      <c r="AC443" s="23">
        <f>IFERROR(Q443-Z443, "NA")</f>
        <v>56137.769999999786</v>
      </c>
      <c r="AD443" s="24" t="str">
        <f>IFERROR(AC443/AC444, "NA")</f>
        <v>NA</v>
      </c>
    </row>
    <row r="444" spans="1:30" ht="15.75" hidden="1" x14ac:dyDescent="0.45">
      <c r="A444" s="26" t="s">
        <v>117</v>
      </c>
      <c r="B444" s="7">
        <v>0</v>
      </c>
      <c r="C444" s="27"/>
      <c r="D444" s="9"/>
      <c r="E444" s="7">
        <v>0</v>
      </c>
      <c r="F444" s="27"/>
      <c r="G444" s="9"/>
      <c r="H444" s="10">
        <f>IFERROR(B444-E444, "NA")</f>
        <v>0</v>
      </c>
      <c r="I444" s="27"/>
      <c r="J444" s="9"/>
      <c r="K444" s="7">
        <v>0</v>
      </c>
      <c r="L444" s="27"/>
      <c r="M444" s="9"/>
      <c r="N444" s="10">
        <f>IFERROR(B444-K444, "NA")</f>
        <v>0</v>
      </c>
      <c r="O444" s="27"/>
      <c r="P444" s="9"/>
      <c r="Q444" s="7">
        <v>0</v>
      </c>
      <c r="R444" s="27"/>
      <c r="S444" s="9"/>
      <c r="T444" s="7">
        <v>0</v>
      </c>
      <c r="U444" s="27"/>
      <c r="V444" s="9"/>
      <c r="W444" s="10">
        <f>IFERROR(Q444-T444, "NA")</f>
        <v>0</v>
      </c>
      <c r="X444" s="27"/>
      <c r="Y444" s="9"/>
      <c r="Z444" s="7">
        <v>0</v>
      </c>
      <c r="AA444" s="27"/>
      <c r="AB444" s="9"/>
      <c r="AC444" s="10">
        <f>IFERROR(Q444-Z444, "NA")</f>
        <v>0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412</v>
      </c>
      <c r="B3" s="31" t="s">
        <v>412</v>
      </c>
      <c r="C3" s="31" t="s">
        <v>412</v>
      </c>
      <c r="D3" s="31" t="s">
        <v>412</v>
      </c>
      <c r="E3" s="31" t="s">
        <v>412</v>
      </c>
      <c r="F3" s="31" t="s">
        <v>412</v>
      </c>
      <c r="G3" s="31" t="s">
        <v>412</v>
      </c>
      <c r="H3" s="31" t="s">
        <v>412</v>
      </c>
      <c r="I3" s="31" t="s">
        <v>412</v>
      </c>
      <c r="J3" s="31" t="s">
        <v>412</v>
      </c>
      <c r="K3" s="31" t="s">
        <v>412</v>
      </c>
      <c r="L3" s="31" t="s">
        <v>412</v>
      </c>
      <c r="M3" s="31" t="s">
        <v>412</v>
      </c>
      <c r="N3" s="31" t="s">
        <v>412</v>
      </c>
      <c r="O3" s="31" t="s">
        <v>412</v>
      </c>
      <c r="P3" s="31" t="s">
        <v>412</v>
      </c>
      <c r="Q3" s="31" t="s">
        <v>412</v>
      </c>
      <c r="R3" s="31" t="s">
        <v>412</v>
      </c>
      <c r="S3" s="31" t="s">
        <v>412</v>
      </c>
      <c r="T3" s="31" t="s">
        <v>412</v>
      </c>
      <c r="U3" s="31" t="s">
        <v>412</v>
      </c>
      <c r="V3" s="31" t="s">
        <v>412</v>
      </c>
      <c r="W3" s="31" t="s">
        <v>412</v>
      </c>
      <c r="X3" s="31" t="s">
        <v>412</v>
      </c>
      <c r="Y3" s="31" t="s">
        <v>412</v>
      </c>
      <c r="Z3" s="31" t="s">
        <v>412</v>
      </c>
      <c r="AA3" s="31" t="s">
        <v>412</v>
      </c>
      <c r="AB3" s="31" t="s">
        <v>412</v>
      </c>
      <c r="AC3" s="31" t="s">
        <v>412</v>
      </c>
      <c r="AD3" s="31" t="s">
        <v>412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57432.13</v>
      </c>
      <c r="F10" s="8">
        <f>IFERROR(E10/E444, "NA")</f>
        <v>0.56400004281645455</v>
      </c>
      <c r="G10" s="9"/>
      <c r="H10" s="10">
        <f t="shared" ref="H10:H19" si="0">IFERROR(B10-E10, "NA")</f>
        <v>-57432.13</v>
      </c>
      <c r="I10" s="8">
        <f>IFERROR(H10/H444, "NA")</f>
        <v>2.6273304512912006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184323.68</v>
      </c>
      <c r="U10" s="8">
        <f>IFERROR(T10/T444, "NA")</f>
        <v>0.56400000942429107</v>
      </c>
      <c r="V10" s="9"/>
      <c r="W10" s="10">
        <f t="shared" ref="W10:W19" si="2">IFERROR(Q10-T10, "NA")</f>
        <v>-184323.68</v>
      </c>
      <c r="X10" s="8">
        <f>IFERROR(W10/W444, "NA")</f>
        <v>114.35535564723516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42487.07</v>
      </c>
      <c r="C11" s="8">
        <f>IFERROR(B11/B444, "NA")</f>
        <v>0.53128421964546679</v>
      </c>
      <c r="D11" s="9"/>
      <c r="E11" s="7">
        <v>0</v>
      </c>
      <c r="F11" s="8">
        <f>IFERROR(E11/E444, "NA")</f>
        <v>0</v>
      </c>
      <c r="G11" s="9"/>
      <c r="H11" s="10">
        <f t="shared" si="0"/>
        <v>42487.07</v>
      </c>
      <c r="I11" s="8">
        <f>IFERROR(H11/H444, "NA")</f>
        <v>-1.9436432672293511</v>
      </c>
      <c r="J11" s="9"/>
      <c r="K11" s="7">
        <v>45485.82</v>
      </c>
      <c r="L11" s="8">
        <f>IFERROR(K11/K444, "NA")</f>
        <v>0.50475270171267717</v>
      </c>
      <c r="M11" s="9"/>
      <c r="N11" s="10">
        <f t="shared" si="1"/>
        <v>-2998.75</v>
      </c>
      <c r="O11" s="8">
        <f>IFERROR(N11/N444, "NA")</f>
        <v>0.29560207204853828</v>
      </c>
      <c r="P11" s="9"/>
      <c r="Q11" s="7">
        <v>148394.41</v>
      </c>
      <c r="R11" s="8">
        <f>IFERROR(Q11/Q444, "NA")</f>
        <v>0.45631291182330996</v>
      </c>
      <c r="S11" s="9"/>
      <c r="T11" s="7">
        <v>0</v>
      </c>
      <c r="U11" s="8">
        <f>IFERROR(T11/T444, "NA")</f>
        <v>0</v>
      </c>
      <c r="V11" s="9"/>
      <c r="W11" s="10">
        <f t="shared" si="2"/>
        <v>148394.41</v>
      </c>
      <c r="X11" s="8">
        <f>IFERROR(W11/W444, "NA")</f>
        <v>-92.064652418026981</v>
      </c>
      <c r="Y11" s="9"/>
      <c r="Z11" s="7">
        <v>165087.6</v>
      </c>
      <c r="AA11" s="8">
        <f>IFERROR(Z11/Z444, "NA")</f>
        <v>0.55117958285492408</v>
      </c>
      <c r="AB11" s="9"/>
      <c r="AC11" s="10">
        <f t="shared" si="3"/>
        <v>-16693.190000000002</v>
      </c>
      <c r="AD11" s="8">
        <f>IFERROR(AC11/AC444, "NA")</f>
        <v>-0.64988741071108869</v>
      </c>
    </row>
    <row r="12" spans="1:30" ht="16.5" customHeight="1" x14ac:dyDescent="0.45">
      <c r="A12" s="12" t="s">
        <v>14</v>
      </c>
      <c r="B12" s="7">
        <v>5111.1000000000004</v>
      </c>
      <c r="C12" s="8">
        <f>IFERROR(B12/B444, "NA")</f>
        <v>6.3912309675154017E-2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5111.1000000000004</v>
      </c>
      <c r="I12" s="8">
        <f>IFERROR(H12/H444, "NA")</f>
        <v>-0.23381596102381116</v>
      </c>
      <c r="J12" s="9"/>
      <c r="K12" s="7">
        <v>4534.75</v>
      </c>
      <c r="L12" s="8">
        <f>IFERROR(K12/K444, "NA")</f>
        <v>5.0321777514213496E-2</v>
      </c>
      <c r="M12" s="9"/>
      <c r="N12" s="10">
        <f t="shared" si="1"/>
        <v>576.35000000000036</v>
      </c>
      <c r="O12" s="8">
        <f>IFERROR(N12/N444, "NA")</f>
        <v>-5.6813757140533605E-2</v>
      </c>
      <c r="P12" s="9"/>
      <c r="Q12" s="7">
        <v>15383.3</v>
      </c>
      <c r="R12" s="8">
        <f>IFERROR(Q12/Q444, "NA")</f>
        <v>4.730365797776024E-2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15383.3</v>
      </c>
      <c r="X12" s="8">
        <f>IFERROR(W12/W444, "NA")</f>
        <v>-9.5438781524333312</v>
      </c>
      <c r="Y12" s="9"/>
      <c r="Z12" s="7">
        <v>13609.5</v>
      </c>
      <c r="AA12" s="8">
        <f>IFERROR(Z12/Z444, "NA")</f>
        <v>4.5438170600724026E-2</v>
      </c>
      <c r="AB12" s="9"/>
      <c r="AC12" s="10">
        <f t="shared" si="3"/>
        <v>1773.7999999999993</v>
      </c>
      <c r="AD12" s="8">
        <f>IFERROR(AC12/AC444, "NA")</f>
        <v>6.9056321117732938E-2</v>
      </c>
    </row>
    <row r="13" spans="1:30" ht="16.5" customHeight="1" x14ac:dyDescent="0.45">
      <c r="A13" s="12" t="s">
        <v>15</v>
      </c>
      <c r="B13" s="7">
        <v>227</v>
      </c>
      <c r="C13" s="8">
        <f>IFERROR(B13/B444, "NA")</f>
        <v>2.8385463591516424E-3</v>
      </c>
      <c r="D13" s="9"/>
      <c r="E13" s="7">
        <v>0</v>
      </c>
      <c r="F13" s="8">
        <f>IFERROR(E13/E444, "NA")</f>
        <v>0</v>
      </c>
      <c r="G13" s="9"/>
      <c r="H13" s="10">
        <f t="shared" si="0"/>
        <v>227</v>
      </c>
      <c r="I13" s="8">
        <f>IFERROR(H13/H444, "NA")</f>
        <v>-1.0384501017864086E-2</v>
      </c>
      <c r="J13" s="9"/>
      <c r="K13" s="7">
        <v>293.5</v>
      </c>
      <c r="L13" s="8">
        <f>IFERROR(K13/K444, "NA")</f>
        <v>3.2569472849488198E-3</v>
      </c>
      <c r="M13" s="9"/>
      <c r="N13" s="10">
        <f t="shared" si="1"/>
        <v>-66.5</v>
      </c>
      <c r="O13" s="8">
        <f>IFERROR(N13/N444, "NA")</f>
        <v>6.5552439487212323E-3</v>
      </c>
      <c r="P13" s="9"/>
      <c r="Q13" s="7">
        <v>676.5</v>
      </c>
      <c r="R13" s="8">
        <f>IFERROR(Q13/Q444, "NA")</f>
        <v>2.0802379607727083E-3</v>
      </c>
      <c r="S13" s="9"/>
      <c r="T13" s="7">
        <v>0</v>
      </c>
      <c r="U13" s="8">
        <f>IFERROR(T13/T444, "NA")</f>
        <v>0</v>
      </c>
      <c r="V13" s="9"/>
      <c r="W13" s="10">
        <f t="shared" si="2"/>
        <v>676.5</v>
      </c>
      <c r="X13" s="8">
        <f>IFERROR(W13/W444, "NA")</f>
        <v>-0.41970406675558231</v>
      </c>
      <c r="Y13" s="9"/>
      <c r="Z13" s="7">
        <v>1004.27</v>
      </c>
      <c r="AA13" s="8">
        <f>IFERROR(Z13/Z444, "NA")</f>
        <v>3.3529660596781012E-3</v>
      </c>
      <c r="AB13" s="9"/>
      <c r="AC13" s="10">
        <f t="shared" si="3"/>
        <v>-327.77</v>
      </c>
      <c r="AD13" s="8">
        <f>IFERROR(AC13/AC444, "NA")</f>
        <v>-1.2760508722944715E-2</v>
      </c>
    </row>
    <row r="14" spans="1:30" ht="16.5" customHeight="1" x14ac:dyDescent="0.45">
      <c r="A14" s="12" t="s">
        <v>16</v>
      </c>
      <c r="B14" s="7">
        <v>425</v>
      </c>
      <c r="C14" s="8">
        <f>IFERROR(B14/B444, "NA")</f>
        <v>5.314459042464529E-3</v>
      </c>
      <c r="D14" s="9"/>
      <c r="E14" s="7">
        <v>0</v>
      </c>
      <c r="F14" s="8">
        <f>IFERROR(E14/E444, "NA")</f>
        <v>0</v>
      </c>
      <c r="G14" s="9"/>
      <c r="H14" s="10">
        <f t="shared" si="0"/>
        <v>425</v>
      </c>
      <c r="I14" s="8">
        <f>IFERROR(H14/H444, "NA")</f>
        <v>-1.9442347720670647E-2</v>
      </c>
      <c r="J14" s="9"/>
      <c r="K14" s="7">
        <v>455</v>
      </c>
      <c r="L14" s="8">
        <f>IFERROR(K14/K444, "NA")</f>
        <v>5.0491005609939119E-3</v>
      </c>
      <c r="M14" s="9"/>
      <c r="N14" s="10">
        <f t="shared" si="1"/>
        <v>-30</v>
      </c>
      <c r="O14" s="8">
        <f>IFERROR(N14/N444, "NA")</f>
        <v>2.9572529091975485E-3</v>
      </c>
      <c r="P14" s="9"/>
      <c r="Q14" s="7">
        <v>1245</v>
      </c>
      <c r="R14" s="8">
        <f>IFERROR(Q14/Q444, "NA")</f>
        <v>3.8283758479852503E-3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1245</v>
      </c>
      <c r="X14" s="8">
        <f>IFERROR(W14/W444, "NA")</f>
        <v>-0.77240438006016254</v>
      </c>
      <c r="Y14" s="9"/>
      <c r="Z14" s="7">
        <v>1714.99</v>
      </c>
      <c r="AA14" s="8">
        <f>IFERROR(Z14/Z444, "NA")</f>
        <v>5.7258538666766379E-3</v>
      </c>
      <c r="AB14" s="9"/>
      <c r="AC14" s="10">
        <f t="shared" si="3"/>
        <v>-469.99</v>
      </c>
      <c r="AD14" s="8">
        <f>IFERROR(AC14/AC444, "NA")</f>
        <v>-1.8297316699810193E-2</v>
      </c>
    </row>
    <row r="15" spans="1:30" ht="16.5" customHeight="1" x14ac:dyDescent="0.45">
      <c r="A15" s="12" t="s">
        <v>17</v>
      </c>
      <c r="B15" s="7">
        <v>5</v>
      </c>
      <c r="C15" s="8">
        <f>IFERROR(B15/B444, "NA")</f>
        <v>6.2523047558406226E-5</v>
      </c>
      <c r="D15" s="9"/>
      <c r="E15" s="7">
        <v>0</v>
      </c>
      <c r="F15" s="8">
        <f>IFERROR(E15/E444, "NA")</f>
        <v>0</v>
      </c>
      <c r="G15" s="9"/>
      <c r="H15" s="10">
        <f t="shared" si="0"/>
        <v>5</v>
      </c>
      <c r="I15" s="8">
        <f>IFERROR(H15/H444, "NA")</f>
        <v>-2.2873350259612526E-4</v>
      </c>
      <c r="J15" s="9"/>
      <c r="K15" s="7">
        <v>72</v>
      </c>
      <c r="L15" s="8">
        <f>IFERROR(K15/K444, "NA")</f>
        <v>7.9897855031112446E-4</v>
      </c>
      <c r="M15" s="9"/>
      <c r="N15" s="10">
        <f t="shared" si="1"/>
        <v>-67</v>
      </c>
      <c r="O15" s="8">
        <f>IFERROR(N15/N444, "NA")</f>
        <v>6.6045314972078585E-3</v>
      </c>
      <c r="P15" s="9"/>
      <c r="Q15" s="7">
        <v>158</v>
      </c>
      <c r="R15" s="8">
        <f>IFERROR(Q15/Q444, "NA")</f>
        <v>4.8585010761579883E-4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158</v>
      </c>
      <c r="X15" s="8">
        <f>IFERROR(W15/W444, "NA")</f>
        <v>-9.8024009678317814E-2</v>
      </c>
      <c r="Y15" s="9"/>
      <c r="Z15" s="7">
        <v>136</v>
      </c>
      <c r="AA15" s="8">
        <f>IFERROR(Z15/Z444, "NA")</f>
        <v>4.5406452857918867E-4</v>
      </c>
      <c r="AB15" s="9"/>
      <c r="AC15" s="10">
        <f t="shared" si="3"/>
        <v>22</v>
      </c>
      <c r="AD15" s="8">
        <f>IFERROR(AC15/AC444, "NA")</f>
        <v>8.5648836655210592E-4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1.35</v>
      </c>
      <c r="R16" s="8">
        <f>IFERROR(Q16/Q444, "NA")</f>
        <v>4.1512509195020787E-6</v>
      </c>
      <c r="S16" s="9"/>
      <c r="T16" s="7">
        <v>0</v>
      </c>
      <c r="U16" s="8">
        <f>IFERROR(T16/T444, "NA")</f>
        <v>0</v>
      </c>
      <c r="V16" s="9"/>
      <c r="W16" s="10">
        <f t="shared" si="2"/>
        <v>1.35</v>
      </c>
      <c r="X16" s="8">
        <f>IFERROR(W16/W444, "NA")</f>
        <v>-8.3754691813752574E-4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1.35</v>
      </c>
      <c r="AD16" s="8">
        <f>IFERROR(AC16/AC444, "NA")</f>
        <v>5.2557240674788318E-5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48255.17</v>
      </c>
      <c r="C18" s="15">
        <f>IFERROR(B18/B444, "NA")</f>
        <v>0.60341205776979545</v>
      </c>
      <c r="D18" s="2"/>
      <c r="E18" s="14">
        <f>IFERROR(E10+E11+E12+E13+E14+E15+E16+E17, "NA")</f>
        <v>57432.13</v>
      </c>
      <c r="F18" s="15">
        <f>IFERROR(E18/E444, "NA")</f>
        <v>0.56400004281645455</v>
      </c>
      <c r="G18" s="2"/>
      <c r="H18" s="14">
        <f t="shared" si="0"/>
        <v>-9176.9599999999991</v>
      </c>
      <c r="I18" s="15">
        <f>IFERROR(H18/H444, "NA")</f>
        <v>0.41981564079690747</v>
      </c>
      <c r="J18" s="2"/>
      <c r="K18" s="14">
        <f>IFERROR(K10+K11+K12+K13+K14+K15+K16+K17, "NA")</f>
        <v>50841.07</v>
      </c>
      <c r="L18" s="15">
        <f>IFERROR(K18/K444, "NA")</f>
        <v>0.56417950562314445</v>
      </c>
      <c r="M18" s="2"/>
      <c r="N18" s="14">
        <f t="shared" si="1"/>
        <v>-2585.9000000000015</v>
      </c>
      <c r="O18" s="15">
        <f>IFERROR(N18/N444, "NA")</f>
        <v>0.25490534326313152</v>
      </c>
      <c r="P18" s="2"/>
      <c r="Q18" s="14">
        <f>IFERROR(Q10+Q11+Q12+Q13+Q14+Q15+Q16+Q17, "NA")</f>
        <v>165858.56</v>
      </c>
      <c r="R18" s="15">
        <f>IFERROR(Q18/Q444, "NA")</f>
        <v>0.51001518496836351</v>
      </c>
      <c r="S18" s="2"/>
      <c r="T18" s="14">
        <f>IFERROR(T10+T11+T12+T13+T14+T15+T16+T17, "NA")</f>
        <v>184323.68</v>
      </c>
      <c r="U18" s="15">
        <f>IFERROR(T18/T444, "NA")</f>
        <v>0.56400000942429107</v>
      </c>
      <c r="V18" s="2"/>
      <c r="W18" s="14">
        <f t="shared" si="2"/>
        <v>-18465.119999999995</v>
      </c>
      <c r="X18" s="15">
        <f>IFERROR(W18/W444, "NA")</f>
        <v>11.455855073362654</v>
      </c>
      <c r="Y18" s="2"/>
      <c r="Z18" s="14">
        <f>IFERROR(Z10+Z11+Z12+Z13+Z14+Z15+Z16+Z17, "NA")</f>
        <v>181552.36</v>
      </c>
      <c r="AA18" s="15">
        <f>IFERROR(Z18/Z444, "NA")</f>
        <v>0.60615063791058188</v>
      </c>
      <c r="AB18" s="2"/>
      <c r="AC18" s="14">
        <f t="shared" si="3"/>
        <v>-15693.799999999988</v>
      </c>
      <c r="AD18" s="15">
        <f>IFERROR(AC18/AC444, "NA")</f>
        <v>-0.61097986940888316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10793.98</v>
      </c>
      <c r="F21" s="8">
        <f>IFERROR(E21/E444, "NA")</f>
        <v>0.10599998959049499</v>
      </c>
      <c r="G21" s="9"/>
      <c r="H21" s="10">
        <f t="shared" ref="H21:H29" si="4">IFERROR(B21-E21, "NA")</f>
        <v>-10793.98</v>
      </c>
      <c r="I21" s="8">
        <f>IFERROR(H21/H444, "NA")</f>
        <v>0.4937889704705048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34642.39</v>
      </c>
      <c r="U21" s="8">
        <f>IFERROR(T21/T444, "NA")</f>
        <v>0.10599999026972534</v>
      </c>
      <c r="V21" s="9"/>
      <c r="W21" s="10">
        <f t="shared" ref="W21:W29" si="6">IFERROR(Q21-T21, "NA")</f>
        <v>-34642.39</v>
      </c>
      <c r="X21" s="8">
        <f>IFERROR(W21/W444, "NA")</f>
        <v>21.492316282532027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6560.35</v>
      </c>
      <c r="C22" s="8">
        <f>IFERROR(B22/B444, "NA")</f>
        <v>8.2034615009958053E-2</v>
      </c>
      <c r="D22" s="9"/>
      <c r="E22" s="7">
        <v>0</v>
      </c>
      <c r="F22" s="8">
        <f>IFERROR(E22/E444, "NA")</f>
        <v>0</v>
      </c>
      <c r="G22" s="9"/>
      <c r="H22" s="10">
        <f t="shared" si="4"/>
        <v>6560.35</v>
      </c>
      <c r="I22" s="8">
        <f>IFERROR(H22/H444, "NA")</f>
        <v>-0.3001143667512981</v>
      </c>
      <c r="J22" s="9"/>
      <c r="K22" s="7">
        <v>6781.89</v>
      </c>
      <c r="L22" s="8">
        <f>IFERROR(K22/K444, "NA")</f>
        <v>7.5258120007909893E-2</v>
      </c>
      <c r="M22" s="9"/>
      <c r="N22" s="10">
        <f t="shared" si="5"/>
        <v>-221.53999999999996</v>
      </c>
      <c r="O22" s="8">
        <f>IFERROR(N22/N444, "NA")</f>
        <v>2.183832698345416E-2</v>
      </c>
      <c r="P22" s="9"/>
      <c r="Q22" s="7">
        <v>26487.85</v>
      </c>
      <c r="R22" s="8">
        <f>IFERROR(Q22/Q444, "NA")</f>
        <v>8.1450156791209732E-2</v>
      </c>
      <c r="S22" s="9"/>
      <c r="T22" s="7">
        <v>0</v>
      </c>
      <c r="U22" s="8">
        <f>IFERROR(T22/T444, "NA")</f>
        <v>0</v>
      </c>
      <c r="V22" s="9"/>
      <c r="W22" s="10">
        <f t="shared" si="6"/>
        <v>26487.85</v>
      </c>
      <c r="X22" s="8">
        <f>IFERROR(W22/W444, "NA")</f>
        <v>-16.433197878214116</v>
      </c>
      <c r="Y22" s="9"/>
      <c r="Z22" s="7">
        <v>26714.26</v>
      </c>
      <c r="AA22" s="8">
        <f>IFERROR(Z22/Z444, "NA")</f>
        <v>8.9191160832660848E-2</v>
      </c>
      <c r="AB22" s="9"/>
      <c r="AC22" s="10">
        <f t="shared" si="7"/>
        <v>-226.40999999999985</v>
      </c>
      <c r="AD22" s="8">
        <f>IFERROR(AC22/AC444, "NA")</f>
        <v>-8.8144332305028252E-3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636.16</v>
      </c>
      <c r="C24" s="8">
        <f>IFERROR(B24/B444, "NA")</f>
        <v>7.9549323869511392E-3</v>
      </c>
      <c r="D24" s="9"/>
      <c r="E24" s="7">
        <v>0</v>
      </c>
      <c r="F24" s="8">
        <f>IFERROR(E24/E444, "NA")</f>
        <v>0</v>
      </c>
      <c r="G24" s="9"/>
      <c r="H24" s="10">
        <f t="shared" si="4"/>
        <v>636.16</v>
      </c>
      <c r="I24" s="8">
        <f>IFERROR(H24/H444, "NA")</f>
        <v>-2.9102221002310209E-2</v>
      </c>
      <c r="J24" s="9"/>
      <c r="K24" s="7">
        <v>171.55</v>
      </c>
      <c r="L24" s="8">
        <f>IFERROR(K24/K444, "NA")</f>
        <v>1.9036773653593529E-3</v>
      </c>
      <c r="M24" s="9"/>
      <c r="N24" s="10">
        <f t="shared" si="5"/>
        <v>464.60999999999996</v>
      </c>
      <c r="O24" s="8">
        <f>IFERROR(N24/N444, "NA")</f>
        <v>-4.5798975804742431E-2</v>
      </c>
      <c r="P24" s="9"/>
      <c r="Q24" s="7">
        <v>2662.2</v>
      </c>
      <c r="R24" s="8">
        <f>IFERROR(Q24/Q444, "NA")</f>
        <v>8.1862668132580991E-3</v>
      </c>
      <c r="S24" s="9"/>
      <c r="T24" s="7">
        <v>0</v>
      </c>
      <c r="U24" s="8">
        <f>IFERROR(T24/T444, "NA")</f>
        <v>0</v>
      </c>
      <c r="V24" s="9"/>
      <c r="W24" s="10">
        <f t="shared" si="6"/>
        <v>2662.2</v>
      </c>
      <c r="X24" s="8">
        <f>IFERROR(W24/W444, "NA")</f>
        <v>-1.6516425225672005</v>
      </c>
      <c r="Y24" s="9"/>
      <c r="Z24" s="7">
        <v>1306.75</v>
      </c>
      <c r="AA24" s="8">
        <f>IFERROR(Z24/Z444, "NA")</f>
        <v>4.3628589905945203E-3</v>
      </c>
      <c r="AB24" s="9"/>
      <c r="AC24" s="10">
        <f t="shared" si="7"/>
        <v>1355.4499999999998</v>
      </c>
      <c r="AD24" s="8">
        <f>IFERROR(AC24/AC444, "NA")</f>
        <v>5.2769416201956895E-2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209.88</v>
      </c>
      <c r="L27" s="8">
        <f>IFERROR(K27/K444, "NA")</f>
        <v>2.3290224741569277E-3</v>
      </c>
      <c r="M27" s="9"/>
      <c r="N27" s="10">
        <f t="shared" si="5"/>
        <v>-209.88</v>
      </c>
      <c r="O27" s="8">
        <f>IFERROR(N27/N444, "NA")</f>
        <v>2.068894135274605E-2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1438.98</v>
      </c>
      <c r="AA27" s="8">
        <f>IFERROR(Z27/Z444, "NA")</f>
        <v>4.8043365833447121E-3</v>
      </c>
      <c r="AB27" s="9"/>
      <c r="AC27" s="10">
        <f t="shared" si="7"/>
        <v>-1438.98</v>
      </c>
      <c r="AD27" s="8">
        <f>IFERROR(AC27/AC444, "NA")</f>
        <v>-5.6021346804597694E-2</v>
      </c>
    </row>
    <row r="28" spans="1:30" ht="16.5" customHeight="1" x14ac:dyDescent="0.45">
      <c r="A28" s="12" t="s">
        <v>29</v>
      </c>
      <c r="B28" s="7">
        <v>838.6</v>
      </c>
      <c r="C28" s="8">
        <f>IFERROR(B28/B444, "NA")</f>
        <v>1.0486365536495892E-2</v>
      </c>
      <c r="D28" s="9"/>
      <c r="E28" s="7">
        <v>0</v>
      </c>
      <c r="F28" s="8">
        <f>IFERROR(E28/E444, "NA")</f>
        <v>0</v>
      </c>
      <c r="G28" s="9"/>
      <c r="H28" s="10">
        <f t="shared" si="4"/>
        <v>838.6</v>
      </c>
      <c r="I28" s="8">
        <f>IFERROR(H28/H444, "NA")</f>
        <v>-3.8363183055422127E-2</v>
      </c>
      <c r="J28" s="9"/>
      <c r="K28" s="7">
        <v>742.87</v>
      </c>
      <c r="L28" s="8">
        <f>IFERROR(K28/K444, "NA")</f>
        <v>8.2435721620781263E-3</v>
      </c>
      <c r="M28" s="9"/>
      <c r="N28" s="10">
        <f t="shared" si="5"/>
        <v>95.730000000000018</v>
      </c>
      <c r="O28" s="8">
        <f>IFERROR(N28/N444, "NA")</f>
        <v>-9.4365940332493785E-3</v>
      </c>
      <c r="P28" s="9"/>
      <c r="Q28" s="7">
        <v>3216.63</v>
      </c>
      <c r="R28" s="8">
        <f>IFERROR(Q28/Q444, "NA")</f>
        <v>9.8911394408873875E-3</v>
      </c>
      <c r="S28" s="9"/>
      <c r="T28" s="7">
        <v>0</v>
      </c>
      <c r="U28" s="8">
        <f>IFERROR(T28/T444, "NA")</f>
        <v>0</v>
      </c>
      <c r="V28" s="9"/>
      <c r="W28" s="10">
        <f t="shared" si="6"/>
        <v>3216.63</v>
      </c>
      <c r="X28" s="8">
        <f>IFERROR(W28/W444, "NA")</f>
        <v>-1.9956137357694144</v>
      </c>
      <c r="Y28" s="9"/>
      <c r="Z28" s="7">
        <v>3253.06</v>
      </c>
      <c r="AA28" s="8">
        <f>IFERROR(Z28/Z444, "NA")</f>
        <v>1.0861023201028054E-2</v>
      </c>
      <c r="AB28" s="9"/>
      <c r="AC28" s="10">
        <f t="shared" si="7"/>
        <v>-36.429999999999836</v>
      </c>
      <c r="AD28" s="8">
        <f>IFERROR(AC28/AC444, "NA")</f>
        <v>-1.4182668724315034E-3</v>
      </c>
    </row>
    <row r="29" spans="1:30" ht="16.5" customHeight="1" x14ac:dyDescent="0.45">
      <c r="A29" s="13" t="s">
        <v>30</v>
      </c>
      <c r="B29" s="14">
        <f>IFERROR(B21+B22+B23+B24+B25+B26+B27+B28, "NA")</f>
        <v>8035.1100000000006</v>
      </c>
      <c r="C29" s="15">
        <f>IFERROR(B29/B444, "NA")</f>
        <v>0.10047591293340509</v>
      </c>
      <c r="D29" s="2"/>
      <c r="E29" s="14">
        <f>IFERROR(E21+E22+E23+E24+E25+E26+E27+E28, "NA")</f>
        <v>10793.98</v>
      </c>
      <c r="F29" s="15">
        <f>IFERROR(E29/E444, "NA")</f>
        <v>0.10599998959049499</v>
      </c>
      <c r="G29" s="2"/>
      <c r="H29" s="14">
        <f t="shared" si="4"/>
        <v>-2758.869999999999</v>
      </c>
      <c r="I29" s="15">
        <f>IFERROR(H29/H444, "NA")</f>
        <v>0.12620919966147437</v>
      </c>
      <c r="J29" s="2"/>
      <c r="K29" s="14">
        <f>IFERROR(K21+K22+K23+K24+K25+K26+K27+K28, "NA")</f>
        <v>7906.1900000000005</v>
      </c>
      <c r="L29" s="15">
        <f>IFERROR(K29/K444, "NA")</f>
        <v>8.7734392009504308E-2</v>
      </c>
      <c r="M29" s="2"/>
      <c r="N29" s="14">
        <f t="shared" si="5"/>
        <v>128.92000000000007</v>
      </c>
      <c r="O29" s="15">
        <f>IFERROR(N29/N444, "NA")</f>
        <v>-1.2708301501791607E-2</v>
      </c>
      <c r="P29" s="2"/>
      <c r="Q29" s="14">
        <f>IFERROR(Q21+Q22+Q23+Q24+Q25+Q26+Q27+Q28, "NA")</f>
        <v>32366.68</v>
      </c>
      <c r="R29" s="15">
        <f>IFERROR(Q29/Q444, "NA")</f>
        <v>9.9527563045355219E-2</v>
      </c>
      <c r="S29" s="2"/>
      <c r="T29" s="14">
        <f>IFERROR(T21+T22+T23+T24+T25+T26+T27+T28, "NA")</f>
        <v>34642.39</v>
      </c>
      <c r="U29" s="15">
        <f>IFERROR(T29/T444, "NA")</f>
        <v>0.10599999026972534</v>
      </c>
      <c r="V29" s="2"/>
      <c r="W29" s="14">
        <f t="shared" si="6"/>
        <v>-2275.7099999999991</v>
      </c>
      <c r="X29" s="15">
        <f>IFERROR(W29/W444, "NA")</f>
        <v>1.4118621459812948</v>
      </c>
      <c r="Y29" s="2"/>
      <c r="Z29" s="14">
        <f>IFERROR(Z21+Z22+Z23+Z24+Z25+Z26+Z27+Z28, "NA")</f>
        <v>32713.05</v>
      </c>
      <c r="AA29" s="15">
        <f>IFERROR(Z29/Z444, "NA")</f>
        <v>0.10921937960762813</v>
      </c>
      <c r="AB29" s="2"/>
      <c r="AC29" s="14">
        <f t="shared" si="7"/>
        <v>-346.36999999999898</v>
      </c>
      <c r="AD29" s="15">
        <f>IFERROR(AC29/AC444, "NA")</f>
        <v>-1.3484630705575092E-2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21893.45</v>
      </c>
      <c r="F31" s="8">
        <f>IFERROR(E31/E444, "NA")</f>
        <v>0.21499997888638134</v>
      </c>
      <c r="G31" s="9"/>
      <c r="H31" s="10">
        <f t="shared" ref="H31:H40" si="8">IFERROR(B31-E31, "NA")</f>
        <v>-21893.45</v>
      </c>
      <c r="I31" s="8">
        <f>IFERROR(H31/H444, "NA")</f>
        <v>1.0015531004826277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70265.23</v>
      </c>
      <c r="U31" s="8">
        <f>IFERROR(T31/T444, "NA")</f>
        <v>0.21499999556323951</v>
      </c>
      <c r="V31" s="9"/>
      <c r="W31" s="10">
        <f t="shared" ref="W31:W40" si="10">IFERROR(Q31-T31, "NA")</f>
        <v>-70265.23</v>
      </c>
      <c r="X31" s="8">
        <f>IFERROR(W31/W444, "NA")</f>
        <v>43.592908769425492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5791.48</v>
      </c>
      <c r="C33" s="8">
        <f>IFERROR(B33/B444, "NA")</f>
        <v>7.2420195894711686E-2</v>
      </c>
      <c r="D33" s="9"/>
      <c r="E33" s="7">
        <v>0</v>
      </c>
      <c r="F33" s="8">
        <f>IFERROR(E33/E444, "NA")</f>
        <v>0</v>
      </c>
      <c r="G33" s="9"/>
      <c r="H33" s="10">
        <f t="shared" si="8"/>
        <v>5791.48</v>
      </c>
      <c r="I33" s="8">
        <f>IFERROR(H33/H444, "NA")</f>
        <v>-0.2649411011230815</v>
      </c>
      <c r="J33" s="9"/>
      <c r="K33" s="7">
        <v>4565.76</v>
      </c>
      <c r="L33" s="8">
        <f>IFERROR(K33/K444, "NA")</f>
        <v>5.0665893137062774E-2</v>
      </c>
      <c r="M33" s="9"/>
      <c r="N33" s="10">
        <f t="shared" si="9"/>
        <v>1225.7199999999993</v>
      </c>
      <c r="O33" s="8">
        <f>IFERROR(N33/N444, "NA")</f>
        <v>-0.12082546786205391</v>
      </c>
      <c r="P33" s="9"/>
      <c r="Q33" s="7">
        <v>23392.38</v>
      </c>
      <c r="R33" s="8">
        <f>IFERROR(Q33/Q444, "NA")</f>
        <v>7.193158443284596E-2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23392.38</v>
      </c>
      <c r="X33" s="8">
        <f>IFERROR(W33/W444, "NA")</f>
        <v>-14.512752427334735</v>
      </c>
      <c r="Y33" s="9"/>
      <c r="Z33" s="7">
        <v>17889.27</v>
      </c>
      <c r="AA33" s="8">
        <f>IFERROR(Z33/Z444, "NA")</f>
        <v>5.9727080508645752E-2</v>
      </c>
      <c r="AB33" s="9"/>
      <c r="AC33" s="10">
        <f t="shared" si="11"/>
        <v>5503.1100000000006</v>
      </c>
      <c r="AD33" s="8">
        <f>IFERROR(AC33/AC444, "NA")</f>
        <v>0.21424316794802545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567.86</v>
      </c>
      <c r="C35" s="8">
        <f>IFERROR(B35/B444, "NA")</f>
        <v>7.1008675573033114E-3</v>
      </c>
      <c r="D35" s="9"/>
      <c r="E35" s="7">
        <v>0</v>
      </c>
      <c r="F35" s="8">
        <f>IFERROR(E35/E444, "NA")</f>
        <v>0</v>
      </c>
      <c r="G35" s="9"/>
      <c r="H35" s="10">
        <f t="shared" si="8"/>
        <v>567.86</v>
      </c>
      <c r="I35" s="8">
        <f>IFERROR(H35/H444, "NA")</f>
        <v>-2.5977721356847137E-2</v>
      </c>
      <c r="J35" s="9"/>
      <c r="K35" s="7">
        <v>0</v>
      </c>
      <c r="L35" s="8">
        <f>IFERROR(K35/K444, "NA")</f>
        <v>0</v>
      </c>
      <c r="M35" s="9"/>
      <c r="N35" s="10">
        <f t="shared" si="9"/>
        <v>567.86</v>
      </c>
      <c r="O35" s="8">
        <f>IFERROR(N35/N444, "NA")</f>
        <v>-5.5976854567230665E-2</v>
      </c>
      <c r="P35" s="9"/>
      <c r="Q35" s="7">
        <v>2292.66</v>
      </c>
      <c r="R35" s="8">
        <f>IFERROR(Q35/Q444, "NA")</f>
        <v>7.0499310615597301E-3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2292.66</v>
      </c>
      <c r="X35" s="8">
        <f>IFERROR(W35/W444, "NA")</f>
        <v>-1.4223780128423551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2292.66</v>
      </c>
      <c r="AD35" s="8">
        <f>IFERROR(AC35/AC444, "NA")</f>
        <v>8.9256209929970493E-2</v>
      </c>
    </row>
    <row r="36" spans="1:30" ht="16.5" customHeight="1" x14ac:dyDescent="0.45">
      <c r="A36" s="12" t="s">
        <v>36</v>
      </c>
      <c r="B36" s="7">
        <v>9847.5400000000009</v>
      </c>
      <c r="C36" s="8">
        <f>IFERROR(B36/B444, "NA")</f>
        <v>0.12313964235066154</v>
      </c>
      <c r="D36" s="9"/>
      <c r="E36" s="7">
        <v>0</v>
      </c>
      <c r="F36" s="8">
        <f>IFERROR(E36/E444, "NA")</f>
        <v>0</v>
      </c>
      <c r="G36" s="9"/>
      <c r="H36" s="10">
        <f t="shared" si="8"/>
        <v>9847.5400000000009</v>
      </c>
      <c r="I36" s="8">
        <f>IFERROR(H36/H444, "NA")</f>
        <v>-0.45049246323108949</v>
      </c>
      <c r="J36" s="9"/>
      <c r="K36" s="7">
        <v>8494.27</v>
      </c>
      <c r="L36" s="8">
        <f>IFERROR(K36/K444, "NA")</f>
        <v>9.4260271257656611E-2</v>
      </c>
      <c r="M36" s="9"/>
      <c r="N36" s="10">
        <f t="shared" si="9"/>
        <v>1353.2700000000004</v>
      </c>
      <c r="O36" s="8">
        <f>IFERROR(N36/N444, "NA")</f>
        <v>-0.13339872148099227</v>
      </c>
      <c r="P36" s="9"/>
      <c r="Q36" s="7">
        <v>45131.59</v>
      </c>
      <c r="R36" s="8">
        <f>IFERROR(Q36/Q444, "NA")</f>
        <v>0.1387796699896969</v>
      </c>
      <c r="S36" s="9"/>
      <c r="T36" s="7">
        <v>0</v>
      </c>
      <c r="U36" s="8">
        <f>IFERROR(T36/T444, "NA")</f>
        <v>0</v>
      </c>
      <c r="V36" s="9"/>
      <c r="W36" s="10">
        <f t="shared" si="10"/>
        <v>45131.59</v>
      </c>
      <c r="X36" s="8">
        <f>IFERROR(W36/W444, "NA")</f>
        <v>-27.999869714923236</v>
      </c>
      <c r="Y36" s="9"/>
      <c r="Z36" s="7">
        <v>31159.13</v>
      </c>
      <c r="AA36" s="8">
        <f>IFERROR(Z36/Z444, "NA")</f>
        <v>0.10403129172343864</v>
      </c>
      <c r="AB36" s="9"/>
      <c r="AC36" s="10">
        <f t="shared" si="11"/>
        <v>13972.459999999995</v>
      </c>
      <c r="AD36" s="8">
        <f>IFERROR(AC36/AC444, "NA")</f>
        <v>0.54396588373248334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531.5</v>
      </c>
      <c r="C39" s="8">
        <f>IFERROR(B39/B444, "NA")</f>
        <v>6.6461999554585814E-3</v>
      </c>
      <c r="D39" s="9"/>
      <c r="E39" s="7">
        <v>0</v>
      </c>
      <c r="F39" s="8">
        <f>IFERROR(E39/E444, "NA")</f>
        <v>0</v>
      </c>
      <c r="G39" s="9"/>
      <c r="H39" s="10">
        <f t="shared" si="8"/>
        <v>531.5</v>
      </c>
      <c r="I39" s="8">
        <f>IFERROR(H39/H444, "NA")</f>
        <v>-2.4314371325968115E-2</v>
      </c>
      <c r="J39" s="9"/>
      <c r="K39" s="7">
        <v>620.13</v>
      </c>
      <c r="L39" s="8">
        <f>IFERROR(K39/K444, "NA")</f>
        <v>6.8815356722838556E-3</v>
      </c>
      <c r="M39" s="9"/>
      <c r="N39" s="10">
        <f t="shared" si="9"/>
        <v>-88.63</v>
      </c>
      <c r="O39" s="8">
        <f>IFERROR(N39/N444, "NA")</f>
        <v>8.7367108447392906E-3</v>
      </c>
      <c r="P39" s="9"/>
      <c r="Q39" s="7">
        <v>2563.6</v>
      </c>
      <c r="R39" s="8">
        <f>IFERROR(Q39/Q444, "NA")</f>
        <v>7.8830717461003917E-3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2563.6</v>
      </c>
      <c r="X39" s="8">
        <f>IFERROR(W39/W444, "NA")</f>
        <v>-1.5904705772869339</v>
      </c>
      <c r="Y39" s="9"/>
      <c r="Z39" s="7">
        <v>3704.59</v>
      </c>
      <c r="AA39" s="8">
        <f>IFERROR(Z39/Z444, "NA")</f>
        <v>1.2368550823008652E-2</v>
      </c>
      <c r="AB39" s="9"/>
      <c r="AC39" s="10">
        <f t="shared" si="11"/>
        <v>-1140.9900000000002</v>
      </c>
      <c r="AD39" s="8">
        <f>IFERROR(AC39/AC444, "NA")</f>
        <v>-4.4420211879649431E-2</v>
      </c>
    </row>
    <row r="40" spans="1:30" ht="16.5" customHeight="1" x14ac:dyDescent="0.45">
      <c r="A40" s="13" t="s">
        <v>40</v>
      </c>
      <c r="B40" s="14">
        <f>IFERROR(B31+B32+B33+B34+B35+B36+B37+B38+B39, "NA")</f>
        <v>16738.38</v>
      </c>
      <c r="C40" s="15">
        <f>IFERROR(B40/B444, "NA")</f>
        <v>0.20930690575813513</v>
      </c>
      <c r="D40" s="2"/>
      <c r="E40" s="14">
        <f>IFERROR(E31+E32+E33+E34+E35+E36+E37+E38+E39, "NA")</f>
        <v>21893.45</v>
      </c>
      <c r="F40" s="15">
        <f>IFERROR(E40/E444, "NA")</f>
        <v>0.21499997888638134</v>
      </c>
      <c r="G40" s="2"/>
      <c r="H40" s="14">
        <f t="shared" si="8"/>
        <v>-5155.07</v>
      </c>
      <c r="I40" s="15">
        <f>IFERROR(H40/H444, "NA")</f>
        <v>0.23582744344564147</v>
      </c>
      <c r="J40" s="2"/>
      <c r="K40" s="14">
        <f>IFERROR(K31+K32+K33+K34+K35+K36+K37+K38+K39, "NA")</f>
        <v>13680.16</v>
      </c>
      <c r="L40" s="15">
        <f>IFERROR(K40/K444, "NA")</f>
        <v>0.15180770006700323</v>
      </c>
      <c r="M40" s="2"/>
      <c r="N40" s="14">
        <f t="shared" si="9"/>
        <v>3058.2200000000012</v>
      </c>
      <c r="O40" s="15">
        <f>IFERROR(N40/N444, "NA")</f>
        <v>-0.30146433306553766</v>
      </c>
      <c r="P40" s="2"/>
      <c r="Q40" s="14">
        <f>IFERROR(Q31+Q32+Q33+Q34+Q35+Q36+Q37+Q38+Q39, "NA")</f>
        <v>73380.23000000001</v>
      </c>
      <c r="R40" s="15">
        <f>IFERROR(Q40/Q444, "NA")</f>
        <v>0.22564425723020301</v>
      </c>
      <c r="S40" s="2"/>
      <c r="T40" s="14">
        <f>IFERROR(T31+T32+T33+T34+T35+T36+T37+T38+T39, "NA")</f>
        <v>70265.23</v>
      </c>
      <c r="U40" s="15">
        <f>IFERROR(T40/T444, "NA")</f>
        <v>0.21499999556323951</v>
      </c>
      <c r="V40" s="2"/>
      <c r="W40" s="14">
        <f t="shared" si="10"/>
        <v>3115.0000000000146</v>
      </c>
      <c r="X40" s="15">
        <f>IFERROR(W40/W444, "NA")</f>
        <v>-1.9325619629617812</v>
      </c>
      <c r="Y40" s="2"/>
      <c r="Z40" s="14">
        <f>IFERROR(Z31+Z32+Z33+Z34+Z35+Z36+Z37+Z38+Z39, "NA")</f>
        <v>52752.990000000005</v>
      </c>
      <c r="AA40" s="15">
        <f>IFERROR(Z40/Z444, "NA")</f>
        <v>0.17612692305509306</v>
      </c>
      <c r="AB40" s="2"/>
      <c r="AC40" s="14">
        <f t="shared" si="11"/>
        <v>20627.240000000005</v>
      </c>
      <c r="AD40" s="15">
        <f>IFERROR(AC40/AC444, "NA")</f>
        <v>0.80304504973083024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4197.24</v>
      </c>
      <c r="C43" s="8">
        <f>IFERROR(B43/B444, "NA")</f>
        <v>5.2484847226808982E-2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4197.24</v>
      </c>
      <c r="I43" s="8">
        <f>IFERROR(H43/H444, "NA")</f>
        <v>-0.19200988128731214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4197.24</v>
      </c>
      <c r="O43" s="8">
        <f>IFERROR(N43/N444, "NA")</f>
        <v>-0.41374334002001062</v>
      </c>
      <c r="P43" s="9"/>
      <c r="Q43" s="7">
        <v>22680.86</v>
      </c>
      <c r="R43" s="8">
        <f>IFERROR(Q43/Q444, "NA")</f>
        <v>6.9743659948220682E-2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22680.86</v>
      </c>
      <c r="X43" s="8">
        <f>IFERROR(W43/W444, "NA")</f>
        <v>-14.071321773117541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22680.86</v>
      </c>
      <c r="AD43" s="8">
        <f>IFERROR(AC43/AC444, "NA")</f>
        <v>0.88299512424531801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14969.01</v>
      </c>
      <c r="F46" s="8">
        <f>IFERROR(E46/E444, "NA")</f>
        <v>0.14699998556417701</v>
      </c>
      <c r="G46" s="9"/>
      <c r="H46" s="10">
        <f t="shared" ref="H46:H62" si="12">IFERROR(B46-E46, "NA")</f>
        <v>-14969.01</v>
      </c>
      <c r="I46" s="8">
        <f>IFERROR(H46/H444, "NA")</f>
        <v>0.68478281753928494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48041.81</v>
      </c>
      <c r="U46" s="8">
        <f>IFERROR(T46/T444, "NA")</f>
        <v>0.14700000180530251</v>
      </c>
      <c r="V46" s="9"/>
      <c r="W46" s="10">
        <f t="shared" ref="W46:W62" si="14">IFERROR(Q46-T46, "NA")</f>
        <v>-48041.81</v>
      </c>
      <c r="X46" s="8">
        <f>IFERROR(W46/W444, "NA")</f>
        <v>29.805385116480416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1096.45</v>
      </c>
      <c r="C47" s="8">
        <f>IFERROR(B47/B444, "NA")</f>
        <v>1.3710679099082902E-2</v>
      </c>
      <c r="D47" s="9"/>
      <c r="E47" s="7">
        <v>0</v>
      </c>
      <c r="F47" s="8">
        <f>IFERROR(E47/E444, "NA")</f>
        <v>0</v>
      </c>
      <c r="G47" s="9"/>
      <c r="H47" s="10">
        <f t="shared" si="12"/>
        <v>1096.45</v>
      </c>
      <c r="I47" s="8">
        <f>IFERROR(H47/H444, "NA")</f>
        <v>-5.0158969784304307E-2</v>
      </c>
      <c r="J47" s="9"/>
      <c r="K47" s="7">
        <v>637.75</v>
      </c>
      <c r="L47" s="8">
        <f>IFERROR(K47/K444, "NA")</f>
        <v>7.0770634786238842E-3</v>
      </c>
      <c r="M47" s="9"/>
      <c r="N47" s="10">
        <f t="shared" si="13"/>
        <v>458.70000000000005</v>
      </c>
      <c r="O47" s="8">
        <f>IFERROR(N47/N444, "NA")</f>
        <v>-4.5216396981630519E-2</v>
      </c>
      <c r="P47" s="9"/>
      <c r="Q47" s="7">
        <v>4551.24</v>
      </c>
      <c r="R47" s="8">
        <f>IFERROR(Q47/Q444, "NA")</f>
        <v>1.399506609990714E-2</v>
      </c>
      <c r="S47" s="9"/>
      <c r="T47" s="7">
        <v>0</v>
      </c>
      <c r="U47" s="8">
        <f>IFERROR(T47/T444, "NA")</f>
        <v>0</v>
      </c>
      <c r="V47" s="9"/>
      <c r="W47" s="10">
        <f t="shared" si="14"/>
        <v>4551.24</v>
      </c>
      <c r="X47" s="8">
        <f>IFERROR(W47/W444, "NA")</f>
        <v>-2.8236126190401718</v>
      </c>
      <c r="Y47" s="9"/>
      <c r="Z47" s="7">
        <v>1638.6</v>
      </c>
      <c r="AA47" s="8">
        <f>IFERROR(Z47/Z444, "NA")</f>
        <v>5.4708098274254303E-3</v>
      </c>
      <c r="AB47" s="9"/>
      <c r="AC47" s="10">
        <f t="shared" si="15"/>
        <v>2912.64</v>
      </c>
      <c r="AD47" s="8">
        <f>IFERROR(AC47/AC444, "NA")</f>
        <v>0.11339283072519661</v>
      </c>
    </row>
    <row r="48" spans="1:30" ht="16.5" customHeight="1" x14ac:dyDescent="0.45">
      <c r="A48" s="17" t="s">
        <v>46</v>
      </c>
      <c r="B48" s="7">
        <v>1180.8699999999999</v>
      </c>
      <c r="C48" s="8">
        <f>IFERROR(B48/B444, "NA")</f>
        <v>1.476631823405903E-2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1180.8699999999999</v>
      </c>
      <c r="I48" s="8">
        <f>IFERROR(H48/H444, "NA")</f>
        <v>-5.4020906242137283E-2</v>
      </c>
      <c r="J48" s="9"/>
      <c r="K48" s="7">
        <v>7930.53</v>
      </c>
      <c r="L48" s="8">
        <f>IFERROR(K48/K444, "NA")</f>
        <v>8.8004491147206695E-2</v>
      </c>
      <c r="M48" s="9"/>
      <c r="N48" s="10">
        <f t="shared" si="13"/>
        <v>-6749.66</v>
      </c>
      <c r="O48" s="8">
        <f>IFERROR(N48/N444, "NA")</f>
        <v>0.66534838903647753</v>
      </c>
      <c r="P48" s="9"/>
      <c r="Q48" s="7">
        <v>27435.1</v>
      </c>
      <c r="R48" s="8">
        <f>IFERROR(Q48/Q444, "NA")</f>
        <v>8.4362951186393684E-2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27435.1</v>
      </c>
      <c r="X48" s="8">
        <f>IFERROR(W48/W444, "NA")</f>
        <v>-17.020876632440615</v>
      </c>
      <c r="Y48" s="9"/>
      <c r="Z48" s="7">
        <v>22988.77</v>
      </c>
      <c r="AA48" s="8">
        <f>IFERROR(Z48/Z444, "NA")</f>
        <v>7.6752830975480843E-2</v>
      </c>
      <c r="AB48" s="9"/>
      <c r="AC48" s="10">
        <f t="shared" si="15"/>
        <v>4446.3299999999981</v>
      </c>
      <c r="AD48" s="8">
        <f>IFERROR(AC48/AC444, "NA")</f>
        <v>0.17310135994780107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customHeight="1" x14ac:dyDescent="0.45">
      <c r="A50" s="17" t="s">
        <v>48</v>
      </c>
      <c r="B50" s="7">
        <v>905.25</v>
      </c>
      <c r="C50" s="8">
        <f>IFERROR(B50/B444, "NA")</f>
        <v>1.1319797760449446E-2</v>
      </c>
      <c r="D50" s="9"/>
      <c r="E50" s="7">
        <v>0</v>
      </c>
      <c r="F50" s="8">
        <f>IFERROR(E50/E444, "NA")</f>
        <v>0</v>
      </c>
      <c r="G50" s="9"/>
      <c r="H50" s="10">
        <f t="shared" si="12"/>
        <v>905.25</v>
      </c>
      <c r="I50" s="8">
        <f>IFERROR(H50/H444, "NA")</f>
        <v>-4.1412200645028478E-2</v>
      </c>
      <c r="J50" s="9"/>
      <c r="K50" s="7">
        <v>8517.75</v>
      </c>
      <c r="L50" s="8">
        <f>IFERROR(K50/K444, "NA")</f>
        <v>9.4520827040452504E-2</v>
      </c>
      <c r="M50" s="9"/>
      <c r="N50" s="10">
        <f t="shared" si="13"/>
        <v>-7612.5</v>
      </c>
      <c r="O50" s="8">
        <f>IFERROR(N50/N444, "NA")</f>
        <v>0.7504029257088779</v>
      </c>
      <c r="P50" s="9"/>
      <c r="Q50" s="7">
        <v>6549.92</v>
      </c>
      <c r="R50" s="8">
        <f>IFERROR(Q50/Q444, "NA")</f>
        <v>2.0141008461233376E-2</v>
      </c>
      <c r="S50" s="9"/>
      <c r="T50" s="7">
        <v>0</v>
      </c>
      <c r="U50" s="8">
        <f>IFERROR(T50/T444, "NA")</f>
        <v>0</v>
      </c>
      <c r="V50" s="9"/>
      <c r="W50" s="10">
        <f t="shared" si="14"/>
        <v>6549.92</v>
      </c>
      <c r="X50" s="8">
        <f>IFERROR(W50/W444, "NA")</f>
        <v>-4.0636039333684018</v>
      </c>
      <c r="Y50" s="9"/>
      <c r="Z50" s="7">
        <v>11634.84</v>
      </c>
      <c r="AA50" s="8">
        <f>IFERROR(Z50/Z444, "NA")</f>
        <v>3.8845353968340351E-2</v>
      </c>
      <c r="AB50" s="9"/>
      <c r="AC50" s="10">
        <f t="shared" si="15"/>
        <v>-5084.92</v>
      </c>
      <c r="AD50" s="8">
        <f>IFERROR(AC50/AC444, "NA")</f>
        <v>-0.19796249203855157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190.5</v>
      </c>
      <c r="L54" s="8">
        <f>IFERROR(K54/K444, "NA")</f>
        <v>2.1139640810315169E-3</v>
      </c>
      <c r="M54" s="9"/>
      <c r="N54" s="10">
        <f t="shared" si="13"/>
        <v>-190.5</v>
      </c>
      <c r="O54" s="8">
        <f>IFERROR(N54/N444, "NA")</f>
        <v>1.8778555973404432E-2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502.8</v>
      </c>
      <c r="AA54" s="8">
        <f>IFERROR(Z54/Z444, "NA")</f>
        <v>1.6787032718354122E-3</v>
      </c>
      <c r="AB54" s="9"/>
      <c r="AC54" s="10">
        <f t="shared" si="15"/>
        <v>-502.8</v>
      </c>
      <c r="AD54" s="8">
        <f>IFERROR(AC54/AC444, "NA")</f>
        <v>-1.9574652304654494E-2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334.29</v>
      </c>
      <c r="R55" s="8">
        <f>IFERROR(Q55/Q444, "NA")</f>
        <v>1.0279419776891481E-3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334.29</v>
      </c>
      <c r="X55" s="8">
        <f>IFERROR(W55/W444, "NA")</f>
        <v>-0.20739522908458777</v>
      </c>
      <c r="Y55" s="9"/>
      <c r="Z55" s="7">
        <v>292.8</v>
      </c>
      <c r="AA55" s="8">
        <f>IFERROR(Z55/Z444, "NA")</f>
        <v>9.7757422035284159E-4</v>
      </c>
      <c r="AB55" s="9"/>
      <c r="AC55" s="10">
        <f t="shared" si="15"/>
        <v>41.490000000000009</v>
      </c>
      <c r="AD55" s="8">
        <f>IFERROR(AC55/AC444, "NA")</f>
        <v>1.6152591967384946E-3</v>
      </c>
    </row>
    <row r="56" spans="1:30" ht="16.5" customHeight="1" x14ac:dyDescent="0.45">
      <c r="A56" s="17" t="s">
        <v>54</v>
      </c>
      <c r="B56" s="7">
        <v>54.95</v>
      </c>
      <c r="C56" s="8">
        <f>IFERROR(B56/B444, "NA")</f>
        <v>6.8712829266688439E-4</v>
      </c>
      <c r="D56" s="9"/>
      <c r="E56" s="7">
        <v>0</v>
      </c>
      <c r="F56" s="8">
        <f>IFERROR(E56/E444, "NA")</f>
        <v>0</v>
      </c>
      <c r="G56" s="9"/>
      <c r="H56" s="10">
        <f t="shared" si="12"/>
        <v>54.95</v>
      </c>
      <c r="I56" s="8">
        <f>IFERROR(H56/H444, "NA")</f>
        <v>-2.5137811935314167E-3</v>
      </c>
      <c r="J56" s="9"/>
      <c r="K56" s="7">
        <v>0</v>
      </c>
      <c r="L56" s="8">
        <f>IFERROR(K56/K444, "NA")</f>
        <v>0</v>
      </c>
      <c r="M56" s="9"/>
      <c r="N56" s="10">
        <f t="shared" si="13"/>
        <v>54.95</v>
      </c>
      <c r="O56" s="8">
        <f>IFERROR(N56/N444, "NA")</f>
        <v>-5.416701578680177E-3</v>
      </c>
      <c r="P56" s="9"/>
      <c r="Q56" s="7">
        <v>54.95</v>
      </c>
      <c r="R56" s="8">
        <f>IFERROR(Q56/Q444, "NA")</f>
        <v>1.6897128742714019E-4</v>
      </c>
      <c r="S56" s="9"/>
      <c r="T56" s="7">
        <v>0</v>
      </c>
      <c r="U56" s="8">
        <f>IFERROR(T56/T444, "NA")</f>
        <v>0</v>
      </c>
      <c r="V56" s="9"/>
      <c r="W56" s="10">
        <f t="shared" si="14"/>
        <v>54.95</v>
      </c>
      <c r="X56" s="8">
        <f>IFERROR(W56/W444, "NA")</f>
        <v>-3.4091261593820026E-2</v>
      </c>
      <c r="Y56" s="9"/>
      <c r="Z56" s="7">
        <v>468.82</v>
      </c>
      <c r="AA56" s="8">
        <f>IFERROR(Z56/Z444, "NA")</f>
        <v>1.5652539138859942E-3</v>
      </c>
      <c r="AB56" s="9"/>
      <c r="AC56" s="10">
        <f t="shared" si="15"/>
        <v>-413.87</v>
      </c>
      <c r="AD56" s="8">
        <f>IFERROR(AC56/AC444, "NA")</f>
        <v>-1.611249273931455E-2</v>
      </c>
    </row>
    <row r="57" spans="1:30" ht="16.5" customHeight="1" x14ac:dyDescent="0.45">
      <c r="A57" s="17" t="s">
        <v>55</v>
      </c>
      <c r="B57" s="7">
        <v>1372.11</v>
      </c>
      <c r="C57" s="8">
        <f>IFERROR(B57/B444, "NA")</f>
        <v>1.7157699757072951E-2</v>
      </c>
      <c r="D57" s="9"/>
      <c r="E57" s="7">
        <v>0</v>
      </c>
      <c r="F57" s="8">
        <f>IFERROR(E57/E444, "NA")</f>
        <v>0</v>
      </c>
      <c r="G57" s="9"/>
      <c r="H57" s="10">
        <f t="shared" si="12"/>
        <v>1372.11</v>
      </c>
      <c r="I57" s="8">
        <f>IFERROR(H57/H444, "NA")</f>
        <v>-6.276950524943388E-2</v>
      </c>
      <c r="J57" s="9"/>
      <c r="K57" s="7">
        <v>3965.94</v>
      </c>
      <c r="L57" s="8">
        <f>IFERROR(K57/K444, "NA")</f>
        <v>4.4009735997512518E-2</v>
      </c>
      <c r="M57" s="9"/>
      <c r="N57" s="10">
        <f t="shared" si="13"/>
        <v>-2593.83</v>
      </c>
      <c r="O57" s="8">
        <f>IFERROR(N57/N444, "NA")</f>
        <v>0.25568704378212925</v>
      </c>
      <c r="P57" s="9"/>
      <c r="Q57" s="7">
        <v>3139.49</v>
      </c>
      <c r="R57" s="8">
        <f>IFERROR(Q57/Q444, "NA")</f>
        <v>9.6539338883463565E-3</v>
      </c>
      <c r="S57" s="9"/>
      <c r="T57" s="7">
        <v>0</v>
      </c>
      <c r="U57" s="8">
        <f>IFERROR(T57/T444, "NA")</f>
        <v>0</v>
      </c>
      <c r="V57" s="9"/>
      <c r="W57" s="10">
        <f t="shared" si="14"/>
        <v>3139.49</v>
      </c>
      <c r="X57" s="8">
        <f>IFERROR(W57/W444, "NA")</f>
        <v>-1.9477556844619113</v>
      </c>
      <c r="Y57" s="9"/>
      <c r="Z57" s="7">
        <v>12738.44</v>
      </c>
      <c r="AA57" s="8">
        <f>IFERROR(Z57/Z444, "NA")</f>
        <v>4.2529954069369706E-2</v>
      </c>
      <c r="AB57" s="9"/>
      <c r="AC57" s="10">
        <f t="shared" si="15"/>
        <v>-9598.9500000000007</v>
      </c>
      <c r="AD57" s="8">
        <f>IFERROR(AC57/AC444, "NA")</f>
        <v>-0.37369950027796989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4609.6299999999992</v>
      </c>
      <c r="C61" s="15">
        <f>IFERROR(B61/B444, "NA")</f>
        <v>5.7641623143331204E-2</v>
      </c>
      <c r="D61" s="2"/>
      <c r="E61" s="14">
        <f>IFERROR(E46+E47+E48+E49+E50+E51+E52+E53+E54+E55+E56+E57+E58+E59+E60, "NA")</f>
        <v>14969.01</v>
      </c>
      <c r="F61" s="15">
        <f>IFERROR(E61/E444, "NA")</f>
        <v>0.14699998556417701</v>
      </c>
      <c r="G61" s="2"/>
      <c r="H61" s="14">
        <f t="shared" si="12"/>
        <v>-10359.380000000001</v>
      </c>
      <c r="I61" s="15">
        <f>IFERROR(H61/H444, "NA")</f>
        <v>0.47390745442484966</v>
      </c>
      <c r="J61" s="2"/>
      <c r="K61" s="14">
        <f>IFERROR(K46+K47+K48+K49+K50+K51+K52+K53+K54+K55+K56+K57+K58+K59+K60, "NA")</f>
        <v>21242.469999999998</v>
      </c>
      <c r="L61" s="15">
        <f>IFERROR(K61/K444, "NA")</f>
        <v>0.23572608174482709</v>
      </c>
      <c r="M61" s="2"/>
      <c r="N61" s="14">
        <f t="shared" si="13"/>
        <v>-16632.839999999997</v>
      </c>
      <c r="O61" s="15">
        <f>IFERROR(N61/N444, "NA")</f>
        <v>1.6395838159405782</v>
      </c>
      <c r="P61" s="2"/>
      <c r="Q61" s="14">
        <f>IFERROR(Q46+Q47+Q48+Q49+Q50+Q51+Q52+Q53+Q54+Q55+Q56+Q57+Q58+Q59+Q60, "NA")</f>
        <v>42064.989999999991</v>
      </c>
      <c r="R61" s="15">
        <f>IFERROR(Q61/Q444, "NA")</f>
        <v>0.12934987290099681</v>
      </c>
      <c r="S61" s="2"/>
      <c r="T61" s="14">
        <f>IFERROR(T46+T47+T48+T49+T50+T51+T52+T53+T54+T55+T56+T57+T58+T59+T60, "NA")</f>
        <v>48041.81</v>
      </c>
      <c r="U61" s="15">
        <f>IFERROR(T61/T444, "NA")</f>
        <v>0.14700000180530251</v>
      </c>
      <c r="V61" s="2"/>
      <c r="W61" s="14">
        <f t="shared" si="14"/>
        <v>-5976.820000000007</v>
      </c>
      <c r="X61" s="15">
        <f>IFERROR(W61/W444, "NA")</f>
        <v>3.7080497564909125</v>
      </c>
      <c r="Y61" s="2"/>
      <c r="Z61" s="14">
        <f>IFERROR(Z46+Z47+Z48+Z49+Z50+Z51+Z52+Z53+Z54+Z55+Z56+Z57+Z58+Z59+Z60, "NA")</f>
        <v>50265.070000000007</v>
      </c>
      <c r="AA61" s="15">
        <f>IFERROR(Z61/Z444, "NA")</f>
        <v>0.16782048024669061</v>
      </c>
      <c r="AB61" s="2"/>
      <c r="AC61" s="14">
        <f t="shared" si="15"/>
        <v>-8200.0800000000163</v>
      </c>
      <c r="AD61" s="15">
        <f>IFERROR(AC61/AC444, "NA")</f>
        <v>-0.31923968749075482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8806.869999999999</v>
      </c>
      <c r="C62" s="15">
        <f>IFERROR(B62/B444, "NA")</f>
        <v>0.11012647037014019</v>
      </c>
      <c r="D62" s="2"/>
      <c r="E62" s="14">
        <f>IFERROR(E42+E43+E44+E46+E47+E48+E49+E50+E51+E52+E53+E54+E55+E56+E57+E58+E59+E60, "NA")</f>
        <v>14969.01</v>
      </c>
      <c r="F62" s="15">
        <f>IFERROR(E62/E444, "NA")</f>
        <v>0.14699998556417701</v>
      </c>
      <c r="G62" s="2"/>
      <c r="H62" s="14">
        <f t="shared" si="12"/>
        <v>-6162.1400000000012</v>
      </c>
      <c r="I62" s="15">
        <f>IFERROR(H62/H444, "NA")</f>
        <v>0.28189757313753749</v>
      </c>
      <c r="J62" s="2"/>
      <c r="K62" s="14">
        <f>IFERROR(K42+K43+K44+K46+K47+K48+K49+K50+K51+K52+K53+K54+K55+K56+K57+K58+K59+K60, "NA")</f>
        <v>21242.469999999998</v>
      </c>
      <c r="L62" s="15">
        <f>IFERROR(K62/K444, "NA")</f>
        <v>0.23572608174482709</v>
      </c>
      <c r="M62" s="2"/>
      <c r="N62" s="14">
        <f t="shared" si="13"/>
        <v>-12435.599999999999</v>
      </c>
      <c r="O62" s="15">
        <f>IFERROR(N62/N444, "NA")</f>
        <v>1.2258404759205677</v>
      </c>
      <c r="P62" s="2"/>
      <c r="Q62" s="14">
        <f>IFERROR(Q42+Q43+Q44+Q46+Q47+Q48+Q49+Q50+Q51+Q52+Q53+Q54+Q55+Q56+Q57+Q58+Q59+Q60, "NA")</f>
        <v>64745.849999999991</v>
      </c>
      <c r="R62" s="15">
        <f>IFERROR(Q62/Q444, "NA")</f>
        <v>0.19909353284921749</v>
      </c>
      <c r="S62" s="2"/>
      <c r="T62" s="14">
        <f>IFERROR(T42+T43+T44+T46+T47+T48+T49+T50+T51+T52+T53+T54+T55+T56+T57+T58+T59+T60, "NA")</f>
        <v>48041.81</v>
      </c>
      <c r="U62" s="15">
        <f>IFERROR(T62/T444, "NA")</f>
        <v>0.14700000180530251</v>
      </c>
      <c r="V62" s="2"/>
      <c r="W62" s="14">
        <f t="shared" si="14"/>
        <v>16704.039999999994</v>
      </c>
      <c r="X62" s="15">
        <f>IFERROR(W62/W444, "NA")</f>
        <v>-10.363272016626629</v>
      </c>
      <c r="Y62" s="2"/>
      <c r="Z62" s="14">
        <f>IFERROR(Z42+Z43+Z44+Z46+Z47+Z48+Z49+Z50+Z51+Z52+Z53+Z54+Z55+Z56+Z57+Z58+Z59+Z60, "NA")</f>
        <v>50265.070000000007</v>
      </c>
      <c r="AA62" s="15">
        <f>IFERROR(Z62/Z444, "NA")</f>
        <v>0.16782048024669061</v>
      </c>
      <c r="AB62" s="2"/>
      <c r="AC62" s="14">
        <f t="shared" si="15"/>
        <v>14480.779999999984</v>
      </c>
      <c r="AD62" s="15">
        <f>IFERROR(AC62/AC444, "NA")</f>
        <v>0.56375543675456319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2078.39</v>
      </c>
      <c r="C65" s="8">
        <f>IFERROR(B65/B444, "NA")</f>
        <v>2.598945536298318E-2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2078.39</v>
      </c>
      <c r="I65" s="8">
        <f>IFERROR(H65/H444, "NA")</f>
        <v>-9.507948489215215E-2</v>
      </c>
      <c r="J65" s="9"/>
      <c r="K65" s="7">
        <v>0</v>
      </c>
      <c r="L65" s="8">
        <f>IFERROR(K65/K444, "NA")</f>
        <v>0</v>
      </c>
      <c r="M65" s="9"/>
      <c r="N65" s="10">
        <f t="shared" si="17"/>
        <v>2078.39</v>
      </c>
      <c r="O65" s="8">
        <f>IFERROR(N65/N444, "NA")</f>
        <v>-0.20487749579823641</v>
      </c>
      <c r="P65" s="9"/>
      <c r="Q65" s="7">
        <v>2078.39</v>
      </c>
      <c r="R65" s="8">
        <f>IFERROR(Q65/Q444, "NA")</f>
        <v>6.3910506656177221E-3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2078.39</v>
      </c>
      <c r="X65" s="8">
        <f>IFERROR(W65/W444, "NA")</f>
        <v>-1.2894438068058163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2078.39</v>
      </c>
      <c r="AD65" s="8">
        <f>IFERROR(AC65/AC444, "NA")</f>
        <v>8.0914402552646869E-2</v>
      </c>
    </row>
    <row r="66" spans="1:30" ht="16.5" customHeight="1" x14ac:dyDescent="0.45">
      <c r="A66" s="12" t="s">
        <v>63</v>
      </c>
      <c r="B66" s="7">
        <v>1413.58</v>
      </c>
      <c r="C66" s="8">
        <f>IFERROR(B66/B444, "NA")</f>
        <v>1.7676265913522372E-2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1413.58</v>
      </c>
      <c r="I66" s="8">
        <f>IFERROR(H66/H444, "NA")</f>
        <v>-6.4666620919966139E-2</v>
      </c>
      <c r="J66" s="9"/>
      <c r="K66" s="7">
        <v>0</v>
      </c>
      <c r="L66" s="8">
        <f>IFERROR(K66/K444, "NA")</f>
        <v>0</v>
      </c>
      <c r="M66" s="9"/>
      <c r="N66" s="10">
        <f t="shared" si="17"/>
        <v>1413.58</v>
      </c>
      <c r="O66" s="8">
        <f>IFERROR(N66/N444, "NA")</f>
        <v>-0.13934378557944901</v>
      </c>
      <c r="P66" s="9"/>
      <c r="Q66" s="7">
        <v>3301.32</v>
      </c>
      <c r="R66" s="8">
        <f>IFERROR(Q66/Q444, "NA")</f>
        <v>1.0151561248570817E-2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3301.32</v>
      </c>
      <c r="X66" s="8">
        <f>IFERROR(W66/W444, "NA")</f>
        <v>-2.048155845767242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3301.32</v>
      </c>
      <c r="AD66" s="8">
        <f>IFERROR(AC66/AC444, "NA")</f>
        <v>0.128524644284809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3491.97</v>
      </c>
      <c r="C73" s="15">
        <f>IFERROR(B73/B444, "NA")</f>
        <v>4.3665721276505552E-2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3491.97</v>
      </c>
      <c r="I73" s="15">
        <f>IFERROR(H73/H444, "NA")</f>
        <v>-0.15974610581211829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3491.97</v>
      </c>
      <c r="O73" s="15">
        <f>IFERROR(N73/N444, "NA")</f>
        <v>-0.34422128137768543</v>
      </c>
      <c r="P73" s="2"/>
      <c r="Q73" s="14">
        <f>IFERROR(Q64+Q65+Q66+Q67+Q68+Q69+Q70+Q71+Q72, "NA")</f>
        <v>5379.71</v>
      </c>
      <c r="R73" s="15">
        <f>IFERROR(Q73/Q444, "NA")</f>
        <v>1.654261191418854E-2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5379.71</v>
      </c>
      <c r="X73" s="15">
        <f>IFERROR(W73/W444, "NA")</f>
        <v>-3.3375996525730578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5379.71</v>
      </c>
      <c r="AD73" s="15">
        <f>IFERROR(AC73/AC444, "NA")</f>
        <v>0.20943904683745587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814.64</v>
      </c>
      <c r="F75" s="8">
        <f>IFERROR(E75/E444, "NA")</f>
        <v>7.9999992143769804E-3</v>
      </c>
      <c r="G75" s="9"/>
      <c r="H75" s="10">
        <f t="shared" ref="H75:H92" si="20">IFERROR(B75-E75, "NA")</f>
        <v>-814.64</v>
      </c>
      <c r="I75" s="8">
        <f>IFERROR(H75/H444, "NA")</f>
        <v>3.7267092110981496E-2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2614.5300000000002</v>
      </c>
      <c r="U75" s="8">
        <f>IFERROR(T75/T444, "NA")</f>
        <v>8.0000298639875903E-3</v>
      </c>
      <c r="V75" s="9"/>
      <c r="W75" s="10">
        <f t="shared" ref="W75:W92" si="22">IFERROR(Q75-T75, "NA")</f>
        <v>-2614.5300000000002</v>
      </c>
      <c r="X75" s="8">
        <f>IFERROR(W75/W444, "NA")</f>
        <v>1.6220678102800778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64.17</v>
      </c>
      <c r="C77" s="8">
        <f>IFERROR(B77/B444, "NA")</f>
        <v>8.0242079236458549E-4</v>
      </c>
      <c r="D77" s="9"/>
      <c r="E77" s="7">
        <v>0</v>
      </c>
      <c r="F77" s="8">
        <f>IFERROR(E77/E444, "NA")</f>
        <v>0</v>
      </c>
      <c r="G77" s="9"/>
      <c r="H77" s="10">
        <f t="shared" si="20"/>
        <v>64.17</v>
      </c>
      <c r="I77" s="8">
        <f>IFERROR(H77/H444, "NA")</f>
        <v>-2.9355657723186715E-3</v>
      </c>
      <c r="J77" s="9"/>
      <c r="K77" s="7">
        <v>38.869999999999997</v>
      </c>
      <c r="L77" s="8">
        <f>IFERROR(K77/K444, "NA")</f>
        <v>4.3133744792490843E-4</v>
      </c>
      <c r="M77" s="9"/>
      <c r="N77" s="10">
        <f t="shared" si="21"/>
        <v>25.300000000000004</v>
      </c>
      <c r="O77" s="8">
        <f>IFERROR(N77/N444, "NA")</f>
        <v>-2.4939499534232662E-3</v>
      </c>
      <c r="P77" s="9"/>
      <c r="Q77" s="7">
        <v>671.82</v>
      </c>
      <c r="R77" s="8">
        <f>IFERROR(Q77/Q444, "NA")</f>
        <v>2.0658469575851011E-3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671.82</v>
      </c>
      <c r="X77" s="8">
        <f>IFERROR(W77/W444, "NA")</f>
        <v>-0.4168005707727056</v>
      </c>
      <c r="Y77" s="9"/>
      <c r="Z77" s="7">
        <v>263.12</v>
      </c>
      <c r="AA77" s="8">
        <f>IFERROR(Z77/Z444, "NA")</f>
        <v>8.7848131440997144E-4</v>
      </c>
      <c r="AB77" s="9"/>
      <c r="AC77" s="10">
        <f t="shared" si="23"/>
        <v>408.70000000000005</v>
      </c>
      <c r="AD77" s="8">
        <f>IFERROR(AC77/AC444, "NA")</f>
        <v>1.5911217973174806E-2</v>
      </c>
    </row>
    <row r="78" spans="1:30" ht="16.5" customHeight="1" x14ac:dyDescent="0.45">
      <c r="A78" s="12" t="s">
        <v>74</v>
      </c>
      <c r="B78" s="7">
        <v>25</v>
      </c>
      <c r="C78" s="8">
        <f>IFERROR(B78/B444, "NA")</f>
        <v>3.126152377920311E-4</v>
      </c>
      <c r="D78" s="9"/>
      <c r="E78" s="7">
        <v>0</v>
      </c>
      <c r="F78" s="8">
        <f>IFERROR(E78/E444, "NA")</f>
        <v>0</v>
      </c>
      <c r="G78" s="9"/>
      <c r="H78" s="10">
        <f t="shared" si="20"/>
        <v>25</v>
      </c>
      <c r="I78" s="8">
        <f>IFERROR(H78/H444, "NA")</f>
        <v>-1.1436675129806262E-3</v>
      </c>
      <c r="J78" s="9"/>
      <c r="K78" s="7">
        <v>75</v>
      </c>
      <c r="L78" s="8">
        <f>IFERROR(K78/K444, "NA")</f>
        <v>8.3226932324075465E-4</v>
      </c>
      <c r="M78" s="9"/>
      <c r="N78" s="10">
        <f t="shared" si="21"/>
        <v>-50</v>
      </c>
      <c r="O78" s="8">
        <f>IFERROR(N78/N444, "NA")</f>
        <v>4.9287548486625808E-3</v>
      </c>
      <c r="P78" s="9"/>
      <c r="Q78" s="7">
        <v>225</v>
      </c>
      <c r="R78" s="8">
        <f>IFERROR(Q78/Q444, "NA")</f>
        <v>6.9187515325034644E-4</v>
      </c>
      <c r="S78" s="9"/>
      <c r="T78" s="7">
        <v>0</v>
      </c>
      <c r="U78" s="8">
        <f>IFERROR(T78/T444, "NA")</f>
        <v>0</v>
      </c>
      <c r="V78" s="9"/>
      <c r="W78" s="10">
        <f t="shared" si="22"/>
        <v>225</v>
      </c>
      <c r="X78" s="8">
        <f>IFERROR(W78/W444, "NA")</f>
        <v>-0.13959115302292094</v>
      </c>
      <c r="Y78" s="9"/>
      <c r="Z78" s="7">
        <v>200</v>
      </c>
      <c r="AA78" s="8">
        <f>IFERROR(Z78/Z444, "NA")</f>
        <v>6.6774195379292454E-4</v>
      </c>
      <c r="AB78" s="9"/>
      <c r="AC78" s="10">
        <f t="shared" si="23"/>
        <v>25</v>
      </c>
      <c r="AD78" s="8">
        <f>IFERROR(AC78/AC444, "NA")</f>
        <v>9.732822347183021E-4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5.98</v>
      </c>
      <c r="L79" s="8">
        <f>IFERROR(K79/K444, "NA")</f>
        <v>6.6359607373062848E-5</v>
      </c>
      <c r="M79" s="9"/>
      <c r="N79" s="10">
        <f t="shared" si="21"/>
        <v>-5.98</v>
      </c>
      <c r="O79" s="8">
        <f>IFERROR(N79/N444, "NA")</f>
        <v>5.8947907990004476E-4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29.9</v>
      </c>
      <c r="AA79" s="8">
        <f>IFERROR(Z79/Z444, "NA")</f>
        <v>9.9827422092042204E-5</v>
      </c>
      <c r="AB79" s="9"/>
      <c r="AC79" s="10">
        <f t="shared" si="23"/>
        <v>-29.9</v>
      </c>
      <c r="AD79" s="8">
        <f>IFERROR(AC79/AC444, "NA")</f>
        <v>-1.1640455527230894E-3</v>
      </c>
    </row>
    <row r="80" spans="1:30" ht="16.5" customHeight="1" x14ac:dyDescent="0.45">
      <c r="A80" s="12" t="s">
        <v>76</v>
      </c>
      <c r="B80" s="7">
        <v>53.22</v>
      </c>
      <c r="C80" s="8">
        <f>IFERROR(B80/B444, "NA")</f>
        <v>6.6549531821167576E-4</v>
      </c>
      <c r="D80" s="9"/>
      <c r="E80" s="7">
        <v>0</v>
      </c>
      <c r="F80" s="8">
        <f>IFERROR(E80/E444, "NA")</f>
        <v>0</v>
      </c>
      <c r="G80" s="9"/>
      <c r="H80" s="10">
        <f t="shared" si="20"/>
        <v>53.22</v>
      </c>
      <c r="I80" s="8">
        <f>IFERROR(H80/H444, "NA")</f>
        <v>-2.434639401633157E-3</v>
      </c>
      <c r="J80" s="9"/>
      <c r="K80" s="7">
        <v>688.81</v>
      </c>
      <c r="L80" s="8">
        <f>IFERROR(K80/K444, "NA")</f>
        <v>7.6436724338861889E-3</v>
      </c>
      <c r="M80" s="9"/>
      <c r="N80" s="10">
        <f t="shared" si="21"/>
        <v>-635.58999999999992</v>
      </c>
      <c r="O80" s="8">
        <f>IFERROR(N80/N444, "NA")</f>
        <v>6.2653345885228987E-2</v>
      </c>
      <c r="P80" s="9"/>
      <c r="Q80" s="7">
        <v>2534.17</v>
      </c>
      <c r="R80" s="8">
        <f>IFERROR(Q80/Q444, "NA")</f>
        <v>7.7925744760552465E-3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2534.17</v>
      </c>
      <c r="X80" s="8">
        <f>IFERROR(W80/W444, "NA")</f>
        <v>-1.5722120544715359</v>
      </c>
      <c r="Y80" s="9"/>
      <c r="Z80" s="7">
        <v>1328.09</v>
      </c>
      <c r="AA80" s="8">
        <f>IFERROR(Z80/Z444, "NA")</f>
        <v>4.4341070570642254E-3</v>
      </c>
      <c r="AB80" s="9"/>
      <c r="AC80" s="10">
        <f t="shared" si="23"/>
        <v>1206.0800000000002</v>
      </c>
      <c r="AD80" s="8">
        <f>IFERROR(AC80/AC444, "NA")</f>
        <v>4.6954249505961998E-2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25</v>
      </c>
      <c r="L82" s="8">
        <f>IFERROR(K82/K444, "NA")</f>
        <v>2.7742310774691822E-4</v>
      </c>
      <c r="M82" s="9"/>
      <c r="N82" s="10">
        <f t="shared" si="21"/>
        <v>-25</v>
      </c>
      <c r="O82" s="8">
        <f>IFERROR(N82/N444, "NA")</f>
        <v>2.4643774243312904E-3</v>
      </c>
      <c r="P82" s="9"/>
      <c r="Q82" s="7">
        <v>25</v>
      </c>
      <c r="R82" s="8">
        <f>IFERROR(Q82/Q444, "NA")</f>
        <v>7.6875017027816276E-5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-1.5510128113657883E-2</v>
      </c>
      <c r="Y82" s="9"/>
      <c r="Z82" s="7">
        <v>25</v>
      </c>
      <c r="AA82" s="8">
        <f>IFERROR(Z82/Z444, "NA")</f>
        <v>8.3467744224115567E-5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30</v>
      </c>
      <c r="L85" s="8">
        <f>IFERROR(K85/K444, "NA")</f>
        <v>3.3290772929630186E-4</v>
      </c>
      <c r="M85" s="9"/>
      <c r="N85" s="10">
        <f t="shared" si="21"/>
        <v>-30</v>
      </c>
      <c r="O85" s="8">
        <f>IFERROR(N85/N444, "NA")</f>
        <v>2.9572529091975485E-3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30</v>
      </c>
      <c r="AA85" s="8">
        <f>IFERROR(Z85/Z444, "NA")</f>
        <v>1.0016129306893867E-4</v>
      </c>
      <c r="AB85" s="9"/>
      <c r="AC85" s="10">
        <f t="shared" si="23"/>
        <v>-30</v>
      </c>
      <c r="AD85" s="8">
        <f>IFERROR(AC85/AC444, "NA")</f>
        <v>-1.1679386816619626E-3</v>
      </c>
    </row>
    <row r="86" spans="1:30" ht="16.5" customHeight="1" x14ac:dyDescent="0.45">
      <c r="A86" s="12" t="s">
        <v>82</v>
      </c>
      <c r="B86" s="7">
        <v>25</v>
      </c>
      <c r="C86" s="8">
        <f>IFERROR(B86/B444, "NA")</f>
        <v>3.126152377920311E-4</v>
      </c>
      <c r="D86" s="9"/>
      <c r="E86" s="7">
        <v>0</v>
      </c>
      <c r="F86" s="8">
        <f>IFERROR(E86/E444, "NA")</f>
        <v>0</v>
      </c>
      <c r="G86" s="9"/>
      <c r="H86" s="10">
        <f t="shared" si="20"/>
        <v>25</v>
      </c>
      <c r="I86" s="8">
        <f>IFERROR(H86/H444, "NA")</f>
        <v>-1.1436675129806262E-3</v>
      </c>
      <c r="J86" s="9"/>
      <c r="K86" s="7">
        <v>140</v>
      </c>
      <c r="L86" s="8">
        <f>IFERROR(K86/K444, "NA")</f>
        <v>1.553569403382742E-3</v>
      </c>
      <c r="M86" s="9"/>
      <c r="N86" s="10">
        <f t="shared" si="21"/>
        <v>-115</v>
      </c>
      <c r="O86" s="8">
        <f>IFERROR(N86/N444, "NA")</f>
        <v>1.1336136151923935E-2</v>
      </c>
      <c r="P86" s="9"/>
      <c r="Q86" s="7">
        <v>50</v>
      </c>
      <c r="R86" s="8">
        <f>IFERROR(Q86/Q444, "NA")</f>
        <v>1.5375003405563255E-4</v>
      </c>
      <c r="S86" s="9"/>
      <c r="T86" s="7">
        <v>0</v>
      </c>
      <c r="U86" s="8">
        <f>IFERROR(T86/T444, "NA")</f>
        <v>0</v>
      </c>
      <c r="V86" s="9"/>
      <c r="W86" s="10">
        <f t="shared" si="22"/>
        <v>50</v>
      </c>
      <c r="X86" s="8">
        <f>IFERROR(W86/W444, "NA")</f>
        <v>-3.1020256227315766E-2</v>
      </c>
      <c r="Y86" s="9"/>
      <c r="Z86" s="7">
        <v>645</v>
      </c>
      <c r="AA86" s="8">
        <f>IFERROR(Z86/Z444, "NA")</f>
        <v>2.1534678009821817E-3</v>
      </c>
      <c r="AB86" s="9"/>
      <c r="AC86" s="10">
        <f t="shared" si="23"/>
        <v>-595</v>
      </c>
      <c r="AD86" s="8">
        <f>IFERROR(AC86/AC444, "NA")</f>
        <v>-2.3164117186295591E-2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167.39</v>
      </c>
      <c r="C88" s="15">
        <f>IFERROR(B88/B444, "NA")</f>
        <v>2.0931465861603231E-3</v>
      </c>
      <c r="D88" s="2"/>
      <c r="E88" s="14">
        <f>IFERROR(E75+E76+E77+E78+E79+E80+E81+E82+E83+E84+E85+E86+E87, "NA")</f>
        <v>814.64</v>
      </c>
      <c r="F88" s="15">
        <f>IFERROR(E88/E444, "NA")</f>
        <v>7.9999992143769804E-3</v>
      </c>
      <c r="G88" s="2"/>
      <c r="H88" s="14">
        <f t="shared" si="20"/>
        <v>-647.25</v>
      </c>
      <c r="I88" s="15">
        <f>IFERROR(H88/H444, "NA")</f>
        <v>2.9609551911068413E-2</v>
      </c>
      <c r="J88" s="2"/>
      <c r="K88" s="14">
        <f>IFERROR(K75+K76+K77+K78+K79+K80+K81+K82+K83+K84+K85+K86+K87, "NA")</f>
        <v>1003.66</v>
      </c>
      <c r="L88" s="15">
        <f>IFERROR(K88/K444, "NA")</f>
        <v>1.1137539052850878E-2</v>
      </c>
      <c r="M88" s="2"/>
      <c r="N88" s="14">
        <f t="shared" si="21"/>
        <v>-836.27</v>
      </c>
      <c r="O88" s="15">
        <f>IFERROR(N88/N444, "NA")</f>
        <v>8.243539634582113E-2</v>
      </c>
      <c r="P88" s="2"/>
      <c r="Q88" s="14">
        <f>IFERROR(Q75+Q76+Q77+Q78+Q79+Q80+Q81+Q82+Q83+Q84+Q85+Q86+Q87, "NA")</f>
        <v>3505.9900000000002</v>
      </c>
      <c r="R88" s="15">
        <f>IFERROR(Q88/Q444, "NA")</f>
        <v>1.0780921637974145E-2</v>
      </c>
      <c r="S88" s="2"/>
      <c r="T88" s="14">
        <f>IFERROR(T75+T76+T77+T78+T79+T80+T81+T82+T83+T84+T85+T86+T87, "NA")</f>
        <v>2614.5300000000002</v>
      </c>
      <c r="U88" s="15">
        <f>IFERROR(T88/T444, "NA")</f>
        <v>8.0000298639875903E-3</v>
      </c>
      <c r="V88" s="2"/>
      <c r="W88" s="14">
        <f t="shared" si="22"/>
        <v>891.46</v>
      </c>
      <c r="X88" s="15">
        <f>IFERROR(W88/W444, "NA")</f>
        <v>-0.55306635232805823</v>
      </c>
      <c r="Y88" s="2"/>
      <c r="Z88" s="14">
        <f>IFERROR(Z75+Z76+Z77+Z78+Z79+Z80+Z81+Z82+Z83+Z84+Z85+Z86+Z87, "NA")</f>
        <v>2521.1099999999997</v>
      </c>
      <c r="AA88" s="15">
        <f>IFERROR(Z88/Z444, "NA")</f>
        <v>8.4172545856343976E-3</v>
      </c>
      <c r="AB88" s="2"/>
      <c r="AC88" s="14">
        <f t="shared" si="23"/>
        <v>984.88000000000056</v>
      </c>
      <c r="AD88" s="15">
        <f>IFERROR(AC88/AC444, "NA")</f>
        <v>3.8342648293174478E-2</v>
      </c>
    </row>
    <row r="89" spans="1:30" ht="16.5" customHeight="1" x14ac:dyDescent="0.45">
      <c r="A89" s="6" t="s">
        <v>85</v>
      </c>
      <c r="B89" s="7">
        <v>-227.54</v>
      </c>
      <c r="C89" s="8">
        <f>IFERROR(B89/B444, "NA")</f>
        <v>-2.8452988482879503E-3</v>
      </c>
      <c r="D89" s="9"/>
      <c r="E89" s="7">
        <v>0</v>
      </c>
      <c r="F89" s="8">
        <f>IFERROR(E89/E444, "NA")</f>
        <v>0</v>
      </c>
      <c r="G89" s="9"/>
      <c r="H89" s="10">
        <f t="shared" si="20"/>
        <v>-227.54</v>
      </c>
      <c r="I89" s="8">
        <f>IFERROR(H89/H444, "NA")</f>
        <v>1.0409204236144467E-2</v>
      </c>
      <c r="J89" s="9"/>
      <c r="K89" s="7">
        <v>-540.83000000000004</v>
      </c>
      <c r="L89" s="8">
        <f>IFERROR(K89/K444, "NA")</f>
        <v>-6.0015495745106319E-3</v>
      </c>
      <c r="M89" s="9"/>
      <c r="N89" s="10">
        <f t="shared" si="21"/>
        <v>313.29000000000008</v>
      </c>
      <c r="O89" s="8">
        <f>IFERROR(N89/N444, "NA")</f>
        <v>-3.0882592130750008E-2</v>
      </c>
      <c r="P89" s="9"/>
      <c r="Q89" s="7">
        <v>-368.51</v>
      </c>
      <c r="R89" s="8">
        <f>IFERROR(Q89/Q444, "NA")</f>
        <v>-1.133168500996823E-3</v>
      </c>
      <c r="S89" s="9"/>
      <c r="T89" s="7">
        <v>0</v>
      </c>
      <c r="U89" s="8">
        <f>IFERROR(T89/T444, "NA")</f>
        <v>0</v>
      </c>
      <c r="V89" s="9"/>
      <c r="W89" s="10">
        <f t="shared" si="22"/>
        <v>-368.51</v>
      </c>
      <c r="X89" s="8">
        <f>IFERROR(W89/W444, "NA")</f>
        <v>0.22862549244656266</v>
      </c>
      <c r="Y89" s="9"/>
      <c r="Z89" s="7">
        <v>-912.58</v>
      </c>
      <c r="AA89" s="8">
        <f>IFERROR(Z89/Z444, "NA")</f>
        <v>-3.0468397609617354E-3</v>
      </c>
      <c r="AB89" s="9"/>
      <c r="AC89" s="10">
        <f t="shared" si="23"/>
        <v>544.07000000000005</v>
      </c>
      <c r="AD89" s="8">
        <f>IFERROR(AC89/AC444, "NA")</f>
        <v>2.1181346617727467E-2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-4073.2</v>
      </c>
      <c r="F94" s="8">
        <f>IFERROR(E94/E444, "NA")</f>
        <v>-3.9999996071884897E-2</v>
      </c>
      <c r="G94" s="9"/>
      <c r="H94" s="10">
        <f t="shared" ref="H94:H124" si="24">IFERROR(B94-E94, "NA")</f>
        <v>4073.2</v>
      </c>
      <c r="I94" s="8">
        <f>IFERROR(H94/H444, "NA")</f>
        <v>-0.18633546055490746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-13072.61</v>
      </c>
      <c r="U94" s="8">
        <f>IFERROR(T94/T444, "NA")</f>
        <v>-4.0000026926546188E-2</v>
      </c>
      <c r="V94" s="9"/>
      <c r="W94" s="10">
        <f t="shared" ref="W94:W124" si="26">IFERROR(Q94-T94, "NA")</f>
        <v>13072.61</v>
      </c>
      <c r="X94" s="8">
        <f>IFERROR(W94/W444, "NA")</f>
        <v>-8.110314235195407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-1219.55</v>
      </c>
      <c r="C96" s="8">
        <f>IFERROR(B96/B444, "NA")</f>
        <v>-1.5249996529970861E-2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-1219.55</v>
      </c>
      <c r="I96" s="8">
        <f>IFERROR(H96/H444, "NA")</f>
        <v>5.5790388618220908E-2</v>
      </c>
      <c r="J96" s="9"/>
      <c r="K96" s="7">
        <v>-1007.01</v>
      </c>
      <c r="L96" s="8">
        <f>IFERROR(K96/K444, "NA")</f>
        <v>-1.1174713749288965E-2</v>
      </c>
      <c r="M96" s="9"/>
      <c r="N96" s="10">
        <f t="shared" si="25"/>
        <v>-212.53999999999996</v>
      </c>
      <c r="O96" s="8">
        <f>IFERROR(N96/N444, "NA")</f>
        <v>2.0951151110694895E-2</v>
      </c>
      <c r="P96" s="9"/>
      <c r="Q96" s="7">
        <v>-5232.6899999999996</v>
      </c>
      <c r="R96" s="8">
        <f>IFERROR(Q96/Q444, "NA")</f>
        <v>-1.6090525314051356E-2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-5232.6899999999996</v>
      </c>
      <c r="X96" s="8">
        <f>IFERROR(W96/W444, "NA")</f>
        <v>3.2463876911622584</v>
      </c>
      <c r="Y96" s="9"/>
      <c r="Z96" s="7">
        <v>-4952.3999999999996</v>
      </c>
      <c r="AA96" s="8">
        <f>IFERROR(Z96/Z444, "NA")</f>
        <v>-1.6534626259820395E-2</v>
      </c>
      <c r="AB96" s="9"/>
      <c r="AC96" s="10">
        <f t="shared" si="27"/>
        <v>-280.28999999999996</v>
      </c>
      <c r="AD96" s="8">
        <f>IFERROR(AC96/AC444, "NA")</f>
        <v>-1.0912051102767715E-2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-1637.71</v>
      </c>
      <c r="C98" s="8">
        <f>IFERROR(B98/B444, "NA")</f>
        <v>-2.047892404337549E-2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-1637.71</v>
      </c>
      <c r="I98" s="8">
        <f>IFERROR(H98/H444, "NA")</f>
        <v>7.4919828907340058E-2</v>
      </c>
      <c r="J98" s="9"/>
      <c r="K98" s="7">
        <v>-2135.09</v>
      </c>
      <c r="L98" s="8">
        <f>IFERROR(K98/K444, "NA")</f>
        <v>-2.3692932124774708E-2</v>
      </c>
      <c r="M98" s="9"/>
      <c r="N98" s="10">
        <f t="shared" si="25"/>
        <v>497.38000000000011</v>
      </c>
      <c r="O98" s="8">
        <f>IFERROR(N98/N444, "NA")</f>
        <v>-4.9029281732555899E-2</v>
      </c>
      <c r="P98" s="9"/>
      <c r="Q98" s="7">
        <v>-7015.59</v>
      </c>
      <c r="R98" s="8">
        <f>IFERROR(Q98/Q444, "NA")</f>
        <v>-2.1572944028407103E-2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-7015.59</v>
      </c>
      <c r="X98" s="8">
        <f>IFERROR(W98/W444, "NA")</f>
        <v>4.3525079877158843</v>
      </c>
      <c r="Y98" s="9"/>
      <c r="Z98" s="7">
        <v>-6628.39</v>
      </c>
      <c r="AA98" s="8">
        <f>IFERROR(Z98/Z444, "NA")</f>
        <v>-2.2130270445507416E-2</v>
      </c>
      <c r="AB98" s="9"/>
      <c r="AC98" s="10">
        <f t="shared" si="27"/>
        <v>-387.19999999999982</v>
      </c>
      <c r="AD98" s="8">
        <f>IFERROR(AC98/AC444, "NA")</f>
        <v>-1.5074195251317056E-2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-543.98</v>
      </c>
      <c r="C100" s="8">
        <f>IFERROR(B100/B444, "NA")</f>
        <v>-6.8022574821643639E-3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-543.98</v>
      </c>
      <c r="I100" s="8">
        <f>IFERROR(H100/H444, "NA")</f>
        <v>2.4885290148448043E-2</v>
      </c>
      <c r="J100" s="9"/>
      <c r="K100" s="7">
        <v>-45.54</v>
      </c>
      <c r="L100" s="8">
        <f>IFERROR(K100/K444, "NA")</f>
        <v>-5.0535393307178623E-4</v>
      </c>
      <c r="M100" s="9"/>
      <c r="N100" s="10">
        <f t="shared" si="25"/>
        <v>-498.44</v>
      </c>
      <c r="O100" s="8">
        <f>IFERROR(N100/N444, "NA")</f>
        <v>4.9133771335347534E-2</v>
      </c>
      <c r="P100" s="9"/>
      <c r="Q100" s="7">
        <v>-1296.1500000000001</v>
      </c>
      <c r="R100" s="8">
        <f>IFERROR(Q100/Q444, "NA")</f>
        <v>-3.9856621328241632E-3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-1296.1500000000001</v>
      </c>
      <c r="X100" s="8">
        <f>IFERROR(W100/W444, "NA")</f>
        <v>0.80413810218070669</v>
      </c>
      <c r="Y100" s="9"/>
      <c r="Z100" s="7">
        <v>-158.97</v>
      </c>
      <c r="AA100" s="8">
        <f>IFERROR(Z100/Z444, "NA")</f>
        <v>-5.3075469197230599E-4</v>
      </c>
      <c r="AB100" s="9"/>
      <c r="AC100" s="10">
        <f t="shared" si="27"/>
        <v>-1137.18</v>
      </c>
      <c r="AD100" s="8">
        <f>IFERROR(AC100/AC444, "NA")</f>
        <v>-4.4271883667078356E-2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-1309.2</v>
      </c>
      <c r="C102" s="8">
        <f>IFERROR(B102/B444, "NA")</f>
        <v>-1.6371034772693086E-2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-1309.2</v>
      </c>
      <c r="I102" s="8">
        <f>IFERROR(H102/H444, "NA")</f>
        <v>5.989158031976944E-2</v>
      </c>
      <c r="J102" s="9"/>
      <c r="K102" s="7">
        <v>-310.73</v>
      </c>
      <c r="L102" s="8">
        <f>IFERROR(K102/K444, "NA")</f>
        <v>-3.4481472908079961E-3</v>
      </c>
      <c r="M102" s="9"/>
      <c r="N102" s="10">
        <f t="shared" si="25"/>
        <v>-998.47</v>
      </c>
      <c r="O102" s="8">
        <f>IFERROR(N102/N444, "NA")</f>
        <v>9.8424277074882549E-2</v>
      </c>
      <c r="P102" s="9"/>
      <c r="Q102" s="7">
        <v>-3928.38</v>
      </c>
      <c r="R102" s="8">
        <f>IFERROR(Q102/Q444, "NA")</f>
        <v>-1.2079771175669315E-2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-3928.38</v>
      </c>
      <c r="X102" s="8">
        <f>IFERROR(W102/W444, "NA")</f>
        <v>2.437187083165254</v>
      </c>
      <c r="Y102" s="9"/>
      <c r="Z102" s="7">
        <v>-579.07000000000005</v>
      </c>
      <c r="AA102" s="8">
        <f>IFERROR(Z102/Z444, "NA")</f>
        <v>-1.9333466659143441E-3</v>
      </c>
      <c r="AB102" s="9"/>
      <c r="AC102" s="10">
        <f t="shared" si="27"/>
        <v>-3349.31</v>
      </c>
      <c r="AD102" s="8">
        <f>IFERROR(AC102/AC444, "NA")</f>
        <v>-0.13039295686257427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-586.4</v>
      </c>
      <c r="C104" s="8">
        <f>IFERROR(B104/B444, "NA")</f>
        <v>-7.332703017649881E-3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-586.4</v>
      </c>
      <c r="I104" s="8">
        <f>IFERROR(H104/H444, "NA")</f>
        <v>2.6825865184473569E-2</v>
      </c>
      <c r="J104" s="9"/>
      <c r="K104" s="7">
        <v>-484.29</v>
      </c>
      <c r="L104" s="8">
        <f>IFERROR(K104/K444, "NA")</f>
        <v>-5.3741294740302014E-3</v>
      </c>
      <c r="M104" s="9"/>
      <c r="N104" s="10">
        <f t="shared" si="25"/>
        <v>-102.10999999999996</v>
      </c>
      <c r="O104" s="8">
        <f>IFERROR(N104/N444, "NA")</f>
        <v>1.0065503151938719E-2</v>
      </c>
      <c r="P104" s="9"/>
      <c r="Q104" s="7">
        <v>-1956.65</v>
      </c>
      <c r="R104" s="8">
        <f>IFERROR(Q104/Q444, "NA")</f>
        <v>-6.0167000826990688E-3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-1956.65</v>
      </c>
      <c r="X104" s="8">
        <f>IFERROR(W104/W444, "NA")</f>
        <v>1.2139156869435479</v>
      </c>
      <c r="Y104" s="9"/>
      <c r="Z104" s="7">
        <v>-1347.84</v>
      </c>
      <c r="AA104" s="8">
        <f>IFERROR(Z104/Z444, "NA")</f>
        <v>-4.5000465750012764E-3</v>
      </c>
      <c r="AB104" s="9"/>
      <c r="AC104" s="10">
        <f t="shared" si="27"/>
        <v>-608.81000000000017</v>
      </c>
      <c r="AD104" s="8">
        <f>IFERROR(AC104/AC444, "NA")</f>
        <v>-2.3701758292753988E-2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-235.87</v>
      </c>
      <c r="R106" s="8">
        <f>IFERROR(Q106/Q444, "NA")</f>
        <v>-7.2530041065404095E-4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-235.87</v>
      </c>
      <c r="X106" s="8">
        <f>IFERROR(W106/W444, "NA")</f>
        <v>0.14633495672673941</v>
      </c>
      <c r="Y106" s="9"/>
      <c r="Z106" s="7">
        <v>-5623.68</v>
      </c>
      <c r="AA106" s="8">
        <f>IFERROR(Z106/Z444, "NA")</f>
        <v>-1.877583535353097E-2</v>
      </c>
      <c r="AB106" s="9"/>
      <c r="AC106" s="10">
        <f t="shared" si="27"/>
        <v>5387.81</v>
      </c>
      <c r="AD106" s="8">
        <f>IFERROR(AC106/AC444, "NA")</f>
        <v>0.20975439028150464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-35</v>
      </c>
      <c r="L108" s="8">
        <f>IFERROR(K108/K444, "NA")</f>
        <v>-3.883923508456855E-4</v>
      </c>
      <c r="M108" s="9"/>
      <c r="N108" s="10">
        <f t="shared" si="25"/>
        <v>35</v>
      </c>
      <c r="O108" s="8">
        <f>IFERROR(N108/N444, "NA")</f>
        <v>-3.4501283940638065E-3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-84.75</v>
      </c>
      <c r="AA108" s="8">
        <f>IFERROR(Z108/Z444, "NA")</f>
        <v>-2.8295565291975173E-4</v>
      </c>
      <c r="AB108" s="9"/>
      <c r="AC108" s="10">
        <f t="shared" si="27"/>
        <v>84.75</v>
      </c>
      <c r="AD108" s="8">
        <f>IFERROR(AC108/AC444, "NA")</f>
        <v>3.2994267756950441E-3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-5296.84</v>
      </c>
      <c r="C118" s="15">
        <f>IFERROR(B118/B444, "NA")</f>
        <v>-6.6234915845853684E-2</v>
      </c>
      <c r="D118" s="2"/>
      <c r="E118" s="14">
        <f>IFERROR(E94+E95+E96+E97+E98+E99+E100+E101+E102+E103+E104+E105+E106+E107+E108+E109+E110+E111+E112+E113+E114+E115+E116+E117, "NA")</f>
        <v>-4073.2</v>
      </c>
      <c r="F118" s="15">
        <f>IFERROR(E118/E444, "NA")</f>
        <v>-3.9999996071884897E-2</v>
      </c>
      <c r="G118" s="2"/>
      <c r="H118" s="14">
        <f t="shared" si="24"/>
        <v>-1223.6400000000003</v>
      </c>
      <c r="I118" s="15">
        <f>IFERROR(H118/H444, "NA")</f>
        <v>5.5977492623344553E-2</v>
      </c>
      <c r="J118" s="2"/>
      <c r="K118" s="14">
        <f>IFERROR(K94+K95+K96+K97+K98+K99+K100+K101+K102+K103+K104+K105+K106+K107+K108+K109+K110+K111+K112+K113+K114+K115+K116+K117, "NA")</f>
        <v>-4017.6600000000003</v>
      </c>
      <c r="L118" s="15">
        <f>IFERROR(K118/K444, "NA")</f>
        <v>-4.4583668922819342E-2</v>
      </c>
      <c r="M118" s="2"/>
      <c r="N118" s="14">
        <f t="shared" si="25"/>
        <v>-1279.1799999999998</v>
      </c>
      <c r="O118" s="15">
        <f>IFERROR(N118/N444, "NA")</f>
        <v>0.12609529254624399</v>
      </c>
      <c r="P118" s="2"/>
      <c r="Q118" s="14">
        <f>IFERROR(Q94+Q95+Q96+Q97+Q98+Q99+Q100+Q101+Q102+Q103+Q104+Q105+Q106+Q107+Q108+Q109+Q110+Q111+Q112+Q113+Q114+Q115+Q116+Q117, "NA")</f>
        <v>-19665.329999999998</v>
      </c>
      <c r="R118" s="15">
        <f>IFERROR(Q118/Q444, "NA")</f>
        <v>-6.047090314430504E-2</v>
      </c>
      <c r="S118" s="2"/>
      <c r="T118" s="14">
        <f>IFERROR(T94+T95+T96+T97+T98+T99+T100+T101+T102+T103+T104+T105+T106+T107+T108+T109+T110+T111+T112+T113+T114+T115+T116+T117, "NA")</f>
        <v>-13072.61</v>
      </c>
      <c r="U118" s="15">
        <f>IFERROR(T118/T444, "NA")</f>
        <v>-4.0000026926546188E-2</v>
      </c>
      <c r="V118" s="2"/>
      <c r="W118" s="14">
        <f t="shared" si="26"/>
        <v>-6592.7199999999975</v>
      </c>
      <c r="X118" s="15">
        <f>IFERROR(W118/W444, "NA")</f>
        <v>4.0901572726989821</v>
      </c>
      <c r="Y118" s="2"/>
      <c r="Z118" s="14">
        <f>IFERROR(Z94+Z95+Z96+Z97+Z98+Z99+Z100+Z101+Z102+Z103+Z104+Z105+Z106+Z107+Z108+Z109+Z110+Z111+Z112+Z113+Z114+Z115+Z116+Z117, "NA")</f>
        <v>-19375.099999999999</v>
      </c>
      <c r="AA118" s="15">
        <f>IFERROR(Z118/Z444, "NA")</f>
        <v>-6.4687835644666458E-2</v>
      </c>
      <c r="AB118" s="2"/>
      <c r="AC118" s="14">
        <f t="shared" si="27"/>
        <v>-290.22999999999956</v>
      </c>
      <c r="AD118" s="15">
        <f>IFERROR(AC118/AC444, "NA")</f>
        <v>-1.1299028119291695E-2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79970.510000000009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101830.01</v>
      </c>
      <c r="F122" s="15">
        <f>IFERROR(E122/E444, "NA")</f>
        <v>1</v>
      </c>
      <c r="G122" s="2"/>
      <c r="H122" s="14">
        <f t="shared" si="24"/>
        <v>-21859.499999999985</v>
      </c>
      <c r="I122" s="15">
        <f>IFERROR(H122/H444, "NA")</f>
        <v>0.99999999999999933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90115.060000000027</v>
      </c>
      <c r="L122" s="15">
        <f>IFERROR(K122/K444, "NA")</f>
        <v>1.0000000000000002</v>
      </c>
      <c r="M122" s="2"/>
      <c r="N122" s="14">
        <f t="shared" si="25"/>
        <v>-10144.550000000017</v>
      </c>
      <c r="O122" s="15">
        <f>IFERROR(N122/N444, "NA")</f>
        <v>1.0000000000000013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325203.17999999982</v>
      </c>
      <c r="R122" s="15">
        <f>IFERROR(Q122/Q444, "NA")</f>
        <v>0.99999999999999944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326815.03000000003</v>
      </c>
      <c r="U122" s="15">
        <f>IFERROR(T122/T444, "NA")</f>
        <v>1</v>
      </c>
      <c r="V122" s="2"/>
      <c r="W122" s="14">
        <f t="shared" si="26"/>
        <v>-1611.8500000002095</v>
      </c>
      <c r="X122" s="15">
        <f>IFERROR(W122/W444, "NA")</f>
        <v>1.0000000000001084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299516.90000000002</v>
      </c>
      <c r="AA122" s="15">
        <f>IFERROR(Z122/Z444, "NA")</f>
        <v>1</v>
      </c>
      <c r="AB122" s="2"/>
      <c r="AC122" s="14">
        <f t="shared" si="27"/>
        <v>25686.279999999795</v>
      </c>
      <c r="AD122" s="15">
        <f>IFERROR(AC122/AC444, "NA")</f>
        <v>0.99999999999999323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79970.510000000009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101830.01</v>
      </c>
      <c r="F124" s="15">
        <f>IFERROR(E124/E444, "NA")</f>
        <v>1</v>
      </c>
      <c r="G124" s="2"/>
      <c r="H124" s="14">
        <f t="shared" si="24"/>
        <v>-21859.499999999985</v>
      </c>
      <c r="I124" s="15">
        <f>IFERROR(H124/H444, "NA")</f>
        <v>0.99999999999999933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90115.060000000027</v>
      </c>
      <c r="L124" s="15">
        <f>IFERROR(K124/K444, "NA")</f>
        <v>1.0000000000000002</v>
      </c>
      <c r="M124" s="2"/>
      <c r="N124" s="14">
        <f t="shared" si="25"/>
        <v>-10144.550000000017</v>
      </c>
      <c r="O124" s="15">
        <f>IFERROR(N124/N444, "NA")</f>
        <v>1.0000000000000013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325203.17999999982</v>
      </c>
      <c r="R124" s="15">
        <f>IFERROR(Q124/Q444, "NA")</f>
        <v>0.99999999999999944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326815.03000000003</v>
      </c>
      <c r="U124" s="15">
        <f>IFERROR(T124/T444, "NA")</f>
        <v>1</v>
      </c>
      <c r="V124" s="2"/>
      <c r="W124" s="14">
        <f t="shared" si="26"/>
        <v>-1611.8500000002095</v>
      </c>
      <c r="X124" s="15">
        <f>IFERROR(W124/W444, "NA")</f>
        <v>1.0000000000001084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299516.90000000002</v>
      </c>
      <c r="AA124" s="15">
        <f>IFERROR(Z124/Z444, "NA")</f>
        <v>1</v>
      </c>
      <c r="AB124" s="2"/>
      <c r="AC124" s="14">
        <f t="shared" si="27"/>
        <v>25686.279999999795</v>
      </c>
      <c r="AD124" s="15">
        <f>IFERROR(AC124/AC444, "NA")</f>
        <v>0.99999999999999323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25661.16</v>
      </c>
      <c r="F129" s="8">
        <f>IFERROR(E129/E444, "NA")</f>
        <v>0.25199997525287487</v>
      </c>
      <c r="G129" s="9"/>
      <c r="H129" s="10">
        <f t="shared" ref="H129:H141" si="28">IFERROR(-(B129-E129), "NA")</f>
        <v>25661.16</v>
      </c>
      <c r="I129" s="8">
        <f>IFERROR(H129/H444, "NA")</f>
        <v>-1.1739134014959172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84547.75</v>
      </c>
      <c r="U129" s="8">
        <f>IFERROR(T129/T444, "NA")</f>
        <v>0.25870214720540852</v>
      </c>
      <c r="V129" s="9"/>
      <c r="W129" s="10">
        <f t="shared" ref="W129:W141" si="30">IFERROR(-(Q129-T129), "NA")</f>
        <v>84547.75</v>
      </c>
      <c r="X129" s="8">
        <f>IFERROR(W129/W444, "NA")</f>
        <v>-52.453857368860731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4485.28</v>
      </c>
      <c r="C130" s="8">
        <f>IFERROR(B130/B444, "NA")</f>
        <v>5.6086674950553646E-2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-4485.28</v>
      </c>
      <c r="I130" s="8">
        <f>IFERROR(H130/H444, "NA")</f>
        <v>0.20518676090486973</v>
      </c>
      <c r="J130" s="9"/>
      <c r="K130" s="7">
        <v>5639.37</v>
      </c>
      <c r="L130" s="8">
        <f>IFERROR(K130/K444, "NA")</f>
        <v>6.2579662045389534E-2</v>
      </c>
      <c r="M130" s="9"/>
      <c r="N130" s="10">
        <f t="shared" si="29"/>
        <v>1154.0900000000001</v>
      </c>
      <c r="O130" s="8">
        <f>IFERROR(N130/N444, "NA")</f>
        <v>-0.11376453366585998</v>
      </c>
      <c r="P130" s="9"/>
      <c r="Q130" s="7">
        <v>18361.28</v>
      </c>
      <c r="R130" s="8">
        <f>IFERROR(Q130/Q444, "NA")</f>
        <v>5.6460948506100089E-2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-18361.28</v>
      </c>
      <c r="X130" s="8">
        <f>IFERROR(W130/W444, "NA")</f>
        <v>11.391432205229767</v>
      </c>
      <c r="Y130" s="9"/>
      <c r="Z130" s="7">
        <v>19011.3</v>
      </c>
      <c r="AA130" s="8">
        <f>IFERROR(Z130/Z444, "NA")</f>
        <v>6.3473213030717124E-2</v>
      </c>
      <c r="AB130" s="9"/>
      <c r="AC130" s="10">
        <f t="shared" si="31"/>
        <v>650.02000000000044</v>
      </c>
      <c r="AD130" s="8">
        <f>IFERROR(AC130/AC444, "NA")</f>
        <v>2.5306116728463647E-2</v>
      </c>
    </row>
    <row r="131" spans="1:30" ht="16.5" customHeight="1" x14ac:dyDescent="0.45">
      <c r="A131" s="12" t="s">
        <v>123</v>
      </c>
      <c r="B131" s="7">
        <v>2039.21</v>
      </c>
      <c r="C131" s="8">
        <f>IFERROR(B131/B444, "NA")</f>
        <v>2.5499524762315512E-2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-2039.21</v>
      </c>
      <c r="I131" s="8">
        <f>IFERROR(H131/H444, "NA")</f>
        <v>9.3287129165808919E-2</v>
      </c>
      <c r="J131" s="9"/>
      <c r="K131" s="7">
        <v>2582.44</v>
      </c>
      <c r="L131" s="8">
        <f>IFERROR(K131/K444, "NA")</f>
        <v>2.8657141214798062E-2</v>
      </c>
      <c r="M131" s="9"/>
      <c r="N131" s="10">
        <f t="shared" si="29"/>
        <v>543.23</v>
      </c>
      <c r="O131" s="8">
        <f>IFERROR(N131/N444, "NA")</f>
        <v>-5.3548949928779475E-2</v>
      </c>
      <c r="P131" s="9"/>
      <c r="Q131" s="7">
        <v>9675.44</v>
      </c>
      <c r="R131" s="8">
        <f>IFERROR(Q131/Q444, "NA")</f>
        <v>2.975198459006459E-2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-9675.44</v>
      </c>
      <c r="X131" s="8">
        <f>IFERROR(W131/W444, "NA")</f>
        <v>6.0026925582404012</v>
      </c>
      <c r="Y131" s="9"/>
      <c r="Z131" s="7">
        <v>9042.2199999999993</v>
      </c>
      <c r="AA131" s="8">
        <f>IFERROR(Z131/Z444, "NA")</f>
        <v>3.0189348247127285E-2</v>
      </c>
      <c r="AB131" s="9"/>
      <c r="AC131" s="10">
        <f t="shared" si="31"/>
        <v>-633.22000000000116</v>
      </c>
      <c r="AD131" s="8">
        <f>IFERROR(AC131/AC444, "NA")</f>
        <v>-2.4652071066732974E-2</v>
      </c>
    </row>
    <row r="132" spans="1:30" ht="16.5" customHeight="1" x14ac:dyDescent="0.45">
      <c r="A132" s="12" t="s">
        <v>124</v>
      </c>
      <c r="B132" s="7">
        <v>3364.4</v>
      </c>
      <c r="C132" s="8">
        <f>IFERROR(B132/B444, "NA")</f>
        <v>4.2070508241100382E-2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-3364.4</v>
      </c>
      <c r="I132" s="8">
        <f>IFERROR(H132/H444, "NA")</f>
        <v>0.15391019922688076</v>
      </c>
      <c r="J132" s="9"/>
      <c r="K132" s="7">
        <v>3033.35</v>
      </c>
      <c r="L132" s="8">
        <f>IFERROR(K132/K444, "NA")</f>
        <v>3.3660855355364575E-2</v>
      </c>
      <c r="M132" s="9"/>
      <c r="N132" s="10">
        <f t="shared" si="29"/>
        <v>-331.05000000000018</v>
      </c>
      <c r="O132" s="8">
        <f>IFERROR(N132/N444, "NA")</f>
        <v>3.2633285852994964E-2</v>
      </c>
      <c r="P132" s="9"/>
      <c r="Q132" s="7">
        <v>13039.17</v>
      </c>
      <c r="R132" s="8">
        <f>IFERROR(Q132/Q444, "NA")</f>
        <v>4.0095456631143646E-2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-13039.17</v>
      </c>
      <c r="X132" s="8">
        <f>IFERROR(W132/W444, "NA")</f>
        <v>8.0895678878305777</v>
      </c>
      <c r="Y132" s="9"/>
      <c r="Z132" s="7">
        <v>10321.86</v>
      </c>
      <c r="AA132" s="8">
        <f>IFERROR(Z132/Z444, "NA")</f>
        <v>3.446169481588518E-2</v>
      </c>
      <c r="AB132" s="9"/>
      <c r="AC132" s="10">
        <f t="shared" si="31"/>
        <v>-2717.3099999999995</v>
      </c>
      <c r="AD132" s="8">
        <f>IFERROR(AC132/AC444, "NA")</f>
        <v>-0.10578838196889556</v>
      </c>
    </row>
    <row r="133" spans="1:30" ht="16.5" customHeight="1" x14ac:dyDescent="0.45">
      <c r="A133" s="12" t="s">
        <v>125</v>
      </c>
      <c r="B133" s="7">
        <v>1463.15</v>
      </c>
      <c r="C133" s="8">
        <f>IFERROR(B133/B444, "NA")</f>
        <v>1.8296119407016413E-2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-1463.15</v>
      </c>
      <c r="I133" s="8">
        <f>IFERROR(H133/H444, "NA")</f>
        <v>6.6934284864704138E-2</v>
      </c>
      <c r="J133" s="9"/>
      <c r="K133" s="7">
        <v>1811.35</v>
      </c>
      <c r="L133" s="8">
        <f>IFERROR(K133/K444, "NA")</f>
        <v>2.0100413848695212E-2</v>
      </c>
      <c r="M133" s="9"/>
      <c r="N133" s="10">
        <f t="shared" si="29"/>
        <v>348.19999999999982</v>
      </c>
      <c r="O133" s="8">
        <f>IFERROR(N133/N444, "NA")</f>
        <v>-3.4323848766086199E-2</v>
      </c>
      <c r="P133" s="9"/>
      <c r="Q133" s="7">
        <v>6460.85</v>
      </c>
      <c r="R133" s="8">
        <f>IFERROR(Q133/Q444, "NA")</f>
        <v>1.9867118150566673E-2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-6460.85</v>
      </c>
      <c r="X133" s="8">
        <f>IFERROR(W133/W444, "NA")</f>
        <v>4.0083444489250617</v>
      </c>
      <c r="Y133" s="9"/>
      <c r="Z133" s="7">
        <v>6120.21</v>
      </c>
      <c r="AA133" s="8">
        <f>IFERROR(Z133/Z444, "NA")</f>
        <v>2.0433604915114971E-2</v>
      </c>
      <c r="AB133" s="9"/>
      <c r="AC133" s="10">
        <f t="shared" si="31"/>
        <v>-340.64000000000033</v>
      </c>
      <c r="AD133" s="8">
        <f>IFERROR(AC133/AC444, "NA")</f>
        <v>-1.3261554417377711E-2</v>
      </c>
    </row>
    <row r="134" spans="1:30" ht="16.5" customHeight="1" x14ac:dyDescent="0.45">
      <c r="A134" s="12" t="s">
        <v>126</v>
      </c>
      <c r="B134" s="7">
        <v>469.27</v>
      </c>
      <c r="C134" s="8">
        <f>IFERROR(B134/B444, "NA")</f>
        <v>5.8680381055466573E-3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-469.27</v>
      </c>
      <c r="I134" s="8">
        <f>IFERROR(H134/H444, "NA")</f>
        <v>2.1467554152656738E-2</v>
      </c>
      <c r="J134" s="9"/>
      <c r="K134" s="7">
        <v>1110.6400000000001</v>
      </c>
      <c r="L134" s="8">
        <f>IFERROR(K134/K444, "NA")</f>
        <v>1.2324688015521491E-2</v>
      </c>
      <c r="M134" s="9"/>
      <c r="N134" s="10">
        <f t="shared" si="29"/>
        <v>641.37000000000012</v>
      </c>
      <c r="O134" s="8">
        <f>IFERROR(N134/N444, "NA")</f>
        <v>-6.3223109945734407E-2</v>
      </c>
      <c r="P134" s="9"/>
      <c r="Q134" s="7">
        <v>2673.23</v>
      </c>
      <c r="R134" s="8">
        <f>IFERROR(Q134/Q444, "NA")</f>
        <v>8.2201840707707714E-3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-2673.23</v>
      </c>
      <c r="X134" s="8">
        <f>IFERROR(W134/W444, "NA")</f>
        <v>1.6584855910909464</v>
      </c>
      <c r="Y134" s="9"/>
      <c r="Z134" s="7">
        <v>3743.89</v>
      </c>
      <c r="AA134" s="8">
        <f>IFERROR(Z134/Z444, "NA")</f>
        <v>1.2499762116928961E-2</v>
      </c>
      <c r="AB134" s="9"/>
      <c r="AC134" s="10">
        <f t="shared" si="31"/>
        <v>1070.6599999999999</v>
      </c>
      <c r="AD134" s="8">
        <f>IFERROR(AC134/AC444, "NA")</f>
        <v>4.1682174296939892E-2</v>
      </c>
    </row>
    <row r="135" spans="1:30" ht="16.5" customHeight="1" x14ac:dyDescent="0.45">
      <c r="A135" s="12" t="s">
        <v>127</v>
      </c>
      <c r="B135" s="7">
        <v>702.04</v>
      </c>
      <c r="C135" s="8">
        <f>IFERROR(B135/B444, "NA")</f>
        <v>8.7787360615807011E-3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-702.04</v>
      </c>
      <c r="I135" s="8">
        <f>IFERROR(H135/H444, "NA")</f>
        <v>3.2116013632516753E-2</v>
      </c>
      <c r="J135" s="9"/>
      <c r="K135" s="7">
        <v>838.46</v>
      </c>
      <c r="L135" s="8">
        <f>IFERROR(K135/K444, "NA")</f>
        <v>9.304327156859242E-3</v>
      </c>
      <c r="M135" s="9"/>
      <c r="N135" s="10">
        <f t="shared" si="29"/>
        <v>136.42000000000007</v>
      </c>
      <c r="O135" s="8">
        <f>IFERROR(N135/N444, "NA")</f>
        <v>-1.3447614729090993E-2</v>
      </c>
      <c r="P135" s="9"/>
      <c r="Q135" s="7">
        <v>2700</v>
      </c>
      <c r="R135" s="8">
        <f>IFERROR(Q135/Q444, "NA")</f>
        <v>8.3025018390041581E-3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-2700</v>
      </c>
      <c r="X135" s="8">
        <f>IFERROR(W135/W444, "NA")</f>
        <v>1.6750938362750514</v>
      </c>
      <c r="Y135" s="9"/>
      <c r="Z135" s="7">
        <v>2754.82</v>
      </c>
      <c r="AA135" s="8">
        <f>IFERROR(Z135/Z444, "NA")</f>
        <v>9.1975444457391212E-3</v>
      </c>
      <c r="AB135" s="9"/>
      <c r="AC135" s="10">
        <f t="shared" si="31"/>
        <v>54.820000000000164</v>
      </c>
      <c r="AD135" s="8">
        <f>IFERROR(AC135/AC444, "NA")</f>
        <v>2.1342132842902995E-3</v>
      </c>
    </row>
    <row r="136" spans="1:30" ht="16.5" customHeight="1" x14ac:dyDescent="0.45">
      <c r="A136" s="12" t="s">
        <v>128</v>
      </c>
      <c r="B136" s="7">
        <v>1366.89</v>
      </c>
      <c r="C136" s="8">
        <f>IFERROR(B136/B444, "NA")</f>
        <v>1.7092425695421978E-2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-1366.89</v>
      </c>
      <c r="I136" s="8">
        <f>IFERROR(H136/H444, "NA")</f>
        <v>6.2530707472723532E-2</v>
      </c>
      <c r="J136" s="9"/>
      <c r="K136" s="7">
        <v>1231.83</v>
      </c>
      <c r="L136" s="8">
        <f>IFERROR(K136/K444, "NA")</f>
        <v>1.366952427263545E-2</v>
      </c>
      <c r="M136" s="9"/>
      <c r="N136" s="10">
        <f t="shared" si="29"/>
        <v>-135.06000000000017</v>
      </c>
      <c r="O136" s="8">
        <f>IFERROR(N136/N444, "NA")</f>
        <v>1.331355259720738E-2</v>
      </c>
      <c r="P136" s="9"/>
      <c r="Q136" s="7">
        <v>4155.99</v>
      </c>
      <c r="R136" s="8">
        <f>IFERROR(Q136/Q444, "NA")</f>
        <v>1.2779672080697366E-2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-4155.99</v>
      </c>
      <c r="X136" s="8">
        <f>IFERROR(W136/W444, "NA")</f>
        <v>2.5783974935632408</v>
      </c>
      <c r="Y136" s="9"/>
      <c r="Z136" s="7">
        <v>4367.26</v>
      </c>
      <c r="AA136" s="8">
        <f>IFERROR(Z136/Z444, "NA")</f>
        <v>1.4581013625608437E-2</v>
      </c>
      <c r="AB136" s="9"/>
      <c r="AC136" s="10">
        <f t="shared" si="31"/>
        <v>211.27000000000044</v>
      </c>
      <c r="AD136" s="8">
        <f>IFERROR(AC136/AC444, "NA")</f>
        <v>8.2250135091574451E-3</v>
      </c>
    </row>
    <row r="137" spans="1:30" ht="16.5" customHeight="1" x14ac:dyDescent="0.45">
      <c r="A137" s="12" t="s">
        <v>129</v>
      </c>
      <c r="B137" s="7">
        <v>358.14</v>
      </c>
      <c r="C137" s="8">
        <f>IFERROR(B137/B444, "NA")</f>
        <v>4.4784008505135203E-3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-358.14</v>
      </c>
      <c r="I137" s="8">
        <f>IFERROR(H137/H444, "NA")</f>
        <v>1.6383723323955258E-2</v>
      </c>
      <c r="J137" s="9"/>
      <c r="K137" s="7">
        <v>505.07</v>
      </c>
      <c r="L137" s="8">
        <f>IFERROR(K137/K444, "NA")</f>
        <v>5.6047235611894394E-3</v>
      </c>
      <c r="M137" s="9"/>
      <c r="N137" s="10">
        <f t="shared" si="29"/>
        <v>146.93</v>
      </c>
      <c r="O137" s="8">
        <f>IFERROR(N137/N444, "NA")</f>
        <v>-1.4483638998279862E-2</v>
      </c>
      <c r="P137" s="9"/>
      <c r="Q137" s="7">
        <v>1768.8</v>
      </c>
      <c r="R137" s="8">
        <f>IFERROR(Q137/Q444, "NA")</f>
        <v>5.4390612047520567E-3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-1768.8</v>
      </c>
      <c r="X137" s="8">
        <f>IFERROR(W137/W444, "NA")</f>
        <v>1.0973725842975226</v>
      </c>
      <c r="Y137" s="9"/>
      <c r="Z137" s="7">
        <v>1705.04</v>
      </c>
      <c r="AA137" s="8">
        <f>IFERROR(Z137/Z444, "NA")</f>
        <v>5.6926337044754397E-3</v>
      </c>
      <c r="AB137" s="9"/>
      <c r="AC137" s="10">
        <f t="shared" si="31"/>
        <v>-63.759999999999991</v>
      </c>
      <c r="AD137" s="8">
        <f>IFERROR(AC137/AC444, "NA")</f>
        <v>-2.4822590114255572E-3</v>
      </c>
    </row>
    <row r="138" spans="1:30" ht="16.5" customHeight="1" x14ac:dyDescent="0.45">
      <c r="A138" s="12" t="s">
        <v>130</v>
      </c>
      <c r="B138" s="7">
        <v>5310.68</v>
      </c>
      <c r="C138" s="8">
        <f>IFERROR(B138/B444, "NA")</f>
        <v>6.6407979641495349E-2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-5310.68</v>
      </c>
      <c r="I138" s="8">
        <f>IFERROR(H138/H444, "NA")</f>
        <v>0.2429460875134381</v>
      </c>
      <c r="J138" s="9"/>
      <c r="K138" s="7">
        <v>4782.6499999999996</v>
      </c>
      <c r="L138" s="8">
        <f>IFERROR(K138/K444, "NA")</f>
        <v>5.3072705050631934E-2</v>
      </c>
      <c r="M138" s="9"/>
      <c r="N138" s="10">
        <f t="shared" si="29"/>
        <v>-528.03000000000065</v>
      </c>
      <c r="O138" s="8">
        <f>IFERROR(N138/N444, "NA")</f>
        <v>5.2050608454786117E-2</v>
      </c>
      <c r="P138" s="9"/>
      <c r="Q138" s="7">
        <v>18236.509999999998</v>
      </c>
      <c r="R138" s="8">
        <f>IFERROR(Q138/Q444, "NA")</f>
        <v>5.6077280671117662E-2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-18236.509999999998</v>
      </c>
      <c r="X138" s="8">
        <f>IFERROR(W138/W444, "NA")</f>
        <v>11.314024257840124</v>
      </c>
      <c r="Y138" s="9"/>
      <c r="Z138" s="7">
        <v>16055.3</v>
      </c>
      <c r="AA138" s="8">
        <f>IFERROR(Z138/Z444, "NA")</f>
        <v>5.3603986953657701E-2</v>
      </c>
      <c r="AB138" s="9"/>
      <c r="AC138" s="10">
        <f t="shared" si="31"/>
        <v>-2181.2099999999991</v>
      </c>
      <c r="AD138" s="8">
        <f>IFERROR(AC138/AC444, "NA")</f>
        <v>-8.4917317727596281E-2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19559.059999999998</v>
      </c>
      <c r="C141" s="15">
        <f>IFERROR(B141/B444, "NA")</f>
        <v>0.24457840771554412</v>
      </c>
      <c r="D141" s="2"/>
      <c r="E141" s="14">
        <f>IFERROR(E129+E130+E131+E132+E133+E134+E135+E136+E137+E138+E139+E140, "NA")</f>
        <v>25661.16</v>
      </c>
      <c r="F141" s="15">
        <f>IFERROR(E141/E444, "NA")</f>
        <v>0.25199997525287487</v>
      </c>
      <c r="G141" s="2"/>
      <c r="H141" s="14">
        <f t="shared" si="28"/>
        <v>6102.1000000000022</v>
      </c>
      <c r="I141" s="15">
        <f>IFERROR(H141/H444, "NA")</f>
        <v>-0.27915094123836326</v>
      </c>
      <c r="J141" s="2"/>
      <c r="K141" s="14">
        <f>IFERROR(K129+K130+K131+K132+K133+K134+K135+K136+K137+K138+K139+K140, "NA")</f>
        <v>21535.160000000003</v>
      </c>
      <c r="L141" s="15">
        <f>IFERROR(K141/K444, "NA")</f>
        <v>0.23897404052108498</v>
      </c>
      <c r="M141" s="2"/>
      <c r="N141" s="14">
        <f t="shared" si="29"/>
        <v>1976.1000000000058</v>
      </c>
      <c r="O141" s="15">
        <f>IFERROR(N141/N444, "NA")</f>
        <v>-0.19479424912884311</v>
      </c>
      <c r="P141" s="2"/>
      <c r="Q141" s="14">
        <f>IFERROR(Q129+Q130+Q131+Q132+Q133+Q134+Q135+Q136+Q137+Q138+Q139+Q140, "NA")</f>
        <v>77071.27</v>
      </c>
      <c r="R141" s="15">
        <f>IFERROR(Q141/Q444, "NA")</f>
        <v>0.23699420774421703</v>
      </c>
      <c r="S141" s="2"/>
      <c r="T141" s="14">
        <f>IFERROR(T129+T130+T131+T132+T133+T134+T135+T136+T137+T138+T139+T140, "NA")</f>
        <v>84547.75</v>
      </c>
      <c r="U141" s="15">
        <f>IFERROR(T141/T444, "NA")</f>
        <v>0.25870214720540852</v>
      </c>
      <c r="V141" s="2"/>
      <c r="W141" s="14">
        <f t="shared" si="30"/>
        <v>7476.4799999999959</v>
      </c>
      <c r="X141" s="15">
        <f>IFERROR(W141/W444, "NA")</f>
        <v>-4.6384465055680328</v>
      </c>
      <c r="Y141" s="2"/>
      <c r="Z141" s="14">
        <f>IFERROR(Z129+Z130+Z131+Z132+Z133+Z134+Z135+Z136+Z137+Z138+Z139+Z140, "NA")</f>
        <v>73121.899999999994</v>
      </c>
      <c r="AA141" s="15">
        <f>IFERROR(Z141/Z444, "NA")</f>
        <v>0.24413280185525421</v>
      </c>
      <c r="AB141" s="2"/>
      <c r="AC141" s="14">
        <f t="shared" si="31"/>
        <v>-3949.3700000000099</v>
      </c>
      <c r="AD141" s="15">
        <f>IFERROR(AC141/AC444, "NA")</f>
        <v>-0.15375406637317721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1151.8800000000001</v>
      </c>
      <c r="C144" s="8">
        <f>IFERROR(B144/B444, "NA")</f>
        <v>1.4403809604315393E-2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-1151.8800000000001</v>
      </c>
      <c r="I144" s="8">
        <f>IFERROR(H144/H444, "NA")</f>
        <v>5.2694709394084958E-2</v>
      </c>
      <c r="J144" s="9"/>
      <c r="K144" s="7">
        <v>818.27</v>
      </c>
      <c r="L144" s="8">
        <f>IFERROR(K144/K444, "NA")</f>
        <v>9.0802802550428302E-3</v>
      </c>
      <c r="M144" s="9"/>
      <c r="N144" s="10">
        <f t="shared" si="33"/>
        <v>-333.61000000000013</v>
      </c>
      <c r="O144" s="8">
        <f>IFERROR(N144/N444, "NA")</f>
        <v>3.2885638101246485E-2</v>
      </c>
      <c r="P144" s="9"/>
      <c r="Q144" s="7">
        <v>4261.3599999999997</v>
      </c>
      <c r="R144" s="8">
        <f>IFERROR(Q144/Q444, "NA")</f>
        <v>1.3103684902466205E-2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-4261.3599999999997</v>
      </c>
      <c r="X144" s="8">
        <f>IFERROR(W144/W444, "NA")</f>
        <v>2.6437695815366862</v>
      </c>
      <c r="Y144" s="9"/>
      <c r="Z144" s="7">
        <v>3733.24</v>
      </c>
      <c r="AA144" s="8">
        <f>IFERROR(Z144/Z444, "NA")</f>
        <v>1.2464204857889486E-2</v>
      </c>
      <c r="AB144" s="9"/>
      <c r="AC144" s="10">
        <f t="shared" si="35"/>
        <v>-528.11999999999989</v>
      </c>
      <c r="AD144" s="8">
        <f>IFERROR(AC144/AC444, "NA")</f>
        <v>-2.0560392551977183E-2</v>
      </c>
    </row>
    <row r="145" spans="1:30" ht="16.5" customHeight="1" x14ac:dyDescent="0.45">
      <c r="A145" s="12" t="s">
        <v>136</v>
      </c>
      <c r="B145" s="7">
        <v>200.03</v>
      </c>
      <c r="C145" s="8">
        <f>IFERROR(B145/B444, "NA")</f>
        <v>2.5012970406215994E-3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-200.03</v>
      </c>
      <c r="I145" s="8">
        <f>IFERROR(H145/H444, "NA")</f>
        <v>9.1507125048605874E-3</v>
      </c>
      <c r="J145" s="9"/>
      <c r="K145" s="7">
        <v>197.15</v>
      </c>
      <c r="L145" s="8">
        <f>IFERROR(K145/K444, "NA")</f>
        <v>2.187758627692197E-3</v>
      </c>
      <c r="M145" s="9"/>
      <c r="N145" s="10">
        <f t="shared" si="33"/>
        <v>-2.8799999999999955</v>
      </c>
      <c r="O145" s="8">
        <f>IFERROR(N145/N444, "NA")</f>
        <v>2.8389627928296422E-4</v>
      </c>
      <c r="P145" s="9"/>
      <c r="Q145" s="7">
        <v>467.03</v>
      </c>
      <c r="R145" s="8">
        <f>IFERROR(Q145/Q444, "NA")</f>
        <v>1.4361175681000412E-3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-467.03</v>
      </c>
      <c r="X145" s="8">
        <f>IFERROR(W145/W444, "NA")</f>
        <v>0.28974780531686561</v>
      </c>
      <c r="Y145" s="9"/>
      <c r="Z145" s="7">
        <v>444.52</v>
      </c>
      <c r="AA145" s="8">
        <f>IFERROR(Z145/Z444, "NA")</f>
        <v>1.4841232665001539E-3</v>
      </c>
      <c r="AB145" s="9"/>
      <c r="AC145" s="10">
        <f t="shared" si="35"/>
        <v>-22.509999999999991</v>
      </c>
      <c r="AD145" s="8">
        <f>IFERROR(AC145/AC444, "NA")</f>
        <v>-8.7634332414035889E-4</v>
      </c>
    </row>
    <row r="146" spans="1:30" ht="16.5" customHeight="1" x14ac:dyDescent="0.45">
      <c r="A146" s="12" t="s">
        <v>137</v>
      </c>
      <c r="B146" s="7">
        <v>235.78</v>
      </c>
      <c r="C146" s="8">
        <f>IFERROR(B146/B444, "NA")</f>
        <v>2.9483368306642038E-3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-235.78</v>
      </c>
      <c r="I146" s="8">
        <f>IFERROR(H146/H444, "NA")</f>
        <v>1.0786157048422883E-2</v>
      </c>
      <c r="J146" s="9"/>
      <c r="K146" s="7">
        <v>138.02000000000001</v>
      </c>
      <c r="L146" s="8">
        <f>IFERROR(K146/K444, "NA")</f>
        <v>1.5315974932491863E-3</v>
      </c>
      <c r="M146" s="9"/>
      <c r="N146" s="10">
        <f t="shared" si="33"/>
        <v>-97.759999999999991</v>
      </c>
      <c r="O146" s="8">
        <f>IFERROR(N146/N444, "NA")</f>
        <v>9.6367014801050782E-3</v>
      </c>
      <c r="P146" s="9"/>
      <c r="Q146" s="7">
        <v>388.12</v>
      </c>
      <c r="R146" s="8">
        <f>IFERROR(Q146/Q444, "NA")</f>
        <v>1.1934692643534421E-3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-388.12</v>
      </c>
      <c r="X146" s="8">
        <f>IFERROR(W146/W444, "NA")</f>
        <v>0.24079163693891589</v>
      </c>
      <c r="Y146" s="9"/>
      <c r="Z146" s="7">
        <v>788.93</v>
      </c>
      <c r="AA146" s="8">
        <f>IFERROR(Z146/Z444, "NA")</f>
        <v>2.6340082980292594E-3</v>
      </c>
      <c r="AB146" s="9"/>
      <c r="AC146" s="10">
        <f t="shared" si="35"/>
        <v>400.80999999999995</v>
      </c>
      <c r="AD146" s="8">
        <f>IFERROR(AC146/AC444, "NA")</f>
        <v>1.5604050099897704E-2</v>
      </c>
    </row>
    <row r="147" spans="1:30" ht="16.5" customHeight="1" x14ac:dyDescent="0.45">
      <c r="A147" s="12" t="s">
        <v>138</v>
      </c>
      <c r="B147" s="7">
        <v>15.47</v>
      </c>
      <c r="C147" s="8">
        <f>IFERROR(B147/B444, "NA")</f>
        <v>1.9344630914570885E-4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-15.47</v>
      </c>
      <c r="I147" s="8">
        <f>IFERROR(H147/H444, "NA")</f>
        <v>7.0770145703241152E-4</v>
      </c>
      <c r="J147" s="9"/>
      <c r="K147" s="7">
        <v>32.729999999999997</v>
      </c>
      <c r="L147" s="8">
        <f>IFERROR(K147/K444, "NA")</f>
        <v>3.6320233266226533E-4</v>
      </c>
      <c r="M147" s="9"/>
      <c r="N147" s="10">
        <f t="shared" si="33"/>
        <v>17.259999999999998</v>
      </c>
      <c r="O147" s="8">
        <f>IFERROR(N147/N444, "NA")</f>
        <v>-1.7014061737583228E-3</v>
      </c>
      <c r="P147" s="9"/>
      <c r="Q147" s="7">
        <v>101.44</v>
      </c>
      <c r="R147" s="8">
        <f>IFERROR(Q147/Q444, "NA")</f>
        <v>3.119280690920673E-4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-101.44</v>
      </c>
      <c r="X147" s="8">
        <f>IFERROR(W147/W444, "NA")</f>
        <v>6.2933895833978223E-2</v>
      </c>
      <c r="Y147" s="9"/>
      <c r="Z147" s="7">
        <v>76.8</v>
      </c>
      <c r="AA147" s="8">
        <f>IFERROR(Z147/Z444, "NA")</f>
        <v>2.5641291025648301E-4</v>
      </c>
      <c r="AB147" s="9"/>
      <c r="AC147" s="10">
        <f t="shared" si="35"/>
        <v>-24.64</v>
      </c>
      <c r="AD147" s="8">
        <f>IFERROR(AC147/AC444, "NA")</f>
        <v>-9.5926697053835862E-4</v>
      </c>
    </row>
    <row r="148" spans="1:30" ht="16.5" customHeight="1" x14ac:dyDescent="0.45">
      <c r="A148" s="13" t="s">
        <v>139</v>
      </c>
      <c r="B148" s="14">
        <f>IFERROR(B143+B144+B145+B146+B147, "NA")</f>
        <v>1603.16</v>
      </c>
      <c r="C148" s="15">
        <f>IFERROR(B148/B444, "NA")</f>
        <v>2.0046889784746905E-2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-1603.16</v>
      </c>
      <c r="I148" s="15">
        <f>IFERROR(H148/H444, "NA")</f>
        <v>7.3339280404400839E-2</v>
      </c>
      <c r="J148" s="2"/>
      <c r="K148" s="14">
        <f>IFERROR(K143+K144+K145+K146+K147, "NA")</f>
        <v>1186.17</v>
      </c>
      <c r="L148" s="15">
        <f>IFERROR(K148/K444, "NA")</f>
        <v>1.316283870864648E-2</v>
      </c>
      <c r="M148" s="2"/>
      <c r="N148" s="14">
        <f t="shared" si="33"/>
        <v>-416.99</v>
      </c>
      <c r="O148" s="15">
        <f>IFERROR(N148/N444, "NA")</f>
        <v>4.110482968687619E-2</v>
      </c>
      <c r="P148" s="2"/>
      <c r="Q148" s="14">
        <f>IFERROR(Q143+Q144+Q145+Q146+Q147, "NA")</f>
        <v>5217.9499999999989</v>
      </c>
      <c r="R148" s="15">
        <f>IFERROR(Q148/Q444, "NA")</f>
        <v>1.6045199804011753E-2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-5217.9499999999989</v>
      </c>
      <c r="X148" s="15">
        <f>IFERROR(W148/W444, "NA")</f>
        <v>3.2372429196264454</v>
      </c>
      <c r="Y148" s="2"/>
      <c r="Z148" s="14">
        <f>IFERROR(Z143+Z144+Z145+Z146+Z147, "NA")</f>
        <v>5043.4900000000007</v>
      </c>
      <c r="AA148" s="15">
        <f>IFERROR(Z148/Z444, "NA")</f>
        <v>1.6838749332675387E-2</v>
      </c>
      <c r="AB148" s="2"/>
      <c r="AC148" s="14">
        <f t="shared" si="35"/>
        <v>-174.45999999999822</v>
      </c>
      <c r="AD148" s="15">
        <f>IFERROR(AC148/AC444, "NA")</f>
        <v>-6.7919527467581306E-3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21162.219999999998</v>
      </c>
      <c r="C149" s="15">
        <f>IFERROR(B149/B444, "NA")</f>
        <v>0.26462529750029101</v>
      </c>
      <c r="D149" s="2"/>
      <c r="E149" s="14">
        <f>IFERROR(E127+E129+E130+E131+E132+E133+E134+E135+E136+E137+E138+E139+E140+E143+E144+E145+E146+E147, "NA")</f>
        <v>25661.16</v>
      </c>
      <c r="F149" s="15">
        <f>IFERROR(E149/E444, "NA")</f>
        <v>0.25199997525287487</v>
      </c>
      <c r="G149" s="2"/>
      <c r="H149" s="14">
        <f t="shared" si="32"/>
        <v>4498.9400000000023</v>
      </c>
      <c r="I149" s="15">
        <f>IFERROR(H149/H444, "NA")</f>
        <v>-0.20581166083396246</v>
      </c>
      <c r="J149" s="2"/>
      <c r="K149" s="14">
        <f>IFERROR(K127+K129+K130+K131+K132+K133+K134+K135+K136+K137+K138+K139+K140+K143+K144+K145+K146+K147, "NA")</f>
        <v>22721.330000000005</v>
      </c>
      <c r="L149" s="15">
        <f>IFERROR(K149/K444, "NA")</f>
        <v>0.25213687922973149</v>
      </c>
      <c r="M149" s="2"/>
      <c r="N149" s="14">
        <f t="shared" si="33"/>
        <v>1559.1100000000079</v>
      </c>
      <c r="O149" s="15">
        <f>IFERROR(N149/N444, "NA")</f>
        <v>-0.1536894194419671</v>
      </c>
      <c r="P149" s="2"/>
      <c r="Q149" s="14">
        <f>IFERROR(Q127+Q129+Q130+Q131+Q132+Q133+Q134+Q135+Q136+Q137+Q138+Q139+Q140+Q143+Q144+Q145+Q146+Q147, "NA")</f>
        <v>82289.22</v>
      </c>
      <c r="R149" s="15">
        <f>IFERROR(Q149/Q444, "NA")</f>
        <v>0.25303940754822879</v>
      </c>
      <c r="S149" s="2"/>
      <c r="T149" s="14">
        <f>IFERROR(T127+T129+T130+T131+T132+T133+T134+T135+T136+T137+T138+T139+T140+T143+T144+T145+T146+T147, "NA")</f>
        <v>84547.75</v>
      </c>
      <c r="U149" s="15">
        <f>IFERROR(T149/T444, "NA")</f>
        <v>0.25870214720540852</v>
      </c>
      <c r="V149" s="2"/>
      <c r="W149" s="14">
        <f t="shared" si="34"/>
        <v>2258.5299999999988</v>
      </c>
      <c r="X149" s="15">
        <f>IFERROR(W149/W444, "NA")</f>
        <v>-1.4012035859415888</v>
      </c>
      <c r="Y149" s="2"/>
      <c r="Z149" s="14">
        <f>IFERROR(Z127+Z129+Z130+Z131+Z132+Z133+Z134+Z135+Z136+Z137+Z138+Z139+Z140+Z143+Z144+Z145+Z146+Z147, "NA")</f>
        <v>78165.39</v>
      </c>
      <c r="AA149" s="15">
        <f>IFERROR(Z149/Z444, "NA")</f>
        <v>0.26097155118792958</v>
      </c>
      <c r="AB149" s="2"/>
      <c r="AC149" s="14">
        <f t="shared" si="35"/>
        <v>-4123.8300000000017</v>
      </c>
      <c r="AD149" s="15">
        <f>IFERROR(AC149/AC444, "NA")</f>
        <v>-0.1605460191199351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1527.45</v>
      </c>
      <c r="F153" s="8">
        <f>IFERROR(E153/E444, "NA")</f>
        <v>1.4999998526956838E-2</v>
      </c>
      <c r="G153" s="9"/>
      <c r="H153" s="10">
        <f t="shared" ref="H153:H158" si="36">IFERROR(-(B153-E153), "NA")</f>
        <v>1527.45</v>
      </c>
      <c r="I153" s="8">
        <f>IFERROR(H153/H444, "NA")</f>
        <v>-6.9875797708090312E-2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5469.58</v>
      </c>
      <c r="U153" s="8">
        <f>IFERROR(T153/T444, "NA")</f>
        <v>1.6736011192630889E-2</v>
      </c>
      <c r="V153" s="9"/>
      <c r="W153" s="10">
        <f t="shared" ref="W153:W158" si="38">IFERROR(-(Q153-T153), "NA")</f>
        <v>5469.58</v>
      </c>
      <c r="X153" s="8">
        <f>IFERROR(W153/W444, "NA")</f>
        <v>-3.3933554611160353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2949.82</v>
      </c>
      <c r="C154" s="8">
        <f>IFERROR(B154/B444, "NA")</f>
        <v>3.6886347229747568E-2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-2949.82</v>
      </c>
      <c r="I154" s="8">
        <f>IFERROR(H154/H444, "NA")</f>
        <v>0.13494453212562044</v>
      </c>
      <c r="J154" s="9"/>
      <c r="K154" s="7">
        <v>3391.78</v>
      </c>
      <c r="L154" s="8">
        <f>IFERROR(K154/K444, "NA")</f>
        <v>3.7638325935753697E-2</v>
      </c>
      <c r="M154" s="9"/>
      <c r="N154" s="10">
        <f t="shared" si="37"/>
        <v>441.96000000000004</v>
      </c>
      <c r="O154" s="8">
        <f>IFERROR(N154/N444, "NA")</f>
        <v>-4.3566249858298288E-2</v>
      </c>
      <c r="P154" s="9"/>
      <c r="Q154" s="7">
        <v>11008.96</v>
      </c>
      <c r="R154" s="8">
        <f>IFERROR(Q154/Q444, "NA")</f>
        <v>3.3852559498341928E-2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-11008.96</v>
      </c>
      <c r="X154" s="8">
        <f>IFERROR(W154/W444, "NA")</f>
        <v>6.8300151999254028</v>
      </c>
      <c r="Y154" s="9"/>
      <c r="Z154" s="7">
        <v>12005.96</v>
      </c>
      <c r="AA154" s="8">
        <f>IFERROR(Z154/Z444, "NA")</f>
        <v>4.0084415937798497E-2</v>
      </c>
      <c r="AB154" s="9"/>
      <c r="AC154" s="10">
        <f t="shared" si="39"/>
        <v>997</v>
      </c>
      <c r="AD154" s="8">
        <f>IFERROR(AC154/AC444, "NA")</f>
        <v>3.8814495520565886E-2</v>
      </c>
    </row>
    <row r="155" spans="1:30" ht="16.5" customHeight="1" x14ac:dyDescent="0.45">
      <c r="A155" s="12" t="s">
        <v>144</v>
      </c>
      <c r="B155" s="7">
        <v>277.72000000000003</v>
      </c>
      <c r="C155" s="8">
        <f>IFERROR(B155/B444, "NA")</f>
        <v>3.4727801535841154E-3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-277.72000000000003</v>
      </c>
      <c r="I155" s="8">
        <f>IFERROR(H155/H444, "NA")</f>
        <v>1.2704773668199183E-2</v>
      </c>
      <c r="J155" s="9"/>
      <c r="K155" s="7">
        <v>634.16999999999996</v>
      </c>
      <c r="L155" s="8">
        <f>IFERROR(K155/K444, "NA")</f>
        <v>7.0373364895945246E-3</v>
      </c>
      <c r="M155" s="9"/>
      <c r="N155" s="10">
        <f t="shared" si="37"/>
        <v>356.44999999999993</v>
      </c>
      <c r="O155" s="8">
        <f>IFERROR(N155/N444, "NA")</f>
        <v>-3.5137093316115531E-2</v>
      </c>
      <c r="P155" s="9"/>
      <c r="Q155" s="7">
        <v>2637.41</v>
      </c>
      <c r="R155" s="8">
        <f>IFERROR(Q155/Q444, "NA")</f>
        <v>8.1100375463733169E-3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-2637.41</v>
      </c>
      <c r="X155" s="8">
        <f>IFERROR(W155/W444, "NA")</f>
        <v>1.6362626795296973</v>
      </c>
      <c r="Y155" s="9"/>
      <c r="Z155" s="7">
        <v>1910.94</v>
      </c>
      <c r="AA155" s="8">
        <f>IFERROR(Z155/Z444, "NA")</f>
        <v>6.3800740459052556E-3</v>
      </c>
      <c r="AB155" s="9"/>
      <c r="AC155" s="10">
        <f t="shared" si="39"/>
        <v>-726.4699999999998</v>
      </c>
      <c r="AD155" s="8">
        <f>IFERROR(AC155/AC444, "NA")</f>
        <v>-2.828241380223219E-2</v>
      </c>
    </row>
    <row r="156" spans="1:30" ht="16.5" hidden="1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0</v>
      </c>
      <c r="AD156" s="8">
        <f>IFERROR(AC156/AC444, "NA")</f>
        <v>0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3227.54</v>
      </c>
      <c r="C158" s="15">
        <f>IFERROR(B158/B444, "NA")</f>
        <v>4.035912738333168E-2</v>
      </c>
      <c r="D158" s="2"/>
      <c r="E158" s="14">
        <f>IFERROR(E153+E154+E155+E156+E157, "NA")</f>
        <v>1527.45</v>
      </c>
      <c r="F158" s="15">
        <f>IFERROR(E158/E444, "NA")</f>
        <v>1.4999998526956838E-2</v>
      </c>
      <c r="G158" s="2"/>
      <c r="H158" s="14">
        <f t="shared" si="36"/>
        <v>-1700.09</v>
      </c>
      <c r="I158" s="15">
        <f>IFERROR(H158/H444, "NA")</f>
        <v>7.7773508085729318E-2</v>
      </c>
      <c r="J158" s="2"/>
      <c r="K158" s="14">
        <f>IFERROR(K153+K154+K155+K156+K157, "NA")</f>
        <v>4025.9500000000003</v>
      </c>
      <c r="L158" s="15">
        <f>IFERROR(K158/K444, "NA")</f>
        <v>4.467566242534822E-2</v>
      </c>
      <c r="M158" s="2"/>
      <c r="N158" s="14">
        <f t="shared" si="37"/>
        <v>798.41000000000031</v>
      </c>
      <c r="O158" s="15">
        <f>IFERROR(N158/N444, "NA")</f>
        <v>-7.8703343174413853E-2</v>
      </c>
      <c r="P158" s="2"/>
      <c r="Q158" s="14">
        <f>IFERROR(Q153+Q154+Q155+Q156+Q157, "NA")</f>
        <v>13646.369999999999</v>
      </c>
      <c r="R158" s="15">
        <f>IFERROR(Q158/Q444, "NA")</f>
        <v>4.1962597044715243E-2</v>
      </c>
      <c r="S158" s="2"/>
      <c r="T158" s="14">
        <f>IFERROR(T153+T154+T155+T156+T157, "NA")</f>
        <v>5469.58</v>
      </c>
      <c r="U158" s="15">
        <f>IFERROR(T158/T444, "NA")</f>
        <v>1.6736011192630889E-2</v>
      </c>
      <c r="V158" s="2"/>
      <c r="W158" s="14">
        <f t="shared" si="38"/>
        <v>-8176.7899999999991</v>
      </c>
      <c r="X158" s="15">
        <f>IFERROR(W158/W444, "NA")</f>
        <v>5.0729224183390649</v>
      </c>
      <c r="Y158" s="2"/>
      <c r="Z158" s="14">
        <f>IFERROR(Z153+Z154+Z155+Z156+Z157, "NA")</f>
        <v>13916.9</v>
      </c>
      <c r="AA158" s="15">
        <f>IFERROR(Z158/Z444, "NA")</f>
        <v>4.6464489983703755E-2</v>
      </c>
      <c r="AB158" s="2"/>
      <c r="AC158" s="14">
        <f t="shared" si="39"/>
        <v>270.53000000000065</v>
      </c>
      <c r="AD158" s="15">
        <f>IFERROR(AC158/AC444, "NA")</f>
        <v>1.0532081718333716E-2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286.24</v>
      </c>
      <c r="C161" s="8">
        <f>IFERROR(B161/B444, "NA")</f>
        <v>3.5793194266236393E-3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-286.24</v>
      </c>
      <c r="I161" s="8">
        <f>IFERROR(H161/H444, "NA")</f>
        <v>1.309453555662298E-2</v>
      </c>
      <c r="J161" s="9"/>
      <c r="K161" s="7">
        <v>194.08</v>
      </c>
      <c r="L161" s="8">
        <f>IFERROR(K161/K444, "NA")</f>
        <v>2.1536910700608756E-3</v>
      </c>
      <c r="M161" s="9"/>
      <c r="N161" s="10">
        <f t="shared" si="41"/>
        <v>-92.16</v>
      </c>
      <c r="O161" s="8">
        <f>IFERROR(N161/N444, "NA")</f>
        <v>9.084680937054869E-3</v>
      </c>
      <c r="P161" s="9"/>
      <c r="Q161" s="7">
        <v>1278.51</v>
      </c>
      <c r="R161" s="8">
        <f>IFERROR(Q161/Q444, "NA")</f>
        <v>3.931419120809335E-3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-1278.51</v>
      </c>
      <c r="X161" s="8">
        <f>IFERROR(W161/W444, "NA")</f>
        <v>0.79319415578370955</v>
      </c>
      <c r="Y161" s="9"/>
      <c r="Z161" s="7">
        <v>736.16</v>
      </c>
      <c r="AA161" s="8">
        <f>IFERROR(Z161/Z444, "NA")</f>
        <v>2.4578245835209962E-3</v>
      </c>
      <c r="AB161" s="9"/>
      <c r="AC161" s="10">
        <f t="shared" si="43"/>
        <v>-542.35</v>
      </c>
      <c r="AD161" s="8">
        <f>IFERROR(AC161/AC444, "NA")</f>
        <v>-2.1114384799978847E-2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286.24</v>
      </c>
      <c r="C166" s="15">
        <f>IFERROR(B166/B444, "NA")</f>
        <v>3.5793194266236393E-3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-286.24</v>
      </c>
      <c r="I166" s="15">
        <f>IFERROR(H166/H444, "NA")</f>
        <v>1.309453555662298E-2</v>
      </c>
      <c r="J166" s="2"/>
      <c r="K166" s="14">
        <f>IFERROR(K160+K161+K162+K163+K164+K165, "NA")</f>
        <v>194.08</v>
      </c>
      <c r="L166" s="15">
        <f>IFERROR(K166/K444, "NA")</f>
        <v>2.1536910700608756E-3</v>
      </c>
      <c r="M166" s="2"/>
      <c r="N166" s="14">
        <f t="shared" si="41"/>
        <v>-92.16</v>
      </c>
      <c r="O166" s="15">
        <f>IFERROR(N166/N444, "NA")</f>
        <v>9.084680937054869E-3</v>
      </c>
      <c r="P166" s="2"/>
      <c r="Q166" s="14">
        <f>IFERROR(Q160+Q161+Q162+Q163+Q164+Q165, "NA")</f>
        <v>1278.51</v>
      </c>
      <c r="R166" s="15">
        <f>IFERROR(Q166/Q444, "NA")</f>
        <v>3.931419120809335E-3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-1278.51</v>
      </c>
      <c r="X166" s="15">
        <f>IFERROR(W166/W444, "NA")</f>
        <v>0.79319415578370955</v>
      </c>
      <c r="Y166" s="2"/>
      <c r="Z166" s="14">
        <f>IFERROR(Z160+Z161+Z162+Z163+Z164+Z165, "NA")</f>
        <v>736.16</v>
      </c>
      <c r="AA166" s="15">
        <f>IFERROR(Z166/Z444, "NA")</f>
        <v>2.4578245835209962E-3</v>
      </c>
      <c r="AB166" s="2"/>
      <c r="AC166" s="14">
        <f t="shared" si="43"/>
        <v>-542.35</v>
      </c>
      <c r="AD166" s="15">
        <f>IFERROR(AC166/AC444, "NA")</f>
        <v>-2.1114384799978847E-2</v>
      </c>
    </row>
    <row r="167" spans="1:30" ht="16.5" customHeight="1" x14ac:dyDescent="0.45">
      <c r="A167" s="6" t="s">
        <v>155</v>
      </c>
      <c r="B167" s="7">
        <v>123.81</v>
      </c>
      <c r="C167" s="8">
        <f>IFERROR(B167/B444, "NA")</f>
        <v>1.5481957036412549E-3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-123.81</v>
      </c>
      <c r="I167" s="8">
        <f>IFERROR(H167/H444, "NA")</f>
        <v>5.6638989912852541E-3</v>
      </c>
      <c r="J167" s="9"/>
      <c r="K167" s="7">
        <v>114.51</v>
      </c>
      <c r="L167" s="8">
        <f>IFERROR(K167/K444, "NA")</f>
        <v>1.2707088027239842E-3</v>
      </c>
      <c r="M167" s="9"/>
      <c r="N167" s="10">
        <f t="shared" si="41"/>
        <v>-9.2999999999999972</v>
      </c>
      <c r="O167" s="8">
        <f>IFERROR(N167/N444, "NA")</f>
        <v>9.1674840185123978E-4</v>
      </c>
      <c r="P167" s="9"/>
      <c r="Q167" s="7">
        <v>359.99</v>
      </c>
      <c r="R167" s="8">
        <f>IFERROR(Q167/Q444, "NA")</f>
        <v>1.1069694951937432E-3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-359.99</v>
      </c>
      <c r="X167" s="8">
        <f>IFERROR(W167/W444, "NA")</f>
        <v>0.22333964078542806</v>
      </c>
      <c r="Y167" s="9"/>
      <c r="Z167" s="7">
        <v>537.07000000000005</v>
      </c>
      <c r="AA167" s="8">
        <f>IFERROR(Z167/Z444, "NA")</f>
        <v>1.7931208556178299E-3</v>
      </c>
      <c r="AB167" s="9"/>
      <c r="AC167" s="10">
        <f t="shared" si="43"/>
        <v>177.08000000000004</v>
      </c>
      <c r="AD167" s="8">
        <f>IFERROR(AC167/AC444, "NA")</f>
        <v>6.893952724956679E-3</v>
      </c>
    </row>
    <row r="168" spans="1:30" ht="16.5" customHeight="1" x14ac:dyDescent="0.45">
      <c r="A168" s="6" t="s">
        <v>156</v>
      </c>
      <c r="B168" s="7">
        <v>17.8</v>
      </c>
      <c r="C168" s="8">
        <f>IFERROR(B168/B444, "NA")</f>
        <v>2.2258204930792615E-4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-17.8</v>
      </c>
      <c r="I168" s="8">
        <f>IFERROR(H168/H444, "NA")</f>
        <v>8.1429126924220598E-4</v>
      </c>
      <c r="J168" s="9"/>
      <c r="K168" s="7">
        <v>52.59</v>
      </c>
      <c r="L168" s="8">
        <f>IFERROR(K168/K444, "NA")</f>
        <v>5.8358724945641721E-4</v>
      </c>
      <c r="M168" s="9"/>
      <c r="N168" s="10">
        <f t="shared" si="41"/>
        <v>34.790000000000006</v>
      </c>
      <c r="O168" s="8">
        <f>IFERROR(N168/N444, "NA")</f>
        <v>-3.4294276236994247E-3</v>
      </c>
      <c r="P168" s="9"/>
      <c r="Q168" s="7">
        <v>116</v>
      </c>
      <c r="R168" s="8">
        <f>IFERROR(Q168/Q444, "NA")</f>
        <v>3.5670007900906751E-4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-116</v>
      </c>
      <c r="X168" s="8">
        <f>IFERROR(W168/W444, "NA")</f>
        <v>7.1966994447372576E-2</v>
      </c>
      <c r="Y168" s="9"/>
      <c r="Z168" s="7">
        <v>178.89</v>
      </c>
      <c r="AA168" s="8">
        <f>IFERROR(Z168/Z444, "NA")</f>
        <v>5.9726179057008127E-4</v>
      </c>
      <c r="AB168" s="9"/>
      <c r="AC168" s="10">
        <f t="shared" si="43"/>
        <v>62.889999999999986</v>
      </c>
      <c r="AD168" s="8">
        <f>IFERROR(AC168/AC444, "NA")</f>
        <v>2.4483887896573605E-3</v>
      </c>
    </row>
    <row r="169" spans="1:30" ht="16.5" customHeight="1" x14ac:dyDescent="0.45">
      <c r="A169" s="6" t="s">
        <v>157</v>
      </c>
      <c r="B169" s="7">
        <v>-1188.47</v>
      </c>
      <c r="C169" s="8">
        <f>IFERROR(B169/B444, "NA")</f>
        <v>-1.4861353266347809E-2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1188.47</v>
      </c>
      <c r="I169" s="8">
        <f>IFERROR(H169/H444, "NA")</f>
        <v>-5.4368581166083396E-2</v>
      </c>
      <c r="J169" s="9"/>
      <c r="K169" s="7">
        <v>-1805.65</v>
      </c>
      <c r="L169" s="8">
        <f>IFERROR(K169/K444, "NA")</f>
        <v>-2.0037161380128916E-2</v>
      </c>
      <c r="M169" s="9"/>
      <c r="N169" s="10">
        <f t="shared" si="41"/>
        <v>-617.18000000000006</v>
      </c>
      <c r="O169" s="8">
        <f>IFERROR(N169/N444, "NA")</f>
        <v>6.083857834995144E-2</v>
      </c>
      <c r="P169" s="9"/>
      <c r="Q169" s="7">
        <v>-7828.28</v>
      </c>
      <c r="R169" s="8">
        <f>IFERROR(Q169/Q444, "NA")</f>
        <v>-2.4071966331940541E-2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7828.28</v>
      </c>
      <c r="X169" s="8">
        <f>IFERROR(W169/W444, "NA")</f>
        <v>-4.8567050283834288</v>
      </c>
      <c r="Y169" s="9"/>
      <c r="Z169" s="7">
        <v>-7999.33</v>
      </c>
      <c r="AA169" s="8">
        <f>IFERROR(Z169/Z444, "NA")</f>
        <v>-2.6707441216171773E-2</v>
      </c>
      <c r="AB169" s="9"/>
      <c r="AC169" s="10">
        <f t="shared" si="43"/>
        <v>-171.05000000000018</v>
      </c>
      <c r="AD169" s="8">
        <f>IFERROR(AC169/AC444, "NA")</f>
        <v>-6.6591970499426303E-3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2466.92</v>
      </c>
      <c r="C170" s="15">
        <f>IFERROR(B170/B444, "NA")</f>
        <v>3.0847871296556695E-2</v>
      </c>
      <c r="D170" s="2"/>
      <c r="E170" s="14">
        <f>IFERROR(E151+E153+E154+E155+E156+E157+E160+E161+E162+E163+E164+E165+E167+E168+E169, "NA")</f>
        <v>1527.45</v>
      </c>
      <c r="F170" s="15">
        <f>IFERROR(E170/E444, "NA")</f>
        <v>1.4999998526956838E-2</v>
      </c>
      <c r="G170" s="2"/>
      <c r="H170" s="14">
        <f t="shared" si="40"/>
        <v>-939.47</v>
      </c>
      <c r="I170" s="15">
        <f>IFERROR(H170/H444, "NA")</f>
        <v>4.2977652736796358E-2</v>
      </c>
      <c r="J170" s="2"/>
      <c r="K170" s="14">
        <f>IFERROR(K151+K153+K154+K155+K156+K157+K160+K161+K162+K163+K164+K165+K167+K168+K169, "NA")</f>
        <v>2581.4800000000009</v>
      </c>
      <c r="L170" s="15">
        <f>IFERROR(K170/K444, "NA")</f>
        <v>2.8646488167460588E-2</v>
      </c>
      <c r="M170" s="2"/>
      <c r="N170" s="14">
        <f t="shared" si="41"/>
        <v>114.56000000000085</v>
      </c>
      <c r="O170" s="15">
        <f>IFERROR(N170/N444, "NA")</f>
        <v>-1.1292763109255789E-2</v>
      </c>
      <c r="P170" s="2"/>
      <c r="Q170" s="14">
        <f>IFERROR(Q151+Q153+Q154+Q155+Q156+Q157+Q160+Q161+Q162+Q163+Q164+Q165+Q167+Q168+Q169, "NA")</f>
        <v>7572.5899999999992</v>
      </c>
      <c r="R170" s="15">
        <f>IFERROR(Q170/Q444, "NA")</f>
        <v>2.3285719407786846E-2</v>
      </c>
      <c r="S170" s="2"/>
      <c r="T170" s="14">
        <f>IFERROR(T151+T153+T154+T155+T156+T157+T160+T161+T162+T163+T164+T165+T167+T168+T169, "NA")</f>
        <v>5469.58</v>
      </c>
      <c r="U170" s="15">
        <f>IFERROR(T170/T444, "NA")</f>
        <v>1.6736011192630889E-2</v>
      </c>
      <c r="V170" s="2"/>
      <c r="W170" s="14">
        <f t="shared" si="42"/>
        <v>-2103.0099999999993</v>
      </c>
      <c r="X170" s="15">
        <f>IFERROR(W170/W444, "NA")</f>
        <v>1.3047181809721462</v>
      </c>
      <c r="Y170" s="2"/>
      <c r="Z170" s="14">
        <f>IFERROR(Z151+Z153+Z154+Z155+Z156+Z157+Z160+Z161+Z162+Z163+Z164+Z165+Z167+Z168+Z169, "NA")</f>
        <v>7369.6899999999987</v>
      </c>
      <c r="AA170" s="15">
        <f>IFERROR(Z170/Z444, "NA")</f>
        <v>2.4605255997240883E-2</v>
      </c>
      <c r="AB170" s="2"/>
      <c r="AC170" s="14">
        <f t="shared" si="43"/>
        <v>-202.90000000000055</v>
      </c>
      <c r="AD170" s="15">
        <f>IFERROR(AC170/AC444, "NA")</f>
        <v>-7.8991586169737619E-3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23629.14</v>
      </c>
      <c r="C171" s="15">
        <f>IFERROR(B171/B444, "NA")</f>
        <v>0.29547316879684776</v>
      </c>
      <c r="D171" s="2"/>
      <c r="E171" s="14">
        <f>IFERROR(E127+E129+E130+E131+E132+E133+E134+E135+E136+E137+E138+E139+E140+E143+E144+E145+E146+E147+E151+E153+E154+E155+E156+E157+E160+E161+E162+E163+E164+E165+E167+E168+E169, "NA")</f>
        <v>27188.61</v>
      </c>
      <c r="F171" s="15">
        <f>IFERROR(E171/E444, "NA")</f>
        <v>0.2669999737798317</v>
      </c>
      <c r="G171" s="2"/>
      <c r="H171" s="14">
        <f t="shared" si="40"/>
        <v>3559.4700000000012</v>
      </c>
      <c r="I171" s="15">
        <f>IFERROR(H171/H444, "NA")</f>
        <v>-0.16283400809716606</v>
      </c>
      <c r="J171" s="2"/>
      <c r="K171" s="14">
        <f>IFERROR(K127+K129+K130+K131+K132+K133+K134+K135+K136+K137+K138+K139+K140+K143+K144+K145+K146+K147+K151+K153+K154+K155+K156+K157+K160+K161+K162+K163+K164+K165+K167+K168+K169, "NA")</f>
        <v>25302.81</v>
      </c>
      <c r="L171" s="15">
        <f>IFERROR(K171/K444, "NA")</f>
        <v>0.28078336739719201</v>
      </c>
      <c r="M171" s="2"/>
      <c r="N171" s="14">
        <f t="shared" si="41"/>
        <v>1673.6700000000019</v>
      </c>
      <c r="O171" s="15">
        <f>IFERROR(N171/N444, "NA")</f>
        <v>-0.16498218255122221</v>
      </c>
      <c r="P171" s="2"/>
      <c r="Q171" s="14">
        <f>IFERROR(Q127+Q129+Q130+Q131+Q132+Q133+Q134+Q135+Q136+Q137+Q138+Q139+Q140+Q143+Q144+Q145+Q146+Q147+Q151+Q153+Q154+Q155+Q156+Q157+Q160+Q161+Q162+Q163+Q164+Q165+Q167+Q168+Q169, "NA")</f>
        <v>89861.81</v>
      </c>
      <c r="R171" s="15">
        <f>IFERROR(Q171/Q444, "NA")</f>
        <v>0.27632512695601563</v>
      </c>
      <c r="S171" s="2"/>
      <c r="T171" s="14">
        <f>IFERROR(T127+T129+T130+T131+T132+T133+T134+T135+T136+T137+T138+T139+T140+T143+T144+T145+T146+T147+T151+T153+T154+T155+T156+T157+T160+T161+T162+T163+T164+T165+T167+T168+T169, "NA")</f>
        <v>90017.33</v>
      </c>
      <c r="U171" s="15">
        <f>IFERROR(T171/T444, "NA")</f>
        <v>0.27543815839803937</v>
      </c>
      <c r="V171" s="2"/>
      <c r="W171" s="14">
        <f t="shared" si="42"/>
        <v>155.52000000000407</v>
      </c>
      <c r="X171" s="15">
        <f>IFERROR(W171/W444, "NA")</f>
        <v>-9.6485404969445479E-2</v>
      </c>
      <c r="Y171" s="2"/>
      <c r="Z171" s="14">
        <f>IFERROR(Z127+Z129+Z130+Z131+Z132+Z133+Z134+Z135+Z136+Z137+Z138+Z139+Z140+Z143+Z144+Z145+Z146+Z147+Z151+Z153+Z154+Z155+Z156+Z157+Z160+Z161+Z162+Z163+Z164+Z165+Z167+Z168+Z169, "NA")</f>
        <v>85535.080000000016</v>
      </c>
      <c r="AA171" s="15">
        <f>IFERROR(Z171/Z444, "NA")</f>
        <v>0.28557680718517053</v>
      </c>
      <c r="AB171" s="2"/>
      <c r="AC171" s="14">
        <f t="shared" si="43"/>
        <v>-4326.7299999999814</v>
      </c>
      <c r="AD171" s="15">
        <f>IFERROR(AC171/AC444, "NA")</f>
        <v>-0.16844517773690804</v>
      </c>
    </row>
    <row r="172" spans="1:30" ht="16.5" customHeight="1" x14ac:dyDescent="0.45">
      <c r="A172" s="22" t="s">
        <v>160</v>
      </c>
      <c r="B172" s="23">
        <f>IFERROR(B124-B171, "NA")</f>
        <v>56341.37000000001</v>
      </c>
      <c r="C172" s="24">
        <f>IFERROR(B172/B444, "NA")</f>
        <v>0.7045268312031524</v>
      </c>
      <c r="D172" s="25"/>
      <c r="E172" s="23">
        <f>IFERROR(E124-E171, "NA")</f>
        <v>74641.399999999994</v>
      </c>
      <c r="F172" s="24">
        <f>IFERROR(E172/E444, "NA")</f>
        <v>0.73300002622016824</v>
      </c>
      <c r="G172" s="25"/>
      <c r="H172" s="23">
        <f>IFERROR(B172-E172, "NA")</f>
        <v>-18300.029999999984</v>
      </c>
      <c r="I172" s="24">
        <f>IFERROR(H172/H444, "NA")</f>
        <v>0.83716599190283325</v>
      </c>
      <c r="J172" s="25"/>
      <c r="K172" s="23">
        <f>IFERROR(K124-K171, "NA")</f>
        <v>64812.250000000029</v>
      </c>
      <c r="L172" s="24">
        <f>IFERROR(K172/K444, "NA")</f>
        <v>0.71921663260280833</v>
      </c>
      <c r="M172" s="25"/>
      <c r="N172" s="23">
        <f>IFERROR(B172-K172, "NA")</f>
        <v>-8470.8800000000192</v>
      </c>
      <c r="O172" s="24">
        <f>IFERROR(N172/N444, "NA")</f>
        <v>0.83501781744877956</v>
      </c>
      <c r="P172" s="25"/>
      <c r="Q172" s="23">
        <f>IFERROR(Q124-Q171, "NA")</f>
        <v>235341.36999999982</v>
      </c>
      <c r="R172" s="24">
        <f>IFERROR(Q172/Q444, "NA")</f>
        <v>0.72367487304398381</v>
      </c>
      <c r="S172" s="25"/>
      <c r="T172" s="23">
        <f>IFERROR(T124-T171, "NA")</f>
        <v>236797.7</v>
      </c>
      <c r="U172" s="24">
        <f>IFERROR(T172/T444, "NA")</f>
        <v>0.72456184160196058</v>
      </c>
      <c r="V172" s="25"/>
      <c r="W172" s="23">
        <f>IFERROR(Q172-T172, "NA")</f>
        <v>-1456.3300000001909</v>
      </c>
      <c r="X172" s="24">
        <f>IFERROR(W172/W444, "NA")</f>
        <v>0.90351459503065379</v>
      </c>
      <c r="Y172" s="25"/>
      <c r="Z172" s="23">
        <f>IFERROR(Z124-Z171, "NA")</f>
        <v>213981.82</v>
      </c>
      <c r="AA172" s="24">
        <f>IFERROR(Z172/Z444, "NA")</f>
        <v>0.71442319281482947</v>
      </c>
      <c r="AB172" s="25"/>
      <c r="AC172" s="23">
        <f>IFERROR(Q172-Z172, "NA")</f>
        <v>21359.549999999814</v>
      </c>
      <c r="AD172" s="24">
        <f>IFERROR(AC172/AC444, "NA")</f>
        <v>0.83155482226308519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4615.3999999999996</v>
      </c>
      <c r="C178" s="8">
        <f>IFERROR(B178/B444, "NA")</f>
        <v>5.7713774740213608E-2</v>
      </c>
      <c r="D178" s="9"/>
      <c r="E178" s="7">
        <v>5000</v>
      </c>
      <c r="F178" s="8">
        <f>IFERROR(E178/E444, "NA")</f>
        <v>4.9101438760538275E-2</v>
      </c>
      <c r="G178" s="9"/>
      <c r="H178" s="10">
        <f t="shared" si="44"/>
        <v>384.60000000000036</v>
      </c>
      <c r="I178" s="8">
        <f>IFERROR(H178/H444, "NA")</f>
        <v>-1.7594181019693973E-2</v>
      </c>
      <c r="J178" s="9"/>
      <c r="K178" s="7">
        <v>5307.68</v>
      </c>
      <c r="L178" s="8">
        <f>IFERROR(K178/K444, "NA")</f>
        <v>5.889892322104652E-2</v>
      </c>
      <c r="M178" s="9"/>
      <c r="N178" s="10">
        <f t="shared" si="45"/>
        <v>692.28000000000065</v>
      </c>
      <c r="O178" s="8">
        <f>IFERROR(N178/N444, "NA")</f>
        <v>-6.8241568132642691E-2</v>
      </c>
      <c r="P178" s="9"/>
      <c r="Q178" s="7">
        <v>19615.45</v>
      </c>
      <c r="R178" s="8">
        <f>IFERROR(Q178/Q444, "NA")</f>
        <v>6.0317522110331152E-2</v>
      </c>
      <c r="S178" s="9"/>
      <c r="T178" s="7">
        <v>21250</v>
      </c>
      <c r="U178" s="8">
        <f>IFERROR(T178/T444, "NA")</f>
        <v>6.5021489372750083E-2</v>
      </c>
      <c r="V178" s="9"/>
      <c r="W178" s="10">
        <f t="shared" si="46"/>
        <v>1634.5499999999993</v>
      </c>
      <c r="X178" s="8">
        <f>IFERROR(W178/W444, "NA")</f>
        <v>-1.0140831963271792</v>
      </c>
      <c r="Y178" s="9"/>
      <c r="Z178" s="7">
        <v>22557.64</v>
      </c>
      <c r="AA178" s="8">
        <f>IFERROR(Z178/Z444, "NA")</f>
        <v>7.531341303278713E-2</v>
      </c>
      <c r="AB178" s="9"/>
      <c r="AC178" s="10">
        <f t="shared" si="47"/>
        <v>2942.1899999999987</v>
      </c>
      <c r="AD178" s="8">
        <f>IFERROR(AC178/AC444, "NA")</f>
        <v>0.11454325032663361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17098.27</v>
      </c>
      <c r="C180" s="8">
        <f>IFERROR(B180/B444, "NA")</f>
        <v>0.21380718967529408</v>
      </c>
      <c r="D180" s="9"/>
      <c r="E180" s="7">
        <v>18634.89</v>
      </c>
      <c r="F180" s="8">
        <f>IFERROR(E180/E444, "NA")</f>
        <v>0.18299998202887341</v>
      </c>
      <c r="G180" s="9"/>
      <c r="H180" s="10">
        <f t="shared" si="44"/>
        <v>1536.619999999999</v>
      </c>
      <c r="I180" s="8">
        <f>IFERROR(H180/H444, "NA")</f>
        <v>-7.029529495185155E-2</v>
      </c>
      <c r="J180" s="9"/>
      <c r="K180" s="7">
        <v>16496.22</v>
      </c>
      <c r="L180" s="8">
        <f>IFERROR(K180/K444, "NA")</f>
        <v>0.18305730473907469</v>
      </c>
      <c r="M180" s="9"/>
      <c r="N180" s="10">
        <f t="shared" si="45"/>
        <v>-602.04999999999927</v>
      </c>
      <c r="O180" s="8">
        <f>IFERROR(N180/N444, "NA")</f>
        <v>5.9347137132746065E-2</v>
      </c>
      <c r="P180" s="9"/>
      <c r="Q180" s="7">
        <v>65761.119999999995</v>
      </c>
      <c r="R180" s="8">
        <f>IFERROR(Q180/Q444, "NA")</f>
        <v>0.20221548879073076</v>
      </c>
      <c r="S180" s="9"/>
      <c r="T180" s="7">
        <v>67009.2</v>
      </c>
      <c r="U180" s="8">
        <f>IFERROR(T180/T444, "NA")</f>
        <v>0.2050370816788934</v>
      </c>
      <c r="V180" s="9"/>
      <c r="W180" s="10">
        <f t="shared" si="46"/>
        <v>1248.0800000000017</v>
      </c>
      <c r="X180" s="8">
        <f>IFERROR(W180/W444, "NA")</f>
        <v>-0.77431522784376627</v>
      </c>
      <c r="Y180" s="9"/>
      <c r="Z180" s="7">
        <v>59206.74</v>
      </c>
      <c r="AA180" s="8">
        <f>IFERROR(Z180/Z444, "NA")</f>
        <v>0.19767412122654845</v>
      </c>
      <c r="AB180" s="9"/>
      <c r="AC180" s="10">
        <f t="shared" si="47"/>
        <v>-6554.3799999999974</v>
      </c>
      <c r="AD180" s="8">
        <f>IFERROR(AC180/AC444, "NA")</f>
        <v>-0.25517046454371772</v>
      </c>
    </row>
    <row r="181" spans="1:30" ht="16.5" customHeight="1" x14ac:dyDescent="0.45">
      <c r="A181" s="12" t="s">
        <v>166</v>
      </c>
      <c r="B181" s="7">
        <v>36.92</v>
      </c>
      <c r="C181" s="8">
        <f>IFERROR(B181/B444, "NA")</f>
        <v>4.6167018317127157E-4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-36.92</v>
      </c>
      <c r="I181" s="8">
        <f>IFERROR(H181/H444, "NA")</f>
        <v>1.6889681831697889E-3</v>
      </c>
      <c r="J181" s="9"/>
      <c r="K181" s="7">
        <v>282.2</v>
      </c>
      <c r="L181" s="8">
        <f>IFERROR(K181/K444, "NA")</f>
        <v>3.1315520402472128E-3</v>
      </c>
      <c r="M181" s="9"/>
      <c r="N181" s="10">
        <f t="shared" si="45"/>
        <v>245.27999999999997</v>
      </c>
      <c r="O181" s="8">
        <f>IFERROR(N181/N444, "NA")</f>
        <v>-2.4178499785599154E-2</v>
      </c>
      <c r="P181" s="9"/>
      <c r="Q181" s="7">
        <v>236.21</v>
      </c>
      <c r="R181" s="8">
        <f>IFERROR(Q181/Q444, "NA")</f>
        <v>7.263459108856193E-4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-236.21</v>
      </c>
      <c r="X181" s="8">
        <f>IFERROR(W181/W444, "NA")</f>
        <v>0.14654589446908514</v>
      </c>
      <c r="Y181" s="9"/>
      <c r="Z181" s="7">
        <v>282.51</v>
      </c>
      <c r="AA181" s="8">
        <f>IFERROR(Z181/Z444, "NA")</f>
        <v>9.432188968301954E-4</v>
      </c>
      <c r="AB181" s="9"/>
      <c r="AC181" s="10">
        <f t="shared" si="47"/>
        <v>46.299999999999983</v>
      </c>
      <c r="AD181" s="8">
        <f>IFERROR(AC181/AC444, "NA")</f>
        <v>1.8025186986982949E-3</v>
      </c>
    </row>
    <row r="182" spans="1:30" ht="16.5" customHeight="1" x14ac:dyDescent="0.45">
      <c r="A182" s="13" t="s">
        <v>167</v>
      </c>
      <c r="B182" s="14">
        <f>IFERROR(B177+B178+B179+B180+B181, "NA")</f>
        <v>21750.589999999997</v>
      </c>
      <c r="C182" s="15">
        <f>IFERROR(B182/B444, "NA")</f>
        <v>0.27198263459867889</v>
      </c>
      <c r="D182" s="2"/>
      <c r="E182" s="14">
        <f>IFERROR(E177+E178+E179+E180+E181, "NA")</f>
        <v>23634.89</v>
      </c>
      <c r="F182" s="15">
        <f>IFERROR(E182/E444, "NA")</f>
        <v>0.23210142078941171</v>
      </c>
      <c r="G182" s="2"/>
      <c r="H182" s="14">
        <f t="shared" si="44"/>
        <v>1884.3000000000029</v>
      </c>
      <c r="I182" s="15">
        <f>IFERROR(H182/H444, "NA")</f>
        <v>-8.6200507788375902E-2</v>
      </c>
      <c r="J182" s="2"/>
      <c r="K182" s="14">
        <f>IFERROR(K177+K178+K179+K180+K181, "NA")</f>
        <v>22086.100000000002</v>
      </c>
      <c r="L182" s="15">
        <f>IFERROR(K182/K444, "NA")</f>
        <v>0.24508778000036846</v>
      </c>
      <c r="M182" s="2"/>
      <c r="N182" s="14">
        <f t="shared" si="45"/>
        <v>335.51000000000568</v>
      </c>
      <c r="O182" s="15">
        <f>IFERROR(N182/N444, "NA")</f>
        <v>-3.307293078549621E-2</v>
      </c>
      <c r="P182" s="2"/>
      <c r="Q182" s="14">
        <f>IFERROR(Q177+Q178+Q179+Q180+Q181, "NA")</f>
        <v>85612.78</v>
      </c>
      <c r="R182" s="15">
        <f>IFERROR(Q182/Q444, "NA")</f>
        <v>0.26325935681194751</v>
      </c>
      <c r="S182" s="2"/>
      <c r="T182" s="14">
        <f>IFERROR(T177+T178+T179+T180+T181, "NA")</f>
        <v>88259.199999999997</v>
      </c>
      <c r="U182" s="15">
        <f>IFERROR(T182/T444, "NA")</f>
        <v>0.27005857105164344</v>
      </c>
      <c r="V182" s="2"/>
      <c r="W182" s="14">
        <f t="shared" si="46"/>
        <v>2646.4199999999983</v>
      </c>
      <c r="X182" s="15">
        <f>IFERROR(W182/W444, "NA")</f>
        <v>-1.6418525297018587</v>
      </c>
      <c r="Y182" s="2"/>
      <c r="Z182" s="14">
        <f>IFERROR(Z177+Z178+Z179+Z180+Z181, "NA")</f>
        <v>82046.89</v>
      </c>
      <c r="AA182" s="15">
        <f>IFERROR(Z182/Z444, "NA")</f>
        <v>0.27393075315616577</v>
      </c>
      <c r="AB182" s="2"/>
      <c r="AC182" s="14">
        <f t="shared" si="47"/>
        <v>-3565.8899999999994</v>
      </c>
      <c r="AD182" s="15">
        <f>IFERROR(AC182/AC444, "NA")</f>
        <v>-0.13882469551838583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300</v>
      </c>
      <c r="C184" s="8">
        <f>IFERROR(B184/B444, "NA")</f>
        <v>3.7513828535043732E-3</v>
      </c>
      <c r="D184" s="9"/>
      <c r="E184" s="7">
        <v>300</v>
      </c>
      <c r="F184" s="8">
        <f>IFERROR(E184/E444, "NA")</f>
        <v>2.9460863256322964E-3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100</v>
      </c>
      <c r="L184" s="8">
        <f>IFERROR(K184/K444, "NA")</f>
        <v>1.1096924309876729E-3</v>
      </c>
      <c r="M184" s="9"/>
      <c r="N184" s="10">
        <f t="shared" si="45"/>
        <v>-200</v>
      </c>
      <c r="O184" s="8">
        <f>IFERROR(N184/N444, "NA")</f>
        <v>1.9715019394650323E-2</v>
      </c>
      <c r="P184" s="9"/>
      <c r="Q184" s="7">
        <v>1200</v>
      </c>
      <c r="R184" s="8">
        <f>IFERROR(Q184/Q444, "NA")</f>
        <v>3.690000817335181E-3</v>
      </c>
      <c r="S184" s="9"/>
      <c r="T184" s="7">
        <v>1200</v>
      </c>
      <c r="U184" s="8">
        <f>IFERROR(T184/T444, "NA")</f>
        <v>3.6718017528141219E-3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1000</v>
      </c>
      <c r="AA184" s="8">
        <f>IFERROR(Z184/Z444, "NA")</f>
        <v>3.3387097689646225E-3</v>
      </c>
      <c r="AB184" s="9"/>
      <c r="AC184" s="10">
        <f t="shared" si="47"/>
        <v>-200</v>
      </c>
      <c r="AD184" s="8">
        <f>IFERROR(AC184/AC444, "NA")</f>
        <v>-7.7862578777464168E-3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2308.6999999999998</v>
      </c>
      <c r="C186" s="8">
        <f>IFERROR(B186/B444, "NA")</f>
        <v>2.8869391979618488E-2</v>
      </c>
      <c r="D186" s="9"/>
      <c r="E186" s="7">
        <v>2632.21</v>
      </c>
      <c r="F186" s="8">
        <f>IFERROR(E186/E444, "NA")</f>
        <v>2.5849059623975292E-2</v>
      </c>
      <c r="G186" s="9"/>
      <c r="H186" s="10">
        <f t="shared" ref="H186:H197" si="48">IFERROR(-(B186-E186), "NA")</f>
        <v>323.51000000000022</v>
      </c>
      <c r="I186" s="8">
        <f>IFERROR(H186/H444, "NA")</f>
        <v>-1.4799515084974506E-2</v>
      </c>
      <c r="J186" s="9"/>
      <c r="K186" s="7">
        <v>1357.16</v>
      </c>
      <c r="L186" s="8">
        <f>IFERROR(K186/K444, "NA")</f>
        <v>1.5060301796392303E-2</v>
      </c>
      <c r="M186" s="9"/>
      <c r="N186" s="10">
        <f t="shared" ref="N186:N197" si="49">IFERROR(-(B186-K186), "NA")</f>
        <v>-951.53999999999974</v>
      </c>
      <c r="O186" s="8">
        <f>IFERROR(N186/N444, "NA")</f>
        <v>9.3798147773927823E-2</v>
      </c>
      <c r="P186" s="9"/>
      <c r="Q186" s="7">
        <v>11627.31</v>
      </c>
      <c r="R186" s="8">
        <f>IFERROR(Q186/Q444, "NA")</f>
        <v>3.5753986169507937E-2</v>
      </c>
      <c r="S186" s="9"/>
      <c r="T186" s="7">
        <v>10742.46</v>
      </c>
      <c r="U186" s="8">
        <f>IFERROR(T186/T444, "NA")</f>
        <v>3.287015288127966E-2</v>
      </c>
      <c r="V186" s="9"/>
      <c r="W186" s="10">
        <f t="shared" ref="W186:W197" si="50">IFERROR(-(Q186-T186), "NA")</f>
        <v>-884.85000000000036</v>
      </c>
      <c r="X186" s="8">
        <f>IFERROR(W186/W444, "NA")</f>
        <v>0.54896547445480737</v>
      </c>
      <c r="Y186" s="9"/>
      <c r="Z186" s="7">
        <v>11107.68</v>
      </c>
      <c r="AA186" s="8">
        <f>IFERROR(Z186/Z444, "NA")</f>
        <v>3.7085319726532957E-2</v>
      </c>
      <c r="AB186" s="9"/>
      <c r="AC186" s="10">
        <f t="shared" ref="AC186:AC197" si="51">IFERROR(-(Q186-Z186), "NA")</f>
        <v>-519.6299999999992</v>
      </c>
      <c r="AD186" s="8">
        <f>IFERROR(AC186/AC444, "NA")</f>
        <v>-2.0229865905066823E-2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0.03</v>
      </c>
      <c r="L187" s="8">
        <f>IFERROR(K187/K444, "NA")</f>
        <v>3.3290772929630187E-7</v>
      </c>
      <c r="M187" s="9"/>
      <c r="N187" s="10">
        <f t="shared" si="49"/>
        <v>0.03</v>
      </c>
      <c r="O187" s="8">
        <f>IFERROR(N187/N444, "NA")</f>
        <v>-2.9572529091975486E-6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0.06</v>
      </c>
      <c r="AA187" s="8">
        <f>IFERROR(Z187/Z444, "NA")</f>
        <v>2.0032258613787734E-7</v>
      </c>
      <c r="AB187" s="9"/>
      <c r="AC187" s="10">
        <f t="shared" si="51"/>
        <v>0.06</v>
      </c>
      <c r="AD187" s="8">
        <f>IFERROR(AC187/AC444, "NA")</f>
        <v>2.335877363323925E-6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2308.6999999999998</v>
      </c>
      <c r="C193" s="15">
        <f>IFERROR(B193/B444, "NA")</f>
        <v>2.8869391979618488E-2</v>
      </c>
      <c r="D193" s="2"/>
      <c r="E193" s="14">
        <f>IFERROR(E186+E187+E188+E189+E190+E191+E192, "NA")</f>
        <v>2632.21</v>
      </c>
      <c r="F193" s="15">
        <f>IFERROR(E193/E444, "NA")</f>
        <v>2.5849059623975292E-2</v>
      </c>
      <c r="G193" s="2"/>
      <c r="H193" s="14">
        <f t="shared" si="48"/>
        <v>323.51000000000022</v>
      </c>
      <c r="I193" s="15">
        <f>IFERROR(H193/H444, "NA")</f>
        <v>-1.4799515084974506E-2</v>
      </c>
      <c r="J193" s="2"/>
      <c r="K193" s="14">
        <f>IFERROR(K186+K187+K188+K189+K190+K191+K192, "NA")</f>
        <v>1357.19</v>
      </c>
      <c r="L193" s="15">
        <f>IFERROR(K193/K444, "NA")</f>
        <v>1.5060634704121598E-2</v>
      </c>
      <c r="M193" s="2"/>
      <c r="N193" s="14">
        <f t="shared" si="49"/>
        <v>-951.50999999999976</v>
      </c>
      <c r="O193" s="15">
        <f>IFERROR(N193/N444, "NA")</f>
        <v>9.3795190521018632E-2</v>
      </c>
      <c r="P193" s="2"/>
      <c r="Q193" s="14">
        <f>IFERROR(Q186+Q187+Q188+Q189+Q190+Q191+Q192, "NA")</f>
        <v>11627.31</v>
      </c>
      <c r="R193" s="15">
        <f>IFERROR(Q193/Q444, "NA")</f>
        <v>3.5753986169507937E-2</v>
      </c>
      <c r="S193" s="2"/>
      <c r="T193" s="14">
        <f>IFERROR(T186+T187+T188+T189+T190+T191+T192, "NA")</f>
        <v>10742.46</v>
      </c>
      <c r="U193" s="15">
        <f>IFERROR(T193/T444, "NA")</f>
        <v>3.287015288127966E-2</v>
      </c>
      <c r="V193" s="2"/>
      <c r="W193" s="14">
        <f t="shared" si="50"/>
        <v>-884.85000000000036</v>
      </c>
      <c r="X193" s="15">
        <f>IFERROR(W193/W444, "NA")</f>
        <v>0.54896547445480737</v>
      </c>
      <c r="Y193" s="2"/>
      <c r="Z193" s="14">
        <f>IFERROR(Z186+Z187+Z188+Z189+Z190+Z191+Z192, "NA")</f>
        <v>11107.74</v>
      </c>
      <c r="AA193" s="15">
        <f>IFERROR(Z193/Z444, "NA")</f>
        <v>3.7085520049119094E-2</v>
      </c>
      <c r="AB193" s="2"/>
      <c r="AC193" s="14">
        <f t="shared" si="51"/>
        <v>-519.56999999999971</v>
      </c>
      <c r="AD193" s="15">
        <f>IFERROR(AC193/AC444, "NA")</f>
        <v>-2.0227530027703517E-2</v>
      </c>
    </row>
    <row r="194" spans="1:30" ht="16.5" customHeight="1" x14ac:dyDescent="0.45">
      <c r="A194" s="6" t="s">
        <v>178</v>
      </c>
      <c r="B194" s="7">
        <v>212</v>
      </c>
      <c r="C194" s="8">
        <f>IFERROR(B194/B444, "NA")</f>
        <v>2.6509772164764237E-3</v>
      </c>
      <c r="D194" s="9"/>
      <c r="E194" s="7">
        <v>191.48</v>
      </c>
      <c r="F194" s="8">
        <f>IFERROR(E194/E444, "NA")</f>
        <v>1.8803886987735737E-3</v>
      </c>
      <c r="G194" s="9"/>
      <c r="H194" s="10">
        <f t="shared" si="48"/>
        <v>-20.52000000000001</v>
      </c>
      <c r="I194" s="8">
        <f>IFERROR(H194/H444, "NA")</f>
        <v>9.3872229465449852E-4</v>
      </c>
      <c r="J194" s="9"/>
      <c r="K194" s="7">
        <v>0</v>
      </c>
      <c r="L194" s="8">
        <f>IFERROR(K194/K444, "NA")</f>
        <v>0</v>
      </c>
      <c r="M194" s="9"/>
      <c r="N194" s="10">
        <f t="shared" si="49"/>
        <v>-212</v>
      </c>
      <c r="O194" s="8">
        <f>IFERROR(N194/N444, "NA")</f>
        <v>2.0897920558329345E-2</v>
      </c>
      <c r="P194" s="9"/>
      <c r="Q194" s="7">
        <v>963.54</v>
      </c>
      <c r="R194" s="8">
        <f>IFERROR(Q194/Q444, "NA")</f>
        <v>2.9628861562792834E-3</v>
      </c>
      <c r="S194" s="9"/>
      <c r="T194" s="7">
        <v>715.68</v>
      </c>
      <c r="U194" s="8">
        <f>IFERROR(T194/T444, "NA")</f>
        <v>2.1898625653783421E-3</v>
      </c>
      <c r="V194" s="9"/>
      <c r="W194" s="10">
        <f t="shared" si="50"/>
        <v>-247.86</v>
      </c>
      <c r="X194" s="8">
        <f>IFERROR(W194/W444, "NA")</f>
        <v>0.15377361417004973</v>
      </c>
      <c r="Y194" s="9"/>
      <c r="Z194" s="7">
        <v>696.42</v>
      </c>
      <c r="AA194" s="8">
        <f>IFERROR(Z194/Z444, "NA")</f>
        <v>2.3251442573023421E-3</v>
      </c>
      <c r="AB194" s="9"/>
      <c r="AC194" s="10">
        <f t="shared" si="51"/>
        <v>-267.12</v>
      </c>
      <c r="AD194" s="8">
        <f>IFERROR(AC194/AC444, "NA")</f>
        <v>-1.0399326021518114E-2</v>
      </c>
    </row>
    <row r="195" spans="1:30" ht="16.5" customHeight="1" x14ac:dyDescent="0.45">
      <c r="A195" s="6" t="s">
        <v>179</v>
      </c>
      <c r="B195" s="7">
        <v>-172.78</v>
      </c>
      <c r="C195" s="8">
        <f>IFERROR(B195/B444, "NA")</f>
        <v>-2.1605464314282852E-3</v>
      </c>
      <c r="D195" s="9"/>
      <c r="E195" s="7">
        <v>167.54</v>
      </c>
      <c r="F195" s="8">
        <f>IFERROR(E195/E444, "NA")</f>
        <v>1.6452910099881166E-3</v>
      </c>
      <c r="G195" s="9"/>
      <c r="H195" s="10">
        <f t="shared" si="48"/>
        <v>340.32</v>
      </c>
      <c r="I195" s="8">
        <f>IFERROR(H195/H444, "NA")</f>
        <v>-1.5568517120702669E-2</v>
      </c>
      <c r="J195" s="9"/>
      <c r="K195" s="7">
        <v>202.75</v>
      </c>
      <c r="L195" s="8">
        <f>IFERROR(K195/K444, "NA")</f>
        <v>2.2499014038275069E-3</v>
      </c>
      <c r="M195" s="9"/>
      <c r="N195" s="10">
        <f t="shared" si="49"/>
        <v>375.53</v>
      </c>
      <c r="O195" s="8">
        <f>IFERROR(N195/N444, "NA")</f>
        <v>-3.7017906166365175E-2</v>
      </c>
      <c r="P195" s="9"/>
      <c r="Q195" s="7">
        <v>-745.54</v>
      </c>
      <c r="R195" s="8">
        <f>IFERROR(Q195/Q444, "NA")</f>
        <v>-2.2925360077967255E-3</v>
      </c>
      <c r="S195" s="9"/>
      <c r="T195" s="7">
        <v>626.20000000000005</v>
      </c>
      <c r="U195" s="8">
        <f>IFERROR(T195/T444, "NA")</f>
        <v>1.9160685480101695E-3</v>
      </c>
      <c r="V195" s="9"/>
      <c r="W195" s="10">
        <f t="shared" si="50"/>
        <v>1371.74</v>
      </c>
      <c r="X195" s="8">
        <f>IFERROR(W195/W444, "NA")</f>
        <v>-0.85103452554516257</v>
      </c>
      <c r="Y195" s="9"/>
      <c r="Z195" s="7">
        <v>757.94</v>
      </c>
      <c r="AA195" s="8">
        <f>IFERROR(Z195/Z444, "NA")</f>
        <v>2.5305416822890463E-3</v>
      </c>
      <c r="AB195" s="9"/>
      <c r="AC195" s="10">
        <f t="shared" si="51"/>
        <v>1503.48</v>
      </c>
      <c r="AD195" s="8">
        <f>IFERROR(AC195/AC444, "NA")</f>
        <v>5.8532414970170914E-2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24398.51</v>
      </c>
      <c r="C196" s="15">
        <f>IFERROR(B196/B444, "NA")</f>
        <v>0.30509384021684993</v>
      </c>
      <c r="D196" s="2"/>
      <c r="E196" s="14">
        <f>IFERROR(E175+E177+E178+E179+E180+E181+E183+E184+E186+E187+E188+E189+E190+E191+E192+E194+E195, "NA")</f>
        <v>26926.12</v>
      </c>
      <c r="F196" s="15">
        <f>IFERROR(E196/E444, "NA")</f>
        <v>0.26442224644778095</v>
      </c>
      <c r="G196" s="2"/>
      <c r="H196" s="14">
        <f t="shared" si="48"/>
        <v>2527.6100000000006</v>
      </c>
      <c r="I196" s="15">
        <f>IFERROR(H196/H444, "NA")</f>
        <v>-0.11562981769939845</v>
      </c>
      <c r="J196" s="2"/>
      <c r="K196" s="14">
        <f>IFERROR(K175+K177+K178+K179+K180+K181+K183+K184+K186+K187+K188+K189+K190+K191+K192+K194+K195, "NA")</f>
        <v>23746.04</v>
      </c>
      <c r="L196" s="15">
        <f>IFERROR(K196/K444, "NA")</f>
        <v>0.26350800853930523</v>
      </c>
      <c r="M196" s="2"/>
      <c r="N196" s="14">
        <f t="shared" si="49"/>
        <v>-652.46999999999753</v>
      </c>
      <c r="O196" s="15">
        <f>IFERROR(N196/N444, "NA")</f>
        <v>6.4317293522137234E-2</v>
      </c>
      <c r="P196" s="2"/>
      <c r="Q196" s="14">
        <f>IFERROR(Q175+Q177+Q178+Q179+Q180+Q181+Q183+Q184+Q186+Q187+Q188+Q189+Q190+Q191+Q192+Q194+Q195, "NA")</f>
        <v>98658.09</v>
      </c>
      <c r="R196" s="15">
        <f>IFERROR(Q196/Q444, "NA")</f>
        <v>0.3033736939472732</v>
      </c>
      <c r="S196" s="2"/>
      <c r="T196" s="14">
        <f>IFERROR(T175+T177+T178+T179+T180+T181+T183+T184+T186+T187+T188+T189+T190+T191+T192+T194+T195, "NA")</f>
        <v>101543.54</v>
      </c>
      <c r="U196" s="15">
        <f>IFERROR(T196/T444, "NA")</f>
        <v>0.31070645679912573</v>
      </c>
      <c r="V196" s="2"/>
      <c r="W196" s="14">
        <f t="shared" si="50"/>
        <v>2885.4499999999971</v>
      </c>
      <c r="X196" s="15">
        <f>IFERROR(W196/W444, "NA")</f>
        <v>-1.7901479666221638</v>
      </c>
      <c r="Y196" s="2"/>
      <c r="Z196" s="14">
        <f>IFERROR(Z175+Z177+Z178+Z179+Z180+Z181+Z183+Z184+Z186+Z187+Z188+Z189+Z190+Z191+Z192+Z194+Z195, "NA")</f>
        <v>95608.99</v>
      </c>
      <c r="AA196" s="15">
        <f>IFERROR(Z196/Z444, "NA")</f>
        <v>0.31921066891384092</v>
      </c>
      <c r="AB196" s="2"/>
      <c r="AC196" s="14">
        <f t="shared" si="51"/>
        <v>-3049.0999999999913</v>
      </c>
      <c r="AD196" s="15">
        <f>IFERROR(AC196/AC444, "NA")</f>
        <v>-0.11870539447518266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24398.51</v>
      </c>
      <c r="C197" s="15">
        <f>IFERROR(B197/B444, "NA")</f>
        <v>0.30509384021684993</v>
      </c>
      <c r="D197" s="2"/>
      <c r="E197" s="14">
        <f>IFERROR(E175+E177+E178+E179+E180+E181+E183+E184+E186+E187+E188+E189+E190+E191+E192+E194+E195, "NA")</f>
        <v>26926.12</v>
      </c>
      <c r="F197" s="15">
        <f>IFERROR(E197/E444, "NA")</f>
        <v>0.26442224644778095</v>
      </c>
      <c r="G197" s="2"/>
      <c r="H197" s="14">
        <f t="shared" si="48"/>
        <v>2527.6100000000006</v>
      </c>
      <c r="I197" s="15">
        <f>IFERROR(H197/H444, "NA")</f>
        <v>-0.11562981769939845</v>
      </c>
      <c r="J197" s="2"/>
      <c r="K197" s="14">
        <f>IFERROR(K175+K177+K178+K179+K180+K181+K183+K184+K186+K187+K188+K189+K190+K191+K192+K194+K195, "NA")</f>
        <v>23746.04</v>
      </c>
      <c r="L197" s="15">
        <f>IFERROR(K197/K444, "NA")</f>
        <v>0.26350800853930523</v>
      </c>
      <c r="M197" s="2"/>
      <c r="N197" s="14">
        <f t="shared" si="49"/>
        <v>-652.46999999999753</v>
      </c>
      <c r="O197" s="15">
        <f>IFERROR(N197/N444, "NA")</f>
        <v>6.4317293522137234E-2</v>
      </c>
      <c r="P197" s="2"/>
      <c r="Q197" s="14">
        <f>IFERROR(Q175+Q177+Q178+Q179+Q180+Q181+Q183+Q184+Q186+Q187+Q188+Q189+Q190+Q191+Q192+Q194+Q195, "NA")</f>
        <v>98658.09</v>
      </c>
      <c r="R197" s="15">
        <f>IFERROR(Q197/Q444, "NA")</f>
        <v>0.3033736939472732</v>
      </c>
      <c r="S197" s="2"/>
      <c r="T197" s="14">
        <f>IFERROR(T175+T177+T178+T179+T180+T181+T183+T184+T186+T187+T188+T189+T190+T191+T192+T194+T195, "NA")</f>
        <v>101543.54</v>
      </c>
      <c r="U197" s="15">
        <f>IFERROR(T197/T444, "NA")</f>
        <v>0.31070645679912573</v>
      </c>
      <c r="V197" s="2"/>
      <c r="W197" s="14">
        <f t="shared" si="50"/>
        <v>2885.4499999999971</v>
      </c>
      <c r="X197" s="15">
        <f>IFERROR(W197/W444, "NA")</f>
        <v>-1.7901479666221638</v>
      </c>
      <c r="Y197" s="2"/>
      <c r="Z197" s="14">
        <f>IFERROR(Z175+Z177+Z178+Z179+Z180+Z181+Z183+Z184+Z186+Z187+Z188+Z189+Z190+Z191+Z192+Z194+Z195, "NA")</f>
        <v>95608.99</v>
      </c>
      <c r="AA197" s="15">
        <f>IFERROR(Z197/Z444, "NA")</f>
        <v>0.31921066891384092</v>
      </c>
      <c r="AB197" s="2"/>
      <c r="AC197" s="14">
        <f t="shared" si="51"/>
        <v>-3049.0999999999913</v>
      </c>
      <c r="AD197" s="15">
        <f>IFERROR(AC197/AC444, "NA")</f>
        <v>-0.11870539447518266</v>
      </c>
    </row>
    <row r="198" spans="1:30" ht="16.5" customHeight="1" x14ac:dyDescent="0.45">
      <c r="A198" s="22" t="s">
        <v>181</v>
      </c>
      <c r="B198" s="23">
        <f>IFERROR(B172-B197, "NA")</f>
        <v>31942.860000000011</v>
      </c>
      <c r="C198" s="24">
        <f>IFERROR(B198/B444, "NA")</f>
        <v>0.39943299098630247</v>
      </c>
      <c r="D198" s="25"/>
      <c r="E198" s="23">
        <f>IFERROR(E172-E197, "NA")</f>
        <v>47715.28</v>
      </c>
      <c r="F198" s="24">
        <f>IFERROR(E198/E444, "NA")</f>
        <v>0.46857777977238735</v>
      </c>
      <c r="G198" s="25"/>
      <c r="H198" s="23">
        <f>IFERROR(B198-E198, "NA")</f>
        <v>-15772.419999999987</v>
      </c>
      <c r="I198" s="24">
        <f>IFERROR(H198/H444, "NA")</f>
        <v>0.72153617420343497</v>
      </c>
      <c r="J198" s="25"/>
      <c r="K198" s="23">
        <f>IFERROR(K172-K197, "NA")</f>
        <v>41066.210000000028</v>
      </c>
      <c r="L198" s="24">
        <f>IFERROR(K198/K444, "NA")</f>
        <v>0.45570862406350315</v>
      </c>
      <c r="M198" s="25"/>
      <c r="N198" s="23">
        <f>IFERROR(B198-K198, "NA")</f>
        <v>-9123.3500000000167</v>
      </c>
      <c r="O198" s="24">
        <f>IFERROR(N198/N444, "NA")</f>
        <v>0.89933511097091678</v>
      </c>
      <c r="P198" s="25"/>
      <c r="Q198" s="23">
        <f>IFERROR(Q172-Q197, "NA")</f>
        <v>136683.27999999982</v>
      </c>
      <c r="R198" s="24">
        <f>IFERROR(Q198/Q444, "NA")</f>
        <v>0.42030117909671066</v>
      </c>
      <c r="S198" s="25"/>
      <c r="T198" s="23">
        <f>IFERROR(T172-T197, "NA")</f>
        <v>135254.16000000003</v>
      </c>
      <c r="U198" s="24">
        <f>IFERROR(T198/T444, "NA")</f>
        <v>0.41385538480283485</v>
      </c>
      <c r="V198" s="25"/>
      <c r="W198" s="23">
        <f>IFERROR(Q198-T198, "NA")</f>
        <v>1429.1199999997916</v>
      </c>
      <c r="X198" s="24">
        <f>IFERROR(W198/W444, "NA")</f>
        <v>-0.88663337159150091</v>
      </c>
      <c r="Y198" s="25"/>
      <c r="Z198" s="23">
        <f>IFERROR(Z172-Z197, "NA")</f>
        <v>118372.83</v>
      </c>
      <c r="AA198" s="24">
        <f>IFERROR(Z198/Z444, "NA")</f>
        <v>0.39521252390098854</v>
      </c>
      <c r="AB198" s="25"/>
      <c r="AC198" s="23">
        <f>IFERROR(Q198-Z198, "NA")</f>
        <v>18310.449999999822</v>
      </c>
      <c r="AD198" s="24">
        <f>IFERROR(AC198/AC444, "NA")</f>
        <v>0.7128494277879025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2240.2600000000002</v>
      </c>
      <c r="F201" s="8">
        <f>IFERROR(E201/E444, "NA")</f>
        <v>2.1999997839536697E-2</v>
      </c>
      <c r="G201" s="9"/>
      <c r="H201" s="10">
        <f t="shared" ref="H201:H209" si="52">IFERROR(-(B201-E201), "NA")</f>
        <v>2240.2600000000002</v>
      </c>
      <c r="I201" s="8">
        <f>IFERROR(H201/H444, "NA")</f>
        <v>-0.10248450330519912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7416.87</v>
      </c>
      <c r="U201" s="8">
        <f>IFERROR(T201/T444, "NA")</f>
        <v>2.2694396888662066E-2</v>
      </c>
      <c r="V201" s="9"/>
      <c r="W201" s="10">
        <f t="shared" ref="W201:W209" si="54">IFERROR(-(Q201-T201), "NA")</f>
        <v>7416.87</v>
      </c>
      <c r="X201" s="8">
        <f>IFERROR(W201/W444, "NA")</f>
        <v>-4.6014641560938294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1062.53</v>
      </c>
      <c r="C202" s="8">
        <f>IFERROR(B202/B444, "NA")</f>
        <v>1.3286522744446673E-2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-1062.53</v>
      </c>
      <c r="I202" s="8">
        <f>IFERROR(H202/H444, "NA")</f>
        <v>4.8607241702692192E-2</v>
      </c>
      <c r="J202" s="9"/>
      <c r="K202" s="7">
        <v>1054.1199999999999</v>
      </c>
      <c r="L202" s="8">
        <f>IFERROR(K202/K444, "NA")</f>
        <v>1.1697489853527256E-2</v>
      </c>
      <c r="M202" s="9"/>
      <c r="N202" s="10">
        <f t="shared" si="53"/>
        <v>-8.4100000000000819</v>
      </c>
      <c r="O202" s="8">
        <f>IFERROR(N202/N444, "NA")</f>
        <v>8.2901656554505417E-4</v>
      </c>
      <c r="P202" s="9"/>
      <c r="Q202" s="7">
        <v>2865.89</v>
      </c>
      <c r="R202" s="8">
        <f>IFERROR(Q202/Q444, "NA")</f>
        <v>8.8126137019939356E-3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-2865.89</v>
      </c>
      <c r="X202" s="8">
        <f>IFERROR(W202/W444, "NA")</f>
        <v>1.7780128423860395</v>
      </c>
      <c r="Y202" s="9"/>
      <c r="Z202" s="7">
        <v>3146.47</v>
      </c>
      <c r="AA202" s="8">
        <f>IFERROR(Z202/Z444, "NA")</f>
        <v>1.0505150126754115E-2</v>
      </c>
      <c r="AB202" s="9"/>
      <c r="AC202" s="10">
        <f t="shared" si="55"/>
        <v>280.57999999999993</v>
      </c>
      <c r="AD202" s="8">
        <f>IFERROR(AC202/AC444, "NA")</f>
        <v>1.0923341176690445E-2</v>
      </c>
    </row>
    <row r="203" spans="1:30" ht="16.5" customHeight="1" x14ac:dyDescent="0.45">
      <c r="A203" s="6" t="s">
        <v>185</v>
      </c>
      <c r="B203" s="7">
        <v>1695.6</v>
      </c>
      <c r="C203" s="8">
        <f>IFERROR(B203/B444, "NA")</f>
        <v>2.1202815888006717E-2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-1695.6</v>
      </c>
      <c r="I203" s="8">
        <f>IFERROR(H203/H444, "NA")</f>
        <v>7.7568105400397991E-2</v>
      </c>
      <c r="J203" s="9"/>
      <c r="K203" s="7">
        <v>468.45</v>
      </c>
      <c r="L203" s="8">
        <f>IFERROR(K203/K444, "NA")</f>
        <v>5.1983541929617539E-3</v>
      </c>
      <c r="M203" s="9"/>
      <c r="N203" s="10">
        <f t="shared" si="53"/>
        <v>-1227.1499999999999</v>
      </c>
      <c r="O203" s="8">
        <f>IFERROR(N203/N444, "NA")</f>
        <v>0.12096643025072572</v>
      </c>
      <c r="P203" s="9"/>
      <c r="Q203" s="7">
        <v>3217.33</v>
      </c>
      <c r="R203" s="8">
        <f>IFERROR(Q203/Q444, "NA")</f>
        <v>9.8932919413641657E-3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-3217.33</v>
      </c>
      <c r="X203" s="8">
        <f>IFERROR(W203/W444, "NA")</f>
        <v>1.9960480193565966</v>
      </c>
      <c r="Y203" s="9"/>
      <c r="Z203" s="7">
        <v>2357.58</v>
      </c>
      <c r="AA203" s="8">
        <f>IFERROR(Z203/Z444, "NA")</f>
        <v>7.8712753771156135E-3</v>
      </c>
      <c r="AB203" s="9"/>
      <c r="AC203" s="10">
        <f t="shared" si="55"/>
        <v>-859.75</v>
      </c>
      <c r="AD203" s="8">
        <f>IFERROR(AC203/AC444, "NA")</f>
        <v>-3.3471176051962412E-2</v>
      </c>
    </row>
    <row r="204" spans="1:30" ht="16.5" customHeight="1" x14ac:dyDescent="0.45">
      <c r="A204" s="6" t="s">
        <v>186</v>
      </c>
      <c r="B204" s="7">
        <v>187.62</v>
      </c>
      <c r="C204" s="8">
        <f>IFERROR(B204/B444, "NA")</f>
        <v>2.346114836581635E-3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-187.62</v>
      </c>
      <c r="I204" s="8">
        <f>IFERROR(H204/H444, "NA")</f>
        <v>8.5829959514170037E-3</v>
      </c>
      <c r="J204" s="9"/>
      <c r="K204" s="7">
        <v>973.94</v>
      </c>
      <c r="L204" s="8">
        <f>IFERROR(K204/K444, "NA")</f>
        <v>1.0807738462361343E-2</v>
      </c>
      <c r="M204" s="9"/>
      <c r="N204" s="10">
        <f t="shared" si="53"/>
        <v>786.32</v>
      </c>
      <c r="O204" s="8">
        <f>IFERROR(N204/N444, "NA")</f>
        <v>-7.7511570252007223E-2</v>
      </c>
      <c r="P204" s="9"/>
      <c r="Q204" s="7">
        <v>488.33</v>
      </c>
      <c r="R204" s="8">
        <f>IFERROR(Q204/Q444, "NA")</f>
        <v>1.5016150826077407E-3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-488.33</v>
      </c>
      <c r="X204" s="8">
        <f>IFERROR(W204/W444, "NA")</f>
        <v>0.30296243446970217</v>
      </c>
      <c r="Y204" s="9"/>
      <c r="Z204" s="7">
        <v>1088.49</v>
      </c>
      <c r="AA204" s="8">
        <f>IFERROR(Z204/Z444, "NA")</f>
        <v>3.6341521964203018E-3</v>
      </c>
      <c r="AB204" s="9"/>
      <c r="AC204" s="10">
        <f t="shared" si="55"/>
        <v>600.16000000000008</v>
      </c>
      <c r="AD204" s="8">
        <f>IFERROR(AC204/AC444, "NA")</f>
        <v>2.336500263954145E-2</v>
      </c>
    </row>
    <row r="205" spans="1:30" ht="16.5" customHeight="1" x14ac:dyDescent="0.45">
      <c r="A205" s="6" t="s">
        <v>187</v>
      </c>
      <c r="B205" s="7">
        <v>368.38</v>
      </c>
      <c r="C205" s="8">
        <f>IFERROR(B205/B444, "NA")</f>
        <v>4.6064480519131369E-3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-368.38</v>
      </c>
      <c r="I205" s="8">
        <f>IFERROR(H205/H444, "NA")</f>
        <v>1.6852169537272123E-2</v>
      </c>
      <c r="J205" s="9"/>
      <c r="K205" s="7">
        <v>387.64</v>
      </c>
      <c r="L205" s="8">
        <f>IFERROR(K205/K444, "NA")</f>
        <v>4.3016117394806151E-3</v>
      </c>
      <c r="M205" s="9"/>
      <c r="N205" s="10">
        <f t="shared" si="53"/>
        <v>19.259999999999991</v>
      </c>
      <c r="O205" s="8">
        <f>IFERROR(N205/N444, "NA")</f>
        <v>-1.8985563677048254E-3</v>
      </c>
      <c r="P205" s="9"/>
      <c r="Q205" s="7">
        <v>1448.74</v>
      </c>
      <c r="R205" s="8">
        <f>IFERROR(Q205/Q444, "NA")</f>
        <v>4.4548764867551422E-3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-1448.74</v>
      </c>
      <c r="X205" s="8">
        <f>IFERROR(W205/W444, "NA")</f>
        <v>0.89880572013522886</v>
      </c>
      <c r="Y205" s="9"/>
      <c r="Z205" s="7">
        <v>1900.53</v>
      </c>
      <c r="AA205" s="8">
        <f>IFERROR(Z205/Z444, "NA")</f>
        <v>6.3453180772103336E-3</v>
      </c>
      <c r="AB205" s="9"/>
      <c r="AC205" s="10">
        <f t="shared" si="55"/>
        <v>451.78999999999996</v>
      </c>
      <c r="AD205" s="8">
        <f>IFERROR(AC205/AC444, "NA")</f>
        <v>1.7588767232935267E-2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196.18</v>
      </c>
      <c r="L206" s="8">
        <f>IFERROR(K206/K444, "NA")</f>
        <v>2.1769946111116168E-3</v>
      </c>
      <c r="M206" s="9"/>
      <c r="N206" s="10">
        <f t="shared" si="53"/>
        <v>196.18</v>
      </c>
      <c r="O206" s="8">
        <f>IFERROR(N206/N444, "NA")</f>
        <v>-1.9338462524212504E-2</v>
      </c>
      <c r="P206" s="9"/>
      <c r="Q206" s="7">
        <v>10.8</v>
      </c>
      <c r="R206" s="8">
        <f>IFERROR(Q206/Q444, "NA")</f>
        <v>3.3210007356016629E-5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-10.8</v>
      </c>
      <c r="X206" s="8">
        <f>IFERROR(W206/W444, "NA")</f>
        <v>6.700375345100206E-3</v>
      </c>
      <c r="Y206" s="9"/>
      <c r="Z206" s="7">
        <v>372.82</v>
      </c>
      <c r="AA206" s="8">
        <f>IFERROR(Z206/Z444, "NA")</f>
        <v>1.2447377760653904E-3</v>
      </c>
      <c r="AB206" s="9"/>
      <c r="AC206" s="10">
        <f t="shared" si="55"/>
        <v>362.02</v>
      </c>
      <c r="AD206" s="8">
        <f>IFERROR(AC206/AC444, "NA")</f>
        <v>1.4093905384508788E-2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154.15</v>
      </c>
      <c r="L207" s="8">
        <f>IFERROR(K207/K444, "NA")</f>
        <v>1.7105908823674978E-3</v>
      </c>
      <c r="M207" s="9"/>
      <c r="N207" s="10">
        <f t="shared" si="53"/>
        <v>154.15</v>
      </c>
      <c r="O207" s="8">
        <f>IFERROR(N207/N444, "NA")</f>
        <v>-1.5195351198426738E-2</v>
      </c>
      <c r="P207" s="9"/>
      <c r="Q207" s="7">
        <v>99.59</v>
      </c>
      <c r="R207" s="8">
        <f>IFERROR(Q207/Q444, "NA")</f>
        <v>3.062393178320089E-4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-99.59</v>
      </c>
      <c r="X207" s="8">
        <f>IFERROR(W207/W444, "NA")</f>
        <v>6.1786146353567543E-2</v>
      </c>
      <c r="Y207" s="9"/>
      <c r="Z207" s="7">
        <v>308.3</v>
      </c>
      <c r="AA207" s="8">
        <f>IFERROR(Z207/Z444, "NA")</f>
        <v>1.0293242217717931E-3</v>
      </c>
      <c r="AB207" s="9"/>
      <c r="AC207" s="10">
        <f t="shared" si="55"/>
        <v>208.71</v>
      </c>
      <c r="AD207" s="8">
        <f>IFERROR(AC207/AC444, "NA")</f>
        <v>8.125349408322274E-3</v>
      </c>
    </row>
    <row r="208" spans="1:30" ht="16.5" customHeight="1" x14ac:dyDescent="0.45">
      <c r="A208" s="6" t="s">
        <v>190</v>
      </c>
      <c r="B208" s="7">
        <v>82.05</v>
      </c>
      <c r="C208" s="8">
        <f>IFERROR(B208/B444, "NA")</f>
        <v>1.026003210433446E-3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-82.05</v>
      </c>
      <c r="I208" s="8">
        <f>IFERROR(H208/H444, "NA")</f>
        <v>3.7535167776024153E-3</v>
      </c>
      <c r="J208" s="9"/>
      <c r="K208" s="7">
        <v>9.5299999999999994</v>
      </c>
      <c r="L208" s="8">
        <f>IFERROR(K208/K444, "NA")</f>
        <v>1.0575368867312522E-4</v>
      </c>
      <c r="M208" s="9"/>
      <c r="N208" s="10">
        <f t="shared" si="53"/>
        <v>-72.52</v>
      </c>
      <c r="O208" s="8">
        <f>IFERROR(N208/N444, "NA")</f>
        <v>7.1486660325002071E-3</v>
      </c>
      <c r="P208" s="9"/>
      <c r="Q208" s="7">
        <v>911.04</v>
      </c>
      <c r="R208" s="8">
        <f>IFERROR(Q208/Q444, "NA")</f>
        <v>2.8014486205208693E-3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-911.04</v>
      </c>
      <c r="X208" s="8">
        <f>IFERROR(W208/W444, "NA")</f>
        <v>0.5652138846666751</v>
      </c>
      <c r="Y208" s="9"/>
      <c r="Z208" s="7">
        <v>141.44</v>
      </c>
      <c r="AA208" s="8">
        <f>IFERROR(Z208/Z444, "NA")</f>
        <v>4.7222710972235618E-4</v>
      </c>
      <c r="AB208" s="9"/>
      <c r="AC208" s="10">
        <f t="shared" si="55"/>
        <v>-769.59999999999991</v>
      </c>
      <c r="AD208" s="8">
        <f>IFERROR(AC208/AC444, "NA")</f>
        <v>-2.9961520313568208E-2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3396.1800000000003</v>
      </c>
      <c r="C209" s="15">
        <f>IFERROR(B209/B444, "NA")</f>
        <v>4.2467904731381609E-2</v>
      </c>
      <c r="D209" s="2"/>
      <c r="E209" s="14">
        <f>IFERROR(E201+E202+E203+E204+E205+E206+E207+E208, "NA")</f>
        <v>2240.2600000000002</v>
      </c>
      <c r="F209" s="15">
        <f>IFERROR(E209/E444, "NA")</f>
        <v>2.1999997839536697E-2</v>
      </c>
      <c r="G209" s="2"/>
      <c r="H209" s="14">
        <f t="shared" si="52"/>
        <v>-1155.92</v>
      </c>
      <c r="I209" s="15">
        <f>IFERROR(H209/H444, "NA")</f>
        <v>5.2879526064182628E-2</v>
      </c>
      <c r="J209" s="2"/>
      <c r="K209" s="14">
        <f>IFERROR(K201+K202+K203+K204+K205+K206+K207+K208, "NA")</f>
        <v>3244.01</v>
      </c>
      <c r="L209" s="15">
        <f>IFERROR(K209/K444, "NA")</f>
        <v>3.5998533430483211E-2</v>
      </c>
      <c r="M209" s="2"/>
      <c r="N209" s="14">
        <f t="shared" si="53"/>
        <v>-152.17000000000007</v>
      </c>
      <c r="O209" s="15">
        <f>IFERROR(N209/N444, "NA")</f>
        <v>1.5000172506419706E-2</v>
      </c>
      <c r="P209" s="2"/>
      <c r="Q209" s="14">
        <f>IFERROR(Q201+Q202+Q203+Q204+Q205+Q206+Q207+Q208, "NA")</f>
        <v>9041.7199999999993</v>
      </c>
      <c r="R209" s="15">
        <f>IFERROR(Q209/Q444, "NA")</f>
        <v>2.7803295158429876E-2</v>
      </c>
      <c r="S209" s="2"/>
      <c r="T209" s="14">
        <f>IFERROR(T201+T202+T203+T204+T205+T206+T207+T208, "NA")</f>
        <v>7416.87</v>
      </c>
      <c r="U209" s="15">
        <f>IFERROR(T209/T444, "NA")</f>
        <v>2.2694396888662066E-2</v>
      </c>
      <c r="V209" s="2"/>
      <c r="W209" s="14">
        <f t="shared" si="54"/>
        <v>-1624.8499999999995</v>
      </c>
      <c r="X209" s="15">
        <f>IFERROR(W209/W444, "NA")</f>
        <v>1.0080652666190801</v>
      </c>
      <c r="Y209" s="2"/>
      <c r="Z209" s="14">
        <f>IFERROR(Z201+Z202+Z203+Z204+Z205+Z206+Z207+Z208, "NA")</f>
        <v>9315.6299999999992</v>
      </c>
      <c r="AA209" s="15">
        <f>IFERROR(Z209/Z444, "NA")</f>
        <v>3.1102184885059902E-2</v>
      </c>
      <c r="AB209" s="2"/>
      <c r="AC209" s="14">
        <f t="shared" si="55"/>
        <v>273.90999999999985</v>
      </c>
      <c r="AD209" s="15">
        <f>IFERROR(AC209/AC444, "NA")</f>
        <v>1.06636694764676E-2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3389.91</v>
      </c>
      <c r="F213" s="8">
        <f>IFERROR(E213/E444, "NA")</f>
        <v>3.328989165374726E-2</v>
      </c>
      <c r="G213" s="9"/>
      <c r="H213" s="10">
        <f t="shared" ref="H213:H227" si="56">IFERROR(-(B213-E213), "NA")</f>
        <v>3389.91</v>
      </c>
      <c r="I213" s="8">
        <f>IFERROR(H213/H444, "NA")</f>
        <v>-0.15507719755712618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11267.11</v>
      </c>
      <c r="U213" s="8">
        <f>IFERROR(T213/T444, "NA")</f>
        <v>3.447549520595794E-2</v>
      </c>
      <c r="V213" s="9"/>
      <c r="W213" s="10">
        <f t="shared" ref="W213:W227" si="58">IFERROR(-(Q213-T213), "NA")</f>
        <v>11267.11</v>
      </c>
      <c r="X213" s="8">
        <f>IFERROR(W213/W444, "NA")</f>
        <v>-6.9901727828270355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1064.58</v>
      </c>
      <c r="C214" s="8">
        <f>IFERROR(B214/B444, "NA")</f>
        <v>1.3312157193945618E-2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-1064.58</v>
      </c>
      <c r="I214" s="8">
        <f>IFERROR(H214/H444, "NA")</f>
        <v>4.8701022438756604E-2</v>
      </c>
      <c r="J214" s="9"/>
      <c r="K214" s="7">
        <v>325</v>
      </c>
      <c r="L214" s="8">
        <f>IFERROR(K214/K444, "NA")</f>
        <v>3.6065004007099369E-3</v>
      </c>
      <c r="M214" s="9"/>
      <c r="N214" s="10">
        <f t="shared" si="57"/>
        <v>-739.57999999999993</v>
      </c>
      <c r="O214" s="8">
        <f>IFERROR(N214/N444, "NA")</f>
        <v>7.2904170219477427E-2</v>
      </c>
      <c r="P214" s="9"/>
      <c r="Q214" s="7">
        <v>5798.08</v>
      </c>
      <c r="R214" s="8">
        <f>IFERROR(Q214/Q444, "NA")</f>
        <v>1.7829099949145638E-2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-5798.08</v>
      </c>
      <c r="X214" s="8">
        <f>IFERROR(W214/W444, "NA")</f>
        <v>3.5971585445295</v>
      </c>
      <c r="Y214" s="9"/>
      <c r="Z214" s="7">
        <v>1271</v>
      </c>
      <c r="AA214" s="8">
        <f>IFERROR(Z214/Z444, "NA")</f>
        <v>4.2435001163540348E-3</v>
      </c>
      <c r="AB214" s="9"/>
      <c r="AC214" s="10">
        <f t="shared" si="59"/>
        <v>-4527.08</v>
      </c>
      <c r="AD214" s="8">
        <f>IFERROR(AC214/AC444, "NA")</f>
        <v>-0.17624506156594125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14</v>
      </c>
      <c r="C216" s="8">
        <f>IFERROR(B216/B444, "NA")</f>
        <v>1.7506453316353741E-4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-14</v>
      </c>
      <c r="I216" s="8">
        <f>IFERROR(H216/H444, "NA")</f>
        <v>6.4045380726915075E-4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-14</v>
      </c>
      <c r="O216" s="8">
        <f>IFERROR(N216/N444, "NA")</f>
        <v>1.3800513576255227E-3</v>
      </c>
      <c r="P216" s="9"/>
      <c r="Q216" s="7">
        <v>15.71</v>
      </c>
      <c r="R216" s="8">
        <f>IFERROR(Q216/Q444, "NA")</f>
        <v>4.8308260700279749E-5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-15.71</v>
      </c>
      <c r="X216" s="8">
        <f>IFERROR(W216/W444, "NA")</f>
        <v>9.7465645066226146E-3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-15.71</v>
      </c>
      <c r="AD216" s="8">
        <f>IFERROR(AC216/AC444, "NA")</f>
        <v>-6.1161055629698109E-4</v>
      </c>
    </row>
    <row r="217" spans="1:30" ht="16.5" customHeight="1" x14ac:dyDescent="0.45">
      <c r="A217" s="12" t="s">
        <v>197</v>
      </c>
      <c r="B217" s="7">
        <v>1761.12</v>
      </c>
      <c r="C217" s="8">
        <f>IFERROR(B217/B444, "NA")</f>
        <v>2.2022117903212072E-2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-1761.12</v>
      </c>
      <c r="I217" s="8">
        <f>IFERROR(H217/H444, "NA")</f>
        <v>8.0565429218417611E-2</v>
      </c>
      <c r="J217" s="9"/>
      <c r="K217" s="7">
        <v>153.5</v>
      </c>
      <c r="L217" s="8">
        <f>IFERROR(K217/K444, "NA")</f>
        <v>1.7033778815660778E-3</v>
      </c>
      <c r="M217" s="9"/>
      <c r="N217" s="10">
        <f t="shared" si="57"/>
        <v>-1607.62</v>
      </c>
      <c r="O217" s="8">
        <f>IFERROR(N217/N444, "NA")</f>
        <v>0.15847129739613874</v>
      </c>
      <c r="P217" s="9"/>
      <c r="Q217" s="7">
        <v>9198.89</v>
      </c>
      <c r="R217" s="8">
        <f>IFERROR(Q217/Q444, "NA")</f>
        <v>2.8286593015480352E-2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-9198.89</v>
      </c>
      <c r="X217" s="8">
        <f>IFERROR(W217/W444, "NA")</f>
        <v>5.7070384961378542</v>
      </c>
      <c r="Y217" s="9"/>
      <c r="Z217" s="7">
        <v>989.94</v>
      </c>
      <c r="AA217" s="8">
        <f>IFERROR(Z217/Z444, "NA")</f>
        <v>3.3051223486888384E-3</v>
      </c>
      <c r="AB217" s="9"/>
      <c r="AC217" s="10">
        <f t="shared" si="59"/>
        <v>-8208.9499999999989</v>
      </c>
      <c r="AD217" s="8">
        <f>IFERROR(AC217/AC444, "NA")</f>
        <v>-0.31958500802763223</v>
      </c>
    </row>
    <row r="218" spans="1:30" ht="16.5" customHeight="1" x14ac:dyDescent="0.45">
      <c r="A218" s="13" t="s">
        <v>198</v>
      </c>
      <c r="B218" s="14">
        <f>IFERROR(B213+B214+B215+B216+B217, "NA")</f>
        <v>2839.7</v>
      </c>
      <c r="C218" s="15">
        <f>IFERROR(B218/B444, "NA")</f>
        <v>3.5509339630321227E-2</v>
      </c>
      <c r="D218" s="2"/>
      <c r="E218" s="14">
        <f>IFERROR(E213+E214+E215+E216+E217, "NA")</f>
        <v>3389.91</v>
      </c>
      <c r="F218" s="15">
        <f>IFERROR(E218/E444, "NA")</f>
        <v>3.328989165374726E-2</v>
      </c>
      <c r="G218" s="2"/>
      <c r="H218" s="14">
        <f t="shared" si="56"/>
        <v>550.21</v>
      </c>
      <c r="I218" s="15">
        <f>IFERROR(H218/H444, "NA")</f>
        <v>-2.5170292092682817E-2</v>
      </c>
      <c r="J218" s="2"/>
      <c r="K218" s="14">
        <f>IFERROR(K213+K214+K215+K216+K217, "NA")</f>
        <v>478.5</v>
      </c>
      <c r="L218" s="15">
        <f>IFERROR(K218/K444, "NA")</f>
        <v>5.3098782822760147E-3</v>
      </c>
      <c r="M218" s="2"/>
      <c r="N218" s="14">
        <f t="shared" si="57"/>
        <v>-2361.1999999999998</v>
      </c>
      <c r="O218" s="15">
        <f>IFERROR(N218/N444, "NA")</f>
        <v>0.2327555189732417</v>
      </c>
      <c r="P218" s="2"/>
      <c r="Q218" s="14">
        <f>IFERROR(Q213+Q214+Q215+Q216+Q217, "NA")</f>
        <v>15012.68</v>
      </c>
      <c r="R218" s="15">
        <f>IFERROR(Q218/Q444, "NA")</f>
        <v>4.6164001225326275E-2</v>
      </c>
      <c r="S218" s="2"/>
      <c r="T218" s="14">
        <f>IFERROR(T213+T214+T215+T216+T217, "NA")</f>
        <v>11267.11</v>
      </c>
      <c r="U218" s="15">
        <f>IFERROR(T218/T444, "NA")</f>
        <v>3.447549520595794E-2</v>
      </c>
      <c r="V218" s="2"/>
      <c r="W218" s="14">
        <f t="shared" si="58"/>
        <v>-3745.5699999999997</v>
      </c>
      <c r="X218" s="15">
        <f>IFERROR(W218/W444, "NA")</f>
        <v>2.3237708223469422</v>
      </c>
      <c r="Y218" s="2"/>
      <c r="Z218" s="14">
        <f>IFERROR(Z213+Z214+Z215+Z216+Z217, "NA")</f>
        <v>2260.94</v>
      </c>
      <c r="AA218" s="15">
        <f>IFERROR(Z218/Z444, "NA")</f>
        <v>7.5486224650428736E-3</v>
      </c>
      <c r="AB218" s="2"/>
      <c r="AC218" s="14">
        <f t="shared" si="59"/>
        <v>-12751.74</v>
      </c>
      <c r="AD218" s="15">
        <f>IFERROR(AC218/AC444, "NA")</f>
        <v>-0.49644168014987045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120.37</v>
      </c>
      <c r="C222" s="8">
        <f>IFERROR(B222/B444, "NA")</f>
        <v>1.5051798469210714E-3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-120.37</v>
      </c>
      <c r="I222" s="8">
        <f>IFERROR(H222/H444, "NA")</f>
        <v>5.5065303414991197E-3</v>
      </c>
      <c r="J222" s="9"/>
      <c r="K222" s="7">
        <v>62.5</v>
      </c>
      <c r="L222" s="8">
        <f>IFERROR(K222/K444, "NA")</f>
        <v>6.9355776936729559E-4</v>
      </c>
      <c r="M222" s="9"/>
      <c r="N222" s="10">
        <f t="shared" si="57"/>
        <v>-57.870000000000005</v>
      </c>
      <c r="O222" s="8">
        <f>IFERROR(N222/N444, "NA")</f>
        <v>5.7045408618420718E-3</v>
      </c>
      <c r="P222" s="9"/>
      <c r="Q222" s="7">
        <v>630.95000000000005</v>
      </c>
      <c r="R222" s="8">
        <f>IFERROR(Q222/Q444, "NA")</f>
        <v>1.9401716797480273E-3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-630.95000000000005</v>
      </c>
      <c r="X222" s="8">
        <f>IFERROR(W222/W444, "NA")</f>
        <v>0.39144461333249769</v>
      </c>
      <c r="Y222" s="9"/>
      <c r="Z222" s="7">
        <v>250</v>
      </c>
      <c r="AA222" s="8">
        <f>IFERROR(Z222/Z444, "NA")</f>
        <v>8.3467744224115562E-4</v>
      </c>
      <c r="AB222" s="9"/>
      <c r="AC222" s="10">
        <f t="shared" si="59"/>
        <v>-380.95000000000005</v>
      </c>
      <c r="AD222" s="8">
        <f>IFERROR(AC222/AC444, "NA")</f>
        <v>-1.483087469263749E-2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101.83</v>
      </c>
      <c r="F226" s="8">
        <f>IFERROR(E226/E444, "NA")</f>
        <v>9.9999990179712255E-4</v>
      </c>
      <c r="G226" s="9"/>
      <c r="H226" s="10">
        <f t="shared" si="56"/>
        <v>101.83</v>
      </c>
      <c r="I226" s="8">
        <f>IFERROR(H226/H444, "NA")</f>
        <v>-4.6583865138726871E-3</v>
      </c>
      <c r="J226" s="9"/>
      <c r="K226" s="7">
        <v>257.36</v>
      </c>
      <c r="L226" s="8">
        <f>IFERROR(K226/K444, "NA")</f>
        <v>2.855904440389875E-3</v>
      </c>
      <c r="M226" s="9"/>
      <c r="N226" s="10">
        <f t="shared" si="57"/>
        <v>257.36</v>
      </c>
      <c r="O226" s="8">
        <f>IFERROR(N226/N444, "NA")</f>
        <v>-2.5369286957036039E-2</v>
      </c>
      <c r="P226" s="9"/>
      <c r="Q226" s="7">
        <v>0</v>
      </c>
      <c r="R226" s="8">
        <f>IFERROR(Q226/Q444, "NA")</f>
        <v>0</v>
      </c>
      <c r="S226" s="9"/>
      <c r="T226" s="7">
        <v>326.81</v>
      </c>
      <c r="U226" s="8">
        <f>IFERROR(T226/T444, "NA")</f>
        <v>9.99984609030986E-4</v>
      </c>
      <c r="V226" s="9"/>
      <c r="W226" s="10">
        <f t="shared" si="58"/>
        <v>326.81</v>
      </c>
      <c r="X226" s="8">
        <f>IFERROR(W226/W444, "NA")</f>
        <v>-0.2027545987529813</v>
      </c>
      <c r="Y226" s="9"/>
      <c r="Z226" s="7">
        <v>1554.17</v>
      </c>
      <c r="AA226" s="8">
        <f>IFERROR(Z226/Z444, "NA")</f>
        <v>5.1889225616317475E-3</v>
      </c>
      <c r="AB226" s="9"/>
      <c r="AC226" s="10">
        <f t="shared" si="59"/>
        <v>1554.17</v>
      </c>
      <c r="AD226" s="8">
        <f>IFERROR(AC226/AC444, "NA")</f>
        <v>6.0505842029285745E-2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2960.0699999999997</v>
      </c>
      <c r="C227" s="15">
        <f>IFERROR(B227/B444, "NA")</f>
        <v>3.7014519477242297E-2</v>
      </c>
      <c r="D227" s="2"/>
      <c r="E227" s="14">
        <f>IFERROR(E211+E213+E214+E215+E216+E217+E219+E220+E221+E222+E223+E224+E225+E226, "NA")</f>
        <v>3491.74</v>
      </c>
      <c r="F227" s="15">
        <f>IFERROR(E227/E444, "NA")</f>
        <v>3.4289891555544384E-2</v>
      </c>
      <c r="G227" s="2"/>
      <c r="H227" s="14">
        <f t="shared" si="56"/>
        <v>531.67000000000007</v>
      </c>
      <c r="I227" s="15">
        <f>IFERROR(H227/H444, "NA")</f>
        <v>-2.4322148265056385E-2</v>
      </c>
      <c r="J227" s="2"/>
      <c r="K227" s="14">
        <f>IFERROR(K211+K213+K214+K215+K216+K217+K219+K220+K221+K222+K223+K224+K225+K226, "NA")</f>
        <v>798.36</v>
      </c>
      <c r="L227" s="15">
        <f>IFERROR(K227/K444, "NA")</f>
        <v>8.8593404920331853E-3</v>
      </c>
      <c r="M227" s="2"/>
      <c r="N227" s="14">
        <f t="shared" si="57"/>
        <v>-2161.7099999999996</v>
      </c>
      <c r="O227" s="15">
        <f>IFERROR(N227/N444, "NA")</f>
        <v>0.21309077287804773</v>
      </c>
      <c r="P227" s="2"/>
      <c r="Q227" s="14">
        <f>IFERROR(Q211+Q213+Q214+Q215+Q216+Q217+Q219+Q220+Q221+Q222+Q223+Q224+Q225+Q226, "NA")</f>
        <v>15643.630000000001</v>
      </c>
      <c r="R227" s="15">
        <f>IFERROR(Q227/Q444, "NA")</f>
        <v>4.8104172905074301E-2</v>
      </c>
      <c r="S227" s="2"/>
      <c r="T227" s="14">
        <f>IFERROR(T211+T213+T214+T215+T216+T217+T219+T220+T221+T222+T223+T224+T225+T226, "NA")</f>
        <v>11593.92</v>
      </c>
      <c r="U227" s="15">
        <f>IFERROR(T227/T444, "NA")</f>
        <v>3.5475479814988921E-2</v>
      </c>
      <c r="V227" s="2"/>
      <c r="W227" s="14">
        <f t="shared" si="58"/>
        <v>-4049.7100000000009</v>
      </c>
      <c r="X227" s="15">
        <f>IFERROR(W227/W444, "NA")</f>
        <v>2.5124608369264592</v>
      </c>
      <c r="Y227" s="2"/>
      <c r="Z227" s="14">
        <f>IFERROR(Z211+Z213+Z214+Z215+Z216+Z217+Z219+Z220+Z221+Z222+Z223+Z224+Z225+Z226, "NA")</f>
        <v>4065.11</v>
      </c>
      <c r="AA227" s="15">
        <f>IFERROR(Z227/Z444, "NA")</f>
        <v>1.3572222468915776E-2</v>
      </c>
      <c r="AB227" s="2"/>
      <c r="AC227" s="14">
        <f t="shared" si="59"/>
        <v>-11578.52</v>
      </c>
      <c r="AD227" s="15">
        <f>IFERROR(AC227/AC444, "NA")</f>
        <v>-0.45076671281322223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833.99</v>
      </c>
      <c r="F229" s="8">
        <f>IFERROR(E229/E444, "NA")</f>
        <v>8.1900217823802635E-3</v>
      </c>
      <c r="G229" s="9"/>
      <c r="H229" s="10">
        <f t="shared" ref="H229:H236" si="60">IFERROR(-(B229-E229), "NA")</f>
        <v>833.99</v>
      </c>
      <c r="I229" s="8">
        <f>IFERROR(H229/H444, "NA")</f>
        <v>-3.8152290766028503E-2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2676.62</v>
      </c>
      <c r="U229" s="8">
        <f>IFERROR(T229/T444, "NA")</f>
        <v>8.1900150063477801E-3</v>
      </c>
      <c r="V229" s="9"/>
      <c r="W229" s="10">
        <f t="shared" ref="W229:W236" si="62">IFERROR(-(Q229-T229), "NA")</f>
        <v>2676.62</v>
      </c>
      <c r="X229" s="8">
        <f>IFERROR(W229/W444, "NA")</f>
        <v>-1.6605887644631585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150</v>
      </c>
      <c r="L230" s="8">
        <f>IFERROR(K230/K444, "NA")</f>
        <v>1.6645386464815093E-3</v>
      </c>
      <c r="M230" s="9"/>
      <c r="N230" s="10">
        <f t="shared" si="61"/>
        <v>150</v>
      </c>
      <c r="O230" s="8">
        <f>IFERROR(N230/N444, "NA")</f>
        <v>-1.4786264545987743E-2</v>
      </c>
      <c r="P230" s="9"/>
      <c r="Q230" s="7">
        <v>83.95</v>
      </c>
      <c r="R230" s="8">
        <f>IFERROR(Q230/Q444, "NA")</f>
        <v>2.5814630717940708E-4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-83.95</v>
      </c>
      <c r="X230" s="8">
        <f>IFERROR(W230/W444, "NA")</f>
        <v>5.2083010205663173E-2</v>
      </c>
      <c r="Y230" s="9"/>
      <c r="Z230" s="7">
        <v>730</v>
      </c>
      <c r="AA230" s="8">
        <f>IFERROR(Z230/Z444, "NA")</f>
        <v>2.4372581313441746E-3</v>
      </c>
      <c r="AB230" s="9"/>
      <c r="AC230" s="10">
        <f t="shared" si="63"/>
        <v>646.04999999999995</v>
      </c>
      <c r="AD230" s="8">
        <f>IFERROR(AC230/AC444, "NA")</f>
        <v>2.5151559509590363E-2</v>
      </c>
    </row>
    <row r="231" spans="1:30" ht="16.5" customHeight="1" x14ac:dyDescent="0.45">
      <c r="A231" s="6" t="s">
        <v>210</v>
      </c>
      <c r="B231" s="7">
        <v>91</v>
      </c>
      <c r="C231" s="8">
        <f>IFERROR(B231/B444, "NA")</f>
        <v>1.1379194655629931E-3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-91</v>
      </c>
      <c r="I231" s="8">
        <f>IFERROR(H231/H444, "NA")</f>
        <v>4.1629497472494793E-3</v>
      </c>
      <c r="J231" s="9"/>
      <c r="K231" s="7">
        <v>217.24</v>
      </c>
      <c r="L231" s="8">
        <f>IFERROR(K231/K444, "NA")</f>
        <v>2.4106958370776208E-3</v>
      </c>
      <c r="M231" s="9"/>
      <c r="N231" s="10">
        <f t="shared" si="61"/>
        <v>126.24000000000001</v>
      </c>
      <c r="O231" s="8">
        <f>IFERROR(N231/N444, "NA")</f>
        <v>-1.2444120241903285E-2</v>
      </c>
      <c r="P231" s="9"/>
      <c r="Q231" s="7">
        <v>517.04999999999995</v>
      </c>
      <c r="R231" s="8">
        <f>IFERROR(Q231/Q444, "NA")</f>
        <v>1.5899291021692959E-3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-517.04999999999995</v>
      </c>
      <c r="X231" s="8">
        <f>IFERROR(W231/W444, "NA")</f>
        <v>0.32078046964667228</v>
      </c>
      <c r="Y231" s="9"/>
      <c r="Z231" s="7">
        <v>881.62</v>
      </c>
      <c r="AA231" s="8">
        <f>IFERROR(Z231/Z444, "NA")</f>
        <v>2.9434733065145905E-3</v>
      </c>
      <c r="AB231" s="9"/>
      <c r="AC231" s="10">
        <f t="shared" si="63"/>
        <v>364.57000000000005</v>
      </c>
      <c r="AD231" s="8">
        <f>IFERROR(AC231/AC444, "NA")</f>
        <v>1.4193180172450057E-2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17</v>
      </c>
      <c r="AA233" s="8">
        <f>IFERROR(Z233/Z444, "NA")</f>
        <v>5.6758066072398584E-5</v>
      </c>
      <c r="AB233" s="9"/>
      <c r="AC233" s="10">
        <f t="shared" si="63"/>
        <v>17</v>
      </c>
      <c r="AD233" s="8">
        <f>IFERROR(AC233/AC444, "NA")</f>
        <v>6.6183191960844548E-4</v>
      </c>
    </row>
    <row r="234" spans="1:30" ht="16.5" customHeight="1" x14ac:dyDescent="0.45">
      <c r="A234" s="6" t="s">
        <v>213</v>
      </c>
      <c r="B234" s="7">
        <v>185.37</v>
      </c>
      <c r="C234" s="8">
        <f>IFERROR(B234/B444, "NA")</f>
        <v>2.3179794651803525E-3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-185.37</v>
      </c>
      <c r="I234" s="8">
        <f>IFERROR(H234/H444, "NA")</f>
        <v>8.4800658752487486E-3</v>
      </c>
      <c r="J234" s="9"/>
      <c r="K234" s="7">
        <v>736.04</v>
      </c>
      <c r="L234" s="8">
        <f>IFERROR(K234/K444, "NA")</f>
        <v>8.1677801690416673E-3</v>
      </c>
      <c r="M234" s="9"/>
      <c r="N234" s="10">
        <f t="shared" si="61"/>
        <v>550.66999999999996</v>
      </c>
      <c r="O234" s="8">
        <f>IFERROR(N234/N444, "NA")</f>
        <v>-5.4282348650260465E-2</v>
      </c>
      <c r="P234" s="9"/>
      <c r="Q234" s="7">
        <v>3080.98</v>
      </c>
      <c r="R234" s="8">
        <f>IFERROR(Q234/Q444, "NA")</f>
        <v>9.4740155984944559E-3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-3080.98</v>
      </c>
      <c r="X234" s="8">
        <f>IFERROR(W234/W444, "NA")</f>
        <v>1.9114557806247066</v>
      </c>
      <c r="Y234" s="9"/>
      <c r="Z234" s="7">
        <v>1958.64</v>
      </c>
      <c r="AA234" s="8">
        <f>IFERROR(Z234/Z444, "NA")</f>
        <v>6.5393305018848682E-3</v>
      </c>
      <c r="AB234" s="9"/>
      <c r="AC234" s="10">
        <f t="shared" si="63"/>
        <v>-1122.3399999999999</v>
      </c>
      <c r="AD234" s="8">
        <f>IFERROR(AC234/AC444, "NA")</f>
        <v>-4.3694143332549562E-2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276.37</v>
      </c>
      <c r="C236" s="15">
        <f>IFERROR(B236/B444, "NA")</f>
        <v>3.4558989307433455E-3</v>
      </c>
      <c r="D236" s="2"/>
      <c r="E236" s="14">
        <f>IFERROR(E229+E230+E231+E232+E233+E234+E235, "NA")</f>
        <v>833.99</v>
      </c>
      <c r="F236" s="15">
        <f>IFERROR(E236/E444, "NA")</f>
        <v>8.1900217823802635E-3</v>
      </c>
      <c r="G236" s="2"/>
      <c r="H236" s="14">
        <f t="shared" si="60"/>
        <v>557.62</v>
      </c>
      <c r="I236" s="15">
        <f>IFERROR(H236/H444, "NA")</f>
        <v>-2.5509275143530272E-2</v>
      </c>
      <c r="J236" s="2"/>
      <c r="K236" s="14">
        <f>IFERROR(K229+K230+K231+K232+K233+K234+K235, "NA")</f>
        <v>1103.28</v>
      </c>
      <c r="L236" s="15">
        <f>IFERROR(K236/K444, "NA")</f>
        <v>1.2243014652600798E-2</v>
      </c>
      <c r="M236" s="2"/>
      <c r="N236" s="14">
        <f t="shared" si="61"/>
        <v>826.91</v>
      </c>
      <c r="O236" s="15">
        <f>IFERROR(N236/N444, "NA")</f>
        <v>-8.1512733438151491E-2</v>
      </c>
      <c r="P236" s="2"/>
      <c r="Q236" s="14">
        <f>IFERROR(Q229+Q230+Q231+Q232+Q233+Q234+Q235, "NA")</f>
        <v>3681.98</v>
      </c>
      <c r="R236" s="15">
        <f>IFERROR(Q236/Q444, "NA")</f>
        <v>1.1322091007843158E-2</v>
      </c>
      <c r="S236" s="2"/>
      <c r="T236" s="14">
        <f>IFERROR(T229+T230+T231+T232+T233+T234+T235, "NA")</f>
        <v>2676.62</v>
      </c>
      <c r="U236" s="15">
        <f>IFERROR(T236/T444, "NA")</f>
        <v>8.1900150063477801E-3</v>
      </c>
      <c r="V236" s="2"/>
      <c r="W236" s="14">
        <f t="shared" si="62"/>
        <v>-1005.3600000000001</v>
      </c>
      <c r="X236" s="15">
        <f>IFERROR(W236/W444, "NA")</f>
        <v>0.62373049601388364</v>
      </c>
      <c r="Y236" s="2"/>
      <c r="Z236" s="14">
        <f>IFERROR(Z229+Z230+Z231+Z232+Z233+Z234+Z235, "NA")</f>
        <v>3587.26</v>
      </c>
      <c r="AA236" s="15">
        <f>IFERROR(Z236/Z444, "NA")</f>
        <v>1.1976820005816033E-2</v>
      </c>
      <c r="AB236" s="2"/>
      <c r="AC236" s="14">
        <f t="shared" si="63"/>
        <v>-94.7199999999998</v>
      </c>
      <c r="AD236" s="15">
        <f>IFERROR(AC236/AC444, "NA")</f>
        <v>-3.6875717309006952E-3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5107.3900000000003</v>
      </c>
      <c r="F240" s="8">
        <f>IFERROR(E240/E444, "NA")</f>
        <v>5.0156039462237123E-2</v>
      </c>
      <c r="G240" s="9"/>
      <c r="H240" s="10">
        <f t="shared" ref="H240:H263" si="64">IFERROR(-(B240-E240), "NA")</f>
        <v>5107.3900000000003</v>
      </c>
      <c r="I240" s="8">
        <f>IFERROR(H240/H444, "NA")</f>
        <v>-0.23364624076488485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16486.62</v>
      </c>
      <c r="U240" s="8">
        <f>IFERROR(T240/T444, "NA")</f>
        <v>5.0446333511650301E-2</v>
      </c>
      <c r="V240" s="9"/>
      <c r="W240" s="10">
        <f t="shared" ref="W240:W263" si="66">IFERROR(-(Q240-T240), "NA")</f>
        <v>16486.62</v>
      </c>
      <c r="X240" s="8">
        <f>IFERROR(W240/W444, "NA")</f>
        <v>-10.228383534447772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159.66</v>
      </c>
      <c r="C241" s="8">
        <f>IFERROR(B241/B444, "NA")</f>
        <v>1.9964859546350274E-3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-159.66</v>
      </c>
      <c r="I241" s="8">
        <f>IFERROR(H241/H444, "NA")</f>
        <v>7.303918204899471E-3</v>
      </c>
      <c r="J241" s="9"/>
      <c r="K241" s="7">
        <v>105.22</v>
      </c>
      <c r="L241" s="8">
        <f>IFERROR(K241/K444, "NA")</f>
        <v>1.1676183758852295E-3</v>
      </c>
      <c r="M241" s="9"/>
      <c r="N241" s="10">
        <f t="shared" si="65"/>
        <v>-54.44</v>
      </c>
      <c r="O241" s="8">
        <f>IFERROR(N241/N444, "NA")</f>
        <v>5.366428279223818E-3</v>
      </c>
      <c r="P241" s="9"/>
      <c r="Q241" s="7">
        <v>721.14</v>
      </c>
      <c r="R241" s="8">
        <f>IFERROR(Q241/Q444, "NA")</f>
        <v>2.2175059911775769E-3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-721.14</v>
      </c>
      <c r="X241" s="8">
        <f>IFERROR(W241/W444, "NA")</f>
        <v>0.44739895151532982</v>
      </c>
      <c r="Y241" s="9"/>
      <c r="Z241" s="7">
        <v>347.45</v>
      </c>
      <c r="AA241" s="8">
        <f>IFERROR(Z241/Z444, "NA")</f>
        <v>1.1600347092267579E-3</v>
      </c>
      <c r="AB241" s="9"/>
      <c r="AC241" s="10">
        <f t="shared" si="67"/>
        <v>-373.69</v>
      </c>
      <c r="AD241" s="8">
        <f>IFERROR(AC241/AC444, "NA")</f>
        <v>-1.4548233531675293E-2</v>
      </c>
    </row>
    <row r="242" spans="1:30" ht="16.5" customHeight="1" x14ac:dyDescent="0.45">
      <c r="A242" s="12" t="s">
        <v>219</v>
      </c>
      <c r="B242" s="7">
        <v>629.22</v>
      </c>
      <c r="C242" s="8">
        <f>IFERROR(B242/B444, "NA")</f>
        <v>7.8681503969400737E-3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-629.22</v>
      </c>
      <c r="I242" s="8">
        <f>IFERROR(H242/H444, "NA")</f>
        <v>2.8784738900706788E-2</v>
      </c>
      <c r="J242" s="9"/>
      <c r="K242" s="7">
        <v>544.64</v>
      </c>
      <c r="L242" s="8">
        <f>IFERROR(K242/K444, "NA")</f>
        <v>6.0438288561312616E-3</v>
      </c>
      <c r="M242" s="9"/>
      <c r="N242" s="10">
        <f t="shared" si="65"/>
        <v>-84.580000000000041</v>
      </c>
      <c r="O242" s="8">
        <f>IFERROR(N242/N444, "NA")</f>
        <v>8.3374817019976257E-3</v>
      </c>
      <c r="P242" s="9"/>
      <c r="Q242" s="7">
        <v>2428.2800000000002</v>
      </c>
      <c r="R242" s="8">
        <f>IFERROR(Q242/Q444, "NA")</f>
        <v>7.4669626539322284E-3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-2428.2800000000002</v>
      </c>
      <c r="X242" s="8">
        <f>IFERROR(W242/W444, "NA")</f>
        <v>1.5065173558333267</v>
      </c>
      <c r="Y242" s="9"/>
      <c r="Z242" s="7">
        <v>2181.96</v>
      </c>
      <c r="AA242" s="8">
        <f>IFERROR(Z242/Z444, "NA")</f>
        <v>7.2849311674900476E-3</v>
      </c>
      <c r="AB242" s="9"/>
      <c r="AC242" s="10">
        <f t="shared" si="67"/>
        <v>-246.32000000000016</v>
      </c>
      <c r="AD242" s="8">
        <f>IFERROR(AC242/AC444, "NA")</f>
        <v>-9.5895552022324942E-3</v>
      </c>
    </row>
    <row r="243" spans="1:30" ht="16.5" customHeight="1" x14ac:dyDescent="0.45">
      <c r="A243" s="12" t="s">
        <v>220</v>
      </c>
      <c r="B243" s="7">
        <v>87.81</v>
      </c>
      <c r="C243" s="8">
        <f>IFERROR(B243/B444, "NA")</f>
        <v>1.09802976122073E-3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-87.81</v>
      </c>
      <c r="I243" s="8">
        <f>IFERROR(H243/H444, "NA")</f>
        <v>4.0170177725931521E-3</v>
      </c>
      <c r="J243" s="9"/>
      <c r="K243" s="7">
        <v>860.48</v>
      </c>
      <c r="L243" s="8">
        <f>IFERROR(K243/K444, "NA")</f>
        <v>9.5486814301627282E-3</v>
      </c>
      <c r="M243" s="9"/>
      <c r="N243" s="10">
        <f t="shared" si="65"/>
        <v>772.67000000000007</v>
      </c>
      <c r="O243" s="8">
        <f>IFERROR(N243/N444, "NA")</f>
        <v>-7.616602017832233E-2</v>
      </c>
      <c r="P243" s="9"/>
      <c r="Q243" s="7">
        <v>4402.8100000000004</v>
      </c>
      <c r="R243" s="8">
        <f>IFERROR(Q243/Q444, "NA")</f>
        <v>1.3538643748809592E-2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-4402.8100000000004</v>
      </c>
      <c r="X243" s="8">
        <f>IFERROR(W243/W444, "NA")</f>
        <v>2.7315258864037628</v>
      </c>
      <c r="Y243" s="9"/>
      <c r="Z243" s="7">
        <v>2215.41</v>
      </c>
      <c r="AA243" s="8">
        <f>IFERROR(Z243/Z444, "NA")</f>
        <v>7.3966110092619141E-3</v>
      </c>
      <c r="AB243" s="9"/>
      <c r="AC243" s="10">
        <f t="shared" si="67"/>
        <v>-2187.4000000000005</v>
      </c>
      <c r="AD243" s="8">
        <f>IFERROR(AC243/AC444, "NA")</f>
        <v>-8.515830240891259E-2</v>
      </c>
    </row>
    <row r="244" spans="1:30" ht="16.5" customHeight="1" x14ac:dyDescent="0.45">
      <c r="A244" s="12" t="s">
        <v>221</v>
      </c>
      <c r="B244" s="7">
        <v>437.22</v>
      </c>
      <c r="C244" s="8">
        <f>IFERROR(B244/B444, "NA")</f>
        <v>5.4672653706972739E-3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-437.22</v>
      </c>
      <c r="I244" s="8">
        <f>IFERROR(H244/H444, "NA")</f>
        <v>2.0001372401015578E-2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-437.22</v>
      </c>
      <c r="O244" s="8">
        <f>IFERROR(N244/N444, "NA")</f>
        <v>4.3099003898645079E-2</v>
      </c>
      <c r="P244" s="9"/>
      <c r="Q244" s="7">
        <v>437.22</v>
      </c>
      <c r="R244" s="8">
        <f>IFERROR(Q244/Q444, "NA")</f>
        <v>1.3444517977960733E-3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-437.22</v>
      </c>
      <c r="X244" s="8">
        <f>IFERROR(W244/W444, "NA")</f>
        <v>0.27125352855413998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-437.22</v>
      </c>
      <c r="AD244" s="8">
        <f>IFERROR(AC244/AC444, "NA")</f>
        <v>-1.7021538346541444E-2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158.11000000000001</v>
      </c>
      <c r="C246" s="8">
        <f>IFERROR(B246/B444, "NA")</f>
        <v>1.9771038098919218E-3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-158.11000000000001</v>
      </c>
      <c r="I246" s="8">
        <f>IFERROR(H246/H444, "NA")</f>
        <v>7.2330108190946738E-3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-158.11000000000001</v>
      </c>
      <c r="O246" s="8">
        <f>IFERROR(N246/N444, "NA")</f>
        <v>1.5585708582440815E-2</v>
      </c>
      <c r="P246" s="9"/>
      <c r="Q246" s="7">
        <v>612.91</v>
      </c>
      <c r="R246" s="8">
        <f>IFERROR(Q246/Q444, "NA")</f>
        <v>1.8846986674607548E-3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-612.91</v>
      </c>
      <c r="X246" s="8">
        <f>IFERROR(W246/W444, "NA")</f>
        <v>0.38025250488568207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-612.91</v>
      </c>
      <c r="AD246" s="8">
        <f>IFERROR(AC246/AC444, "NA")</f>
        <v>-2.3861376579247782E-2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20.77</v>
      </c>
      <c r="L247" s="8">
        <f>IFERROR(K247/K444, "NA")</f>
        <v>2.3048311791613966E-4</v>
      </c>
      <c r="M247" s="9"/>
      <c r="N247" s="10">
        <f t="shared" si="65"/>
        <v>20.77</v>
      </c>
      <c r="O247" s="8">
        <f>IFERROR(N247/N444, "NA")</f>
        <v>-2.0474047641344359E-3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143.04</v>
      </c>
      <c r="AA247" s="8">
        <f>IFERROR(Z247/Z444, "NA")</f>
        <v>4.7756904535269958E-4</v>
      </c>
      <c r="AB247" s="9"/>
      <c r="AC247" s="10">
        <f t="shared" si="67"/>
        <v>143.04</v>
      </c>
      <c r="AD247" s="8">
        <f>IFERROR(AC247/AC444, "NA")</f>
        <v>5.5687316341642371E-3</v>
      </c>
    </row>
    <row r="248" spans="1:30" ht="16.5" customHeight="1" x14ac:dyDescent="0.45">
      <c r="A248" s="12" t="s">
        <v>225</v>
      </c>
      <c r="B248" s="7">
        <v>194.6</v>
      </c>
      <c r="C248" s="8">
        <f>IFERROR(B248/B444, "NA")</f>
        <v>2.4333970109731702E-3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-194.6</v>
      </c>
      <c r="I248" s="8">
        <f>IFERROR(H248/H444, "NA")</f>
        <v>8.9023079210411946E-3</v>
      </c>
      <c r="J248" s="9"/>
      <c r="K248" s="7">
        <v>172.36</v>
      </c>
      <c r="L248" s="8">
        <f>IFERROR(K248/K444, "NA")</f>
        <v>1.9126658740503532E-3</v>
      </c>
      <c r="M248" s="9"/>
      <c r="N248" s="10">
        <f t="shared" si="65"/>
        <v>-22.239999999999981</v>
      </c>
      <c r="O248" s="8">
        <f>IFERROR(N248/N444, "NA")</f>
        <v>2.1923101566851139E-3</v>
      </c>
      <c r="P248" s="9"/>
      <c r="Q248" s="7">
        <v>805.43</v>
      </c>
      <c r="R248" s="8">
        <f>IFERROR(Q248/Q444, "NA")</f>
        <v>2.4766977985885624E-3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-805.43</v>
      </c>
      <c r="X248" s="8">
        <f>IFERROR(W248/W444, "NA")</f>
        <v>0.49969289946333872</v>
      </c>
      <c r="Y248" s="9"/>
      <c r="Z248" s="7">
        <v>813.77</v>
      </c>
      <c r="AA248" s="8">
        <f>IFERROR(Z248/Z444, "NA")</f>
        <v>2.7169418486903407E-3</v>
      </c>
      <c r="AB248" s="9"/>
      <c r="AC248" s="10">
        <f t="shared" si="67"/>
        <v>8.3400000000000318</v>
      </c>
      <c r="AD248" s="8">
        <f>IFERROR(AC248/AC444, "NA")</f>
        <v>3.2468695350202682E-4</v>
      </c>
    </row>
    <row r="249" spans="1:30" ht="16.5" customHeight="1" x14ac:dyDescent="0.45">
      <c r="A249" s="12" t="s">
        <v>226</v>
      </c>
      <c r="B249" s="7">
        <v>1456.23</v>
      </c>
      <c r="C249" s="8">
        <f>IFERROR(B249/B444, "NA")</f>
        <v>1.8209587509195577E-2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-1456.23</v>
      </c>
      <c r="I249" s="8">
        <f>IFERROR(H249/H444, "NA")</f>
        <v>6.6617717697111098E-2</v>
      </c>
      <c r="J249" s="9"/>
      <c r="K249" s="7">
        <v>1477.91</v>
      </c>
      <c r="L249" s="8">
        <f>IFERROR(K249/K444, "NA")</f>
        <v>1.6400255406809918E-2</v>
      </c>
      <c r="M249" s="9"/>
      <c r="N249" s="10">
        <f t="shared" si="65"/>
        <v>21.680000000000064</v>
      </c>
      <c r="O249" s="8">
        <f>IFERROR(N249/N444, "NA")</f>
        <v>-2.1371081023801013E-3</v>
      </c>
      <c r="P249" s="9"/>
      <c r="Q249" s="7">
        <v>6326.08</v>
      </c>
      <c r="R249" s="8">
        <f>IFERROR(Q249/Q444, "NA")</f>
        <v>1.9452700308773118E-2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-6326.08</v>
      </c>
      <c r="X249" s="8">
        <f>IFERROR(W249/W444, "NA")</f>
        <v>3.9247324502899543</v>
      </c>
      <c r="Y249" s="9"/>
      <c r="Z249" s="7">
        <v>5299.23</v>
      </c>
      <c r="AA249" s="8">
        <f>IFERROR(Z249/Z444, "NA")</f>
        <v>1.7692590968990396E-2</v>
      </c>
      <c r="AB249" s="9"/>
      <c r="AC249" s="10">
        <f t="shared" si="67"/>
        <v>-1026.8500000000004</v>
      </c>
      <c r="AD249" s="8">
        <f>IFERROR(AC249/AC444, "NA")</f>
        <v>-3.9976594508819553E-2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3.94</v>
      </c>
      <c r="AA250" s="8">
        <f>IFERROR(Z250/Z444, "NA")</f>
        <v>1.3154516489720612E-5</v>
      </c>
      <c r="AB250" s="9"/>
      <c r="AC250" s="10">
        <f t="shared" si="67"/>
        <v>3.94</v>
      </c>
      <c r="AD250" s="8">
        <f>IFERROR(AC250/AC444, "NA")</f>
        <v>1.5338928019160441E-4</v>
      </c>
    </row>
    <row r="251" spans="1:30" ht="16.5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25.55</v>
      </c>
      <c r="L251" s="8">
        <f>IFERROR(K251/K444, "NA")</f>
        <v>2.8352641611735041E-4</v>
      </c>
      <c r="M251" s="9"/>
      <c r="N251" s="10">
        <f t="shared" si="65"/>
        <v>25.55</v>
      </c>
      <c r="O251" s="8">
        <f>IFERROR(N251/N444, "NA")</f>
        <v>-2.5185937276665789E-3</v>
      </c>
      <c r="P251" s="9"/>
      <c r="Q251" s="7">
        <v>29.09</v>
      </c>
      <c r="R251" s="8">
        <f>IFERROR(Q251/Q444, "NA")</f>
        <v>8.9451769813567012E-5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-29.09</v>
      </c>
      <c r="X251" s="8">
        <f>IFERROR(W251/W444, "NA")</f>
        <v>1.8047585073052312E-2</v>
      </c>
      <c r="Y251" s="9"/>
      <c r="Z251" s="7">
        <v>25.55</v>
      </c>
      <c r="AA251" s="8">
        <f>IFERROR(Z251/Z444, "NA")</f>
        <v>8.5304034597046102E-5</v>
      </c>
      <c r="AB251" s="9"/>
      <c r="AC251" s="10">
        <f t="shared" si="67"/>
        <v>-3.5399999999999991</v>
      </c>
      <c r="AD251" s="8">
        <f>IFERROR(AC251/AC444, "NA")</f>
        <v>-1.3781676443611155E-4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44.36</v>
      </c>
      <c r="L252" s="8">
        <f>IFERROR(K252/K444, "NA")</f>
        <v>4.9225956238613169E-4</v>
      </c>
      <c r="M252" s="9"/>
      <c r="N252" s="10">
        <f t="shared" si="65"/>
        <v>44.36</v>
      </c>
      <c r="O252" s="8">
        <f>IFERROR(N252/N444, "NA")</f>
        <v>-4.3727913017334421E-3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72.400000000000006</v>
      </c>
      <c r="AA252" s="8">
        <f>IFERROR(Z252/Z444, "NA")</f>
        <v>2.4172258727303867E-4</v>
      </c>
      <c r="AB252" s="9"/>
      <c r="AC252" s="10">
        <f t="shared" si="67"/>
        <v>72.400000000000006</v>
      </c>
      <c r="AD252" s="8">
        <f>IFERROR(AC252/AC444, "NA")</f>
        <v>2.8186253517442032E-3</v>
      </c>
    </row>
    <row r="253" spans="1:30" ht="16.5" customHeight="1" x14ac:dyDescent="0.45">
      <c r="A253" s="12" t="s">
        <v>230</v>
      </c>
      <c r="B253" s="7">
        <v>340.12</v>
      </c>
      <c r="C253" s="8">
        <f>IFERROR(B253/B444, "NA")</f>
        <v>4.2530677871130251E-3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-340.12</v>
      </c>
      <c r="I253" s="8">
        <f>IFERROR(H253/H444, "NA")</f>
        <v>1.5559367780598824E-2</v>
      </c>
      <c r="J253" s="9"/>
      <c r="K253" s="7">
        <v>575.30999999999995</v>
      </c>
      <c r="L253" s="8">
        <f>IFERROR(K253/K444, "NA")</f>
        <v>6.3841715247151803E-3</v>
      </c>
      <c r="M253" s="9"/>
      <c r="N253" s="10">
        <f t="shared" si="65"/>
        <v>235.18999999999994</v>
      </c>
      <c r="O253" s="8">
        <f>IFERROR(N253/N444, "NA")</f>
        <v>-2.3183877057139042E-2</v>
      </c>
      <c r="P253" s="9"/>
      <c r="Q253" s="7">
        <v>781.97</v>
      </c>
      <c r="R253" s="8">
        <f>IFERROR(Q253/Q444, "NA")</f>
        <v>2.4045582826096598E-3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-781.97</v>
      </c>
      <c r="X253" s="8">
        <f>IFERROR(W253/W444, "NA")</f>
        <v>0.48513819524148222</v>
      </c>
      <c r="Y253" s="9"/>
      <c r="Z253" s="7">
        <v>2852.52</v>
      </c>
      <c r="AA253" s="8">
        <f>IFERROR(Z253/Z444, "NA")</f>
        <v>9.5237363901669644E-3</v>
      </c>
      <c r="AB253" s="9"/>
      <c r="AC253" s="10">
        <f t="shared" si="67"/>
        <v>2070.5500000000002</v>
      </c>
      <c r="AD253" s="8">
        <f>IFERROR(AC253/AC444, "NA")</f>
        <v>8.0609181243839229E-2</v>
      </c>
    </row>
    <row r="254" spans="1:30" ht="16.5" customHeight="1" x14ac:dyDescent="0.45">
      <c r="A254" s="12" t="s">
        <v>231</v>
      </c>
      <c r="B254" s="7">
        <v>141.36000000000001</v>
      </c>
      <c r="C254" s="8">
        <f>IFERROR(B254/B444, "NA")</f>
        <v>1.7676516005712608E-3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-141.36000000000001</v>
      </c>
      <c r="I254" s="8">
        <f>IFERROR(H254/H444, "NA")</f>
        <v>6.4667535853976535E-3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-141.36000000000001</v>
      </c>
      <c r="O254" s="8">
        <f>IFERROR(N254/N444, "NA")</f>
        <v>1.3934575708138851E-2</v>
      </c>
      <c r="P254" s="9"/>
      <c r="Q254" s="7">
        <v>370.16</v>
      </c>
      <c r="R254" s="8">
        <f>IFERROR(Q254/Q444, "NA")</f>
        <v>1.138242252120659E-3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-370.16</v>
      </c>
      <c r="X254" s="8">
        <f>IFERROR(W254/W444, "NA")</f>
        <v>0.22964916090206408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-370.16</v>
      </c>
      <c r="AD254" s="8">
        <f>IFERROR(AC254/AC444, "NA")</f>
        <v>-1.441080608013307E-2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3604.33</v>
      </c>
      <c r="C262" s="15">
        <f>IFERROR(B262/B444, "NA")</f>
        <v>4.5070739201238059E-2</v>
      </c>
      <c r="D262" s="2"/>
      <c r="E262" s="14">
        <f>IFERROR(E240+E241+E242+E243+E244+E245+E246+E247+E248+E249+E250+E251+E252+E253+E254+E255+E256+E257+E258+E259+E260+E261, "NA")</f>
        <v>5107.3900000000003</v>
      </c>
      <c r="F262" s="15">
        <f>IFERROR(E262/E444, "NA")</f>
        <v>5.0156039462237123E-2</v>
      </c>
      <c r="G262" s="2"/>
      <c r="H262" s="14">
        <f t="shared" si="64"/>
        <v>1503.0600000000004</v>
      </c>
      <c r="I262" s="15">
        <f>IFERROR(H262/H444, "NA")</f>
        <v>-6.8760035682426418E-2</v>
      </c>
      <c r="J262" s="2"/>
      <c r="K262" s="14">
        <f>IFERROR(K240+K241+K242+K243+K244+K245+K246+K247+K248+K249+K250+K251+K252+K253+K254+K255+K256+K257+K258+K259+K260+K261, "NA")</f>
        <v>3826.6000000000004</v>
      </c>
      <c r="L262" s="15">
        <f>IFERROR(K262/K444, "NA")</f>
        <v>4.2463490564174297E-2</v>
      </c>
      <c r="M262" s="2"/>
      <c r="N262" s="14">
        <f t="shared" si="65"/>
        <v>222.27000000000044</v>
      </c>
      <c r="O262" s="15">
        <f>IFERROR(N262/N444, "NA")</f>
        <v>-2.1910286804244679E-2</v>
      </c>
      <c r="P262" s="2"/>
      <c r="Q262" s="14">
        <f>IFERROR(Q240+Q241+Q242+Q243+Q244+Q245+Q246+Q247+Q248+Q249+Q250+Q251+Q252+Q253+Q254+Q255+Q256+Q257+Q258+Q259+Q260+Q261, "NA")</f>
        <v>16915.09</v>
      </c>
      <c r="R262" s="15">
        <f>IFERROR(Q262/Q444, "NA")</f>
        <v>5.2013913271081791E-2</v>
      </c>
      <c r="S262" s="2"/>
      <c r="T262" s="14">
        <f>IFERROR(T240+T241+T242+T243+T244+T245+T246+T247+T248+T249+T250+T251+T252+T253+T254+T255+T256+T257+T258+T259+T260+T261, "NA")</f>
        <v>16486.62</v>
      </c>
      <c r="U262" s="15">
        <f>IFERROR(T262/T444, "NA")</f>
        <v>5.0446333511650301E-2</v>
      </c>
      <c r="V262" s="2"/>
      <c r="W262" s="14">
        <f t="shared" si="66"/>
        <v>-428.47000000000116</v>
      </c>
      <c r="X262" s="15">
        <f>IFERROR(W262/W444, "NA")</f>
        <v>0.26582498371436042</v>
      </c>
      <c r="Y262" s="2"/>
      <c r="Z262" s="14">
        <f>IFERROR(Z240+Z241+Z242+Z243+Z244+Z245+Z246+Z247+Z248+Z249+Z250+Z251+Z252+Z253+Z254+Z255+Z256+Z257+Z258+Z259+Z260+Z261, "NA")</f>
        <v>13955.269999999999</v>
      </c>
      <c r="AA262" s="15">
        <f>IFERROR(Z262/Z444, "NA")</f>
        <v>4.6592596277538922E-2</v>
      </c>
      <c r="AB262" s="2"/>
      <c r="AC262" s="14">
        <f t="shared" si="67"/>
        <v>-2959.8200000000015</v>
      </c>
      <c r="AD262" s="15">
        <f>IFERROR(AC262/AC444, "NA")</f>
        <v>-0.11522960895855706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3604.33</v>
      </c>
      <c r="C263" s="15">
        <f>IFERROR(B263/B444, "NA")</f>
        <v>4.5070739201238059E-2</v>
      </c>
      <c r="D263" s="2"/>
      <c r="E263" s="14">
        <f>IFERROR(E238+E240+E241+E242+E243+E244+E245+E246+E247+E248+E249+E250+E251+E252+E253+E254+E255+E256+E257+E258+E259+E260+E261, "NA")</f>
        <v>5107.3900000000003</v>
      </c>
      <c r="F263" s="15">
        <f>IFERROR(E263/E444, "NA")</f>
        <v>5.0156039462237123E-2</v>
      </c>
      <c r="G263" s="2"/>
      <c r="H263" s="14">
        <f t="shared" si="64"/>
        <v>1503.0600000000004</v>
      </c>
      <c r="I263" s="15">
        <f>IFERROR(H263/H444, "NA")</f>
        <v>-6.8760035682426418E-2</v>
      </c>
      <c r="J263" s="2"/>
      <c r="K263" s="14">
        <f>IFERROR(K238+K240+K241+K242+K243+K244+K245+K246+K247+K248+K249+K250+K251+K252+K253+K254+K255+K256+K257+K258+K259+K260+K261, "NA")</f>
        <v>3826.6000000000004</v>
      </c>
      <c r="L263" s="15">
        <f>IFERROR(K263/K444, "NA")</f>
        <v>4.2463490564174297E-2</v>
      </c>
      <c r="M263" s="2"/>
      <c r="N263" s="14">
        <f t="shared" si="65"/>
        <v>222.27000000000044</v>
      </c>
      <c r="O263" s="15">
        <f>IFERROR(N263/N444, "NA")</f>
        <v>-2.1910286804244679E-2</v>
      </c>
      <c r="P263" s="2"/>
      <c r="Q263" s="14">
        <f>IFERROR(Q238+Q240+Q241+Q242+Q243+Q244+Q245+Q246+Q247+Q248+Q249+Q250+Q251+Q252+Q253+Q254+Q255+Q256+Q257+Q258+Q259+Q260+Q261, "NA")</f>
        <v>16915.09</v>
      </c>
      <c r="R263" s="15">
        <f>IFERROR(Q263/Q444, "NA")</f>
        <v>5.2013913271081791E-2</v>
      </c>
      <c r="S263" s="2"/>
      <c r="T263" s="14">
        <f>IFERROR(T238+T240+T241+T242+T243+T244+T245+T246+T247+T248+T249+T250+T251+T252+T253+T254+T255+T256+T257+T258+T259+T260+T261, "NA")</f>
        <v>16486.62</v>
      </c>
      <c r="U263" s="15">
        <f>IFERROR(T263/T444, "NA")</f>
        <v>5.0446333511650301E-2</v>
      </c>
      <c r="V263" s="2"/>
      <c r="W263" s="14">
        <f t="shared" si="66"/>
        <v>-428.47000000000116</v>
      </c>
      <c r="X263" s="15">
        <f>IFERROR(W263/W444, "NA")</f>
        <v>0.26582498371436042</v>
      </c>
      <c r="Y263" s="2"/>
      <c r="Z263" s="14">
        <f>IFERROR(Z238+Z240+Z241+Z242+Z243+Z244+Z245+Z246+Z247+Z248+Z249+Z250+Z251+Z252+Z253+Z254+Z255+Z256+Z257+Z258+Z259+Z260+Z261, "NA")</f>
        <v>13955.269999999999</v>
      </c>
      <c r="AA263" s="15">
        <f>IFERROR(Z263/Z444, "NA")</f>
        <v>4.6592596277538922E-2</v>
      </c>
      <c r="AB263" s="2"/>
      <c r="AC263" s="14">
        <f t="shared" si="67"/>
        <v>-2959.8200000000015</v>
      </c>
      <c r="AD263" s="15">
        <f>IFERROR(AC263/AC444, "NA")</f>
        <v>-0.11522960895855706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2176.5500000000002</v>
      </c>
      <c r="C265" s="8">
        <f>IFERROR(B265/B444, "NA")</f>
        <v>2.7216907832649816E-2</v>
      </c>
      <c r="D265" s="9"/>
      <c r="E265" s="7">
        <v>2851.24</v>
      </c>
      <c r="F265" s="8">
        <f>IFERROR(E265/E444, "NA")</f>
        <v>2.7999997250319427E-2</v>
      </c>
      <c r="G265" s="9"/>
      <c r="H265" s="10">
        <f>IFERROR(-(B265-E265), "NA")</f>
        <v>674.6899999999996</v>
      </c>
      <c r="I265" s="8">
        <f>IFERROR(H265/H444, "NA")</f>
        <v>-3.0864841373315931E-2</v>
      </c>
      <c r="J265" s="9"/>
      <c r="K265" s="7">
        <v>2611.37</v>
      </c>
      <c r="L265" s="8">
        <f>IFERROR(K265/K444, "NA")</f>
        <v>2.8978175235082792E-2</v>
      </c>
      <c r="M265" s="9"/>
      <c r="N265" s="10">
        <f>IFERROR(-(B265-K265), "NA")</f>
        <v>434.81999999999971</v>
      </c>
      <c r="O265" s="8">
        <f>IFERROR(N265/N444, "NA")</f>
        <v>-4.2862423665909241E-2</v>
      </c>
      <c r="P265" s="9"/>
      <c r="Q265" s="7">
        <v>8864.77</v>
      </c>
      <c r="R265" s="8">
        <f>IFERROR(Q265/Q444, "NA")</f>
        <v>2.7259173787906994E-2</v>
      </c>
      <c r="S265" s="9"/>
      <c r="T265" s="7">
        <v>9264.2999999999993</v>
      </c>
      <c r="U265" s="8">
        <f>IFERROR(T265/T444, "NA")</f>
        <v>2.8347227482163225E-2</v>
      </c>
      <c r="V265" s="9"/>
      <c r="W265" s="10">
        <f>IFERROR(-(Q265-T265), "NA")</f>
        <v>399.52999999999884</v>
      </c>
      <c r="X265" s="8">
        <f>IFERROR(W265/W444, "NA")</f>
        <v>-0.24787045940998864</v>
      </c>
      <c r="Y265" s="9"/>
      <c r="Z265" s="7">
        <v>8239.83</v>
      </c>
      <c r="AA265" s="8">
        <f>IFERROR(Z265/Z444, "NA")</f>
        <v>2.7510400915607764E-2</v>
      </c>
      <c r="AB265" s="9"/>
      <c r="AC265" s="10">
        <f>IFERROR(-(Q265-Z265), "NA")</f>
        <v>-624.94000000000051</v>
      </c>
      <c r="AD265" s="8">
        <f>IFERROR(AC265/AC444, "NA")</f>
        <v>-2.4329719990594249E-2</v>
      </c>
    </row>
    <row r="266" spans="1:30" ht="16.5" customHeight="1" x14ac:dyDescent="0.45">
      <c r="A266" s="6" t="s">
        <v>242</v>
      </c>
      <c r="B266" s="7">
        <v>214</v>
      </c>
      <c r="C266" s="8">
        <f>IFERROR(B266/B444, "NA")</f>
        <v>2.6759864354997864E-3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-214</v>
      </c>
      <c r="I266" s="8">
        <f>IFERROR(H266/H444, "NA")</f>
        <v>9.7897939111141613E-3</v>
      </c>
      <c r="J266" s="9"/>
      <c r="K266" s="7">
        <v>84.36</v>
      </c>
      <c r="L266" s="8">
        <f>IFERROR(K266/K444, "NA")</f>
        <v>9.3613653478120083E-4</v>
      </c>
      <c r="M266" s="9"/>
      <c r="N266" s="10">
        <f>IFERROR(-(B266-K266), "NA")</f>
        <v>-129.63999999999999</v>
      </c>
      <c r="O266" s="8">
        <f>IFERROR(N266/N444, "NA")</f>
        <v>1.2779275571612339E-2</v>
      </c>
      <c r="P266" s="9"/>
      <c r="Q266" s="7">
        <v>258.62</v>
      </c>
      <c r="R266" s="8">
        <f>IFERROR(Q266/Q444, "NA")</f>
        <v>7.9525667614935378E-4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-258.62</v>
      </c>
      <c r="X266" s="8">
        <f>IFERROR(W266/W444, "NA")</f>
        <v>0.16044917331016806</v>
      </c>
      <c r="Y266" s="9"/>
      <c r="Z266" s="7">
        <v>328.93</v>
      </c>
      <c r="AA266" s="8">
        <f>IFERROR(Z266/Z444, "NA")</f>
        <v>1.0982018043055332E-3</v>
      </c>
      <c r="AB266" s="9"/>
      <c r="AC266" s="10">
        <f>IFERROR(-(Q266-Z266), "NA")</f>
        <v>70.31</v>
      </c>
      <c r="AD266" s="8">
        <f>IFERROR(AC266/AC444, "NA")</f>
        <v>2.737258956921753E-3</v>
      </c>
    </row>
    <row r="267" spans="1:30" ht="16.5" customHeight="1" x14ac:dyDescent="0.45">
      <c r="A267" s="19" t="s">
        <v>243</v>
      </c>
      <c r="B267" s="14">
        <f>IFERROR(B265+B266, "NA")</f>
        <v>2390.5500000000002</v>
      </c>
      <c r="C267" s="15">
        <f>IFERROR(B267/B444, "NA")</f>
        <v>2.9892894268149599E-2</v>
      </c>
      <c r="D267" s="2"/>
      <c r="E267" s="14">
        <f>IFERROR(E265+E266, "NA")</f>
        <v>2851.24</v>
      </c>
      <c r="F267" s="15">
        <f>IFERROR(E267/E444, "NA")</f>
        <v>2.7999997250319427E-2</v>
      </c>
      <c r="G267" s="2"/>
      <c r="H267" s="14">
        <f>IFERROR(-(B267-E267), "NA")</f>
        <v>460.6899999999996</v>
      </c>
      <c r="I267" s="15">
        <f>IFERROR(H267/H444, "NA")</f>
        <v>-2.1075047462201769E-2</v>
      </c>
      <c r="J267" s="2"/>
      <c r="K267" s="14">
        <f>IFERROR(K265+K266, "NA")</f>
        <v>2695.73</v>
      </c>
      <c r="L267" s="15">
        <f>IFERROR(K267/K444, "NA")</f>
        <v>2.9914311769863994E-2</v>
      </c>
      <c r="M267" s="2"/>
      <c r="N267" s="14">
        <f>IFERROR(-(B267-K267), "NA")</f>
        <v>305.17999999999984</v>
      </c>
      <c r="O267" s="15">
        <f>IFERROR(N267/N444, "NA")</f>
        <v>-3.0083148094296915E-2</v>
      </c>
      <c r="P267" s="2"/>
      <c r="Q267" s="14">
        <f>IFERROR(Q265+Q266, "NA")</f>
        <v>9123.3900000000012</v>
      </c>
      <c r="R267" s="15">
        <f>IFERROR(Q267/Q444, "NA")</f>
        <v>2.8054430464056351E-2</v>
      </c>
      <c r="S267" s="2"/>
      <c r="T267" s="14">
        <f>IFERROR(T265+T266, "NA")</f>
        <v>9264.2999999999993</v>
      </c>
      <c r="U267" s="15">
        <f>IFERROR(T267/T444, "NA")</f>
        <v>2.8347227482163225E-2</v>
      </c>
      <c r="V267" s="2"/>
      <c r="W267" s="14">
        <f>IFERROR(-(Q267-T267), "NA")</f>
        <v>140.90999999999804</v>
      </c>
      <c r="X267" s="15">
        <f>IFERROR(W267/W444, "NA")</f>
        <v>-8.742128609982007E-2</v>
      </c>
      <c r="Y267" s="2"/>
      <c r="Z267" s="14">
        <f>IFERROR(Z265+Z266, "NA")</f>
        <v>8568.76</v>
      </c>
      <c r="AA267" s="15">
        <f>IFERROR(Z267/Z444, "NA")</f>
        <v>2.8608602719913299E-2</v>
      </c>
      <c r="AB267" s="2"/>
      <c r="AC267" s="14">
        <f>IFERROR(-(Q267-Z267), "NA")</f>
        <v>-554.63000000000102</v>
      </c>
      <c r="AD267" s="15">
        <f>IFERROR(AC267/AC444, "NA")</f>
        <v>-2.1592461033672516E-2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218.47</v>
      </c>
      <c r="C270" s="8">
        <f>IFERROR(B270/B444, "NA")</f>
        <v>2.7318820400170016E-3</v>
      </c>
      <c r="D270" s="9"/>
      <c r="E270" s="7">
        <v>143.61000000000001</v>
      </c>
      <c r="F270" s="8">
        <f>IFERROR(E270/E444, "NA")</f>
        <v>1.4102915240801804E-3</v>
      </c>
      <c r="G270" s="9"/>
      <c r="H270" s="10">
        <f>IFERROR(-(B270-E270), "NA")</f>
        <v>-74.859999999999985</v>
      </c>
      <c r="I270" s="8">
        <f>IFERROR(H270/H444, "NA")</f>
        <v>3.4245980008691867E-3</v>
      </c>
      <c r="J270" s="9"/>
      <c r="K270" s="7">
        <v>182.93</v>
      </c>
      <c r="L270" s="8">
        <f>IFERROR(K270/K444, "NA")</f>
        <v>2.0299603640057499E-3</v>
      </c>
      <c r="M270" s="9"/>
      <c r="N270" s="10">
        <f>IFERROR(-(B270-K270), "NA")</f>
        <v>-35.539999999999992</v>
      </c>
      <c r="O270" s="8">
        <f>IFERROR(N270/N444, "NA")</f>
        <v>3.5033589464293618E-3</v>
      </c>
      <c r="P270" s="9"/>
      <c r="Q270" s="7">
        <v>873.88</v>
      </c>
      <c r="R270" s="8">
        <f>IFERROR(Q270/Q444, "NA")</f>
        <v>2.6871815952107234E-3</v>
      </c>
      <c r="S270" s="9"/>
      <c r="T270" s="7">
        <v>667.81</v>
      </c>
      <c r="U270" s="8">
        <f>IFERROR(T270/T444, "NA")</f>
        <v>2.043388273788999E-3</v>
      </c>
      <c r="V270" s="9"/>
      <c r="W270" s="10">
        <f>IFERROR(-(Q270-T270), "NA")</f>
        <v>-206.07000000000005</v>
      </c>
      <c r="X270" s="8">
        <f>IFERROR(W270/W444, "NA")</f>
        <v>0.12784688401525923</v>
      </c>
      <c r="Y270" s="9"/>
      <c r="Z270" s="7">
        <v>731.72</v>
      </c>
      <c r="AA270" s="8">
        <f>IFERROR(Z270/Z444, "NA")</f>
        <v>2.4430007121467937E-3</v>
      </c>
      <c r="AB270" s="9"/>
      <c r="AC270" s="10">
        <f>IFERROR(-(Q270-Z270), "NA")</f>
        <v>-142.15999999999997</v>
      </c>
      <c r="AD270" s="8">
        <f>IFERROR(AC270/AC444, "NA")</f>
        <v>-5.5344720995021517E-3</v>
      </c>
    </row>
    <row r="271" spans="1:30" ht="16.5" customHeight="1" x14ac:dyDescent="0.45">
      <c r="A271" s="6" t="s">
        <v>246</v>
      </c>
      <c r="B271" s="7">
        <v>1196.07</v>
      </c>
      <c r="C271" s="8">
        <f>IFERROR(B271/B444, "NA")</f>
        <v>1.4956388298636585E-2</v>
      </c>
      <c r="D271" s="9"/>
      <c r="E271" s="7">
        <v>1221.96</v>
      </c>
      <c r="F271" s="8">
        <f>IFERROR(E271/E444, "NA")</f>
        <v>1.1999998821565471E-2</v>
      </c>
      <c r="G271" s="9"/>
      <c r="H271" s="10">
        <f>IFERROR(-(B271-E271), "NA")</f>
        <v>25.8900000000001</v>
      </c>
      <c r="I271" s="8">
        <f>IFERROR(H271/H444, "NA")</f>
        <v>-1.1843820764427411E-3</v>
      </c>
      <c r="J271" s="9"/>
      <c r="K271" s="7">
        <v>1086.1400000000001</v>
      </c>
      <c r="L271" s="8">
        <f>IFERROR(K271/K444, "NA")</f>
        <v>1.2052813369929511E-2</v>
      </c>
      <c r="M271" s="9"/>
      <c r="N271" s="10">
        <f>IFERROR(-(B271-K271), "NA")</f>
        <v>-109.92999999999984</v>
      </c>
      <c r="O271" s="8">
        <f>IFERROR(N271/N444, "NA")</f>
        <v>1.0836360410269535E-2</v>
      </c>
      <c r="P271" s="9"/>
      <c r="Q271" s="7">
        <v>4828.54</v>
      </c>
      <c r="R271" s="8">
        <f>IFERROR(Q271/Q444, "NA")</f>
        <v>1.4847763788779679E-2</v>
      </c>
      <c r="S271" s="9"/>
      <c r="T271" s="7">
        <v>3921.78</v>
      </c>
      <c r="U271" s="8">
        <f>IFERROR(T271/T444, "NA")</f>
        <v>1.1999998898459473E-2</v>
      </c>
      <c r="V271" s="9"/>
      <c r="W271" s="10">
        <f>IFERROR(-(Q271-T271), "NA")</f>
        <v>-906.75999999999976</v>
      </c>
      <c r="X271" s="8">
        <f>IFERROR(W271/W444, "NA")</f>
        <v>0.56255855073361671</v>
      </c>
      <c r="Y271" s="9"/>
      <c r="Z271" s="7">
        <v>4344.5600000000004</v>
      </c>
      <c r="AA271" s="8">
        <f>IFERROR(Z271/Z444, "NA")</f>
        <v>1.4505224913852942E-2</v>
      </c>
      <c r="AB271" s="9"/>
      <c r="AC271" s="10">
        <f>IFERROR(-(Q271-Z271), "NA")</f>
        <v>-483.97999999999956</v>
      </c>
      <c r="AD271" s="8">
        <f>IFERROR(AC271/AC444, "NA")</f>
        <v>-1.8841965438358539E-2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1414.54</v>
      </c>
      <c r="C273" s="15">
        <f>IFERROR(B273/B444, "NA")</f>
        <v>1.7688270338653587E-2</v>
      </c>
      <c r="D273" s="2"/>
      <c r="E273" s="14">
        <f>IFERROR(E269+E270+E271+E272, "NA")</f>
        <v>1365.5700000000002</v>
      </c>
      <c r="F273" s="15">
        <f>IFERROR(E273/E444, "NA")</f>
        <v>1.3410290345645653E-2</v>
      </c>
      <c r="G273" s="2"/>
      <c r="H273" s="14">
        <f>IFERROR(-(B273-E273), "NA")</f>
        <v>-48.9699999999998</v>
      </c>
      <c r="I273" s="15">
        <f>IFERROR(H273/H444, "NA")</f>
        <v>2.2402159244264415E-3</v>
      </c>
      <c r="J273" s="2"/>
      <c r="K273" s="14">
        <f>IFERROR(K269+K270+K271+K272, "NA")</f>
        <v>1269.0700000000002</v>
      </c>
      <c r="L273" s="15">
        <f>IFERROR(K273/K444, "NA")</f>
        <v>1.4082773733935263E-2</v>
      </c>
      <c r="M273" s="2"/>
      <c r="N273" s="14">
        <f>IFERROR(-(B273-K273), "NA")</f>
        <v>-145.4699999999998</v>
      </c>
      <c r="O273" s="15">
        <f>IFERROR(N273/N444, "NA")</f>
        <v>1.4339719356698893E-2</v>
      </c>
      <c r="P273" s="2"/>
      <c r="Q273" s="14">
        <f>IFERROR(Q269+Q270+Q271+Q272, "NA")</f>
        <v>5702.42</v>
      </c>
      <c r="R273" s="15">
        <f>IFERROR(Q273/Q444, "NA")</f>
        <v>1.7534945383990402E-2</v>
      </c>
      <c r="S273" s="2"/>
      <c r="T273" s="14">
        <f>IFERROR(T269+T270+T271+T272, "NA")</f>
        <v>4589.59</v>
      </c>
      <c r="U273" s="15">
        <f>IFERROR(T273/T444, "NA")</f>
        <v>1.4043387172248473E-2</v>
      </c>
      <c r="V273" s="2"/>
      <c r="W273" s="14">
        <f>IFERROR(-(Q273-T273), "NA")</f>
        <v>-1112.83</v>
      </c>
      <c r="X273" s="15">
        <f>IFERROR(W273/W444, "NA")</f>
        <v>0.69040543474887606</v>
      </c>
      <c r="Y273" s="2"/>
      <c r="Z273" s="14">
        <f>IFERROR(Z269+Z270+Z271+Z272, "NA")</f>
        <v>5076.2800000000007</v>
      </c>
      <c r="AA273" s="15">
        <f>IFERROR(Z273/Z444, "NA")</f>
        <v>1.6948225625999735E-2</v>
      </c>
      <c r="AB273" s="2"/>
      <c r="AC273" s="14">
        <f>IFERROR(-(Q273-Z273), "NA")</f>
        <v>-626.13999999999942</v>
      </c>
      <c r="AD273" s="15">
        <f>IFERROR(AC273/AC444, "NA")</f>
        <v>-2.4376437537860684E-2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1.2136098669371998E-2</v>
      </c>
      <c r="D287" s="9"/>
      <c r="E287" s="7">
        <v>1350</v>
      </c>
      <c r="F287" s="8">
        <f>IFERROR(E287/E444, "NA")</f>
        <v>1.3257388465345335E-2</v>
      </c>
      <c r="G287" s="9"/>
      <c r="H287" s="10">
        <f t="shared" si="72"/>
        <v>379.47</v>
      </c>
      <c r="I287" s="8">
        <f>IFERROR(H287/H444, "NA")</f>
        <v>-1.7359500446030331E-2</v>
      </c>
      <c r="J287" s="9"/>
      <c r="K287" s="7">
        <v>970.53</v>
      </c>
      <c r="L287" s="8">
        <f>IFERROR(K287/K444, "NA")</f>
        <v>1.0769897950464662E-2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3882.12</v>
      </c>
      <c r="R287" s="8">
        <f>IFERROR(Q287/Q444, "NA")</f>
        <v>1.1937521644161043E-2</v>
      </c>
      <c r="S287" s="9"/>
      <c r="T287" s="7">
        <v>5400</v>
      </c>
      <c r="U287" s="8">
        <f>IFERROR(T287/T444, "NA")</f>
        <v>1.6523107887663549E-2</v>
      </c>
      <c r="V287" s="9"/>
      <c r="W287" s="10">
        <f t="shared" si="74"/>
        <v>1517.88</v>
      </c>
      <c r="X287" s="8">
        <f>IFERROR(W287/W444, "NA")</f>
        <v>-0.94170053044636115</v>
      </c>
      <c r="Y287" s="9"/>
      <c r="Z287" s="7">
        <v>3882.12</v>
      </c>
      <c r="AA287" s="8">
        <f>IFERROR(Z287/Z444, "NA")</f>
        <v>1.2961271968292941E-2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371.95</v>
      </c>
      <c r="C288" s="8">
        <f>IFERROR(B288/B444, "NA")</f>
        <v>4.6510895078698388E-3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-371.95</v>
      </c>
      <c r="I288" s="8">
        <f>IFERROR(H288/H444, "NA")</f>
        <v>1.7015485258125757E-2</v>
      </c>
      <c r="J288" s="9"/>
      <c r="K288" s="7">
        <v>100.13</v>
      </c>
      <c r="L288" s="8">
        <f>IFERROR(K288/K444, "NA")</f>
        <v>1.1111350311479569E-3</v>
      </c>
      <c r="M288" s="9"/>
      <c r="N288" s="10">
        <f t="shared" si="73"/>
        <v>-271.82</v>
      </c>
      <c r="O288" s="8">
        <f>IFERROR(N288/N444, "NA")</f>
        <v>2.6794682859269253E-2</v>
      </c>
      <c r="P288" s="9"/>
      <c r="Q288" s="7">
        <v>1487.8</v>
      </c>
      <c r="R288" s="8">
        <f>IFERROR(Q288/Q444, "NA")</f>
        <v>4.5749860133594018E-3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-1487.8</v>
      </c>
      <c r="X288" s="8">
        <f>IFERROR(W288/W444, "NA")</f>
        <v>0.92303874430000787</v>
      </c>
      <c r="Y288" s="9"/>
      <c r="Z288" s="7">
        <v>400.52</v>
      </c>
      <c r="AA288" s="8">
        <f>IFERROR(Z288/Z444, "NA")</f>
        <v>1.3372200366657105E-3</v>
      </c>
      <c r="AB288" s="9"/>
      <c r="AC288" s="10">
        <f t="shared" si="75"/>
        <v>-1087.28</v>
      </c>
      <c r="AD288" s="8">
        <f>IFERROR(AC288/AC444, "NA")</f>
        <v>-4.2329212326580622E-2</v>
      </c>
    </row>
    <row r="289" spans="1:30" ht="16.5" customHeight="1" x14ac:dyDescent="0.45">
      <c r="A289" s="6" t="s">
        <v>262</v>
      </c>
      <c r="B289" s="7">
        <v>208.25</v>
      </c>
      <c r="C289" s="8">
        <f>IFERROR(B289/B444, "NA")</f>
        <v>2.6040849308076189E-3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-208.25</v>
      </c>
      <c r="I289" s="8">
        <f>IFERROR(H289/H444, "NA")</f>
        <v>9.5267503831286161E-3</v>
      </c>
      <c r="J289" s="9"/>
      <c r="K289" s="7">
        <v>466.24</v>
      </c>
      <c r="L289" s="8">
        <f>IFERROR(K289/K444, "NA")</f>
        <v>5.1738299902369259E-3</v>
      </c>
      <c r="M289" s="9"/>
      <c r="N289" s="10">
        <f t="shared" si="73"/>
        <v>257.99</v>
      </c>
      <c r="O289" s="8">
        <f>IFERROR(N289/N444, "NA")</f>
        <v>-2.5431389268129188E-2</v>
      </c>
      <c r="P289" s="9"/>
      <c r="Q289" s="7">
        <v>1009.52</v>
      </c>
      <c r="R289" s="8">
        <f>IFERROR(Q289/Q444, "NA")</f>
        <v>3.1042746875968434E-3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-1009.52</v>
      </c>
      <c r="X289" s="8">
        <f>IFERROR(W289/W444, "NA")</f>
        <v>0.62631138133199626</v>
      </c>
      <c r="Y289" s="9"/>
      <c r="Z289" s="7">
        <v>1085.6400000000001</v>
      </c>
      <c r="AA289" s="8">
        <f>IFERROR(Z289/Z444, "NA")</f>
        <v>3.6246368735787528E-3</v>
      </c>
      <c r="AB289" s="9"/>
      <c r="AC289" s="10">
        <f t="shared" si="75"/>
        <v>76.120000000000118</v>
      </c>
      <c r="AD289" s="8">
        <f>IFERROR(AC289/AC444, "NA")</f>
        <v>2.9634497482702907E-3</v>
      </c>
    </row>
    <row r="290" spans="1:30" ht="16.5" customHeight="1" x14ac:dyDescent="0.45">
      <c r="A290" s="6" t="s">
        <v>263</v>
      </c>
      <c r="B290" s="7">
        <v>339.62</v>
      </c>
      <c r="C290" s="8">
        <f>IFERROR(B290/B444, "NA")</f>
        <v>4.2468154823571838E-3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-339.62</v>
      </c>
      <c r="I290" s="8">
        <f>IFERROR(H290/H444, "NA")</f>
        <v>1.5536494430339212E-2</v>
      </c>
      <c r="J290" s="9"/>
      <c r="K290" s="7">
        <v>3160.29</v>
      </c>
      <c r="L290" s="8">
        <f>IFERROR(K290/K444, "NA")</f>
        <v>3.5069498927260329E-2</v>
      </c>
      <c r="M290" s="9"/>
      <c r="N290" s="10">
        <f t="shared" si="73"/>
        <v>2820.67</v>
      </c>
      <c r="O290" s="8">
        <f>IFERROR(N290/N444, "NA")</f>
        <v>-0.27804781877954166</v>
      </c>
      <c r="P290" s="9"/>
      <c r="Q290" s="7">
        <v>1102.71</v>
      </c>
      <c r="R290" s="8">
        <f>IFERROR(Q290/Q444, "NA")</f>
        <v>3.3908340010697312E-3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-1102.71</v>
      </c>
      <c r="X290" s="8">
        <f>IFERROR(W290/W444, "NA")</f>
        <v>0.68412693488846743</v>
      </c>
      <c r="Y290" s="9"/>
      <c r="Z290" s="7">
        <v>5284.93</v>
      </c>
      <c r="AA290" s="8">
        <f>IFERROR(Z290/Z444, "NA")</f>
        <v>1.7644847419294202E-2</v>
      </c>
      <c r="AB290" s="9"/>
      <c r="AC290" s="10">
        <f t="shared" si="75"/>
        <v>4182.22</v>
      </c>
      <c r="AD290" s="8">
        <f>IFERROR(AC290/AC444, "NA")</f>
        <v>0.16281921710734312</v>
      </c>
    </row>
    <row r="291" spans="1:30" ht="16.5" customHeight="1" x14ac:dyDescent="0.45">
      <c r="A291" s="6" t="s">
        <v>264</v>
      </c>
      <c r="B291" s="7">
        <v>-116.09</v>
      </c>
      <c r="C291" s="8">
        <f>IFERROR(B291/B444, "NA")</f>
        <v>-1.4516601182110757E-3</v>
      </c>
      <c r="D291" s="9"/>
      <c r="E291" s="7">
        <v>1527.45</v>
      </c>
      <c r="F291" s="8">
        <f>IFERROR(E291/E444, "NA")</f>
        <v>1.4999998526956838E-2</v>
      </c>
      <c r="G291" s="9"/>
      <c r="H291" s="10">
        <f t="shared" si="72"/>
        <v>1643.54</v>
      </c>
      <c r="I291" s="8">
        <f>IFERROR(H291/H444, "NA")</f>
        <v>-7.5186532171367143E-2</v>
      </c>
      <c r="J291" s="9"/>
      <c r="K291" s="7">
        <v>1404.68</v>
      </c>
      <c r="L291" s="8">
        <f>IFERROR(K291/K444, "NA")</f>
        <v>1.5587627639597644E-2</v>
      </c>
      <c r="M291" s="9"/>
      <c r="N291" s="10">
        <f t="shared" si="73"/>
        <v>1520.77</v>
      </c>
      <c r="O291" s="8">
        <f>IFERROR(N291/N444, "NA")</f>
        <v>-0.14991005022401185</v>
      </c>
      <c r="P291" s="9"/>
      <c r="Q291" s="7">
        <v>1684.83</v>
      </c>
      <c r="R291" s="8">
        <f>IFERROR(Q291/Q444, "NA")</f>
        <v>5.1808533975590274E-3</v>
      </c>
      <c r="S291" s="9"/>
      <c r="T291" s="7">
        <v>4902.22</v>
      </c>
      <c r="U291" s="8">
        <f>IFERROR(T291/T444, "NA")</f>
        <v>1.4999983323900372E-2</v>
      </c>
      <c r="V291" s="9"/>
      <c r="W291" s="10">
        <f t="shared" si="74"/>
        <v>3217.3900000000003</v>
      </c>
      <c r="X291" s="8">
        <f>IFERROR(W291/W444, "NA")</f>
        <v>-1.9960852436640697</v>
      </c>
      <c r="Y291" s="9"/>
      <c r="Z291" s="7">
        <v>2913.97</v>
      </c>
      <c r="AA291" s="8">
        <f>IFERROR(Z291/Z444, "NA")</f>
        <v>9.7289001054698399E-3</v>
      </c>
      <c r="AB291" s="9"/>
      <c r="AC291" s="10">
        <f t="shared" si="75"/>
        <v>1229.1399999999999</v>
      </c>
      <c r="AD291" s="8">
        <f>IFERROR(AC291/AC444, "NA")</f>
        <v>4.7852005039266149E-2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620.70000000000005</v>
      </c>
      <c r="L292" s="8">
        <f>IFERROR(K292/K444, "NA")</f>
        <v>6.8878609191404859E-3</v>
      </c>
      <c r="M292" s="9"/>
      <c r="N292" s="10">
        <f t="shared" si="73"/>
        <v>620.70000000000005</v>
      </c>
      <c r="O292" s="8">
        <f>IFERROR(N292/N444, "NA")</f>
        <v>-6.1185562691297282E-2</v>
      </c>
      <c r="P292" s="9"/>
      <c r="Q292" s="7">
        <v>1703.69</v>
      </c>
      <c r="R292" s="8">
        <f>IFERROR(Q292/Q444, "NA")</f>
        <v>5.2388479104048128E-3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-1703.69</v>
      </c>
      <c r="X292" s="8">
        <f>IFERROR(W292/W444, "NA")</f>
        <v>1.0569780066383119</v>
      </c>
      <c r="Y292" s="9"/>
      <c r="Z292" s="7">
        <v>1721.09</v>
      </c>
      <c r="AA292" s="8">
        <f>IFERROR(Z292/Z444, "NA")</f>
        <v>5.7462199962673216E-3</v>
      </c>
      <c r="AB292" s="9"/>
      <c r="AC292" s="10">
        <f t="shared" si="75"/>
        <v>17.399999999999864</v>
      </c>
      <c r="AD292" s="8">
        <f>IFERROR(AC292/AC444, "NA")</f>
        <v>6.77404435363933E-4</v>
      </c>
    </row>
    <row r="293" spans="1:30" ht="16.5" hidden="1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0</v>
      </c>
      <c r="X293" s="8">
        <f>IFERROR(W293/W444, "NA")</f>
        <v>0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408.32</v>
      </c>
      <c r="C294" s="8">
        <f>IFERROR(B294/B444, "NA")</f>
        <v>5.1058821558096854E-3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-408.32</v>
      </c>
      <c r="I294" s="8">
        <f>IFERROR(H294/H444, "NA")</f>
        <v>1.8679292756009973E-2</v>
      </c>
      <c r="J294" s="9"/>
      <c r="K294" s="7">
        <v>385.83</v>
      </c>
      <c r="L294" s="8">
        <f>IFERROR(K294/K444, "NA")</f>
        <v>4.2815263064797382E-3</v>
      </c>
      <c r="M294" s="9"/>
      <c r="N294" s="10">
        <f t="shared" si="73"/>
        <v>-22.490000000000009</v>
      </c>
      <c r="O294" s="8">
        <f>IFERROR(N294/N444, "NA")</f>
        <v>2.2169539309284296E-3</v>
      </c>
      <c r="P294" s="9"/>
      <c r="Q294" s="7">
        <v>1472.28</v>
      </c>
      <c r="R294" s="8">
        <f>IFERROR(Q294/Q444, "NA")</f>
        <v>4.5272620027885339E-3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-1472.28</v>
      </c>
      <c r="X294" s="8">
        <f>IFERROR(W294/W444, "NA")</f>
        <v>0.91341005676704912</v>
      </c>
      <c r="Y294" s="9"/>
      <c r="Z294" s="7">
        <v>1543.32</v>
      </c>
      <c r="AA294" s="8">
        <f>IFERROR(Z294/Z444, "NA")</f>
        <v>5.1526975606384813E-3</v>
      </c>
      <c r="AB294" s="9"/>
      <c r="AC294" s="10">
        <f t="shared" si="75"/>
        <v>71.039999999999964</v>
      </c>
      <c r="AD294" s="8">
        <f>IFERROR(AC294/AC444, "NA")</f>
        <v>2.7656787981755258E-3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2182.58</v>
      </c>
      <c r="C295" s="15">
        <f>IFERROR(B295/B444, "NA")</f>
        <v>2.7292310628005249E-2</v>
      </c>
      <c r="D295" s="2"/>
      <c r="E295" s="14">
        <f>IFERROR(E286+E287+E288+E289+E290+E291+E292+E293+E294, "NA")</f>
        <v>2877.45</v>
      </c>
      <c r="F295" s="15">
        <f>IFERROR(E295/E444, "NA")</f>
        <v>2.825738699230217E-2</v>
      </c>
      <c r="G295" s="2"/>
      <c r="H295" s="14">
        <f t="shared" si="72"/>
        <v>694.86999999999989</v>
      </c>
      <c r="I295" s="15">
        <f>IFERROR(H295/H444, "NA")</f>
        <v>-3.1788009789793903E-2</v>
      </c>
      <c r="J295" s="2"/>
      <c r="K295" s="14">
        <f>IFERROR(K286+K287+K288+K289+K290+K291+K292+K293+K294, "NA")</f>
        <v>7108.4</v>
      </c>
      <c r="L295" s="15">
        <f>IFERROR(K295/K444, "NA")</f>
        <v>7.8881376764327743E-2</v>
      </c>
      <c r="M295" s="2"/>
      <c r="N295" s="14">
        <f t="shared" si="73"/>
        <v>4925.82</v>
      </c>
      <c r="O295" s="15">
        <f>IFERROR(N295/N444, "NA")</f>
        <v>-0.48556318417278227</v>
      </c>
      <c r="P295" s="2"/>
      <c r="Q295" s="14">
        <f>IFERROR(Q286+Q287+Q288+Q289+Q290+Q291+Q292+Q293+Q294, "NA")</f>
        <v>12342.95</v>
      </c>
      <c r="R295" s="15">
        <f>IFERROR(Q295/Q444, "NA")</f>
        <v>3.7954579656939394E-2</v>
      </c>
      <c r="S295" s="2"/>
      <c r="T295" s="14">
        <f>IFERROR(T286+T287+T288+T289+T290+T291+T292+T293+T294, "NA")</f>
        <v>10302.220000000001</v>
      </c>
      <c r="U295" s="15">
        <f>IFERROR(T295/T444, "NA")</f>
        <v>3.1523091211563922E-2</v>
      </c>
      <c r="V295" s="2"/>
      <c r="W295" s="14">
        <f t="shared" si="74"/>
        <v>-2040.7299999999996</v>
      </c>
      <c r="X295" s="15">
        <f>IFERROR(W295/W444, "NA")</f>
        <v>1.2660793498154017</v>
      </c>
      <c r="Y295" s="2"/>
      <c r="Z295" s="14">
        <f>IFERROR(Z286+Z287+Z288+Z289+Z290+Z291+Z292+Z293+Z294, "NA")</f>
        <v>16831.59</v>
      </c>
      <c r="AA295" s="15">
        <f>IFERROR(Z295/Z444, "NA")</f>
        <v>5.6195793960207248E-2</v>
      </c>
      <c r="AB295" s="2"/>
      <c r="AC295" s="14">
        <f t="shared" si="75"/>
        <v>4488.6399999999994</v>
      </c>
      <c r="AD295" s="15">
        <f>IFERROR(AC295/AC444, "NA")</f>
        <v>0.17474854280183835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1323.79</v>
      </c>
      <c r="F297" s="8">
        <f>IFERROR(E297/E444, "NA")</f>
        <v>1.2999998723362593E-2</v>
      </c>
      <c r="G297" s="9"/>
      <c r="H297" s="10">
        <f t="shared" ref="H297:H325" si="76">IFERROR(-(B297-E297), "NA")</f>
        <v>1323.79</v>
      </c>
      <c r="I297" s="8">
        <f>IFERROR(H297/H444, "NA")</f>
        <v>-6.0559024680344929E-2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4248.59</v>
      </c>
      <c r="U297" s="8">
        <f>IFERROR(T297/T444, "NA")</f>
        <v>1.2999983507490459E-2</v>
      </c>
      <c r="V297" s="9"/>
      <c r="W297" s="10">
        <f t="shared" ref="W297:W325" si="78">IFERROR(-(Q297-T297), "NA")</f>
        <v>4248.59</v>
      </c>
      <c r="X297" s="8">
        <f>IFERROR(W297/W444, "NA")</f>
        <v>-2.63584700809623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705.01</v>
      </c>
      <c r="C299" s="8">
        <f>IFERROR(B299/B444, "NA")</f>
        <v>8.8158747518303944E-3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-705.01</v>
      </c>
      <c r="I299" s="8">
        <f>IFERROR(H299/H444, "NA")</f>
        <v>3.2251881333058854E-2</v>
      </c>
      <c r="J299" s="9"/>
      <c r="K299" s="7">
        <v>500.77</v>
      </c>
      <c r="L299" s="8">
        <f>IFERROR(K299/K444, "NA")</f>
        <v>5.5570067866569694E-3</v>
      </c>
      <c r="M299" s="9"/>
      <c r="N299" s="10">
        <f t="shared" si="77"/>
        <v>-204.24</v>
      </c>
      <c r="O299" s="8">
        <f>IFERROR(N299/N444, "NA")</f>
        <v>2.0132977805816913E-2</v>
      </c>
      <c r="P299" s="9"/>
      <c r="Q299" s="7">
        <v>2254.06</v>
      </c>
      <c r="R299" s="8">
        <f>IFERROR(Q299/Q444, "NA")</f>
        <v>6.9312360352687822E-3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-2254.06</v>
      </c>
      <c r="X299" s="8">
        <f>IFERROR(W299/W444, "NA")</f>
        <v>1.3984303750348674</v>
      </c>
      <c r="Y299" s="9"/>
      <c r="Z299" s="7">
        <v>2003.08</v>
      </c>
      <c r="AA299" s="8">
        <f>IFERROR(Z299/Z444, "NA")</f>
        <v>6.6877027640176558E-3</v>
      </c>
      <c r="AB299" s="9"/>
      <c r="AC299" s="10">
        <f t="shared" si="79"/>
        <v>-250.98000000000002</v>
      </c>
      <c r="AD299" s="8">
        <f>IFERROR(AC299/AC444, "NA")</f>
        <v>-9.7709750107839791E-3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43.33</v>
      </c>
      <c r="L305" s="8">
        <f>IFERROR(K305/K444, "NA")</f>
        <v>4.8082973034695864E-4</v>
      </c>
      <c r="M305" s="9"/>
      <c r="N305" s="10">
        <f t="shared" si="77"/>
        <v>43.33</v>
      </c>
      <c r="O305" s="8">
        <f>IFERROR(N305/N444, "NA")</f>
        <v>-4.2712589518509921E-3</v>
      </c>
      <c r="P305" s="9"/>
      <c r="Q305" s="7">
        <v>-57</v>
      </c>
      <c r="R305" s="8">
        <f>IFERROR(Q305/Q444, "NA")</f>
        <v>-1.7527503882342111E-4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57</v>
      </c>
      <c r="X305" s="8">
        <f>IFERROR(W305/W444, "NA")</f>
        <v>-3.5363092099139973E-2</v>
      </c>
      <c r="Y305" s="9"/>
      <c r="Z305" s="7">
        <v>218.32</v>
      </c>
      <c r="AA305" s="8">
        <f>IFERROR(Z305/Z444, "NA")</f>
        <v>7.2890711676035637E-4</v>
      </c>
      <c r="AB305" s="9"/>
      <c r="AC305" s="10">
        <f t="shared" si="79"/>
        <v>275.32</v>
      </c>
      <c r="AD305" s="8">
        <f>IFERROR(AC305/AC444, "NA")</f>
        <v>1.0718562594505718E-2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174.49</v>
      </c>
      <c r="C310" s="8">
        <f>IFERROR(B310/B444, "NA")</f>
        <v>2.1819293136932606E-3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-174.49</v>
      </c>
      <c r="I310" s="8">
        <f>IFERROR(H310/H444, "NA")</f>
        <v>7.9823417735995789E-3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-174.49</v>
      </c>
      <c r="O310" s="8">
        <f>IFERROR(N310/N444, "NA")</f>
        <v>1.7200368670862675E-2</v>
      </c>
      <c r="P310" s="9"/>
      <c r="Q310" s="7">
        <v>243.47</v>
      </c>
      <c r="R310" s="8">
        <f>IFERROR(Q310/Q444, "NA")</f>
        <v>7.486704158304971E-4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-243.47</v>
      </c>
      <c r="X310" s="8">
        <f>IFERROR(W310/W444, "NA")</f>
        <v>0.15105003567329139</v>
      </c>
      <c r="Y310" s="9"/>
      <c r="Z310" s="7">
        <v>0</v>
      </c>
      <c r="AA310" s="8">
        <f>IFERROR(Z310/Z444, "NA")</f>
        <v>0</v>
      </c>
      <c r="AB310" s="9"/>
      <c r="AC310" s="10">
        <f t="shared" si="79"/>
        <v>-243.47</v>
      </c>
      <c r="AD310" s="8">
        <f>IFERROR(AC310/AC444, "NA")</f>
        <v>-9.4786010274746004E-3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26.73</v>
      </c>
      <c r="R311" s="8">
        <f>IFERROR(Q311/Q444, "NA")</f>
        <v>8.2194768206141162E-5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1.6583428979123009E-2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-1.0406333653608087E-3</v>
      </c>
    </row>
    <row r="312" spans="1:30" ht="16.5" customHeight="1" x14ac:dyDescent="0.45">
      <c r="A312" s="6" t="s">
        <v>284</v>
      </c>
      <c r="B312" s="7">
        <v>40</v>
      </c>
      <c r="C312" s="8">
        <f>IFERROR(B312/B444, "NA")</f>
        <v>5.0018438046724981E-4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-40</v>
      </c>
      <c r="I312" s="8">
        <f>IFERROR(H312/H444, "NA")</f>
        <v>1.8298680207690021E-3</v>
      </c>
      <c r="J312" s="9"/>
      <c r="K312" s="7">
        <v>52.66</v>
      </c>
      <c r="L312" s="8">
        <f>IFERROR(K312/K444, "NA")</f>
        <v>5.843640341581085E-4</v>
      </c>
      <c r="M312" s="9"/>
      <c r="N312" s="10">
        <f t="shared" si="77"/>
        <v>12.659999999999997</v>
      </c>
      <c r="O312" s="8">
        <f>IFERROR(N312/N444, "NA")</f>
        <v>-1.2479607276813652E-3</v>
      </c>
      <c r="P312" s="9"/>
      <c r="Q312" s="7">
        <v>193.49</v>
      </c>
      <c r="R312" s="8">
        <f>IFERROR(Q312/Q444, "NA")</f>
        <v>5.9498188178848681E-4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-193.49</v>
      </c>
      <c r="X312" s="8">
        <f>IFERROR(W312/W444, "NA")</f>
        <v>0.12004218754846656</v>
      </c>
      <c r="Y312" s="9"/>
      <c r="Z312" s="7">
        <v>98.78</v>
      </c>
      <c r="AA312" s="8">
        <f>IFERROR(Z312/Z444, "NA")</f>
        <v>3.2979775097832542E-4</v>
      </c>
      <c r="AB312" s="9"/>
      <c r="AC312" s="10">
        <f t="shared" si="79"/>
        <v>-94.710000000000008</v>
      </c>
      <c r="AD312" s="8">
        <f>IFERROR(AC312/AC444, "NA")</f>
        <v>-3.687182418006816E-3</v>
      </c>
    </row>
    <row r="313" spans="1:30" ht="16.5" customHeight="1" x14ac:dyDescent="0.45">
      <c r="A313" s="6" t="s">
        <v>285</v>
      </c>
      <c r="B313" s="7">
        <v>55</v>
      </c>
      <c r="C313" s="8">
        <f>IFERROR(B313/B444, "NA")</f>
        <v>6.877535231424684E-4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-55</v>
      </c>
      <c r="I313" s="8">
        <f>IFERROR(H313/H444, "NA")</f>
        <v>2.5160685285573778E-3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-55</v>
      </c>
      <c r="O313" s="8">
        <f>IFERROR(N313/N444, "NA")</f>
        <v>5.4216303335288393E-3</v>
      </c>
      <c r="P313" s="9"/>
      <c r="Q313" s="7">
        <v>75.05</v>
      </c>
      <c r="R313" s="8">
        <f>IFERROR(Q313/Q444, "NA")</f>
        <v>2.3077880111750445E-4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-75.05</v>
      </c>
      <c r="X313" s="8">
        <f>IFERROR(W313/W444, "NA")</f>
        <v>4.6561404597200963E-2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-75.05</v>
      </c>
      <c r="AD313" s="8">
        <f>IFERROR(AC313/AC444, "NA")</f>
        <v>-2.921793268624343E-3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414.57</v>
      </c>
      <c r="C318" s="8">
        <f>IFERROR(B318/B444, "NA")</f>
        <v>5.1840359652576933E-3</v>
      </c>
      <c r="D318" s="9"/>
      <c r="E318" s="7">
        <v>915</v>
      </c>
      <c r="F318" s="8">
        <f>IFERROR(E318/E444, "NA")</f>
        <v>8.9855632931785043E-3</v>
      </c>
      <c r="G318" s="9"/>
      <c r="H318" s="10">
        <f t="shared" si="76"/>
        <v>500.43</v>
      </c>
      <c r="I318" s="8">
        <f>IFERROR(H318/H444, "NA")</f>
        <v>-2.2893021340835793E-2</v>
      </c>
      <c r="J318" s="9"/>
      <c r="K318" s="7">
        <v>414.57</v>
      </c>
      <c r="L318" s="8">
        <f>IFERROR(K318/K444, "NA")</f>
        <v>4.6004519111455958E-3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1658.28</v>
      </c>
      <c r="R318" s="8">
        <f>IFERROR(Q318/Q444, "NA")</f>
        <v>5.0992121294754864E-3</v>
      </c>
      <c r="S318" s="9"/>
      <c r="T318" s="7">
        <v>3660</v>
      </c>
      <c r="U318" s="8">
        <f>IFERROR(T318/T444, "NA")</f>
        <v>1.1198995346083072E-2</v>
      </c>
      <c r="V318" s="9"/>
      <c r="W318" s="10">
        <f t="shared" si="78"/>
        <v>2001.72</v>
      </c>
      <c r="X318" s="8">
        <f>IFERROR(W318/W444, "NA")</f>
        <v>-1.2418773459068504</v>
      </c>
      <c r="Y318" s="9"/>
      <c r="Z318" s="7">
        <v>1658.28</v>
      </c>
      <c r="AA318" s="8">
        <f>IFERROR(Z318/Z444, "NA")</f>
        <v>5.5365156356786543E-3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149.58000000000001</v>
      </c>
      <c r="C319" s="8">
        <f>IFERROR(B319/B444, "NA")</f>
        <v>1.8704394907572807E-3</v>
      </c>
      <c r="D319" s="9"/>
      <c r="E319" s="7">
        <v>149</v>
      </c>
      <c r="F319" s="8">
        <f>IFERROR(E319/E444, "NA")</f>
        <v>1.4632228750640407E-3</v>
      </c>
      <c r="G319" s="9"/>
      <c r="H319" s="10">
        <f t="shared" si="76"/>
        <v>-0.58000000000001251</v>
      </c>
      <c r="I319" s="8">
        <f>IFERROR(H319/H444, "NA")</f>
        <v>2.6533086301151103E-5</v>
      </c>
      <c r="J319" s="9"/>
      <c r="K319" s="7">
        <v>149.54</v>
      </c>
      <c r="L319" s="8">
        <f>IFERROR(K319/K444, "NA")</f>
        <v>1.6594340612989659E-3</v>
      </c>
      <c r="M319" s="9"/>
      <c r="N319" s="10">
        <f t="shared" si="77"/>
        <v>-4.0000000000020464E-2</v>
      </c>
      <c r="O319" s="8">
        <f>IFERROR(N319/N444, "NA")</f>
        <v>3.9430038789320819E-6</v>
      </c>
      <c r="P319" s="9"/>
      <c r="Q319" s="7">
        <v>598.28</v>
      </c>
      <c r="R319" s="8">
        <f>IFERROR(Q319/Q444, "NA")</f>
        <v>1.8397114074960768E-3</v>
      </c>
      <c r="S319" s="9"/>
      <c r="T319" s="7">
        <v>596</v>
      </c>
      <c r="U319" s="8">
        <f>IFERROR(T319/T444, "NA")</f>
        <v>1.8236615372310139E-3</v>
      </c>
      <c r="V319" s="9"/>
      <c r="W319" s="10">
        <f t="shared" si="78"/>
        <v>-2.2799999999999727</v>
      </c>
      <c r="X319" s="8">
        <f>IFERROR(W319/W444, "NA")</f>
        <v>1.4145236839655821E-3</v>
      </c>
      <c r="Y319" s="9"/>
      <c r="Z319" s="7">
        <v>598.15</v>
      </c>
      <c r="AA319" s="8">
        <f>IFERROR(Z319/Z444, "NA")</f>
        <v>1.9970492483061889E-3</v>
      </c>
      <c r="AB319" s="9"/>
      <c r="AC319" s="10">
        <f t="shared" si="79"/>
        <v>-0.12999999999999545</v>
      </c>
      <c r="AD319" s="8">
        <f>IFERROR(AC319/AC444, "NA")</f>
        <v>-5.061067620534994E-6</v>
      </c>
    </row>
    <row r="320" spans="1:30" ht="16.5" customHeight="1" x14ac:dyDescent="0.45">
      <c r="A320" s="6" t="s">
        <v>292</v>
      </c>
      <c r="B320" s="7">
        <v>1229.44</v>
      </c>
      <c r="C320" s="8">
        <f>IFERROR(B320/B444, "NA")</f>
        <v>1.537366711804139E-2</v>
      </c>
      <c r="D320" s="9"/>
      <c r="E320" s="7">
        <v>800</v>
      </c>
      <c r="F320" s="8">
        <f>IFERROR(E320/E444, "NA")</f>
        <v>7.8562302016861249E-3</v>
      </c>
      <c r="G320" s="9"/>
      <c r="H320" s="10">
        <f t="shared" si="76"/>
        <v>-429.44000000000005</v>
      </c>
      <c r="I320" s="8">
        <f>IFERROR(H320/H444, "NA")</f>
        <v>1.9645463070976008E-2</v>
      </c>
      <c r="J320" s="9"/>
      <c r="K320" s="7">
        <v>806.29</v>
      </c>
      <c r="L320" s="8">
        <f>IFERROR(K320/K444, "NA")</f>
        <v>8.9473391018105083E-3</v>
      </c>
      <c r="M320" s="9"/>
      <c r="N320" s="10">
        <f t="shared" si="77"/>
        <v>-423.15000000000009</v>
      </c>
      <c r="O320" s="8">
        <f>IFERROR(N320/N444, "NA")</f>
        <v>4.171205228423143E-2</v>
      </c>
      <c r="P320" s="9"/>
      <c r="Q320" s="7">
        <v>4247.0200000000004</v>
      </c>
      <c r="R320" s="8">
        <f>IFERROR(Q320/Q444, "NA")</f>
        <v>1.3059589392699052E-2</v>
      </c>
      <c r="S320" s="9"/>
      <c r="T320" s="7">
        <v>3200</v>
      </c>
      <c r="U320" s="8">
        <f>IFERROR(T320/T444, "NA")</f>
        <v>9.7914713408376597E-3</v>
      </c>
      <c r="V320" s="9"/>
      <c r="W320" s="10">
        <f t="shared" si="78"/>
        <v>-1047.0200000000004</v>
      </c>
      <c r="X320" s="8">
        <f>IFERROR(W320/W444, "NA")</f>
        <v>0.64957657350248332</v>
      </c>
      <c r="Y320" s="9"/>
      <c r="Z320" s="7">
        <v>2830.16</v>
      </c>
      <c r="AA320" s="8">
        <f>IFERROR(Z320/Z444, "NA")</f>
        <v>9.4490828397329162E-3</v>
      </c>
      <c r="AB320" s="9"/>
      <c r="AC320" s="10">
        <f t="shared" si="79"/>
        <v>-1416.8600000000006</v>
      </c>
      <c r="AD320" s="8">
        <f>IFERROR(AC320/AC444, "NA")</f>
        <v>-5.5160186683318964E-2</v>
      </c>
    </row>
    <row r="321" spans="1:30" ht="16.5" customHeight="1" x14ac:dyDescent="0.45">
      <c r="A321" s="6" t="s">
        <v>293</v>
      </c>
      <c r="B321" s="7">
        <v>1188.47</v>
      </c>
      <c r="C321" s="8">
        <f>IFERROR(B321/B444, "NA")</f>
        <v>1.4861353266347809E-2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-1188.47</v>
      </c>
      <c r="I321" s="8">
        <f>IFERROR(H321/H444, "NA")</f>
        <v>5.4368581166083396E-2</v>
      </c>
      <c r="J321" s="9"/>
      <c r="K321" s="7">
        <v>1805.65</v>
      </c>
      <c r="L321" s="8">
        <f>IFERROR(K321/K444, "NA")</f>
        <v>2.0037161380128916E-2</v>
      </c>
      <c r="M321" s="9"/>
      <c r="N321" s="10">
        <f t="shared" si="77"/>
        <v>617.18000000000006</v>
      </c>
      <c r="O321" s="8">
        <f>IFERROR(N321/N444, "NA")</f>
        <v>-6.083857834995144E-2</v>
      </c>
      <c r="P321" s="9"/>
      <c r="Q321" s="7">
        <v>7828.28</v>
      </c>
      <c r="R321" s="8">
        <f>IFERROR(Q321/Q444, "NA")</f>
        <v>2.4071966331940541E-2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-7828.28</v>
      </c>
      <c r="X321" s="8">
        <f>IFERROR(W321/W444, "NA")</f>
        <v>4.8567050283834288</v>
      </c>
      <c r="Y321" s="9"/>
      <c r="Z321" s="7">
        <v>6616.61</v>
      </c>
      <c r="AA321" s="8">
        <f>IFERROR(Z321/Z444, "NA")</f>
        <v>2.2090940444429011E-2</v>
      </c>
      <c r="AB321" s="9"/>
      <c r="AC321" s="10">
        <f t="shared" si="79"/>
        <v>-1211.67</v>
      </c>
      <c r="AD321" s="8">
        <f>IFERROR(AC321/AC444, "NA")</f>
        <v>-4.7171875413645009E-2</v>
      </c>
    </row>
    <row r="322" spans="1:30" ht="16.5" customHeight="1" x14ac:dyDescent="0.45">
      <c r="A322" s="6" t="s">
        <v>294</v>
      </c>
      <c r="B322" s="7">
        <v>162.27000000000001</v>
      </c>
      <c r="C322" s="8">
        <f>IFERROR(B322/B444, "NA")</f>
        <v>2.0291229854605157E-3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-162.27000000000001</v>
      </c>
      <c r="I322" s="8">
        <f>IFERROR(H322/H444, "NA")</f>
        <v>7.4233170932546493E-3</v>
      </c>
      <c r="J322" s="9"/>
      <c r="K322" s="7">
        <v>47.78</v>
      </c>
      <c r="L322" s="8">
        <f>IFERROR(K322/K444, "NA")</f>
        <v>5.3021104352591014E-4</v>
      </c>
      <c r="M322" s="9"/>
      <c r="N322" s="10">
        <f t="shared" si="77"/>
        <v>-114.49000000000001</v>
      </c>
      <c r="O322" s="8">
        <f>IFERROR(N322/N444, "NA")</f>
        <v>1.1285862852467578E-2</v>
      </c>
      <c r="P322" s="9"/>
      <c r="Q322" s="7">
        <v>1429.2</v>
      </c>
      <c r="R322" s="8">
        <f>IFERROR(Q322/Q444, "NA")</f>
        <v>4.3947909734462012E-3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-1429.2</v>
      </c>
      <c r="X322" s="8">
        <f>IFERROR(W322/W444, "NA")</f>
        <v>0.88668300400159383</v>
      </c>
      <c r="Y322" s="9"/>
      <c r="Z322" s="7">
        <v>577.61</v>
      </c>
      <c r="AA322" s="8">
        <f>IFERROR(Z322/Z444, "NA")</f>
        <v>1.9284721496516555E-3</v>
      </c>
      <c r="AB322" s="9"/>
      <c r="AC322" s="10">
        <f t="shared" si="79"/>
        <v>-851.59</v>
      </c>
      <c r="AD322" s="8">
        <f>IFERROR(AC322/AC444, "NA")</f>
        <v>-3.3153496730550361E-2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4118.8300000000008</v>
      </c>
      <c r="C324" s="15">
        <f>IFERROR(B324/B444, "NA")</f>
        <v>5.1504360794998073E-2</v>
      </c>
      <c r="D324" s="2"/>
      <c r="E324" s="14">
        <f>IFERROR(E297+E298+E299+E300+E301+E302+E303+E304+E305+E306+E307+E308+E309+E310+E311+E312+E313+E314+E315+E316+E317+E318+E319+E320+E321+E322+E323, "NA")</f>
        <v>3187.79</v>
      </c>
      <c r="F324" s="15">
        <f>IFERROR(E324/E444, "NA")</f>
        <v>3.1305015093291262E-2</v>
      </c>
      <c r="G324" s="2"/>
      <c r="H324" s="14">
        <f t="shared" si="76"/>
        <v>-931.04000000000087</v>
      </c>
      <c r="I324" s="15">
        <f>IFERROR(H324/H444, "NA")</f>
        <v>4.2592008051419335E-2</v>
      </c>
      <c r="J324" s="2"/>
      <c r="K324" s="14">
        <f>IFERROR(K297+K298+K299+K300+K301+K302+K303+K304+K305+K306+K307+K308+K309+K310+K311+K312+K313+K314+K315+K316+K317+K318+K319+K320+K321+K322+K323, "NA")</f>
        <v>3820.59</v>
      </c>
      <c r="L324" s="15">
        <f>IFERROR(K324/K444, "NA")</f>
        <v>4.2396798049071933E-2</v>
      </c>
      <c r="M324" s="2"/>
      <c r="N324" s="14">
        <f t="shared" si="77"/>
        <v>-298.24000000000069</v>
      </c>
      <c r="O324" s="15">
        <f>IFERROR(N324/N444, "NA")</f>
        <v>2.9399036921302631E-2</v>
      </c>
      <c r="P324" s="2"/>
      <c r="Q324" s="14">
        <f>IFERROR(Q297+Q298+Q299+Q300+Q301+Q302+Q303+Q304+Q305+Q306+Q307+Q308+Q309+Q310+Q311+Q312+Q313+Q314+Q315+Q316+Q317+Q318+Q319+Q320+Q321+Q322+Q323, "NA")</f>
        <v>18496.86</v>
      </c>
      <c r="R324" s="15">
        <f>IFERROR(Q324/Q444, "NA")</f>
        <v>5.6877857098445353E-2</v>
      </c>
      <c r="S324" s="2"/>
      <c r="T324" s="14">
        <f>IFERROR(T297+T298+T299+T300+T301+T302+T303+T304+T305+T306+T307+T308+T309+T310+T311+T312+T313+T314+T315+T316+T317+T318+T319+T320+T321+T322+T323, "NA")</f>
        <v>11704.59</v>
      </c>
      <c r="U324" s="15">
        <f>IFERROR(T324/T444, "NA")</f>
        <v>3.5814111731642208E-2</v>
      </c>
      <c r="V324" s="2"/>
      <c r="W324" s="14">
        <f t="shared" si="78"/>
        <v>-6792.27</v>
      </c>
      <c r="X324" s="15">
        <f>IFERROR(W324/W444, "NA")</f>
        <v>4.2139591153022016</v>
      </c>
      <c r="Y324" s="2"/>
      <c r="Z324" s="14">
        <f>IFERROR(Z297+Z298+Z299+Z300+Z301+Z302+Z303+Z304+Z305+Z306+Z307+Z308+Z309+Z310+Z311+Z312+Z313+Z314+Z315+Z316+Z317+Z318+Z319+Z320+Z321+Z322+Z323, "NA")</f>
        <v>14600.99</v>
      </c>
      <c r="AA324" s="15">
        <f>IFERROR(Z324/Z444, "NA")</f>
        <v>4.8748467949554765E-2</v>
      </c>
      <c r="AB324" s="2"/>
      <c r="AC324" s="14">
        <f t="shared" si="79"/>
        <v>-3895.8700000000008</v>
      </c>
      <c r="AD324" s="15">
        <f>IFERROR(AC324/AC444, "NA")</f>
        <v>-0.1516712423908797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20343.450000000004</v>
      </c>
      <c r="C325" s="15">
        <f>IFERROR(B325/B444, "NA")</f>
        <v>0.25438689837041184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21955.430000000004</v>
      </c>
      <c r="F325" s="15">
        <f>IFERROR(E325/E444, "NA")</f>
        <v>0.21560864032125701</v>
      </c>
      <c r="G325" s="2"/>
      <c r="H325" s="14">
        <f t="shared" si="76"/>
        <v>1611.9799999999996</v>
      </c>
      <c r="I325" s="15">
        <f>IFERROR(H325/H444, "NA")</f>
        <v>-7.3742766302980378E-2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23866.040000000008</v>
      </c>
      <c r="L325" s="15">
        <f>IFERROR(K325/K444, "NA")</f>
        <v>0.26483963945649047</v>
      </c>
      <c r="M325" s="2"/>
      <c r="N325" s="14">
        <f t="shared" si="77"/>
        <v>3522.5900000000038</v>
      </c>
      <c r="O325" s="15">
        <f>IFERROR(N325/N444, "NA")</f>
        <v>-0.34723965084700681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90948.040000000023</v>
      </c>
      <c r="R325" s="15">
        <f>IFERROR(Q325/Q444, "NA")</f>
        <v>0.27966528494586068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74034.73</v>
      </c>
      <c r="U325" s="15">
        <f>IFERROR(T325/T444, "NA")</f>
        <v>0.22653404281926687</v>
      </c>
      <c r="V325" s="2"/>
      <c r="W325" s="14">
        <f t="shared" si="78"/>
        <v>-16913.310000000027</v>
      </c>
      <c r="X325" s="15">
        <f>IFERROR(W325/W444, "NA")</f>
        <v>10.493104197040457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76000.89</v>
      </c>
      <c r="AA325" s="15">
        <f>IFERROR(Z325/Z444, "NA")</f>
        <v>0.25374491389300569</v>
      </c>
      <c r="AB325" s="2"/>
      <c r="AC325" s="14">
        <f t="shared" si="79"/>
        <v>-14947.150000000023</v>
      </c>
      <c r="AD325" s="15">
        <f>IFERROR(AC325/AC444, "NA")</f>
        <v>-0.58191182218678772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4597.76</v>
      </c>
      <c r="C329" s="8">
        <f>IFERROR(B329/B444, "NA")</f>
        <v>5.7493193428427562E-2</v>
      </c>
      <c r="D329" s="9"/>
      <c r="E329" s="7">
        <v>4887.84</v>
      </c>
      <c r="F329" s="8">
        <f>IFERROR(E329/E444, "NA")</f>
        <v>4.7999995286261886E-2</v>
      </c>
      <c r="G329" s="9"/>
      <c r="H329" s="10">
        <f t="shared" si="80"/>
        <v>290.07999999999993</v>
      </c>
      <c r="I329" s="8">
        <f>IFERROR(H329/H444, "NA")</f>
        <v>-1.3270202886616799E-2</v>
      </c>
      <c r="J329" s="9"/>
      <c r="K329" s="7">
        <v>6377.92</v>
      </c>
      <c r="L329" s="8">
        <f>IFERROR(K329/K444, "NA")</f>
        <v>7.0775295494448984E-2</v>
      </c>
      <c r="M329" s="9"/>
      <c r="N329" s="10">
        <f t="shared" si="81"/>
        <v>1780.1599999999999</v>
      </c>
      <c r="O329" s="8">
        <f>IFERROR(N329/N444, "NA")</f>
        <v>-0.17547944462790357</v>
      </c>
      <c r="P329" s="9"/>
      <c r="Q329" s="7">
        <v>18391.04</v>
      </c>
      <c r="R329" s="8">
        <f>IFERROR(Q329/Q444, "NA")</f>
        <v>5.6552460526370009E-2</v>
      </c>
      <c r="S329" s="9"/>
      <c r="T329" s="7">
        <v>18732.3</v>
      </c>
      <c r="U329" s="8">
        <f>IFERROR(T329/T444, "NA")</f>
        <v>5.7317743311866648E-2</v>
      </c>
      <c r="V329" s="9"/>
      <c r="W329" s="10">
        <f t="shared" si="82"/>
        <v>341.2599999999984</v>
      </c>
      <c r="X329" s="8">
        <f>IFERROR(W329/W444, "NA")</f>
        <v>-0.21171945280267457</v>
      </c>
      <c r="Y329" s="9"/>
      <c r="Z329" s="7">
        <v>25511.68</v>
      </c>
      <c r="AA329" s="8">
        <f>IFERROR(Z329/Z444, "NA")</f>
        <v>8.5176095238699373E-2</v>
      </c>
      <c r="AB329" s="9"/>
      <c r="AC329" s="10">
        <f t="shared" si="83"/>
        <v>7120.6399999999994</v>
      </c>
      <c r="AD329" s="8">
        <f>IFERROR(AC329/AC444, "NA")</f>
        <v>0.27721569647298122</v>
      </c>
    </row>
    <row r="330" spans="1:30" ht="16.5" customHeight="1" x14ac:dyDescent="0.45">
      <c r="A330" s="6" t="s">
        <v>301</v>
      </c>
      <c r="B330" s="7">
        <v>1686.02</v>
      </c>
      <c r="C330" s="8">
        <f>IFERROR(B330/B444, "NA")</f>
        <v>2.1083021728884811E-2</v>
      </c>
      <c r="D330" s="9"/>
      <c r="E330" s="7">
        <v>1686</v>
      </c>
      <c r="F330" s="8">
        <f>IFERROR(E330/E444, "NA")</f>
        <v>1.6557005150053507E-2</v>
      </c>
      <c r="G330" s="9"/>
      <c r="H330" s="10">
        <f t="shared" si="80"/>
        <v>-1.999999999998181E-2</v>
      </c>
      <c r="I330" s="8">
        <f>IFERROR(H330/H444, "NA")</f>
        <v>9.1493401038366891E-7</v>
      </c>
      <c r="J330" s="9"/>
      <c r="K330" s="7">
        <v>1636.91</v>
      </c>
      <c r="L330" s="8">
        <f>IFERROR(K330/K444, "NA")</f>
        <v>1.8164666372080317E-2</v>
      </c>
      <c r="M330" s="9"/>
      <c r="N330" s="10">
        <f t="shared" si="81"/>
        <v>-49.1099999999999</v>
      </c>
      <c r="O330" s="8">
        <f>IFERROR(N330/N444, "NA")</f>
        <v>4.8410230123563771E-3</v>
      </c>
      <c r="P330" s="9"/>
      <c r="Q330" s="7">
        <v>7995.19</v>
      </c>
      <c r="R330" s="8">
        <f>IFERROR(Q330/Q444, "NA")</f>
        <v>2.4585214695625055E-2</v>
      </c>
      <c r="S330" s="9"/>
      <c r="T330" s="7">
        <v>6744</v>
      </c>
      <c r="U330" s="8">
        <f>IFERROR(T330/T444, "NA")</f>
        <v>2.0635525850815368E-2</v>
      </c>
      <c r="V330" s="9"/>
      <c r="W330" s="10">
        <f t="shared" si="82"/>
        <v>-1251.1899999999996</v>
      </c>
      <c r="X330" s="8">
        <f>IFERROR(W330/W444, "NA")</f>
        <v>0.776244687781104</v>
      </c>
      <c r="Y330" s="9"/>
      <c r="Z330" s="7">
        <v>5046.46</v>
      </c>
      <c r="AA330" s="8">
        <f>IFERROR(Z330/Z444, "NA")</f>
        <v>1.6848665300689208E-2</v>
      </c>
      <c r="AB330" s="9"/>
      <c r="AC330" s="10">
        <f t="shared" si="83"/>
        <v>-2948.7299999999996</v>
      </c>
      <c r="AD330" s="8">
        <f>IFERROR(AC330/AC444, "NA")</f>
        <v>-0.11479786095923594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876.21</v>
      </c>
      <c r="C333" s="8">
        <f>IFERROR(B333/B444, "NA")</f>
        <v>1.0956663900230224E-2</v>
      </c>
      <c r="D333" s="9"/>
      <c r="E333" s="7">
        <v>1686</v>
      </c>
      <c r="F333" s="8">
        <f>IFERROR(E333/E444, "NA")</f>
        <v>1.6557005150053507E-2</v>
      </c>
      <c r="G333" s="9"/>
      <c r="H333" s="10">
        <f t="shared" si="80"/>
        <v>809.79</v>
      </c>
      <c r="I333" s="8">
        <f>IFERROR(H333/H444, "NA")</f>
        <v>-3.7045220613463249E-2</v>
      </c>
      <c r="J333" s="9"/>
      <c r="K333" s="7">
        <v>1853.78</v>
      </c>
      <c r="L333" s="8">
        <f>IFERROR(K333/K444, "NA")</f>
        <v>2.0571256347163284E-2</v>
      </c>
      <c r="M333" s="9"/>
      <c r="N333" s="10">
        <f t="shared" si="81"/>
        <v>977.56999999999994</v>
      </c>
      <c r="O333" s="8">
        <f>IFERROR(N333/N444, "NA")</f>
        <v>-9.6364057548141577E-2</v>
      </c>
      <c r="P333" s="9"/>
      <c r="Q333" s="7">
        <v>6897.14</v>
      </c>
      <c r="R333" s="8">
        <f>IFERROR(Q333/Q444, "NA")</f>
        <v>2.1208710197729311E-2</v>
      </c>
      <c r="S333" s="9"/>
      <c r="T333" s="7">
        <v>6744</v>
      </c>
      <c r="U333" s="8">
        <f>IFERROR(T333/T444, "NA")</f>
        <v>2.0635525850815368E-2</v>
      </c>
      <c r="V333" s="9"/>
      <c r="W333" s="10">
        <f t="shared" si="82"/>
        <v>-153.14000000000033</v>
      </c>
      <c r="X333" s="8">
        <f>IFERROR(W333/W444, "NA")</f>
        <v>9.5008840773022935E-2</v>
      </c>
      <c r="Y333" s="9"/>
      <c r="Z333" s="7">
        <v>7625.94</v>
      </c>
      <c r="AA333" s="8">
        <f>IFERROR(Z333/Z444, "NA")</f>
        <v>2.5460800375538072E-2</v>
      </c>
      <c r="AB333" s="9"/>
      <c r="AC333" s="10">
        <f t="shared" si="83"/>
        <v>728.79999999999927</v>
      </c>
      <c r="AD333" s="8">
        <f>IFERROR(AC333/AC444, "NA")</f>
        <v>2.8373123706507915E-2</v>
      </c>
    </row>
    <row r="334" spans="1:30" ht="16.5" customHeight="1" x14ac:dyDescent="0.45">
      <c r="A334" s="6" t="s">
        <v>305</v>
      </c>
      <c r="B334" s="7">
        <v>-354.03</v>
      </c>
      <c r="C334" s="8">
        <f>IFERROR(B334/B444, "NA")</f>
        <v>-4.427006905420511E-3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354.03</v>
      </c>
      <c r="I334" s="8">
        <f>IFERROR(H334/H444, "NA")</f>
        <v>-1.6195704384821243E-2</v>
      </c>
      <c r="J334" s="9"/>
      <c r="K334" s="7">
        <v>-491.1</v>
      </c>
      <c r="L334" s="8">
        <f>IFERROR(K334/K444, "NA")</f>
        <v>-5.4496995285804621E-3</v>
      </c>
      <c r="M334" s="9"/>
      <c r="N334" s="10">
        <f t="shared" si="81"/>
        <v>-137.07000000000005</v>
      </c>
      <c r="O334" s="8">
        <f>IFERROR(N334/N444, "NA")</f>
        <v>1.3511688542123604E-2</v>
      </c>
      <c r="P334" s="9"/>
      <c r="Q334" s="7">
        <v>-354.03</v>
      </c>
      <c r="R334" s="8">
        <f>IFERROR(Q334/Q444, "NA")</f>
        <v>-1.0886424911343117E-3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354.03</v>
      </c>
      <c r="X334" s="8">
        <f>IFERROR(W334/W444, "NA")</f>
        <v>-0.219642026243132</v>
      </c>
      <c r="Y334" s="9"/>
      <c r="Z334" s="7">
        <v>-491.1</v>
      </c>
      <c r="AA334" s="8">
        <f>IFERROR(Z334/Z444, "NA")</f>
        <v>-1.6396403675385262E-3</v>
      </c>
      <c r="AB334" s="9"/>
      <c r="AC334" s="10">
        <f t="shared" si="83"/>
        <v>-137.07000000000005</v>
      </c>
      <c r="AD334" s="8">
        <f>IFERROR(AC334/AC444, "NA")</f>
        <v>-5.3363118365135085E-3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3149.3</v>
      </c>
      <c r="F337" s="8">
        <f>IFERROR(E337/E444, "NA")</f>
        <v>3.092703221771264E-2</v>
      </c>
      <c r="G337" s="9"/>
      <c r="H337" s="10">
        <f t="shared" ref="H337:H344" si="84">IFERROR(-(B337-E337), "NA")</f>
        <v>3149.3</v>
      </c>
      <c r="I337" s="8">
        <f>IFERROR(H337/H444, "NA")</f>
        <v>-0.14407008394519547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11633.06</v>
      </c>
      <c r="U337" s="8">
        <f>IFERROR(T337/T444, "NA")</f>
        <v>3.5595241748826542E-2</v>
      </c>
      <c r="V337" s="9"/>
      <c r="W337" s="10">
        <f t="shared" ref="W337:W344" si="86">IFERROR(-(Q337-T337), "NA")</f>
        <v>11633.06</v>
      </c>
      <c r="X337" s="8">
        <f>IFERROR(W337/W444, "NA")</f>
        <v>-7.2172100381547581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2154.98</v>
      </c>
      <c r="C338" s="8">
        <f>IFERROR(B338/B444, "NA")</f>
        <v>2.6947183405482848E-2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-2154.98</v>
      </c>
      <c r="I338" s="8">
        <f>IFERROR(H338/H444, "NA")</f>
        <v>9.8583224684919604E-2</v>
      </c>
      <c r="J338" s="9"/>
      <c r="K338" s="7">
        <v>1734.05</v>
      </c>
      <c r="L338" s="8">
        <f>IFERROR(K338/K444, "NA")</f>
        <v>1.9242621599541741E-2</v>
      </c>
      <c r="M338" s="9"/>
      <c r="N338" s="10">
        <f t="shared" si="85"/>
        <v>-420.93000000000006</v>
      </c>
      <c r="O338" s="8">
        <f>IFERROR(N338/N444, "NA")</f>
        <v>4.149321556895081E-2</v>
      </c>
      <c r="P338" s="9"/>
      <c r="Q338" s="7">
        <v>9328.52</v>
      </c>
      <c r="R338" s="8">
        <f>IFERROR(Q338/Q444, "NA")</f>
        <v>2.8685205353772988E-2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-9328.52</v>
      </c>
      <c r="X338" s="8">
        <f>IFERROR(W338/W444, "NA")</f>
        <v>5.7874616124327938</v>
      </c>
      <c r="Y338" s="9"/>
      <c r="Z338" s="7">
        <v>7904.45</v>
      </c>
      <c r="AA338" s="8">
        <f>IFERROR(Z338/Z444, "NA")</f>
        <v>2.639066443329241E-2</v>
      </c>
      <c r="AB338" s="9"/>
      <c r="AC338" s="10">
        <f t="shared" si="87"/>
        <v>-1424.0700000000006</v>
      </c>
      <c r="AD338" s="8">
        <f>IFERROR(AC338/AC444, "NA")</f>
        <v>-5.5440881279811727E-2</v>
      </c>
    </row>
    <row r="339" spans="1:30" ht="16.5" customHeight="1" x14ac:dyDescent="0.45">
      <c r="A339" s="12" t="s">
        <v>309</v>
      </c>
      <c r="B339" s="7">
        <v>377.91</v>
      </c>
      <c r="C339" s="8">
        <f>IFERROR(B339/B444, "NA")</f>
        <v>4.7256169805594593E-3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-377.91</v>
      </c>
      <c r="I339" s="8">
        <f>IFERROR(H339/H444, "NA")</f>
        <v>1.7288135593220341E-2</v>
      </c>
      <c r="J339" s="9"/>
      <c r="K339" s="7">
        <v>257.38</v>
      </c>
      <c r="L339" s="8">
        <f>IFERROR(K339/K444, "NA")</f>
        <v>2.8561263788760725E-3</v>
      </c>
      <c r="M339" s="9"/>
      <c r="N339" s="10">
        <f t="shared" si="85"/>
        <v>-120.53000000000003</v>
      </c>
      <c r="O339" s="8">
        <f>IFERROR(N339/N444, "NA")</f>
        <v>1.188125643818602E-2</v>
      </c>
      <c r="P339" s="9"/>
      <c r="Q339" s="7">
        <v>1280.19</v>
      </c>
      <c r="R339" s="8">
        <f>IFERROR(Q339/Q444, "NA")</f>
        <v>3.9365851219536046E-3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-1280.19</v>
      </c>
      <c r="X339" s="8">
        <f>IFERROR(W339/W444, "NA")</f>
        <v>0.79423643639294739</v>
      </c>
      <c r="Y339" s="9"/>
      <c r="Z339" s="7">
        <v>1136.02</v>
      </c>
      <c r="AA339" s="8">
        <f>IFERROR(Z339/Z444, "NA")</f>
        <v>3.7928410717391905E-3</v>
      </c>
      <c r="AB339" s="9"/>
      <c r="AC339" s="10">
        <f t="shared" si="87"/>
        <v>-144.17000000000007</v>
      </c>
      <c r="AD339" s="8">
        <f>IFERROR(AC339/AC444, "NA")</f>
        <v>-5.6127239911735079E-3</v>
      </c>
    </row>
    <row r="340" spans="1:30" ht="16.5" customHeight="1" x14ac:dyDescent="0.45">
      <c r="A340" s="12" t="s">
        <v>310</v>
      </c>
      <c r="B340" s="7">
        <v>343.26</v>
      </c>
      <c r="C340" s="8">
        <f>IFERROR(B340/B444, "NA")</f>
        <v>4.2923322609797034E-3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-343.26</v>
      </c>
      <c r="I340" s="8">
        <f>IFERROR(H340/H444, "NA")</f>
        <v>1.5703012420229191E-2</v>
      </c>
      <c r="J340" s="9"/>
      <c r="K340" s="7">
        <v>472.38</v>
      </c>
      <c r="L340" s="8">
        <f>IFERROR(K340/K444, "NA")</f>
        <v>5.2419651054995695E-3</v>
      </c>
      <c r="M340" s="9"/>
      <c r="N340" s="10">
        <f t="shared" si="85"/>
        <v>129.12</v>
      </c>
      <c r="O340" s="8">
        <f>IFERROR(N340/N444, "NA")</f>
        <v>-1.2728016521186249E-2</v>
      </c>
      <c r="P340" s="9"/>
      <c r="Q340" s="7">
        <v>1702.66</v>
      </c>
      <c r="R340" s="8">
        <f>IFERROR(Q340/Q444, "NA")</f>
        <v>5.2356806597032663E-3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-1702.66</v>
      </c>
      <c r="X340" s="8">
        <f>IFERROR(W340/W444, "NA")</f>
        <v>1.0563389893600292</v>
      </c>
      <c r="Y340" s="9"/>
      <c r="Z340" s="7">
        <v>1652.17</v>
      </c>
      <c r="AA340" s="8">
        <f>IFERROR(Z340/Z444, "NA")</f>
        <v>5.5161161189902809E-3</v>
      </c>
      <c r="AB340" s="9"/>
      <c r="AC340" s="10">
        <f t="shared" si="87"/>
        <v>-50.490000000000009</v>
      </c>
      <c r="AD340" s="8">
        <f>IFERROR(AC340/AC444, "NA")</f>
        <v>-1.9656408012370835E-3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2876.1499999999996</v>
      </c>
      <c r="C342" s="15">
        <f>IFERROR(B342/B444, "NA")</f>
        <v>3.5965132647022009E-2</v>
      </c>
      <c r="D342" s="2"/>
      <c r="E342" s="14">
        <f>IFERROR(E337+E338+E339+E340+E341, "NA")</f>
        <v>3149.3</v>
      </c>
      <c r="F342" s="15">
        <f>IFERROR(E342/E444, "NA")</f>
        <v>3.092703221771264E-2</v>
      </c>
      <c r="G342" s="2"/>
      <c r="H342" s="14">
        <f t="shared" si="84"/>
        <v>273.15000000000055</v>
      </c>
      <c r="I342" s="15">
        <f>IFERROR(H342/H444, "NA")</f>
        <v>-1.2495711246826347E-2</v>
      </c>
      <c r="J342" s="2"/>
      <c r="K342" s="14">
        <f>IFERROR(K337+K338+K339+K340+K341, "NA")</f>
        <v>2463.81</v>
      </c>
      <c r="L342" s="15">
        <f>IFERROR(K342/K444, "NA")</f>
        <v>2.7340713083917383E-2</v>
      </c>
      <c r="M342" s="2"/>
      <c r="N342" s="14">
        <f t="shared" si="85"/>
        <v>-412.33999999999969</v>
      </c>
      <c r="O342" s="15">
        <f>IFERROR(N342/N444, "NA")</f>
        <v>4.0646455485950542E-2</v>
      </c>
      <c r="P342" s="2"/>
      <c r="Q342" s="14">
        <f>IFERROR(Q337+Q338+Q339+Q340+Q341, "NA")</f>
        <v>12311.37</v>
      </c>
      <c r="R342" s="15">
        <f>IFERROR(Q342/Q444, "NA")</f>
        <v>3.7857471135429858E-2</v>
      </c>
      <c r="S342" s="2"/>
      <c r="T342" s="14">
        <f>IFERROR(T337+T338+T339+T340+T341, "NA")</f>
        <v>11633.06</v>
      </c>
      <c r="U342" s="15">
        <f>IFERROR(T342/T444, "NA")</f>
        <v>3.5595241748826542E-2</v>
      </c>
      <c r="V342" s="2"/>
      <c r="W342" s="14">
        <f t="shared" si="86"/>
        <v>-678.31000000000131</v>
      </c>
      <c r="X342" s="15">
        <f>IFERROR(W342/W444, "NA")</f>
        <v>0.42082700003101198</v>
      </c>
      <c r="Y342" s="2"/>
      <c r="Z342" s="14">
        <f>IFERROR(Z337+Z338+Z339+Z340+Z341, "NA")</f>
        <v>10692.64</v>
      </c>
      <c r="AA342" s="15">
        <f>IFERROR(Z342/Z444, "NA")</f>
        <v>3.5699621624021877E-2</v>
      </c>
      <c r="AB342" s="2"/>
      <c r="AC342" s="14">
        <f t="shared" si="87"/>
        <v>-1618.7300000000014</v>
      </c>
      <c r="AD342" s="15">
        <f>IFERROR(AC342/AC444, "NA")</f>
        <v>-6.301924607222234E-2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9682.11</v>
      </c>
      <c r="C343" s="15">
        <f>IFERROR(B343/B444, "NA")</f>
        <v>0.12107100479914409</v>
      </c>
      <c r="D343" s="2"/>
      <c r="E343" s="14">
        <f>IFERROR(E328+E329+E330+E331+E332+E333+E334+E335+E337+E338+E339+E340+E341, "NA")</f>
        <v>11409.14</v>
      </c>
      <c r="F343" s="15">
        <f>IFERROR(E343/E444, "NA")</f>
        <v>0.11204103780408153</v>
      </c>
      <c r="G343" s="2"/>
      <c r="H343" s="14">
        <f t="shared" si="84"/>
        <v>1727.0299999999988</v>
      </c>
      <c r="I343" s="15">
        <f>IFERROR(H343/H444, "NA")</f>
        <v>-7.9005924197717181E-2</v>
      </c>
      <c r="J343" s="2"/>
      <c r="K343" s="14">
        <f>IFERROR(K328+K329+K330+K331+K332+K333+K334+K335+K337+K338+K339+K340+K341, "NA")</f>
        <v>11841.319999999998</v>
      </c>
      <c r="L343" s="15">
        <f>IFERROR(K343/K444, "NA")</f>
        <v>0.13140223176902949</v>
      </c>
      <c r="M343" s="2"/>
      <c r="N343" s="14">
        <f t="shared" si="85"/>
        <v>2159.2099999999973</v>
      </c>
      <c r="O343" s="15">
        <f>IFERROR(N343/N444, "NA")</f>
        <v>-0.21284433513561438</v>
      </c>
      <c r="P343" s="2"/>
      <c r="Q343" s="14">
        <f>IFERROR(Q328+Q329+Q330+Q331+Q332+Q333+Q334+Q335+Q337+Q338+Q339+Q340+Q341, "NA")</f>
        <v>45240.710000000006</v>
      </c>
      <c r="R343" s="15">
        <f>IFERROR(Q343/Q444, "NA")</f>
        <v>0.13911521406401994</v>
      </c>
      <c r="S343" s="2"/>
      <c r="T343" s="14">
        <f>IFERROR(T328+T329+T330+T331+T332+T333+T334+T335+T337+T338+T339+T340+T341, "NA")</f>
        <v>43853.36</v>
      </c>
      <c r="U343" s="15">
        <f>IFERROR(T343/T444, "NA")</f>
        <v>0.13418403676232393</v>
      </c>
      <c r="V343" s="2"/>
      <c r="W343" s="14">
        <f t="shared" si="86"/>
        <v>-1387.3500000000058</v>
      </c>
      <c r="X343" s="15">
        <f>IFERROR(W343/W444, "NA")</f>
        <v>0.8607190495393342</v>
      </c>
      <c r="Y343" s="2"/>
      <c r="Z343" s="14">
        <f>IFERROR(Z328+Z329+Z330+Z331+Z332+Z333+Z334+Z335+Z337+Z338+Z339+Z340+Z341, "NA")</f>
        <v>48385.619999999995</v>
      </c>
      <c r="AA343" s="15">
        <f>IFERROR(Z343/Z444, "NA")</f>
        <v>0.16154554217141001</v>
      </c>
      <c r="AB343" s="2"/>
      <c r="AC343" s="14">
        <f t="shared" si="87"/>
        <v>3144.9099999999889</v>
      </c>
      <c r="AD343" s="15">
        <f>IFERROR(AC343/AC444, "NA")</f>
        <v>0.12243540131151699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9682.11</v>
      </c>
      <c r="C344" s="15">
        <f>IFERROR(B344/B444, "NA")</f>
        <v>0.12107100479914409</v>
      </c>
      <c r="D344" s="2"/>
      <c r="E344" s="14">
        <f>IFERROR(E328+E329+E330+E331+E332+E333+E334+E335+E337+E338+E339+E340+E341, "NA")</f>
        <v>11409.14</v>
      </c>
      <c r="F344" s="15">
        <f>IFERROR(E344/E444, "NA")</f>
        <v>0.11204103780408153</v>
      </c>
      <c r="G344" s="2"/>
      <c r="H344" s="14">
        <f t="shared" si="84"/>
        <v>1727.0299999999988</v>
      </c>
      <c r="I344" s="15">
        <f>IFERROR(H344/H444, "NA")</f>
        <v>-7.9005924197717181E-2</v>
      </c>
      <c r="J344" s="2"/>
      <c r="K344" s="14">
        <f>IFERROR(K328+K329+K330+K331+K332+K333+K334+K335+K337+K338+K339+K340+K341, "NA")</f>
        <v>11841.319999999998</v>
      </c>
      <c r="L344" s="15">
        <f>IFERROR(K344/K444, "NA")</f>
        <v>0.13140223176902949</v>
      </c>
      <c r="M344" s="2"/>
      <c r="N344" s="14">
        <f t="shared" si="85"/>
        <v>2159.2099999999973</v>
      </c>
      <c r="O344" s="15">
        <f>IFERROR(N344/N444, "NA")</f>
        <v>-0.21284433513561438</v>
      </c>
      <c r="P344" s="2"/>
      <c r="Q344" s="14">
        <f>IFERROR(Q328+Q329+Q330+Q331+Q332+Q333+Q334+Q335+Q337+Q338+Q339+Q340+Q341, "NA")</f>
        <v>45240.710000000006</v>
      </c>
      <c r="R344" s="15">
        <f>IFERROR(Q344/Q444, "NA")</f>
        <v>0.13911521406401994</v>
      </c>
      <c r="S344" s="2"/>
      <c r="T344" s="14">
        <f>IFERROR(T328+T329+T330+T331+T332+T333+T334+T335+T337+T338+T339+T340+T341, "NA")</f>
        <v>43853.36</v>
      </c>
      <c r="U344" s="15">
        <f>IFERROR(T344/T444, "NA")</f>
        <v>0.13418403676232393</v>
      </c>
      <c r="V344" s="2"/>
      <c r="W344" s="14">
        <f t="shared" si="86"/>
        <v>-1387.3500000000058</v>
      </c>
      <c r="X344" s="15">
        <f>IFERROR(W344/W444, "NA")</f>
        <v>0.8607190495393342</v>
      </c>
      <c r="Y344" s="2"/>
      <c r="Z344" s="14">
        <f>IFERROR(Z328+Z329+Z330+Z331+Z332+Z333+Z334+Z335+Z337+Z338+Z339+Z340+Z341, "NA")</f>
        <v>48385.619999999995</v>
      </c>
      <c r="AA344" s="15">
        <f>IFERROR(Z344/Z444, "NA")</f>
        <v>0.16154554217141001</v>
      </c>
      <c r="AB344" s="2"/>
      <c r="AC344" s="14">
        <f t="shared" si="87"/>
        <v>3144.9099999999889</v>
      </c>
      <c r="AD344" s="15">
        <f>IFERROR(AC344/AC444, "NA")</f>
        <v>0.12243540131151699</v>
      </c>
    </row>
    <row r="345" spans="1:30" ht="16.5" customHeight="1" x14ac:dyDescent="0.45">
      <c r="A345" s="22" t="s">
        <v>315</v>
      </c>
      <c r="B345" s="23">
        <f>IFERROR(B198-B325-B344, "NA")</f>
        <v>1917.3000000000065</v>
      </c>
      <c r="C345" s="24">
        <f>IFERROR(B345/B444, "NA")</f>
        <v>2.3975087816746531E-2</v>
      </c>
      <c r="D345" s="25"/>
      <c r="E345" s="23">
        <f>IFERROR(E198-E325-E344, "NA")</f>
        <v>14350.709999999995</v>
      </c>
      <c r="F345" s="24">
        <f>IFERROR(E345/E444, "NA")</f>
        <v>0.1409281016470488</v>
      </c>
      <c r="G345" s="25"/>
      <c r="H345" s="23">
        <f>IFERROR(B345-E345, "NA")</f>
        <v>-12433.409999999989</v>
      </c>
      <c r="I345" s="24">
        <f>IFERROR(H345/H444, "NA")</f>
        <v>0.56878748370273746</v>
      </c>
      <c r="J345" s="25"/>
      <c r="K345" s="23">
        <f>IFERROR(K198-K325-K344, "NA")</f>
        <v>5358.8500000000222</v>
      </c>
      <c r="L345" s="24">
        <f>IFERROR(K345/K444, "NA")</f>
        <v>5.9466752837983153E-2</v>
      </c>
      <c r="M345" s="25"/>
      <c r="N345" s="23">
        <f>IFERROR(B345-K345, "NA")</f>
        <v>-3441.5500000000156</v>
      </c>
      <c r="O345" s="24">
        <f>IFERROR(N345/N444, "NA")</f>
        <v>0.33925112498829563</v>
      </c>
      <c r="P345" s="25"/>
      <c r="Q345" s="23">
        <f>IFERROR(Q198-Q325-Q344, "NA")</f>
        <v>494.52999999979511</v>
      </c>
      <c r="R345" s="24">
        <f>IFERROR(Q345/Q444, "NA")</f>
        <v>1.5206800868300093E-3</v>
      </c>
      <c r="S345" s="25"/>
      <c r="T345" s="23">
        <f>IFERROR(T198-T325-T344, "NA")</f>
        <v>17366.070000000036</v>
      </c>
      <c r="U345" s="24">
        <f>IFERROR(T345/T444, "NA")</f>
        <v>5.3137305221244061E-2</v>
      </c>
      <c r="V345" s="25"/>
      <c r="W345" s="23">
        <f>IFERROR(Q345-T345, "NA")</f>
        <v>-16871.540000000241</v>
      </c>
      <c r="X345" s="24">
        <f>IFERROR(W345/W444, "NA")</f>
        <v>10.467189874988289</v>
      </c>
      <c r="Y345" s="25"/>
      <c r="Z345" s="23">
        <f>IFERROR(Z198-Z325-Z344, "NA")</f>
        <v>-6013.679999999993</v>
      </c>
      <c r="AA345" s="24">
        <f>IFERROR(Z345/Z444, "NA")</f>
        <v>-2.0077932163427147E-2</v>
      </c>
      <c r="AB345" s="25"/>
      <c r="AC345" s="23">
        <f>IFERROR(Q345-Z345, "NA")</f>
        <v>6508.2099999997881</v>
      </c>
      <c r="AD345" s="24">
        <f>IFERROR(AC345/AC444, "NA")</f>
        <v>0.25337300691263182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1917.3000000000065</v>
      </c>
      <c r="C404" s="24">
        <f>IFERROR(B404/B444, "NA")</f>
        <v>2.3975087816746531E-2</v>
      </c>
      <c r="D404" s="25"/>
      <c r="E404" s="23">
        <f>IFERROR(E345-E403, "NA")</f>
        <v>14350.709999999995</v>
      </c>
      <c r="F404" s="24">
        <f>IFERROR(E404/E444, "NA")</f>
        <v>0.1409281016470488</v>
      </c>
      <c r="G404" s="25"/>
      <c r="H404" s="23">
        <f>IFERROR(B404-E404, "NA")</f>
        <v>-12433.409999999989</v>
      </c>
      <c r="I404" s="24">
        <f>IFERROR(H404/H444, "NA")</f>
        <v>0.56878748370273746</v>
      </c>
      <c r="J404" s="25"/>
      <c r="K404" s="23">
        <f>IFERROR(K345-K403, "NA")</f>
        <v>5358.8500000000222</v>
      </c>
      <c r="L404" s="24">
        <f>IFERROR(K404/K444, "NA")</f>
        <v>5.9466752837983153E-2</v>
      </c>
      <c r="M404" s="25"/>
      <c r="N404" s="23">
        <f>IFERROR(B404-K404, "NA")</f>
        <v>-3441.5500000000156</v>
      </c>
      <c r="O404" s="24">
        <f>IFERROR(N404/N444, "NA")</f>
        <v>0.33925112498829563</v>
      </c>
      <c r="P404" s="25"/>
      <c r="Q404" s="23">
        <f>IFERROR(Q345-Q403, "NA")</f>
        <v>494.52999999979511</v>
      </c>
      <c r="R404" s="24">
        <f>IFERROR(Q404/Q444, "NA")</f>
        <v>1.5206800868300093E-3</v>
      </c>
      <c r="S404" s="25"/>
      <c r="T404" s="23">
        <f>IFERROR(T345-T403, "NA")</f>
        <v>17366.070000000036</v>
      </c>
      <c r="U404" s="24">
        <f>IFERROR(T404/T444, "NA")</f>
        <v>5.3137305221244061E-2</v>
      </c>
      <c r="V404" s="25"/>
      <c r="W404" s="23">
        <f>IFERROR(Q404-T404, "NA")</f>
        <v>-16871.540000000241</v>
      </c>
      <c r="X404" s="24">
        <f>IFERROR(W404/W444, "NA")</f>
        <v>10.467189874988289</v>
      </c>
      <c r="Y404" s="25"/>
      <c r="Z404" s="23">
        <f>IFERROR(Z345-Z403, "NA")</f>
        <v>-6013.679999999993</v>
      </c>
      <c r="AA404" s="24">
        <f>IFERROR(Z404/Z444, "NA")</f>
        <v>-2.0077932163427147E-2</v>
      </c>
      <c r="AB404" s="25"/>
      <c r="AC404" s="23">
        <f>IFERROR(Q404-Z404, "NA")</f>
        <v>6508.2099999997881</v>
      </c>
      <c r="AD404" s="24">
        <f>IFERROR(AC404/AC444, "NA")</f>
        <v>0.25337300691263182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-58898.32</v>
      </c>
      <c r="AA407" s="8">
        <f>IFERROR(Z407/Z444, "NA")</f>
        <v>-0.1966443963596044</v>
      </c>
      <c r="AB407" s="9"/>
      <c r="AC407" s="10">
        <f t="shared" ref="AC407:AC429" si="103">IFERROR(-(Q407-Z407), "NA")</f>
        <v>-58898.32</v>
      </c>
      <c r="AD407" s="8">
        <f>IFERROR(AC407/AC444, "NA")</f>
        <v>-2.2929875404301465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331.69</v>
      </c>
      <c r="AA408" s="8">
        <f>IFERROR(Z408/Z444, "NA")</f>
        <v>1.1074166432678756E-3</v>
      </c>
      <c r="AB408" s="9"/>
      <c r="AC408" s="10">
        <f t="shared" si="103"/>
        <v>331.69</v>
      </c>
      <c r="AD408" s="8">
        <f>IFERROR(AC408/AC444, "NA")</f>
        <v>1.2913119377348545E-2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3879.26</v>
      </c>
      <c r="C410" s="8">
        <f>IFERROR(B410/B444, "NA")</f>
        <v>4.8508631494284589E-2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-3879.26</v>
      </c>
      <c r="I410" s="8">
        <f>IFERROR(H410/H444, "NA")</f>
        <v>0.17746334545620898</v>
      </c>
      <c r="J410" s="9"/>
      <c r="K410" s="7">
        <v>3633.26</v>
      </c>
      <c r="L410" s="8">
        <f>IFERROR(K410/K444, "NA")</f>
        <v>4.0318011218102724E-2</v>
      </c>
      <c r="M410" s="9"/>
      <c r="N410" s="10">
        <f t="shared" si="101"/>
        <v>-246</v>
      </c>
      <c r="O410" s="8">
        <f>IFERROR(N410/N444, "NA")</f>
        <v>2.4249473855419899E-2</v>
      </c>
      <c r="P410" s="9"/>
      <c r="Q410" s="7">
        <v>15424.49</v>
      </c>
      <c r="R410" s="8">
        <f>IFERROR(Q410/Q444, "NA")</f>
        <v>4.7430317255815271E-2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-15424.49</v>
      </c>
      <c r="X410" s="8">
        <f>IFERROR(W410/W444, "NA")</f>
        <v>9.5694326395133942</v>
      </c>
      <c r="Y410" s="9"/>
      <c r="Z410" s="7">
        <v>13857.98</v>
      </c>
      <c r="AA410" s="8">
        <f>IFERROR(Z410/Z444, "NA")</f>
        <v>4.6267773204116354E-2</v>
      </c>
      <c r="AB410" s="9"/>
      <c r="AC410" s="10">
        <f t="shared" si="103"/>
        <v>-1566.5100000000002</v>
      </c>
      <c r="AD410" s="8">
        <f>IFERROR(AC410/AC444, "NA")</f>
        <v>-6.0986254140342706E-2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54.05</v>
      </c>
      <c r="C417" s="8">
        <f>IFERROR(B417/B444, "NA")</f>
        <v>6.7587414410637118E-4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-54.05</v>
      </c>
      <c r="I417" s="8">
        <f>IFERROR(H417/H444, "NA")</f>
        <v>2.472609163064114E-3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-54.05</v>
      </c>
      <c r="O417" s="8">
        <f>IFERROR(N417/N444, "NA")</f>
        <v>5.32798399140425E-3</v>
      </c>
      <c r="P417" s="9"/>
      <c r="Q417" s="7">
        <v>115.69</v>
      </c>
      <c r="R417" s="8">
        <f>IFERROR(Q417/Q444, "NA")</f>
        <v>3.5574682879792259E-4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-115.69</v>
      </c>
      <c r="X417" s="8">
        <f>IFERROR(W417/W444, "NA")</f>
        <v>7.1774668858763213E-2</v>
      </c>
      <c r="Y417" s="9"/>
      <c r="Z417" s="7">
        <v>0.14000000000000001</v>
      </c>
      <c r="AA417" s="8">
        <f>IFERROR(Z417/Z444, "NA")</f>
        <v>4.6741936765504718E-7</v>
      </c>
      <c r="AB417" s="9"/>
      <c r="AC417" s="10">
        <f t="shared" si="103"/>
        <v>-115.55</v>
      </c>
      <c r="AD417" s="8">
        <f>IFERROR(AC417/AC444, "NA")</f>
        <v>-4.4985104888679919E-3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47.92</v>
      </c>
      <c r="C424" s="8">
        <f>IFERROR(B424/B444, "NA")</f>
        <v>5.9922088779976526E-4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-47.92</v>
      </c>
      <c r="I424" s="8">
        <f>IFERROR(H424/H444, "NA")</f>
        <v>2.1921818888812647E-3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-47.92</v>
      </c>
      <c r="O424" s="8">
        <f>IFERROR(N424/N444, "NA")</f>
        <v>4.7237186469582179E-3</v>
      </c>
      <c r="P424" s="9"/>
      <c r="Q424" s="7">
        <v>191.68</v>
      </c>
      <c r="R424" s="8">
        <f>IFERROR(Q424/Q444, "NA")</f>
        <v>5.8941613055567298E-4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-191.68</v>
      </c>
      <c r="X424" s="8">
        <f>IFERROR(W424/W444, "NA")</f>
        <v>0.11891925427303772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-191.68</v>
      </c>
      <c r="AD424" s="8">
        <f>IFERROR(AC424/AC444, "NA")</f>
        <v>-7.4623495500321666E-3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-135.43</v>
      </c>
      <c r="C426" s="8">
        <f>IFERROR(B426/B444, "NA")</f>
        <v>-1.693499266166991E-3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135.43</v>
      </c>
      <c r="I426" s="8">
        <f>IFERROR(H426/H444, "NA")</f>
        <v>-6.195475651318649E-3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135.43</v>
      </c>
      <c r="O426" s="8">
        <f>IFERROR(N426/N444, "NA")</f>
        <v>-1.3350025383087468E-2</v>
      </c>
      <c r="P426" s="9"/>
      <c r="Q426" s="7">
        <v>-535.52</v>
      </c>
      <c r="R426" s="8">
        <f>IFERROR(Q426/Q444, "NA")</f>
        <v>-1.6467243647494468E-3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535.52</v>
      </c>
      <c r="X426" s="8">
        <f>IFERROR(W426/W444, "NA")</f>
        <v>-0.33223935229704277</v>
      </c>
      <c r="Y426" s="9"/>
      <c r="Z426" s="7">
        <v>-565.62</v>
      </c>
      <c r="AA426" s="8">
        <f>IFERROR(Z426/Z444, "NA")</f>
        <v>-1.8884410195217697E-3</v>
      </c>
      <c r="AB426" s="9"/>
      <c r="AC426" s="10">
        <f t="shared" si="103"/>
        <v>-30.100000000000023</v>
      </c>
      <c r="AD426" s="8">
        <f>IFERROR(AC426/AC444, "NA")</f>
        <v>-1.1718318106008366E-3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3845.8000000000006</v>
      </c>
      <c r="C428" s="15">
        <f>IFERROR(B428/B444, "NA")</f>
        <v>4.8090227260023738E-2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-3845.8000000000006</v>
      </c>
      <c r="I428" s="15">
        <f>IFERROR(H428/H444, "NA")</f>
        <v>0.17593266085683573</v>
      </c>
      <c r="J428" s="2"/>
      <c r="K428" s="14">
        <f>IFERROR(K407+K408+K409+K410+K411+K412+K413+K414+K415+K416+K417+K418+K419+K420+K421+K422+K423+K424+K425+K426+K427, "NA")</f>
        <v>3633.26</v>
      </c>
      <c r="L428" s="15">
        <f>IFERROR(K428/K444, "NA")</f>
        <v>4.0318011218102724E-2</v>
      </c>
      <c r="M428" s="2"/>
      <c r="N428" s="14">
        <f t="shared" si="101"/>
        <v>-212.54000000000042</v>
      </c>
      <c r="O428" s="15">
        <f>IFERROR(N428/N444, "NA")</f>
        <v>2.0951151110694941E-2</v>
      </c>
      <c r="P428" s="2"/>
      <c r="Q428" s="14">
        <f>IFERROR(Q407+Q408+Q409+Q410+Q411+Q412+Q413+Q414+Q415+Q416+Q417+Q418+Q419+Q420+Q421+Q422+Q423+Q424+Q425+Q426+Q427, "NA")</f>
        <v>15196.34</v>
      </c>
      <c r="R428" s="15">
        <f>IFERROR(Q428/Q444, "NA")</f>
        <v>4.6728755850419419E-2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-15196.34</v>
      </c>
      <c r="X428" s="15">
        <f>IFERROR(W428/W444, "NA")</f>
        <v>9.4278872103481532</v>
      </c>
      <c r="Y428" s="2"/>
      <c r="Z428" s="14">
        <f>IFERROR(Z407+Z408+Z409+Z410+Z411+Z412+Z413+Z414+Z415+Z416+Z417+Z418+Z419+Z420+Z421+Z422+Z423+Z424+Z425+Z426+Z427, "NA")</f>
        <v>-45274.13</v>
      </c>
      <c r="AA428" s="15">
        <f>IFERROR(Z428/Z444, "NA")</f>
        <v>-0.15115718011237428</v>
      </c>
      <c r="AB428" s="2"/>
      <c r="AC428" s="14">
        <f t="shared" si="103"/>
        <v>-60470.47</v>
      </c>
      <c r="AD428" s="15">
        <f>IFERROR(AC428/AC444, "NA")</f>
        <v>-2.354193367042642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3845.8000000000006</v>
      </c>
      <c r="C429" s="15">
        <f>IFERROR(B429/B444, "NA")</f>
        <v>4.8090227260023738E-2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-3845.8000000000006</v>
      </c>
      <c r="I429" s="15">
        <f>IFERROR(H429/H444, "NA")</f>
        <v>0.17593266085683573</v>
      </c>
      <c r="J429" s="2"/>
      <c r="K429" s="14">
        <f>IFERROR(K407+K408+K409+K410+K411+K412+K413+K414+K415+K416+K417+K418+K419+K420+K421+K422+K423+K424+K425+K426+K427, "NA")</f>
        <v>3633.26</v>
      </c>
      <c r="L429" s="15">
        <f>IFERROR(K429/K444, "NA")</f>
        <v>4.0318011218102724E-2</v>
      </c>
      <c r="M429" s="2"/>
      <c r="N429" s="14">
        <f t="shared" si="101"/>
        <v>-212.54000000000042</v>
      </c>
      <c r="O429" s="15">
        <f>IFERROR(N429/N444, "NA")</f>
        <v>2.0951151110694941E-2</v>
      </c>
      <c r="P429" s="2"/>
      <c r="Q429" s="14">
        <f>IFERROR(Q407+Q408+Q409+Q410+Q411+Q412+Q413+Q414+Q415+Q416+Q417+Q418+Q419+Q420+Q421+Q422+Q423+Q424+Q425+Q426+Q427, "NA")</f>
        <v>15196.34</v>
      </c>
      <c r="R429" s="15">
        <f>IFERROR(Q429/Q444, "NA")</f>
        <v>4.6728755850419419E-2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-15196.34</v>
      </c>
      <c r="X429" s="15">
        <f>IFERROR(W429/W444, "NA")</f>
        <v>9.4278872103481532</v>
      </c>
      <c r="Y429" s="2"/>
      <c r="Z429" s="14">
        <f>IFERROR(Z407+Z408+Z409+Z410+Z411+Z412+Z413+Z414+Z415+Z416+Z417+Z418+Z419+Z420+Z421+Z422+Z423+Z424+Z425+Z426+Z427, "NA")</f>
        <v>-45274.13</v>
      </c>
      <c r="AA429" s="15">
        <f>IFERROR(Z429/Z444, "NA")</f>
        <v>-0.15115718011237428</v>
      </c>
      <c r="AB429" s="2"/>
      <c r="AC429" s="14">
        <f t="shared" si="103"/>
        <v>-60470.47</v>
      </c>
      <c r="AD429" s="15">
        <f>IFERROR(AC429/AC444, "NA")</f>
        <v>-2.354193367042642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-1928.4999999999941</v>
      </c>
      <c r="C443" s="24">
        <f>IFERROR(B443/B444, "NA")</f>
        <v>-2.4115139443277207E-2</v>
      </c>
      <c r="D443" s="25"/>
      <c r="E443" s="23">
        <f>IFERROR(E404-E429-E442, "NA")</f>
        <v>14350.709999999995</v>
      </c>
      <c r="F443" s="24">
        <f>IFERROR(E443/E444, "NA")</f>
        <v>0.1409281016470488</v>
      </c>
      <c r="G443" s="25"/>
      <c r="H443" s="23">
        <f>IFERROR(B443-E443, "NA")</f>
        <v>-16279.20999999999</v>
      </c>
      <c r="I443" s="24">
        <f>IFERROR(H443/H444, "NA")</f>
        <v>0.74472014455957314</v>
      </c>
      <c r="J443" s="25"/>
      <c r="K443" s="23">
        <f>IFERROR(K404-K429-K442, "NA")</f>
        <v>1725.590000000022</v>
      </c>
      <c r="L443" s="24">
        <f>IFERROR(K443/K444, "NA")</f>
        <v>1.9148741619880429E-2</v>
      </c>
      <c r="M443" s="25"/>
      <c r="N443" s="23">
        <f>IFERROR(B443-K443, "NA")</f>
        <v>-3654.0900000000161</v>
      </c>
      <c r="O443" s="24">
        <f>IFERROR(N443/N444, "NA")</f>
        <v>0.36020227609899058</v>
      </c>
      <c r="P443" s="25"/>
      <c r="Q443" s="23">
        <f>IFERROR(Q404-Q429-Q442, "NA")</f>
        <v>-14701.810000000205</v>
      </c>
      <c r="R443" s="24">
        <f>IFERROR(Q443/Q444, "NA")</f>
        <v>-4.5208075763589414E-2</v>
      </c>
      <c r="S443" s="25"/>
      <c r="T443" s="23">
        <f>IFERROR(T404-T429-T442, "NA")</f>
        <v>17366.070000000036</v>
      </c>
      <c r="U443" s="24">
        <f>IFERROR(T443/T444, "NA")</f>
        <v>5.3137305221244061E-2</v>
      </c>
      <c r="V443" s="25"/>
      <c r="W443" s="23">
        <f>IFERROR(Q443-T443, "NA")</f>
        <v>-32067.880000000241</v>
      </c>
      <c r="X443" s="24">
        <f>IFERROR(W443/W444, "NA")</f>
        <v>19.895077085336442</v>
      </c>
      <c r="Y443" s="25"/>
      <c r="Z443" s="23">
        <f>IFERROR(Z404-Z429-Z442, "NA")</f>
        <v>39260.450000000004</v>
      </c>
      <c r="AA443" s="24">
        <f>IFERROR(Z443/Z444, "NA")</f>
        <v>0.13107924794894713</v>
      </c>
      <c r="AB443" s="25"/>
      <c r="AC443" s="23">
        <f>IFERROR(Q443-Z443, "NA")</f>
        <v>-53962.260000000213</v>
      </c>
      <c r="AD443" s="24">
        <f>IFERROR(AC443/AC444, "NA")</f>
        <v>-2.1008203601300099</v>
      </c>
    </row>
    <row r="444" spans="1:30" ht="15.75" hidden="1" x14ac:dyDescent="0.45">
      <c r="A444" s="26" t="s">
        <v>117</v>
      </c>
      <c r="B444" s="7">
        <v>79970.509999999995</v>
      </c>
      <c r="C444" s="27"/>
      <c r="D444" s="9"/>
      <c r="E444" s="7">
        <v>101830.01</v>
      </c>
      <c r="F444" s="27"/>
      <c r="G444" s="9"/>
      <c r="H444" s="10">
        <f>IFERROR(B444-E444, "NA")</f>
        <v>-21859.5</v>
      </c>
      <c r="I444" s="27"/>
      <c r="J444" s="9"/>
      <c r="K444" s="7">
        <v>90115.06</v>
      </c>
      <c r="L444" s="27"/>
      <c r="M444" s="9"/>
      <c r="N444" s="10">
        <f>IFERROR(B444-K444, "NA")</f>
        <v>-10144.550000000003</v>
      </c>
      <c r="O444" s="27"/>
      <c r="P444" s="9"/>
      <c r="Q444" s="7">
        <v>325203.18</v>
      </c>
      <c r="R444" s="27"/>
      <c r="S444" s="9"/>
      <c r="T444" s="7">
        <v>326815.03000000003</v>
      </c>
      <c r="U444" s="27"/>
      <c r="V444" s="9"/>
      <c r="W444" s="10">
        <f>IFERROR(Q444-T444, "NA")</f>
        <v>-1611.8500000000349</v>
      </c>
      <c r="X444" s="27"/>
      <c r="Y444" s="9"/>
      <c r="Z444" s="7">
        <v>299516.90000000002</v>
      </c>
      <c r="AA444" s="27"/>
      <c r="AB444" s="9"/>
      <c r="AC444" s="10">
        <f>IFERROR(Q444-Z444, "NA")</f>
        <v>25686.27999999997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413</v>
      </c>
      <c r="B3" s="31" t="s">
        <v>413</v>
      </c>
      <c r="C3" s="31" t="s">
        <v>413</v>
      </c>
      <c r="D3" s="31" t="s">
        <v>413</v>
      </c>
      <c r="E3" s="31" t="s">
        <v>413</v>
      </c>
      <c r="F3" s="31" t="s">
        <v>413</v>
      </c>
      <c r="G3" s="31" t="s">
        <v>413</v>
      </c>
      <c r="H3" s="31" t="s">
        <v>413</v>
      </c>
      <c r="I3" s="31" t="s">
        <v>413</v>
      </c>
      <c r="J3" s="31" t="s">
        <v>413</v>
      </c>
      <c r="K3" s="31" t="s">
        <v>413</v>
      </c>
      <c r="L3" s="31" t="s">
        <v>413</v>
      </c>
      <c r="M3" s="31" t="s">
        <v>413</v>
      </c>
      <c r="N3" s="31" t="s">
        <v>413</v>
      </c>
      <c r="O3" s="31" t="s">
        <v>413</v>
      </c>
      <c r="P3" s="31" t="s">
        <v>413</v>
      </c>
      <c r="Q3" s="31" t="s">
        <v>413</v>
      </c>
      <c r="R3" s="31" t="s">
        <v>413</v>
      </c>
      <c r="S3" s="31" t="s">
        <v>413</v>
      </c>
      <c r="T3" s="31" t="s">
        <v>413</v>
      </c>
      <c r="U3" s="31" t="s">
        <v>413</v>
      </c>
      <c r="V3" s="31" t="s">
        <v>413</v>
      </c>
      <c r="W3" s="31" t="s">
        <v>413</v>
      </c>
      <c r="X3" s="31" t="s">
        <v>413</v>
      </c>
      <c r="Y3" s="31" t="s">
        <v>413</v>
      </c>
      <c r="Z3" s="31" t="s">
        <v>413</v>
      </c>
      <c r="AA3" s="31" t="s">
        <v>413</v>
      </c>
      <c r="AB3" s="31" t="s">
        <v>413</v>
      </c>
      <c r="AC3" s="31" t="s">
        <v>413</v>
      </c>
      <c r="AD3" s="31" t="s">
        <v>413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42090.879999999997</v>
      </c>
      <c r="F10" s="8">
        <f>IFERROR(E10/E444, "NA")</f>
        <v>0.24000002280779331</v>
      </c>
      <c r="G10" s="9"/>
      <c r="H10" s="10">
        <f t="shared" ref="H10:H19" si="0">IFERROR(B10-E10, "NA")</f>
        <v>-42090.879999999997</v>
      </c>
      <c r="I10" s="8">
        <f>IFERROR(H10/H444, "NA")</f>
        <v>-1.3915053498609014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147128.53</v>
      </c>
      <c r="U10" s="8">
        <f>IFERROR(T10/T444, "NA")</f>
        <v>0.23999998890765833</v>
      </c>
      <c r="V10" s="9"/>
      <c r="W10" s="10">
        <f t="shared" ref="W10:W19" si="2">IFERROR(Q10-T10, "NA")</f>
        <v>-147128.53</v>
      </c>
      <c r="X10" s="8">
        <f>IFERROR(W10/W444, "NA")</f>
        <v>-1.4350733759675223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51976.86</v>
      </c>
      <c r="C11" s="8">
        <f>IFERROR(B11/B444, "NA")</f>
        <v>0.25277242153393203</v>
      </c>
      <c r="D11" s="9"/>
      <c r="E11" s="7">
        <v>0</v>
      </c>
      <c r="F11" s="8">
        <f>IFERROR(E11/E444, "NA")</f>
        <v>0</v>
      </c>
      <c r="G11" s="9"/>
      <c r="H11" s="10">
        <f t="shared" si="0"/>
        <v>51976.86</v>
      </c>
      <c r="I11" s="8">
        <f>IFERROR(H11/H444, "NA")</f>
        <v>1.7183313525155828</v>
      </c>
      <c r="J11" s="9"/>
      <c r="K11" s="7">
        <v>39819.96</v>
      </c>
      <c r="L11" s="8">
        <f>IFERROR(K11/K444, "NA")</f>
        <v>0.25883854568732423</v>
      </c>
      <c r="M11" s="9"/>
      <c r="N11" s="10">
        <f t="shared" si="1"/>
        <v>12156.900000000001</v>
      </c>
      <c r="O11" s="8">
        <f>IFERROR(N11/N444, "NA")</f>
        <v>0.23475181988708191</v>
      </c>
      <c r="P11" s="9"/>
      <c r="Q11" s="7">
        <v>178771.09</v>
      </c>
      <c r="R11" s="8">
        <f>IFERROR(Q11/Q444, "NA")</f>
        <v>0.24983419953733507</v>
      </c>
      <c r="S11" s="9"/>
      <c r="T11" s="7">
        <v>0</v>
      </c>
      <c r="U11" s="8">
        <f>IFERROR(T11/T444, "NA")</f>
        <v>0</v>
      </c>
      <c r="V11" s="9"/>
      <c r="W11" s="10">
        <f t="shared" si="2"/>
        <v>178771.09</v>
      </c>
      <c r="X11" s="8">
        <f>IFERROR(W11/W444, "NA")</f>
        <v>1.7437109692572457</v>
      </c>
      <c r="Y11" s="9"/>
      <c r="Z11" s="7">
        <v>149878.48000000001</v>
      </c>
      <c r="AA11" s="8">
        <f>IFERROR(Z11/Z444, "NA")</f>
        <v>0.26916398109058959</v>
      </c>
      <c r="AB11" s="9"/>
      <c r="AC11" s="10">
        <f t="shared" si="3"/>
        <v>28892.609999999986</v>
      </c>
      <c r="AD11" s="8">
        <f>IFERROR(AC11/AC444, "NA")</f>
        <v>0.18202443921975572</v>
      </c>
    </row>
    <row r="12" spans="1:30" ht="16.5" customHeight="1" x14ac:dyDescent="0.45">
      <c r="A12" s="12" t="s">
        <v>14</v>
      </c>
      <c r="B12" s="7">
        <v>5329.7</v>
      </c>
      <c r="C12" s="8">
        <f>IFERROR(B12/B444, "NA")</f>
        <v>2.5919248970588019E-2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5329.7</v>
      </c>
      <c r="I12" s="8">
        <f>IFERROR(H12/H444, "NA")</f>
        <v>0.1761974580515695</v>
      </c>
      <c r="J12" s="9"/>
      <c r="K12" s="7">
        <v>3686.15</v>
      </c>
      <c r="L12" s="8">
        <f>IFERROR(K12/K444, "NA")</f>
        <v>2.3960790146080768E-2</v>
      </c>
      <c r="M12" s="9"/>
      <c r="N12" s="10">
        <f t="shared" si="1"/>
        <v>1643.5499999999997</v>
      </c>
      <c r="O12" s="8">
        <f>IFERROR(N12/N444, "NA")</f>
        <v>3.1737231825170346E-2</v>
      </c>
      <c r="P12" s="9"/>
      <c r="Q12" s="7">
        <v>15751.49</v>
      </c>
      <c r="R12" s="8">
        <f>IFERROR(Q12/Q444, "NA")</f>
        <v>2.2012848361949004E-2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15751.49</v>
      </c>
      <c r="X12" s="8">
        <f>IFERROR(W12/W444, "NA")</f>
        <v>0.15363807366809595</v>
      </c>
      <c r="Y12" s="9"/>
      <c r="Z12" s="7">
        <v>12315.15</v>
      </c>
      <c r="AA12" s="8">
        <f>IFERROR(Z12/Z444, "NA")</f>
        <v>2.21165493653777E-2</v>
      </c>
      <c r="AB12" s="9"/>
      <c r="AC12" s="10">
        <f t="shared" si="3"/>
        <v>3436.34</v>
      </c>
      <c r="AD12" s="8">
        <f>IFERROR(AC12/AC444, "NA")</f>
        <v>2.1649060485308031E-2</v>
      </c>
    </row>
    <row r="13" spans="1:30" ht="16.5" customHeight="1" x14ac:dyDescent="0.45">
      <c r="A13" s="12" t="s">
        <v>15</v>
      </c>
      <c r="B13" s="7">
        <v>471</v>
      </c>
      <c r="C13" s="8">
        <f>IFERROR(B13/B444, "NA")</f>
        <v>2.2905541147056978E-3</v>
      </c>
      <c r="D13" s="9"/>
      <c r="E13" s="7">
        <v>0</v>
      </c>
      <c r="F13" s="8">
        <f>IFERROR(E13/E444, "NA")</f>
        <v>0</v>
      </c>
      <c r="G13" s="9"/>
      <c r="H13" s="10">
        <f t="shared" si="0"/>
        <v>471</v>
      </c>
      <c r="I13" s="8">
        <f>IFERROR(H13/H444, "NA")</f>
        <v>1.5571045789123073E-2</v>
      </c>
      <c r="J13" s="9"/>
      <c r="K13" s="7">
        <v>376.5</v>
      </c>
      <c r="L13" s="8">
        <f>IFERROR(K13/K444, "NA")</f>
        <v>2.4473332582774462E-3</v>
      </c>
      <c r="M13" s="9"/>
      <c r="N13" s="10">
        <f t="shared" si="1"/>
        <v>94.5</v>
      </c>
      <c r="O13" s="8">
        <f>IFERROR(N13/N444, "NA")</f>
        <v>1.824811175491222E-3</v>
      </c>
      <c r="P13" s="9"/>
      <c r="Q13" s="7">
        <v>1397</v>
      </c>
      <c r="R13" s="8">
        <f>IFERROR(Q13/Q444, "NA")</f>
        <v>1.9523200130046592E-3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1397</v>
      </c>
      <c r="X13" s="8">
        <f>IFERROR(W13/W444, "NA")</f>
        <v>1.3626164186012247E-2</v>
      </c>
      <c r="Y13" s="9"/>
      <c r="Z13" s="7">
        <v>913</v>
      </c>
      <c r="AA13" s="8">
        <f>IFERROR(Z13/Z444, "NA")</f>
        <v>1.6396397583943224E-3</v>
      </c>
      <c r="AB13" s="9"/>
      <c r="AC13" s="10">
        <f t="shared" si="3"/>
        <v>484</v>
      </c>
      <c r="AD13" s="8">
        <f>IFERROR(AC13/AC444, "NA")</f>
        <v>3.0492166883629348E-3</v>
      </c>
    </row>
    <row r="14" spans="1:30" ht="16.5" customHeight="1" x14ac:dyDescent="0.45">
      <c r="A14" s="12" t="s">
        <v>16</v>
      </c>
      <c r="B14" s="7">
        <v>495</v>
      </c>
      <c r="C14" s="8">
        <f>IFERROR(B14/B444, "NA")</f>
        <v>2.4072702479391093E-3</v>
      </c>
      <c r="D14" s="9"/>
      <c r="E14" s="7">
        <v>0</v>
      </c>
      <c r="F14" s="8">
        <f>IFERROR(E14/E444, "NA")</f>
        <v>0</v>
      </c>
      <c r="G14" s="9"/>
      <c r="H14" s="10">
        <f t="shared" si="0"/>
        <v>495</v>
      </c>
      <c r="I14" s="8">
        <f>IFERROR(H14/H444, "NA")</f>
        <v>1.6364474873919153E-2</v>
      </c>
      <c r="J14" s="9"/>
      <c r="K14" s="7">
        <v>750</v>
      </c>
      <c r="L14" s="8">
        <f>IFERROR(K14/K444, "NA")</f>
        <v>4.8751658531423232E-3</v>
      </c>
      <c r="M14" s="9"/>
      <c r="N14" s="10">
        <f t="shared" si="1"/>
        <v>-255</v>
      </c>
      <c r="O14" s="8">
        <f>IFERROR(N14/N444, "NA")</f>
        <v>-4.9240936481509167E-3</v>
      </c>
      <c r="P14" s="9"/>
      <c r="Q14" s="7">
        <v>1640</v>
      </c>
      <c r="R14" s="8">
        <f>IFERROR(Q14/Q444, "NA")</f>
        <v>2.2919146895688195E-3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1640</v>
      </c>
      <c r="X14" s="8">
        <f>IFERROR(W14/W444, "NA")</f>
        <v>1.5996355952083097E-2</v>
      </c>
      <c r="Y14" s="9"/>
      <c r="Z14" s="7">
        <v>2111</v>
      </c>
      <c r="AA14" s="8">
        <f>IFERROR(Z14/Z444, "NA")</f>
        <v>3.7911057283356131E-3</v>
      </c>
      <c r="AB14" s="9"/>
      <c r="AC14" s="10">
        <f t="shared" si="3"/>
        <v>-471</v>
      </c>
      <c r="AD14" s="8">
        <f>IFERROR(AC14/AC444, "NA")</f>
        <v>-2.9673162401217816E-3</v>
      </c>
    </row>
    <row r="15" spans="1:30" ht="16.5" customHeight="1" x14ac:dyDescent="0.45">
      <c r="A15" s="12" t="s">
        <v>17</v>
      </c>
      <c r="B15" s="7">
        <v>54</v>
      </c>
      <c r="C15" s="8">
        <f>IFERROR(B15/B444, "NA")</f>
        <v>2.6261129977517555E-4</v>
      </c>
      <c r="D15" s="9"/>
      <c r="E15" s="7">
        <v>0</v>
      </c>
      <c r="F15" s="8">
        <f>IFERROR(E15/E444, "NA")</f>
        <v>0</v>
      </c>
      <c r="G15" s="9"/>
      <c r="H15" s="10">
        <f t="shared" si="0"/>
        <v>54</v>
      </c>
      <c r="I15" s="8">
        <f>IFERROR(H15/H444, "NA")</f>
        <v>1.7852154407911804E-3</v>
      </c>
      <c r="J15" s="9"/>
      <c r="K15" s="7">
        <v>75</v>
      </c>
      <c r="L15" s="8">
        <f>IFERROR(K15/K444, "NA")</f>
        <v>4.8751658531423237E-4</v>
      </c>
      <c r="M15" s="9"/>
      <c r="N15" s="10">
        <f t="shared" si="1"/>
        <v>-21</v>
      </c>
      <c r="O15" s="8">
        <f>IFERROR(N15/N444, "NA")</f>
        <v>-4.0551359455360489E-4</v>
      </c>
      <c r="P15" s="9"/>
      <c r="Q15" s="7">
        <v>314</v>
      </c>
      <c r="R15" s="8">
        <f>IFERROR(Q15/Q444, "NA")</f>
        <v>4.3881781251500573E-4</v>
      </c>
      <c r="S15" s="9"/>
      <c r="T15" s="7">
        <v>0</v>
      </c>
      <c r="U15" s="8">
        <f>IFERROR(T15/T444, "NA")</f>
        <v>0</v>
      </c>
      <c r="V15" s="9"/>
      <c r="W15" s="10">
        <f t="shared" si="2"/>
        <v>314</v>
      </c>
      <c r="X15" s="8">
        <f>IFERROR(W15/W444, "NA")</f>
        <v>3.0627169322890806E-3</v>
      </c>
      <c r="Y15" s="9"/>
      <c r="Z15" s="7">
        <v>227</v>
      </c>
      <c r="AA15" s="8">
        <f>IFERROR(Z15/Z444, "NA")</f>
        <v>4.0766508779355008E-4</v>
      </c>
      <c r="AB15" s="9"/>
      <c r="AC15" s="10">
        <f t="shared" si="3"/>
        <v>87</v>
      </c>
      <c r="AD15" s="8">
        <f>IFERROR(AC15/AC444, "NA")</f>
        <v>5.4810299976771758E-4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0.6</v>
      </c>
      <c r="R16" s="8">
        <f>IFERROR(Q16/Q444, "NA")</f>
        <v>8.3850537423249499E-7</v>
      </c>
      <c r="S16" s="9"/>
      <c r="T16" s="7">
        <v>0</v>
      </c>
      <c r="U16" s="8">
        <f>IFERROR(T16/T444, "NA")</f>
        <v>0</v>
      </c>
      <c r="V16" s="9"/>
      <c r="W16" s="10">
        <f t="shared" si="2"/>
        <v>0.6</v>
      </c>
      <c r="X16" s="8">
        <f>IFERROR(W16/W444, "NA")</f>
        <v>5.8523253483230837E-6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0.6</v>
      </c>
      <c r="AD16" s="8">
        <f>IFERROR(AC16/AC444, "NA")</f>
        <v>3.7800206880532245E-6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58326.559999999998</v>
      </c>
      <c r="C18" s="15">
        <f>IFERROR(B18/B444, "NA")</f>
        <v>0.28365210616694003</v>
      </c>
      <c r="D18" s="2"/>
      <c r="E18" s="14">
        <f>IFERROR(E10+E11+E12+E13+E14+E15+E16+E17, "NA")</f>
        <v>42090.879999999997</v>
      </c>
      <c r="F18" s="15">
        <f>IFERROR(E18/E444, "NA")</f>
        <v>0.24000002280779331</v>
      </c>
      <c r="G18" s="2"/>
      <c r="H18" s="14">
        <f t="shared" si="0"/>
        <v>16235.68</v>
      </c>
      <c r="I18" s="15">
        <f>IFERROR(H18/H444, "NA")</f>
        <v>0.53674419681008434</v>
      </c>
      <c r="J18" s="2"/>
      <c r="K18" s="14">
        <f>IFERROR(K10+K11+K12+K13+K14+K15+K16+K17, "NA")</f>
        <v>44707.61</v>
      </c>
      <c r="L18" s="15">
        <f>IFERROR(K18/K444, "NA")</f>
        <v>0.29060935153013906</v>
      </c>
      <c r="M18" s="2"/>
      <c r="N18" s="14">
        <f t="shared" si="1"/>
        <v>13618.949999999997</v>
      </c>
      <c r="O18" s="15">
        <f>IFERROR(N18/N444, "NA")</f>
        <v>0.26298425564503886</v>
      </c>
      <c r="P18" s="2"/>
      <c r="Q18" s="14">
        <f>IFERROR(Q10+Q11+Q12+Q13+Q14+Q15+Q16+Q17, "NA")</f>
        <v>197874.18</v>
      </c>
      <c r="R18" s="15">
        <f>IFERROR(Q18/Q444, "NA")</f>
        <v>0.27653093891974678</v>
      </c>
      <c r="S18" s="2"/>
      <c r="T18" s="14">
        <f>IFERROR(T10+T11+T12+T13+T14+T15+T16+T17, "NA")</f>
        <v>147128.53</v>
      </c>
      <c r="U18" s="15">
        <f>IFERROR(T18/T444, "NA")</f>
        <v>0.23999998890765833</v>
      </c>
      <c r="V18" s="2"/>
      <c r="W18" s="14">
        <f t="shared" si="2"/>
        <v>50745.649999999994</v>
      </c>
      <c r="X18" s="15">
        <f>IFERROR(W18/W444, "NA")</f>
        <v>0.49496675635355214</v>
      </c>
      <c r="Y18" s="2"/>
      <c r="Z18" s="14">
        <f>IFERROR(Z10+Z11+Z12+Z13+Z14+Z15+Z16+Z17, "NA")</f>
        <v>165444.63</v>
      </c>
      <c r="AA18" s="15">
        <f>IFERROR(Z18/Z444, "NA")</f>
        <v>0.2971189410304908</v>
      </c>
      <c r="AB18" s="2"/>
      <c r="AC18" s="14">
        <f t="shared" si="3"/>
        <v>32429.549999999988</v>
      </c>
      <c r="AD18" s="15">
        <f>IFERROR(AC18/AC444, "NA")</f>
        <v>0.20430728317376068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9821.2000000000007</v>
      </c>
      <c r="F21" s="8">
        <f>IFERROR(E21/E444, "NA")</f>
        <v>5.5999974911427365E-2</v>
      </c>
      <c r="G21" s="9"/>
      <c r="H21" s="10">
        <f t="shared" ref="H21:H29" si="4">IFERROR(B21-E21, "NA")</f>
        <v>-9821.2000000000007</v>
      </c>
      <c r="I21" s="8">
        <f>IFERROR(H21/H444, "NA")</f>
        <v>-0.32468440531663595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34329.99</v>
      </c>
      <c r="U21" s="8">
        <f>IFERROR(T21/T444, "NA")</f>
        <v>5.5999996868044709E-2</v>
      </c>
      <c r="V21" s="9"/>
      <c r="W21" s="10">
        <f t="shared" ref="W21:W29" si="6">IFERROR(Q21-T21, "NA")</f>
        <v>-34329.99</v>
      </c>
      <c r="X21" s="8">
        <f>IFERROR(W21/W444, "NA")</f>
        <v>-0.33485045114112999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8185.1</v>
      </c>
      <c r="C22" s="8">
        <f>IFERROR(B22/B444, "NA")</f>
        <v>3.9805550922033139E-2</v>
      </c>
      <c r="D22" s="9"/>
      <c r="E22" s="7">
        <v>0</v>
      </c>
      <c r="F22" s="8">
        <f>IFERROR(E22/E444, "NA")</f>
        <v>0</v>
      </c>
      <c r="G22" s="9"/>
      <c r="H22" s="10">
        <f t="shared" si="4"/>
        <v>8185.1</v>
      </c>
      <c r="I22" s="8">
        <f>IFERROR(H22/H444, "NA")</f>
        <v>0.27059568341518314</v>
      </c>
      <c r="J22" s="9"/>
      <c r="K22" s="7">
        <v>6113.85</v>
      </c>
      <c r="L22" s="8">
        <f>IFERROR(K22/K444, "NA")</f>
        <v>3.9741377001645595E-2</v>
      </c>
      <c r="M22" s="9"/>
      <c r="N22" s="10">
        <f t="shared" si="5"/>
        <v>2071.25</v>
      </c>
      <c r="O22" s="8">
        <f>IFERROR(N22/N444, "NA")</f>
        <v>3.9996192034245433E-2</v>
      </c>
      <c r="P22" s="9"/>
      <c r="Q22" s="7">
        <v>28463.25</v>
      </c>
      <c r="R22" s="8">
        <f>IFERROR(Q22/Q444, "NA")</f>
        <v>3.9777646821871772E-2</v>
      </c>
      <c r="S22" s="9"/>
      <c r="T22" s="7">
        <v>0</v>
      </c>
      <c r="U22" s="8">
        <f>IFERROR(T22/T444, "NA")</f>
        <v>0</v>
      </c>
      <c r="V22" s="9"/>
      <c r="W22" s="10">
        <f t="shared" si="6"/>
        <v>28463.25</v>
      </c>
      <c r="X22" s="8">
        <f>IFERROR(W22/W444, "NA")</f>
        <v>0.27762699911776167</v>
      </c>
      <c r="Y22" s="9"/>
      <c r="Z22" s="7">
        <v>23590.639999999999</v>
      </c>
      <c r="AA22" s="8">
        <f>IFERROR(Z22/Z444, "NA")</f>
        <v>4.2365992628660941E-2</v>
      </c>
      <c r="AB22" s="9"/>
      <c r="AC22" s="10">
        <f t="shared" si="7"/>
        <v>4872.6100000000006</v>
      </c>
      <c r="AD22" s="8">
        <f>IFERROR(AC22/AC444, "NA")</f>
        <v>3.0697611008025042E-2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1717.59</v>
      </c>
      <c r="C24" s="8">
        <f>IFERROR(B24/B444, "NA")</f>
        <v>8.3529359700156239E-3</v>
      </c>
      <c r="D24" s="9"/>
      <c r="E24" s="7">
        <v>0</v>
      </c>
      <c r="F24" s="8">
        <f>IFERROR(E24/E444, "NA")</f>
        <v>0</v>
      </c>
      <c r="G24" s="9"/>
      <c r="H24" s="10">
        <f t="shared" si="4"/>
        <v>1717.59</v>
      </c>
      <c r="I24" s="8">
        <f>IFERROR(H24/H444, "NA")</f>
        <v>5.6782744239787471E-2</v>
      </c>
      <c r="J24" s="9"/>
      <c r="K24" s="7">
        <v>442.81</v>
      </c>
      <c r="L24" s="8">
        <f>IFERROR(K24/K444, "NA")</f>
        <v>2.8783629219066029E-3</v>
      </c>
      <c r="M24" s="9"/>
      <c r="N24" s="10">
        <f t="shared" si="5"/>
        <v>1274.78</v>
      </c>
      <c r="O24" s="8">
        <f>IFERROR(N24/N444, "NA")</f>
        <v>2.4616220003097353E-2</v>
      </c>
      <c r="P24" s="9"/>
      <c r="Q24" s="7">
        <v>6578.68</v>
      </c>
      <c r="R24" s="8">
        <f>IFERROR(Q24/Q444, "NA")</f>
        <v>9.1937642255930513E-3</v>
      </c>
      <c r="S24" s="9"/>
      <c r="T24" s="7">
        <v>0</v>
      </c>
      <c r="U24" s="8">
        <f>IFERROR(T24/T444, "NA")</f>
        <v>0</v>
      </c>
      <c r="V24" s="9"/>
      <c r="W24" s="10">
        <f t="shared" si="6"/>
        <v>6578.68</v>
      </c>
      <c r="X24" s="8">
        <f>IFERROR(W24/W444, "NA")</f>
        <v>6.4167626204176847E-2</v>
      </c>
      <c r="Y24" s="9"/>
      <c r="Z24" s="7">
        <v>1578.37</v>
      </c>
      <c r="AA24" s="8">
        <f>IFERROR(Z24/Z444, "NA")</f>
        <v>2.8345653948048705E-3</v>
      </c>
      <c r="AB24" s="9"/>
      <c r="AC24" s="10">
        <f t="shared" si="7"/>
        <v>5000.3100000000004</v>
      </c>
      <c r="AD24" s="8">
        <f>IFERROR(AC24/AC444, "NA")</f>
        <v>3.150212541113237E-2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1535.57</v>
      </c>
      <c r="C26" s="8">
        <f>IFERROR(B26/B444, "NA")</f>
        <v>7.4677413628845609E-3</v>
      </c>
      <c r="D26" s="9"/>
      <c r="E26" s="7">
        <v>0</v>
      </c>
      <c r="F26" s="8">
        <f>IFERROR(E26/E444, "NA")</f>
        <v>0</v>
      </c>
      <c r="G26" s="9"/>
      <c r="H26" s="10">
        <f t="shared" si="4"/>
        <v>1535.57</v>
      </c>
      <c r="I26" s="8">
        <f>IFERROR(H26/H444, "NA")</f>
        <v>5.0765245822513197E-2</v>
      </c>
      <c r="J26" s="9"/>
      <c r="K26" s="7">
        <v>444.26</v>
      </c>
      <c r="L26" s="8">
        <f>IFERROR(K26/K444, "NA")</f>
        <v>2.8877882425560114E-3</v>
      </c>
      <c r="M26" s="9"/>
      <c r="N26" s="10">
        <f t="shared" si="5"/>
        <v>1091.31</v>
      </c>
      <c r="O26" s="8">
        <f>IFERROR(N26/N444, "NA")</f>
        <v>2.1073382898680694E-2</v>
      </c>
      <c r="P26" s="9"/>
      <c r="Q26" s="7">
        <v>11530.31</v>
      </c>
      <c r="R26" s="8">
        <f>IFERROR(Q26/Q444, "NA")</f>
        <v>1.6113711502611133E-2</v>
      </c>
      <c r="S26" s="9"/>
      <c r="T26" s="7">
        <v>0</v>
      </c>
      <c r="U26" s="8">
        <f>IFERROR(T26/T444, "NA")</f>
        <v>0</v>
      </c>
      <c r="V26" s="9"/>
      <c r="W26" s="10">
        <f t="shared" si="6"/>
        <v>11530.31</v>
      </c>
      <c r="X26" s="8">
        <f>IFERROR(W26/W444, "NA")</f>
        <v>0.11246520914503856</v>
      </c>
      <c r="Y26" s="9"/>
      <c r="Z26" s="7">
        <v>1973.48</v>
      </c>
      <c r="AA26" s="8">
        <f>IFERROR(Z26/Z444, "NA")</f>
        <v>3.544136112153371E-3</v>
      </c>
      <c r="AB26" s="9"/>
      <c r="AC26" s="10">
        <f t="shared" si="7"/>
        <v>9556.83</v>
      </c>
      <c r="AD26" s="8">
        <f>IFERROR(AC26/AC444, "NA")</f>
        <v>6.0208358520346165E-2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78.8</v>
      </c>
      <c r="AA27" s="8">
        <f>IFERROR(Z27/Z444, "NA")</f>
        <v>1.4151545778912664E-4</v>
      </c>
      <c r="AB27" s="9"/>
      <c r="AC27" s="10">
        <f t="shared" si="7"/>
        <v>-78.8</v>
      </c>
      <c r="AD27" s="8">
        <f>IFERROR(AC27/AC444, "NA")</f>
        <v>-4.9644271703099018E-4</v>
      </c>
    </row>
    <row r="28" spans="1:30" ht="16.5" customHeight="1" x14ac:dyDescent="0.45">
      <c r="A28" s="12" t="s">
        <v>29</v>
      </c>
      <c r="B28" s="7">
        <v>814.64</v>
      </c>
      <c r="C28" s="8">
        <f>IFERROR(B28/B444, "NA")</f>
        <v>3.9617346157194257E-3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814.64</v>
      </c>
      <c r="I28" s="8">
        <f>IFERROR(H28/H444, "NA")</f>
        <v>2.6931627901594948E-2</v>
      </c>
      <c r="J28" s="9"/>
      <c r="K28" s="7">
        <v>814.76</v>
      </c>
      <c r="L28" s="8">
        <f>IFERROR(K28/K444, "NA")</f>
        <v>5.2961201740083196E-3</v>
      </c>
      <c r="M28" s="9"/>
      <c r="N28" s="10">
        <f t="shared" si="5"/>
        <v>-0.12000000000000455</v>
      </c>
      <c r="O28" s="8">
        <f>IFERROR(N28/N444, "NA")</f>
        <v>-2.3172205403064015E-6</v>
      </c>
      <c r="P28" s="9"/>
      <c r="Q28" s="7">
        <v>3144.75</v>
      </c>
      <c r="R28" s="8">
        <f>IFERROR(Q28/Q444, "NA")</f>
        <v>4.3948162926960646E-3</v>
      </c>
      <c r="S28" s="9"/>
      <c r="T28" s="7">
        <v>0</v>
      </c>
      <c r="U28" s="8">
        <f>IFERROR(T28/T444, "NA")</f>
        <v>0</v>
      </c>
      <c r="V28" s="9"/>
      <c r="W28" s="10">
        <f t="shared" si="6"/>
        <v>3144.75</v>
      </c>
      <c r="X28" s="8">
        <f>IFERROR(W28/W444, "NA")</f>
        <v>3.0673500231898364E-2</v>
      </c>
      <c r="Y28" s="9"/>
      <c r="Z28" s="7">
        <v>3217.12</v>
      </c>
      <c r="AA28" s="8">
        <f>IFERROR(Z28/Z444, "NA")</f>
        <v>5.7775661111999369E-3</v>
      </c>
      <c r="AB28" s="9"/>
      <c r="AC28" s="10">
        <f t="shared" si="7"/>
        <v>-72.369999999999891</v>
      </c>
      <c r="AD28" s="8">
        <f>IFERROR(AC28/AC444, "NA")</f>
        <v>-4.5593349532401911E-4</v>
      </c>
    </row>
    <row r="29" spans="1:30" ht="16.5" customHeight="1" x14ac:dyDescent="0.45">
      <c r="A29" s="13" t="s">
        <v>30</v>
      </c>
      <c r="B29" s="14">
        <f>IFERROR(B21+B22+B23+B24+B25+B26+B27+B28, "NA")</f>
        <v>12252.9</v>
      </c>
      <c r="C29" s="15">
        <f>IFERROR(B29/B444, "NA")</f>
        <v>5.9587962870652746E-2</v>
      </c>
      <c r="D29" s="2"/>
      <c r="E29" s="14">
        <f>IFERROR(E21+E22+E23+E24+E25+E26+E27+E28, "NA")</f>
        <v>9821.2000000000007</v>
      </c>
      <c r="F29" s="15">
        <f>IFERROR(E29/E444, "NA")</f>
        <v>5.5999974911427365E-2</v>
      </c>
      <c r="G29" s="2"/>
      <c r="H29" s="14">
        <f t="shared" si="4"/>
        <v>2431.6999999999989</v>
      </c>
      <c r="I29" s="15">
        <f>IFERROR(H29/H444, "NA")</f>
        <v>8.0390896062442804E-2</v>
      </c>
      <c r="J29" s="2"/>
      <c r="K29" s="14">
        <f>IFERROR(K21+K22+K23+K24+K25+K26+K27+K28, "NA")</f>
        <v>7815.6800000000012</v>
      </c>
      <c r="L29" s="15">
        <f>IFERROR(K29/K444, "NA")</f>
        <v>5.0803648340116532E-2</v>
      </c>
      <c r="M29" s="2"/>
      <c r="N29" s="14">
        <f t="shared" si="5"/>
        <v>4437.2199999999984</v>
      </c>
      <c r="O29" s="15">
        <f>IFERROR(N29/N444, "NA")</f>
        <v>8.5683477715483153E-2</v>
      </c>
      <c r="P29" s="2"/>
      <c r="Q29" s="14">
        <f>IFERROR(Q21+Q22+Q23+Q24+Q25+Q26+Q27+Q28, "NA")</f>
        <v>49716.99</v>
      </c>
      <c r="R29" s="15">
        <f>IFERROR(Q29/Q444, "NA")</f>
        <v>6.9479938842772024E-2</v>
      </c>
      <c r="S29" s="2"/>
      <c r="T29" s="14">
        <f>IFERROR(T21+T22+T23+T24+T25+T26+T27+T28, "NA")</f>
        <v>34329.99</v>
      </c>
      <c r="U29" s="15">
        <f>IFERROR(T29/T444, "NA")</f>
        <v>5.5999996868044709E-2</v>
      </c>
      <c r="V29" s="2"/>
      <c r="W29" s="14">
        <f t="shared" si="6"/>
        <v>15387</v>
      </c>
      <c r="X29" s="15">
        <f>IFERROR(W29/W444, "NA")</f>
        <v>0.15008288355774549</v>
      </c>
      <c r="Y29" s="2"/>
      <c r="Z29" s="14">
        <f>IFERROR(Z21+Z22+Z23+Z24+Z25+Z26+Z27+Z28, "NA")</f>
        <v>30438.409999999996</v>
      </c>
      <c r="AA29" s="15">
        <f>IFERROR(Z29/Z444, "NA")</f>
        <v>5.4663775704608238E-2</v>
      </c>
      <c r="AB29" s="2"/>
      <c r="AC29" s="14">
        <f t="shared" si="7"/>
        <v>19278.580000000002</v>
      </c>
      <c r="AD29" s="15">
        <f>IFERROR(AC29/AC444, "NA")</f>
        <v>0.12145571872714858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47176.86</v>
      </c>
      <c r="F31" s="8">
        <f>IFERROR(E31/E444, "NA")</f>
        <v>0.26900001796113726</v>
      </c>
      <c r="G31" s="9"/>
      <c r="H31" s="10">
        <f t="shared" ref="H31:H40" si="8">IFERROR(B31-E31, "NA")</f>
        <v>-47176.86</v>
      </c>
      <c r="I31" s="8">
        <f>IFERROR(H31/H444, "NA")</f>
        <v>-1.5596455355563668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164906.57</v>
      </c>
      <c r="U31" s="8">
        <f>IFERROR(T31/T444, "NA")</f>
        <v>0.26900000272414865</v>
      </c>
      <c r="V31" s="9"/>
      <c r="W31" s="10">
        <f t="shared" ref="W31:W40" si="10">IFERROR(Q31-T31, "NA")</f>
        <v>-164906.57</v>
      </c>
      <c r="X31" s="8">
        <f>IFERROR(W31/W444, "NA")</f>
        <v>-1.6084781661933585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19636.46</v>
      </c>
      <c r="C33" s="8">
        <f>IFERROR(B33/B444, "NA")</f>
        <v>9.5495486733023022E-2</v>
      </c>
      <c r="D33" s="9"/>
      <c r="E33" s="7">
        <v>0</v>
      </c>
      <c r="F33" s="8">
        <f>IFERROR(E33/E444, "NA")</f>
        <v>0</v>
      </c>
      <c r="G33" s="9"/>
      <c r="H33" s="10">
        <f t="shared" si="8"/>
        <v>19636.46</v>
      </c>
      <c r="I33" s="8">
        <f>IFERROR(H33/H444, "NA")</f>
        <v>0.64917243693478477</v>
      </c>
      <c r="J33" s="9"/>
      <c r="K33" s="7">
        <v>11792.41</v>
      </c>
      <c r="L33" s="8">
        <f>IFERROR(K33/K444, "NA")</f>
        <v>7.6653272744338752E-2</v>
      </c>
      <c r="M33" s="9"/>
      <c r="N33" s="10">
        <f t="shared" si="9"/>
        <v>7844.0499999999993</v>
      </c>
      <c r="O33" s="8">
        <f>IFERROR(N33/N444, "NA")</f>
        <v>0.15146994815991449</v>
      </c>
      <c r="P33" s="9"/>
      <c r="Q33" s="7">
        <v>81716.5</v>
      </c>
      <c r="R33" s="8">
        <f>IFERROR(Q33/Q444, "NA")</f>
        <v>0.11419954068911613</v>
      </c>
      <c r="S33" s="9"/>
      <c r="T33" s="7">
        <v>0</v>
      </c>
      <c r="U33" s="8">
        <f>IFERROR(T33/T444, "NA")</f>
        <v>0</v>
      </c>
      <c r="V33" s="9"/>
      <c r="W33" s="10">
        <f t="shared" si="10"/>
        <v>81716.5</v>
      </c>
      <c r="X33" s="8">
        <f>IFERROR(W33/W444, "NA")</f>
        <v>0.79705257387707218</v>
      </c>
      <c r="Y33" s="9"/>
      <c r="Z33" s="7">
        <v>46582.64</v>
      </c>
      <c r="AA33" s="8">
        <f>IFERROR(Z33/Z444, "NA")</f>
        <v>8.3656898789671086E-2</v>
      </c>
      <c r="AB33" s="9"/>
      <c r="AC33" s="10">
        <f t="shared" si="11"/>
        <v>35133.86</v>
      </c>
      <c r="AD33" s="8">
        <f>IFERROR(AC33/AC444, "NA")</f>
        <v>0.22134452941860946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2745.13</v>
      </c>
      <c r="C35" s="8">
        <f>IFERROR(B35/B444, "NA")</f>
        <v>1.3350039950959772E-2</v>
      </c>
      <c r="D35" s="9"/>
      <c r="E35" s="7">
        <v>0</v>
      </c>
      <c r="F35" s="8">
        <f>IFERROR(E35/E444, "NA")</f>
        <v>0</v>
      </c>
      <c r="G35" s="9"/>
      <c r="H35" s="10">
        <f t="shared" si="8"/>
        <v>2745.13</v>
      </c>
      <c r="I35" s="8">
        <f>IFERROR(H35/H444, "NA")</f>
        <v>9.0752749314427644E-2</v>
      </c>
      <c r="J35" s="9"/>
      <c r="K35" s="7">
        <v>0</v>
      </c>
      <c r="L35" s="8">
        <f>IFERROR(K35/K444, "NA")</f>
        <v>0</v>
      </c>
      <c r="M35" s="9"/>
      <c r="N35" s="10">
        <f t="shared" si="9"/>
        <v>2745.13</v>
      </c>
      <c r="O35" s="8">
        <f>IFERROR(N35/N444, "NA")</f>
        <v>5.3008930181758923E-2</v>
      </c>
      <c r="P35" s="9"/>
      <c r="Q35" s="7">
        <v>9226.9599999999991</v>
      </c>
      <c r="R35" s="8">
        <f>IFERROR(Q35/Q444, "NA")</f>
        <v>1.2894759246380436E-2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9226.9599999999991</v>
      </c>
      <c r="X35" s="8">
        <f>IFERROR(W35/W444, "NA")</f>
        <v>8.9998619826605258E-2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9226.9599999999991</v>
      </c>
      <c r="AD35" s="8">
        <f>IFERROR(AC35/AC444, "NA")</f>
        <v>5.8130166146399299E-2</v>
      </c>
    </row>
    <row r="36" spans="1:30" ht="16.5" customHeight="1" x14ac:dyDescent="0.45">
      <c r="A36" s="12" t="s">
        <v>36</v>
      </c>
      <c r="B36" s="7">
        <v>18986.89</v>
      </c>
      <c r="C36" s="8">
        <f>IFERROR(B36/B444, "NA")</f>
        <v>9.2336515955338566E-2</v>
      </c>
      <c r="D36" s="9"/>
      <c r="E36" s="7">
        <v>0</v>
      </c>
      <c r="F36" s="8">
        <f>IFERROR(E36/E444, "NA")</f>
        <v>0</v>
      </c>
      <c r="G36" s="9"/>
      <c r="H36" s="10">
        <f t="shared" si="8"/>
        <v>18986.89</v>
      </c>
      <c r="I36" s="8">
        <f>IFERROR(H36/H444, "NA")</f>
        <v>0.62769794815932689</v>
      </c>
      <c r="J36" s="9"/>
      <c r="K36" s="7">
        <v>19097.310000000001</v>
      </c>
      <c r="L36" s="8">
        <f>IFERROR(K36/K444, "NA")</f>
        <v>0.12413673813183124</v>
      </c>
      <c r="M36" s="9"/>
      <c r="N36" s="10">
        <f t="shared" si="9"/>
        <v>-110.42000000000189</v>
      </c>
      <c r="O36" s="8">
        <f>IFERROR(N36/N444, "NA")</f>
        <v>-2.1322291005052294E-3</v>
      </c>
      <c r="P36" s="9"/>
      <c r="Q36" s="7">
        <v>94444.37</v>
      </c>
      <c r="R36" s="8">
        <f>IFERROR(Q36/Q444, "NA")</f>
        <v>0.13198685301833704</v>
      </c>
      <c r="S36" s="9"/>
      <c r="T36" s="7">
        <v>0</v>
      </c>
      <c r="U36" s="8">
        <f>IFERROR(T36/T444, "NA")</f>
        <v>0</v>
      </c>
      <c r="V36" s="9"/>
      <c r="W36" s="10">
        <f t="shared" si="10"/>
        <v>94444.37</v>
      </c>
      <c r="X36" s="8">
        <f>IFERROR(W36/W444, "NA")</f>
        <v>0.92119863426234028</v>
      </c>
      <c r="Y36" s="9"/>
      <c r="Z36" s="7">
        <v>57043.95</v>
      </c>
      <c r="AA36" s="8">
        <f>IFERROR(Z36/Z444, "NA")</f>
        <v>0.10244417129885849</v>
      </c>
      <c r="AB36" s="9"/>
      <c r="AC36" s="10">
        <f t="shared" si="11"/>
        <v>37400.42</v>
      </c>
      <c r="AD36" s="8">
        <f>IFERROR(AC36/AC444, "NA")</f>
        <v>0.2356239355697993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2918.95</v>
      </c>
      <c r="C39" s="8">
        <f>IFERROR(B39/B444, "NA")</f>
        <v>1.4195356545902751E-2</v>
      </c>
      <c r="D39" s="9"/>
      <c r="E39" s="7">
        <v>0</v>
      </c>
      <c r="F39" s="8">
        <f>IFERROR(E39/E444, "NA")</f>
        <v>0</v>
      </c>
      <c r="G39" s="9"/>
      <c r="H39" s="10">
        <f t="shared" si="8"/>
        <v>2918.95</v>
      </c>
      <c r="I39" s="8">
        <f>IFERROR(H39/H444, "NA")</f>
        <v>9.6499159461063244E-2</v>
      </c>
      <c r="J39" s="9"/>
      <c r="K39" s="7">
        <v>3054.81</v>
      </c>
      <c r="L39" s="8">
        <f>IFERROR(K39/K444, "NA")</f>
        <v>1.9856940533116936E-2</v>
      </c>
      <c r="M39" s="9"/>
      <c r="N39" s="10">
        <f t="shared" si="9"/>
        <v>-135.86000000000013</v>
      </c>
      <c r="O39" s="8">
        <f>IFERROR(N39/N444, "NA")</f>
        <v>-2.6234798550501337E-3</v>
      </c>
      <c r="P39" s="9"/>
      <c r="Q39" s="7">
        <v>9210.75</v>
      </c>
      <c r="R39" s="8">
        <f>IFERROR(Q39/Q444, "NA")</f>
        <v>1.2872105626186589E-2</v>
      </c>
      <c r="S39" s="9"/>
      <c r="T39" s="7">
        <v>0</v>
      </c>
      <c r="U39" s="8">
        <f>IFERROR(T39/T444, "NA")</f>
        <v>0</v>
      </c>
      <c r="V39" s="9"/>
      <c r="W39" s="10">
        <f t="shared" si="10"/>
        <v>9210.75</v>
      </c>
      <c r="X39" s="8">
        <f>IFERROR(W39/W444, "NA")</f>
        <v>8.9840509503444743E-2</v>
      </c>
      <c r="Y39" s="9"/>
      <c r="Z39" s="7">
        <v>7859.56</v>
      </c>
      <c r="AA39" s="8">
        <f>IFERROR(Z39/Z444, "NA")</f>
        <v>1.4114837962196805E-2</v>
      </c>
      <c r="AB39" s="9"/>
      <c r="AC39" s="10">
        <f t="shared" si="11"/>
        <v>1351.1899999999996</v>
      </c>
      <c r="AD39" s="8">
        <f>IFERROR(AC39/AC444, "NA")</f>
        <v>8.5125435891510587E-3</v>
      </c>
    </row>
    <row r="40" spans="1:30" ht="16.5" customHeight="1" x14ac:dyDescent="0.45">
      <c r="A40" s="13" t="s">
        <v>40</v>
      </c>
      <c r="B40" s="14">
        <f>IFERROR(B31+B32+B33+B34+B35+B36+B37+B38+B39, "NA")</f>
        <v>44287.429999999993</v>
      </c>
      <c r="C40" s="15">
        <f>IFERROR(B40/B444, "NA")</f>
        <v>0.21537739918522408</v>
      </c>
      <c r="D40" s="2"/>
      <c r="E40" s="14">
        <f>IFERROR(E31+E32+E33+E34+E35+E36+E37+E38+E39, "NA")</f>
        <v>47176.86</v>
      </c>
      <c r="F40" s="15">
        <f>IFERROR(E40/E444, "NA")</f>
        <v>0.26900001796113726</v>
      </c>
      <c r="G40" s="2"/>
      <c r="H40" s="14">
        <f t="shared" si="8"/>
        <v>-2889.4300000000076</v>
      </c>
      <c r="I40" s="15">
        <f>IFERROR(H40/H444, "NA")</f>
        <v>-9.5523241686764335E-2</v>
      </c>
      <c r="J40" s="2"/>
      <c r="K40" s="14">
        <f>IFERROR(K31+K32+K33+K34+K35+K36+K37+K38+K39, "NA")</f>
        <v>33944.53</v>
      </c>
      <c r="L40" s="15">
        <f>IFERROR(K40/K444, "NA")</f>
        <v>0.22064695140928692</v>
      </c>
      <c r="M40" s="2"/>
      <c r="N40" s="14">
        <f t="shared" si="9"/>
        <v>10342.899999999994</v>
      </c>
      <c r="O40" s="15">
        <f>IFERROR(N40/N444, "NA")</f>
        <v>0.19972316938611798</v>
      </c>
      <c r="P40" s="2"/>
      <c r="Q40" s="14">
        <f>IFERROR(Q31+Q32+Q33+Q34+Q35+Q36+Q37+Q38+Q39, "NA")</f>
        <v>194598.58</v>
      </c>
      <c r="R40" s="15">
        <f>IFERROR(Q40/Q444, "NA")</f>
        <v>0.27195325858002017</v>
      </c>
      <c r="S40" s="2"/>
      <c r="T40" s="14">
        <f>IFERROR(T31+T32+T33+T34+T35+T36+T37+T38+T39, "NA")</f>
        <v>164906.57</v>
      </c>
      <c r="U40" s="15">
        <f>IFERROR(T40/T444, "NA")</f>
        <v>0.26900000272414865</v>
      </c>
      <c r="V40" s="2"/>
      <c r="W40" s="14">
        <f t="shared" si="10"/>
        <v>29692.00999999998</v>
      </c>
      <c r="X40" s="15">
        <f>IFERROR(W40/W444, "NA")</f>
        <v>0.28961217127610395</v>
      </c>
      <c r="Y40" s="2"/>
      <c r="Z40" s="14">
        <f>IFERROR(Z31+Z32+Z33+Z34+Z35+Z36+Z37+Z38+Z39, "NA")</f>
        <v>111486.15</v>
      </c>
      <c r="AA40" s="15">
        <f>IFERROR(Z40/Z444, "NA")</f>
        <v>0.20021590805072639</v>
      </c>
      <c r="AB40" s="2"/>
      <c r="AC40" s="14">
        <f t="shared" si="11"/>
        <v>83112.429999999993</v>
      </c>
      <c r="AD40" s="15">
        <f>IFERROR(AC40/AC444, "NA")</f>
        <v>0.52361117472395913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19211.830000000002</v>
      </c>
      <c r="C43" s="8">
        <f>IFERROR(B43/B444, "NA")</f>
        <v>9.3430437914068729E-2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19211.830000000002</v>
      </c>
      <c r="I43" s="8">
        <f>IFERROR(H43/H444, "NA")</f>
        <v>0.63513436225657827</v>
      </c>
      <c r="J43" s="9"/>
      <c r="K43" s="7">
        <v>5171.22</v>
      </c>
      <c r="L43" s="8">
        <f>IFERROR(K43/K444, "NA")</f>
        <v>3.3614073550782199E-2</v>
      </c>
      <c r="M43" s="9"/>
      <c r="N43" s="10">
        <f>IFERROR(B43-K43, "NA")</f>
        <v>14040.61</v>
      </c>
      <c r="O43" s="8">
        <f>IFERROR(N43/N444, "NA")</f>
        <v>0.27112658242025195</v>
      </c>
      <c r="P43" s="9"/>
      <c r="Q43" s="7">
        <v>52200.160000000003</v>
      </c>
      <c r="R43" s="8">
        <f>IFERROR(Q43/Q444, "NA")</f>
        <v>7.2950191159660199E-2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52200.160000000003</v>
      </c>
      <c r="X43" s="8">
        <f>IFERROR(W43/W444, "NA")</f>
        <v>0.5091538659242012</v>
      </c>
      <c r="Y43" s="9"/>
      <c r="Z43" s="7">
        <v>6365.95</v>
      </c>
      <c r="AA43" s="8">
        <f>IFERROR(Z43/Z444, "NA")</f>
        <v>1.1432491478587445E-2</v>
      </c>
      <c r="AB43" s="9"/>
      <c r="AC43" s="10">
        <f>IFERROR(Q43-Z43, "NA")</f>
        <v>45834.210000000006</v>
      </c>
      <c r="AD43" s="8">
        <f>IFERROR(AC43/AC444, "NA")</f>
        <v>0.28875710336762672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77341.98</v>
      </c>
      <c r="F46" s="8">
        <f>IFERROR(E46/E444, "NA")</f>
        <v>0.44099997348594028</v>
      </c>
      <c r="G46" s="9"/>
      <c r="H46" s="10">
        <f t="shared" ref="H46:H62" si="12">IFERROR(B46-E46, "NA")</f>
        <v>-77341.98</v>
      </c>
      <c r="I46" s="8">
        <f>IFERROR(H46/H444, "NA")</f>
        <v>-2.5568906836548639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270348.69</v>
      </c>
      <c r="U46" s="8">
        <f>IFERROR(T46/T444, "NA")</f>
        <v>0.44100000592135302</v>
      </c>
      <c r="V46" s="9"/>
      <c r="W46" s="10">
        <f t="shared" ref="W46:W62" si="14">IFERROR(Q46-T46, "NA")</f>
        <v>-270348.69</v>
      </c>
      <c r="X46" s="8">
        <f>IFERROR(W46/W444, "NA")</f>
        <v>-2.6369474856215658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40257.699999999997</v>
      </c>
      <c r="C48" s="8">
        <f>IFERROR(B48/B444, "NA")</f>
        <v>0.19578012820294599</v>
      </c>
      <c r="D48" s="9"/>
      <c r="E48" s="7">
        <v>0</v>
      </c>
      <c r="F48" s="8">
        <f>IFERROR(E48/E444, "NA")</f>
        <v>0</v>
      </c>
      <c r="G48" s="9"/>
      <c r="H48" s="10">
        <f t="shared" si="12"/>
        <v>40257.699999999997</v>
      </c>
      <c r="I48" s="8">
        <f>IFERROR(H48/H444, "NA")</f>
        <v>1.3309012527914648</v>
      </c>
      <c r="J48" s="9"/>
      <c r="K48" s="7">
        <v>46112.44</v>
      </c>
      <c r="L48" s="8">
        <f>IFERROR(K48/K444, "NA")</f>
        <v>0.2997410571907656</v>
      </c>
      <c r="M48" s="9"/>
      <c r="N48" s="10">
        <f t="shared" si="13"/>
        <v>-5854.7400000000052</v>
      </c>
      <c r="O48" s="8">
        <f>IFERROR(N48/N444, "NA")</f>
        <v>-0.113056031551275</v>
      </c>
      <c r="P48" s="9"/>
      <c r="Q48" s="7">
        <v>159747.44</v>
      </c>
      <c r="R48" s="8">
        <f>IFERROR(Q48/Q444, "NA")</f>
        <v>0.22324847826647173</v>
      </c>
      <c r="S48" s="9"/>
      <c r="T48" s="7">
        <v>0</v>
      </c>
      <c r="U48" s="8">
        <f>IFERROR(T48/T444, "NA")</f>
        <v>0</v>
      </c>
      <c r="V48" s="9"/>
      <c r="W48" s="10">
        <f t="shared" si="14"/>
        <v>159747.44</v>
      </c>
      <c r="X48" s="8">
        <f>IFERROR(W48/W444, "NA")</f>
        <v>1.5581566540695349</v>
      </c>
      <c r="Y48" s="9"/>
      <c r="Z48" s="7">
        <v>174986.67</v>
      </c>
      <c r="AA48" s="8">
        <f>IFERROR(Z48/Z444, "NA")</f>
        <v>0.31425531360462988</v>
      </c>
      <c r="AB48" s="9"/>
      <c r="AC48" s="10">
        <f t="shared" si="15"/>
        <v>-15239.23000000001</v>
      </c>
      <c r="AD48" s="8">
        <f>IFERROR(AC48/AC444, "NA")</f>
        <v>-9.6007674450002314E-2</v>
      </c>
    </row>
    <row r="49" spans="1:30" ht="16.5" customHeight="1" x14ac:dyDescent="0.45">
      <c r="A49" s="17" t="s">
        <v>47</v>
      </c>
      <c r="B49" s="7">
        <v>2141.23</v>
      </c>
      <c r="C49" s="8">
        <f>IFERROR(B49/B444, "NA")</f>
        <v>1.0413170248474058E-2</v>
      </c>
      <c r="D49" s="9"/>
      <c r="E49" s="7">
        <v>0</v>
      </c>
      <c r="F49" s="8">
        <f>IFERROR(E49/E444, "NA")</f>
        <v>0</v>
      </c>
      <c r="G49" s="9"/>
      <c r="H49" s="10">
        <f t="shared" si="12"/>
        <v>2141.23</v>
      </c>
      <c r="I49" s="8">
        <f>IFERROR(H49/H444, "NA")</f>
        <v>7.0788089968246273E-2</v>
      </c>
      <c r="J49" s="9"/>
      <c r="K49" s="7">
        <v>0</v>
      </c>
      <c r="L49" s="8">
        <f>IFERROR(K49/K444, "NA")</f>
        <v>0</v>
      </c>
      <c r="M49" s="9"/>
      <c r="N49" s="10">
        <f t="shared" si="13"/>
        <v>2141.23</v>
      </c>
      <c r="O49" s="8">
        <f>IFERROR(N49/N444, "NA")</f>
        <v>4.1347517812667399E-2</v>
      </c>
      <c r="P49" s="9"/>
      <c r="Q49" s="7">
        <v>2141.23</v>
      </c>
      <c r="R49" s="8">
        <f>IFERROR(Q49/Q444, "NA")</f>
        <v>2.9923881041130757E-3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2141.23</v>
      </c>
      <c r="X49" s="8">
        <f>IFERROR(W49/W444, "NA")</f>
        <v>2.0885291009316395E-2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2141.23</v>
      </c>
      <c r="AD49" s="8">
        <f>IFERROR(AC49/AC444, "NA")</f>
        <v>1.3489822829800345E-2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customHeight="1" x14ac:dyDescent="0.45">
      <c r="A51" s="17" t="s">
        <v>49</v>
      </c>
      <c r="B51" s="7">
        <v>2657.79</v>
      </c>
      <c r="C51" s="8">
        <f>IFERROR(B51/B444, "NA")</f>
        <v>1.2925290489434514E-2</v>
      </c>
      <c r="D51" s="9"/>
      <c r="E51" s="7">
        <v>0</v>
      </c>
      <c r="F51" s="8">
        <f>IFERROR(E51/E444, "NA")</f>
        <v>0</v>
      </c>
      <c r="G51" s="9"/>
      <c r="H51" s="10">
        <f t="shared" si="12"/>
        <v>2657.79</v>
      </c>
      <c r="I51" s="8">
        <f>IFERROR(H51/H444, "NA")</f>
        <v>8.7865328636673914E-2</v>
      </c>
      <c r="J51" s="9"/>
      <c r="K51" s="7">
        <v>7974.76</v>
      </c>
      <c r="L51" s="8">
        <f>IFERROR(K51/K444, "NA")</f>
        <v>5.18377035186737E-2</v>
      </c>
      <c r="M51" s="9"/>
      <c r="N51" s="10">
        <f t="shared" si="13"/>
        <v>-5316.97</v>
      </c>
      <c r="O51" s="8">
        <f>IFERROR(N51/N444, "NA")</f>
        <v>-0.10267160080160384</v>
      </c>
      <c r="P51" s="9"/>
      <c r="Q51" s="7">
        <v>13224.87</v>
      </c>
      <c r="R51" s="8">
        <f>IFERROR(Q51/Q444, "NA")</f>
        <v>1.8481874280876828E-2</v>
      </c>
      <c r="S51" s="9"/>
      <c r="T51" s="7">
        <v>0</v>
      </c>
      <c r="U51" s="8">
        <f>IFERROR(T51/T444, "NA")</f>
        <v>0</v>
      </c>
      <c r="V51" s="9"/>
      <c r="W51" s="10">
        <f t="shared" si="14"/>
        <v>13224.87</v>
      </c>
      <c r="X51" s="8">
        <f>IFERROR(W51/W444, "NA")</f>
        <v>0.12899373654879584</v>
      </c>
      <c r="Y51" s="9"/>
      <c r="Z51" s="7">
        <v>32800.89</v>
      </c>
      <c r="AA51" s="8">
        <f>IFERROR(Z51/Z444, "NA")</f>
        <v>5.8906509698487125E-2</v>
      </c>
      <c r="AB51" s="9"/>
      <c r="AC51" s="10">
        <f t="shared" si="15"/>
        <v>-19576.019999999997</v>
      </c>
      <c r="AD51" s="8">
        <f>IFERROR(AC51/AC444, "NA")</f>
        <v>-0.12332960098290613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11.65</v>
      </c>
      <c r="C54" s="8">
        <f>IFERROR(B54/B444, "NA")</f>
        <v>5.6655956340385097E-5</v>
      </c>
      <c r="D54" s="9"/>
      <c r="E54" s="7">
        <v>0</v>
      </c>
      <c r="F54" s="8">
        <f>IFERROR(E54/E444, "NA")</f>
        <v>0</v>
      </c>
      <c r="G54" s="9"/>
      <c r="H54" s="10">
        <f t="shared" si="12"/>
        <v>11.65</v>
      </c>
      <c r="I54" s="8">
        <f>IFERROR(H54/H444, "NA")</f>
        <v>3.8514370157809728E-4</v>
      </c>
      <c r="J54" s="9"/>
      <c r="K54" s="7">
        <v>0</v>
      </c>
      <c r="L54" s="8">
        <f>IFERROR(K54/K444, "NA")</f>
        <v>0</v>
      </c>
      <c r="M54" s="9"/>
      <c r="N54" s="10">
        <f t="shared" si="13"/>
        <v>11.65</v>
      </c>
      <c r="O54" s="8">
        <f>IFERROR(N54/N444, "NA")</f>
        <v>2.2496349412140463E-4</v>
      </c>
      <c r="P54" s="9"/>
      <c r="Q54" s="7">
        <v>11.65</v>
      </c>
      <c r="R54" s="8">
        <f>IFERROR(Q54/Q444, "NA")</f>
        <v>1.6280979349680945E-5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11.65</v>
      </c>
      <c r="X54" s="8">
        <f>IFERROR(W54/W444, "NA")</f>
        <v>1.1363265051327321E-4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11.65</v>
      </c>
      <c r="AD54" s="8">
        <f>IFERROR(AC54/AC444, "NA")</f>
        <v>7.3395401693033448E-5</v>
      </c>
    </row>
    <row r="55" spans="1:30" ht="16.5" customHeight="1" x14ac:dyDescent="0.45">
      <c r="A55" s="17" t="s">
        <v>53</v>
      </c>
      <c r="B55" s="7">
        <v>15.65</v>
      </c>
      <c r="C55" s="8">
        <f>IFERROR(B55/B444, "NA")</f>
        <v>7.6108645212620321E-5</v>
      </c>
      <c r="D55" s="9"/>
      <c r="E55" s="7">
        <v>0</v>
      </c>
      <c r="F55" s="8">
        <f>IFERROR(E55/E444, "NA")</f>
        <v>0</v>
      </c>
      <c r="G55" s="9"/>
      <c r="H55" s="10">
        <f t="shared" si="12"/>
        <v>15.65</v>
      </c>
      <c r="I55" s="8">
        <f>IFERROR(H55/H444, "NA")</f>
        <v>5.1738188237744392E-4</v>
      </c>
      <c r="J55" s="9"/>
      <c r="K55" s="7">
        <v>0</v>
      </c>
      <c r="L55" s="8">
        <f>IFERROR(K55/K444, "NA")</f>
        <v>0</v>
      </c>
      <c r="M55" s="9"/>
      <c r="N55" s="10">
        <f t="shared" si="13"/>
        <v>15.65</v>
      </c>
      <c r="O55" s="8">
        <f>IFERROR(N55/N444, "NA")</f>
        <v>3.0220417879828177E-4</v>
      </c>
      <c r="P55" s="9"/>
      <c r="Q55" s="7">
        <v>15.65</v>
      </c>
      <c r="R55" s="8">
        <f>IFERROR(Q55/Q444, "NA")</f>
        <v>2.1871015177897579E-5</v>
      </c>
      <c r="S55" s="9"/>
      <c r="T55" s="7">
        <v>0</v>
      </c>
      <c r="U55" s="8">
        <f>IFERROR(T55/T444, "NA")</f>
        <v>0</v>
      </c>
      <c r="V55" s="9"/>
      <c r="W55" s="10">
        <f t="shared" si="14"/>
        <v>15.65</v>
      </c>
      <c r="X55" s="8">
        <f>IFERROR(W55/W444, "NA")</f>
        <v>1.5264815283542711E-4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15.65</v>
      </c>
      <c r="AD55" s="8">
        <f>IFERROR(AC55/AC444, "NA")</f>
        <v>9.8595539613388289E-5</v>
      </c>
    </row>
    <row r="56" spans="1:30" ht="16.5" customHeight="1" x14ac:dyDescent="0.45">
      <c r="A56" s="17" t="s">
        <v>54</v>
      </c>
      <c r="B56" s="7">
        <v>11.65</v>
      </c>
      <c r="C56" s="8">
        <f>IFERROR(B56/B444, "NA")</f>
        <v>5.6655956340385097E-5</v>
      </c>
      <c r="D56" s="9"/>
      <c r="E56" s="7">
        <v>0</v>
      </c>
      <c r="F56" s="8">
        <f>IFERROR(E56/E444, "NA")</f>
        <v>0</v>
      </c>
      <c r="G56" s="9"/>
      <c r="H56" s="10">
        <f t="shared" si="12"/>
        <v>11.65</v>
      </c>
      <c r="I56" s="8">
        <f>IFERROR(H56/H444, "NA")</f>
        <v>3.8514370157809728E-4</v>
      </c>
      <c r="J56" s="9"/>
      <c r="K56" s="7">
        <v>0</v>
      </c>
      <c r="L56" s="8">
        <f>IFERROR(K56/K444, "NA")</f>
        <v>0</v>
      </c>
      <c r="M56" s="9"/>
      <c r="N56" s="10">
        <f t="shared" si="13"/>
        <v>11.65</v>
      </c>
      <c r="O56" s="8">
        <f>IFERROR(N56/N444, "NA")</f>
        <v>2.2496349412140463E-4</v>
      </c>
      <c r="P56" s="9"/>
      <c r="Q56" s="7">
        <v>11.65</v>
      </c>
      <c r="R56" s="8">
        <f>IFERROR(Q56/Q444, "NA")</f>
        <v>1.6280979349680945E-5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11.65</v>
      </c>
      <c r="X56" s="8">
        <f>IFERROR(W56/W444, "NA")</f>
        <v>1.1363265051327321E-4</v>
      </c>
      <c r="Y56" s="9"/>
      <c r="Z56" s="7">
        <v>304.54000000000002</v>
      </c>
      <c r="AA56" s="8">
        <f>IFERROR(Z56/Z444, "NA")</f>
        <v>5.4691773496320592E-4</v>
      </c>
      <c r="AB56" s="9"/>
      <c r="AC56" s="10">
        <f t="shared" si="15"/>
        <v>-292.89000000000004</v>
      </c>
      <c r="AD56" s="8">
        <f>IFERROR(AC56/AC444, "NA")</f>
        <v>-1.8452170988731819E-3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customHeight="1" x14ac:dyDescent="0.45">
      <c r="A58" s="17" t="s">
        <v>56</v>
      </c>
      <c r="B58" s="7">
        <v>87.5</v>
      </c>
      <c r="C58" s="8">
        <f>IFERROR(B58/B444, "NA")</f>
        <v>4.2552756908014556E-4</v>
      </c>
      <c r="D58" s="9"/>
      <c r="E58" s="7">
        <v>0</v>
      </c>
      <c r="F58" s="8">
        <f>IFERROR(E58/E444, "NA")</f>
        <v>0</v>
      </c>
      <c r="G58" s="9"/>
      <c r="H58" s="10">
        <f t="shared" si="12"/>
        <v>87.5</v>
      </c>
      <c r="I58" s="8">
        <f>IFERROR(H58/H444, "NA")</f>
        <v>2.8927102049857087E-3</v>
      </c>
      <c r="J58" s="9"/>
      <c r="K58" s="7">
        <v>0</v>
      </c>
      <c r="L58" s="8">
        <f>IFERROR(K58/K444, "NA")</f>
        <v>0</v>
      </c>
      <c r="M58" s="9"/>
      <c r="N58" s="10">
        <f t="shared" si="13"/>
        <v>87.5</v>
      </c>
      <c r="O58" s="8">
        <f>IFERROR(N58/N444, "NA")</f>
        <v>1.6896399773066871E-3</v>
      </c>
      <c r="P58" s="9"/>
      <c r="Q58" s="7">
        <v>135</v>
      </c>
      <c r="R58" s="8">
        <f>IFERROR(Q58/Q444, "NA")</f>
        <v>1.8866370920231137E-4</v>
      </c>
      <c r="S58" s="9"/>
      <c r="T58" s="7">
        <v>0</v>
      </c>
      <c r="U58" s="8">
        <f>IFERROR(T58/T444, "NA")</f>
        <v>0</v>
      </c>
      <c r="V58" s="9"/>
      <c r="W58" s="10">
        <f t="shared" si="14"/>
        <v>135</v>
      </c>
      <c r="X58" s="8">
        <f>IFERROR(W58/W444, "NA")</f>
        <v>1.3167732033726939E-3</v>
      </c>
      <c r="Y58" s="9"/>
      <c r="Z58" s="7">
        <v>2506.1999999999998</v>
      </c>
      <c r="AA58" s="8">
        <f>IFERROR(Z58/Z444, "NA")</f>
        <v>4.5008380750140749E-3</v>
      </c>
      <c r="AB58" s="9"/>
      <c r="AC58" s="10">
        <f t="shared" si="15"/>
        <v>-2371.1999999999998</v>
      </c>
      <c r="AD58" s="8">
        <f>IFERROR(AC58/AC444, "NA")</f>
        <v>-1.4938641759186343E-2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45183.170000000006</v>
      </c>
      <c r="C61" s="15">
        <f>IFERROR(B61/B444, "NA")</f>
        <v>0.21973353706782814</v>
      </c>
      <c r="D61" s="2"/>
      <c r="E61" s="14">
        <f>IFERROR(E46+E47+E48+E49+E50+E51+E52+E53+E54+E55+E56+E57+E58+E59+E60, "NA")</f>
        <v>77341.98</v>
      </c>
      <c r="F61" s="15">
        <f>IFERROR(E61/E444, "NA")</f>
        <v>0.44099997348594028</v>
      </c>
      <c r="G61" s="2"/>
      <c r="H61" s="14">
        <f t="shared" si="12"/>
        <v>-32158.80999999999</v>
      </c>
      <c r="I61" s="15">
        <f>IFERROR(H61/H444, "NA")</f>
        <v>-1.0631556327679592</v>
      </c>
      <c r="J61" s="2"/>
      <c r="K61" s="14">
        <f>IFERROR(K46+K47+K48+K49+K50+K51+K52+K53+K54+K55+K56+K57+K58+K59+K60, "NA")</f>
        <v>54087.200000000004</v>
      </c>
      <c r="L61" s="15">
        <f>IFERROR(K61/K444, "NA")</f>
        <v>0.35157876070943933</v>
      </c>
      <c r="M61" s="2"/>
      <c r="N61" s="14">
        <f t="shared" si="13"/>
        <v>-8904.0299999999988</v>
      </c>
      <c r="O61" s="15">
        <f>IFERROR(N61/N444, "NA")</f>
        <v>-0.17193834339586353</v>
      </c>
      <c r="P61" s="2"/>
      <c r="Q61" s="14">
        <f>IFERROR(Q46+Q47+Q48+Q49+Q50+Q51+Q52+Q53+Q54+Q55+Q56+Q57+Q58+Q59+Q60, "NA")</f>
        <v>175287.49</v>
      </c>
      <c r="R61" s="15">
        <f>IFERROR(Q61/Q444, "NA")</f>
        <v>0.24496583733454119</v>
      </c>
      <c r="S61" s="2"/>
      <c r="T61" s="14">
        <f>IFERROR(T46+T47+T48+T49+T50+T51+T52+T53+T54+T55+T56+T57+T58+T59+T60, "NA")</f>
        <v>270348.69</v>
      </c>
      <c r="U61" s="15">
        <f>IFERROR(T61/T444, "NA")</f>
        <v>0.44100000592135302</v>
      </c>
      <c r="V61" s="2"/>
      <c r="W61" s="14">
        <f t="shared" si="14"/>
        <v>-95061.200000000012</v>
      </c>
      <c r="X61" s="15">
        <f>IFERROR(W61/W444, "NA")</f>
        <v>-0.92721511733668405</v>
      </c>
      <c r="Y61" s="2"/>
      <c r="Z61" s="14">
        <f>IFERROR(Z46+Z47+Z48+Z49+Z50+Z51+Z52+Z53+Z54+Z55+Z56+Z57+Z58+Z59+Z60, "NA")</f>
        <v>210598.30000000002</v>
      </c>
      <c r="AA61" s="15">
        <f>IFERROR(Z61/Z444, "NA")</f>
        <v>0.37820957911309427</v>
      </c>
      <c r="AB61" s="2"/>
      <c r="AC61" s="14">
        <f t="shared" si="15"/>
        <v>-35310.810000000027</v>
      </c>
      <c r="AD61" s="15">
        <f>IFERROR(AC61/AC444, "NA")</f>
        <v>-0.22245932051986131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64395.000000000007</v>
      </c>
      <c r="C62" s="15">
        <f>IFERROR(B62/B444, "NA")</f>
        <v>0.31316397498189685</v>
      </c>
      <c r="D62" s="2"/>
      <c r="E62" s="14">
        <f>IFERROR(E42+E43+E44+E46+E47+E48+E49+E50+E51+E52+E53+E54+E55+E56+E57+E58+E59+E60, "NA")</f>
        <v>77341.98</v>
      </c>
      <c r="F62" s="15">
        <f>IFERROR(E62/E444, "NA")</f>
        <v>0.44099997348594028</v>
      </c>
      <c r="G62" s="2"/>
      <c r="H62" s="14">
        <f t="shared" si="12"/>
        <v>-12946.979999999989</v>
      </c>
      <c r="I62" s="15">
        <f>IFERROR(H62/H444, "NA")</f>
        <v>-0.42802127051138106</v>
      </c>
      <c r="J62" s="2"/>
      <c r="K62" s="14">
        <f>IFERROR(K42+K43+K44+K46+K47+K48+K49+K50+K51+K52+K53+K54+K55+K56+K57+K58+K59+K60, "NA")</f>
        <v>59258.420000000006</v>
      </c>
      <c r="L62" s="15">
        <f>IFERROR(K62/K444, "NA")</f>
        <v>0.38519283426022155</v>
      </c>
      <c r="M62" s="2"/>
      <c r="N62" s="14">
        <f t="shared" si="13"/>
        <v>5136.5800000000017</v>
      </c>
      <c r="O62" s="15">
        <f>IFERROR(N62/N444, "NA")</f>
        <v>9.9188239024388405E-2</v>
      </c>
      <c r="P62" s="2"/>
      <c r="Q62" s="14">
        <f>IFERROR(Q42+Q43+Q44+Q46+Q47+Q48+Q49+Q50+Q51+Q52+Q53+Q54+Q55+Q56+Q57+Q58+Q59+Q60, "NA")</f>
        <v>227487.65</v>
      </c>
      <c r="R62" s="15">
        <f>IFERROR(Q62/Q444, "NA")</f>
        <v>0.31791602849420142</v>
      </c>
      <c r="S62" s="2"/>
      <c r="T62" s="14">
        <f>IFERROR(T42+T43+T44+T46+T47+T48+T49+T50+T51+T52+T53+T54+T55+T56+T57+T58+T59+T60, "NA")</f>
        <v>270348.69</v>
      </c>
      <c r="U62" s="15">
        <f>IFERROR(T62/T444, "NA")</f>
        <v>0.44100000592135302</v>
      </c>
      <c r="V62" s="2"/>
      <c r="W62" s="14">
        <f t="shared" si="14"/>
        <v>-42861.040000000008</v>
      </c>
      <c r="X62" s="15">
        <f>IFERROR(W62/W444, "NA")</f>
        <v>-0.41806125141248279</v>
      </c>
      <c r="Y62" s="2"/>
      <c r="Z62" s="14">
        <f>IFERROR(Z42+Z43+Z44+Z46+Z47+Z48+Z49+Z50+Z51+Z52+Z53+Z54+Z55+Z56+Z57+Z58+Z59+Z60, "NA")</f>
        <v>216964.25000000003</v>
      </c>
      <c r="AA62" s="15">
        <f>IFERROR(Z62/Z444, "NA")</f>
        <v>0.38964207059168177</v>
      </c>
      <c r="AB62" s="2"/>
      <c r="AC62" s="14">
        <f t="shared" si="15"/>
        <v>10523.399999999965</v>
      </c>
      <c r="AD62" s="15">
        <f>IFERROR(AC62/AC444, "NA")</f>
        <v>6.6297782847765288E-2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2925</v>
      </c>
      <c r="C65" s="8">
        <f>IFERROR(B65/B444, "NA")</f>
        <v>1.4224778737822009E-2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2925</v>
      </c>
      <c r="I65" s="8">
        <f>IFERROR(H65/H444, "NA")</f>
        <v>9.6699169709522276E-2</v>
      </c>
      <c r="J65" s="9"/>
      <c r="K65" s="7">
        <v>0</v>
      </c>
      <c r="L65" s="8">
        <f>IFERROR(K65/K444, "NA")</f>
        <v>0</v>
      </c>
      <c r="M65" s="9"/>
      <c r="N65" s="10">
        <f t="shared" si="17"/>
        <v>2925</v>
      </c>
      <c r="O65" s="8">
        <f>IFERROR(N65/N444, "NA")</f>
        <v>5.64822506699664E-2</v>
      </c>
      <c r="P65" s="9"/>
      <c r="Q65" s="7">
        <v>2925</v>
      </c>
      <c r="R65" s="8">
        <f>IFERROR(Q65/Q444, "NA")</f>
        <v>4.0877136993834129E-3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2925</v>
      </c>
      <c r="X65" s="8">
        <f>IFERROR(W65/W444, "NA")</f>
        <v>2.8530086073075035E-2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2925</v>
      </c>
      <c r="AD65" s="8">
        <f>IFERROR(AC65/AC444, "NA")</f>
        <v>1.8427600854259471E-2</v>
      </c>
    </row>
    <row r="66" spans="1:30" ht="16.5" customHeight="1" x14ac:dyDescent="0.45">
      <c r="A66" s="12" t="s">
        <v>63</v>
      </c>
      <c r="B66" s="7">
        <v>25585.54</v>
      </c>
      <c r="C66" s="8">
        <f>IFERROR(B66/B444, "NA")</f>
        <v>0.12442688731203232</v>
      </c>
      <c r="D66" s="9"/>
      <c r="E66" s="7">
        <v>0</v>
      </c>
      <c r="F66" s="8">
        <f>IFERROR(E66/E444, "NA")</f>
        <v>0</v>
      </c>
      <c r="G66" s="9"/>
      <c r="H66" s="10">
        <f t="shared" si="16"/>
        <v>25585.54</v>
      </c>
      <c r="I66" s="8">
        <f>IFERROR(H66/H444, "NA")</f>
        <v>0.84584631609222927</v>
      </c>
      <c r="J66" s="9"/>
      <c r="K66" s="7">
        <v>12568.54</v>
      </c>
      <c r="L66" s="8">
        <f>IFERROR(K66/K444, "NA")</f>
        <v>8.1698289375804561E-2</v>
      </c>
      <c r="M66" s="9"/>
      <c r="N66" s="10">
        <f t="shared" si="17"/>
        <v>13017</v>
      </c>
      <c r="O66" s="8">
        <f>IFERROR(N66/N444, "NA")</f>
        <v>0.25136049810972738</v>
      </c>
      <c r="P66" s="9"/>
      <c r="Q66" s="7">
        <v>42453.54</v>
      </c>
      <c r="R66" s="8">
        <f>IFERROR(Q66/Q444, "NA")</f>
        <v>5.9329202408656995E-2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42453.54</v>
      </c>
      <c r="X66" s="8">
        <f>IFERROR(W66/W444, "NA")</f>
        <v>0.41408654711341331</v>
      </c>
      <c r="Y66" s="9"/>
      <c r="Z66" s="7">
        <v>38905.78</v>
      </c>
      <c r="AA66" s="8">
        <f>IFERROR(Z66/Z444, "NA")</f>
        <v>6.987016836729755E-2</v>
      </c>
      <c r="AB66" s="9"/>
      <c r="AC66" s="10">
        <f t="shared" si="19"/>
        <v>3547.760000000002</v>
      </c>
      <c r="AD66" s="8">
        <f>IFERROR(AC66/AC444, "NA")</f>
        <v>2.2351010327079528E-2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1.3811231645326983E-2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9.63951138935666E-2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6.2261665758096676E-2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28510.54</v>
      </c>
      <c r="C73" s="15">
        <f>IFERROR(B73/B444, "NA")</f>
        <v>0.13865166604985432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28510.54</v>
      </c>
      <c r="I73" s="15">
        <f>IFERROR(H73/H444, "NA")</f>
        <v>0.94254548580175146</v>
      </c>
      <c r="J73" s="2"/>
      <c r="K73" s="14">
        <f>IFERROR(K64+K65+K66+K67+K68+K69+K70+K71+K72, "NA")</f>
        <v>12568.54</v>
      </c>
      <c r="L73" s="15">
        <f>IFERROR(K73/K444, "NA")</f>
        <v>8.1698289375804561E-2</v>
      </c>
      <c r="M73" s="2"/>
      <c r="N73" s="14">
        <f t="shared" si="17"/>
        <v>15942</v>
      </c>
      <c r="O73" s="15">
        <f>IFERROR(N73/N444, "NA")</f>
        <v>0.30784274877969375</v>
      </c>
      <c r="P73" s="2"/>
      <c r="Q73" s="14">
        <f>IFERROR(Q64+Q65+Q66+Q67+Q68+Q69+Q70+Q71+Q72, "NA")</f>
        <v>55261.29</v>
      </c>
      <c r="R73" s="15">
        <f>IFERROR(Q73/Q444, "NA")</f>
        <v>7.7228147753367393E-2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55261.29</v>
      </c>
      <c r="X73" s="15">
        <f>IFERROR(W73/W444, "NA")</f>
        <v>0.53901174708005495</v>
      </c>
      <c r="Y73" s="2"/>
      <c r="Z73" s="14">
        <f>IFERROR(Z64+Z65+Z66+Z67+Z68+Z69+Z70+Z71+Z72, "NA")</f>
        <v>38905.78</v>
      </c>
      <c r="AA73" s="15">
        <f>IFERROR(Z73/Z444, "NA")</f>
        <v>6.987016836729755E-2</v>
      </c>
      <c r="AB73" s="2"/>
      <c r="AC73" s="14">
        <f t="shared" si="19"/>
        <v>16355.510000000002</v>
      </c>
      <c r="AD73" s="15">
        <f>IFERROR(AC73/AC444, "NA")</f>
        <v>0.10304027693943568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5085.9799999999996</v>
      </c>
      <c r="F75" s="8">
        <f>IFERROR(E75/E444, "NA")</f>
        <v>2.8999995153343922E-2</v>
      </c>
      <c r="G75" s="9"/>
      <c r="H75" s="10">
        <f t="shared" ref="H75:H92" si="20">IFERROR(B75-E75, "NA")</f>
        <v>-5085.9799999999996</v>
      </c>
      <c r="I75" s="8">
        <f>IFERROR(H75/H444, "NA")</f>
        <v>-0.16814018569546532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17778.03</v>
      </c>
      <c r="U75" s="8">
        <f>IFERROR(T75/T444, "NA")</f>
        <v>2.8999997504223125E-2</v>
      </c>
      <c r="V75" s="9"/>
      <c r="W75" s="10">
        <f t="shared" ref="W75:W92" si="22">IFERROR(Q75-T75, "NA")</f>
        <v>-17778.03</v>
      </c>
      <c r="X75" s="8">
        <f>IFERROR(W75/W444, "NA")</f>
        <v>-0.17340469268708039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1551.27</v>
      </c>
      <c r="C77" s="8">
        <f>IFERROR(B77/B444, "NA")</f>
        <v>7.5440931667080839E-3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1551.27</v>
      </c>
      <c r="I77" s="8">
        <f>IFERROR(H77/H444, "NA")</f>
        <v>5.1284280682150636E-2</v>
      </c>
      <c r="J77" s="9"/>
      <c r="K77" s="7">
        <v>149.5</v>
      </c>
      <c r="L77" s="8">
        <f>IFERROR(K77/K444, "NA")</f>
        <v>9.7178306005970313E-4</v>
      </c>
      <c r="M77" s="9"/>
      <c r="N77" s="10">
        <f t="shared" si="21"/>
        <v>1401.77</v>
      </c>
      <c r="O77" s="8">
        <f>IFERROR(N77/N444, "NA")</f>
        <v>2.706841863987651E-2</v>
      </c>
      <c r="P77" s="9"/>
      <c r="Q77" s="7">
        <v>4754.07</v>
      </c>
      <c r="R77" s="8">
        <f>IFERROR(Q77/Q444, "NA")</f>
        <v>6.6438554074624619E-3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4754.07</v>
      </c>
      <c r="X77" s="8">
        <f>IFERROR(W77/W444, "NA")</f>
        <v>4.6370607281170539E-2</v>
      </c>
      <c r="Y77" s="9"/>
      <c r="Z77" s="7">
        <v>481.39</v>
      </c>
      <c r="AA77" s="8">
        <f>IFERROR(Z77/Z444, "NA")</f>
        <v>8.6451936833892979E-4</v>
      </c>
      <c r="AB77" s="9"/>
      <c r="AC77" s="10">
        <f t="shared" si="23"/>
        <v>4272.6799999999994</v>
      </c>
      <c r="AD77" s="8">
        <f>IFERROR(AC77/AC444, "NA")</f>
        <v>2.6918031322385415E-2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14.95</v>
      </c>
      <c r="L79" s="8">
        <f>IFERROR(K79/K444, "NA")</f>
        <v>9.7178306005970316E-5</v>
      </c>
      <c r="M79" s="9"/>
      <c r="N79" s="10">
        <f t="shared" si="21"/>
        <v>-14.95</v>
      </c>
      <c r="O79" s="8">
        <f>IFERROR(N79/N444, "NA")</f>
        <v>-2.8868705897982822E-4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59.8</v>
      </c>
      <c r="AA79" s="8">
        <f>IFERROR(Z79/Z444, "NA")</f>
        <v>1.0739371035266209E-4</v>
      </c>
      <c r="AB79" s="9"/>
      <c r="AC79" s="10">
        <f t="shared" si="23"/>
        <v>-59.8</v>
      </c>
      <c r="AD79" s="8">
        <f>IFERROR(AC79/AC444, "NA")</f>
        <v>-3.7674206190930473E-4</v>
      </c>
    </row>
    <row r="80" spans="1:30" ht="16.5" customHeight="1" x14ac:dyDescent="0.45">
      <c r="A80" s="12" t="s">
        <v>76</v>
      </c>
      <c r="B80" s="7">
        <v>3791.15</v>
      </c>
      <c r="C80" s="8">
        <f>IFERROR(B80/B444, "NA")</f>
        <v>1.8437015354493644E-2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3791.15</v>
      </c>
      <c r="I80" s="8">
        <f>IFERROR(H80/H444, "NA")</f>
        <v>0.12533369478436079</v>
      </c>
      <c r="J80" s="9"/>
      <c r="K80" s="7">
        <v>4274.3599999999997</v>
      </c>
      <c r="L80" s="8">
        <f>IFERROR(K80/K444, "NA")</f>
        <v>2.7784285221383227E-2</v>
      </c>
      <c r="M80" s="9"/>
      <c r="N80" s="10">
        <f t="shared" si="21"/>
        <v>-483.20999999999958</v>
      </c>
      <c r="O80" s="8">
        <f>IFERROR(N80/N444, "NA")</f>
        <v>-9.3308678106784407E-3</v>
      </c>
      <c r="P80" s="9"/>
      <c r="Q80" s="7">
        <v>14392.95</v>
      </c>
      <c r="R80" s="8">
        <f>IFERROR(Q80/Q444, "NA")</f>
        <v>2.011427654343265E-2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14392.95</v>
      </c>
      <c r="X80" s="8">
        <f>IFERROR(W80/W444, "NA")</f>
        <v>0.14038704353691123</v>
      </c>
      <c r="Y80" s="9"/>
      <c r="Z80" s="7">
        <v>14541.6</v>
      </c>
      <c r="AA80" s="8">
        <f>IFERROR(Z80/Z444, "NA")</f>
        <v>2.6114989606425939E-2</v>
      </c>
      <c r="AB80" s="9"/>
      <c r="AC80" s="10">
        <f t="shared" si="23"/>
        <v>-148.64999999999964</v>
      </c>
      <c r="AD80" s="8">
        <f>IFERROR(AC80/AC444, "NA")</f>
        <v>-9.3650012546518419E-4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30</v>
      </c>
      <c r="AA85" s="8">
        <f>IFERROR(Z85/Z444, "NA")</f>
        <v>5.3876443320733487E-5</v>
      </c>
      <c r="AB85" s="9"/>
      <c r="AC85" s="10">
        <f t="shared" si="23"/>
        <v>-30</v>
      </c>
      <c r="AD85" s="8">
        <f>IFERROR(AC85/AC444, "NA")</f>
        <v>-1.8900103440266125E-4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1.3811301520774836E-3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9.6395601587345621E-3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6.2261980759820684E-3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5342.42</v>
      </c>
      <c r="C88" s="15">
        <f>IFERROR(B88/B444, "NA")</f>
        <v>2.5981108521201727E-2</v>
      </c>
      <c r="D88" s="2"/>
      <c r="E88" s="14">
        <f>IFERROR(E75+E76+E77+E78+E79+E80+E81+E82+E83+E84+E85+E86+E87, "NA")</f>
        <v>5085.9799999999996</v>
      </c>
      <c r="F88" s="15">
        <f>IFERROR(E88/E444, "NA")</f>
        <v>2.8999995153343922E-2</v>
      </c>
      <c r="G88" s="2"/>
      <c r="H88" s="14">
        <f t="shared" si="20"/>
        <v>256.44000000000051</v>
      </c>
      <c r="I88" s="15">
        <f>IFERROR(H88/H444, "NA")</f>
        <v>8.4777897710461327E-3</v>
      </c>
      <c r="J88" s="2"/>
      <c r="K88" s="14">
        <f>IFERROR(K75+K76+K77+K78+K79+K80+K81+K82+K83+K84+K85+K86+K87, "NA")</f>
        <v>4438.8099999999995</v>
      </c>
      <c r="L88" s="15">
        <f>IFERROR(K88/K444, "NA")</f>
        <v>2.8853246587448898E-2</v>
      </c>
      <c r="M88" s="2"/>
      <c r="N88" s="14">
        <f t="shared" si="21"/>
        <v>903.61000000000058</v>
      </c>
      <c r="O88" s="15">
        <f>IFERROR(N88/N444, "NA")</f>
        <v>1.7448863770218245E-2</v>
      </c>
      <c r="P88" s="2"/>
      <c r="Q88" s="14">
        <f>IFERROR(Q75+Q76+Q77+Q78+Q79+Q80+Q81+Q82+Q83+Q84+Q85+Q86+Q87, "NA")</f>
        <v>20135.3</v>
      </c>
      <c r="R88" s="15">
        <f>IFERROR(Q88/Q444, "NA")</f>
        <v>2.8139262102972594E-2</v>
      </c>
      <c r="S88" s="2"/>
      <c r="T88" s="14">
        <f>IFERROR(T75+T76+T77+T78+T79+T80+T81+T82+T83+T84+T85+T86+T87, "NA")</f>
        <v>17778.03</v>
      </c>
      <c r="U88" s="15">
        <f>IFERROR(T88/T444, "NA")</f>
        <v>2.8999997504223125E-2</v>
      </c>
      <c r="V88" s="2"/>
      <c r="W88" s="14">
        <f t="shared" si="22"/>
        <v>2357.2700000000004</v>
      </c>
      <c r="X88" s="15">
        <f>IFERROR(W88/W444, "NA")</f>
        <v>2.299251828973593E-2</v>
      </c>
      <c r="Y88" s="2"/>
      <c r="Z88" s="14">
        <f>IFERROR(Z75+Z76+Z77+Z78+Z79+Z80+Z81+Z82+Z83+Z84+Z85+Z86+Z87, "NA")</f>
        <v>15112.79</v>
      </c>
      <c r="AA88" s="15">
        <f>IFERROR(Z88/Z444, "NA")</f>
        <v>2.7140779128438264E-2</v>
      </c>
      <c r="AB88" s="2"/>
      <c r="AC88" s="14">
        <f t="shared" si="23"/>
        <v>5022.5099999999984</v>
      </c>
      <c r="AD88" s="15">
        <f>IFERROR(AC88/AC444, "NA")</f>
        <v>3.164198617659033E-2</v>
      </c>
    </row>
    <row r="89" spans="1:30" ht="16.5" customHeight="1" x14ac:dyDescent="0.45">
      <c r="A89" s="6" t="s">
        <v>85</v>
      </c>
      <c r="B89" s="7">
        <v>15.99</v>
      </c>
      <c r="C89" s="8">
        <f>IFERROR(B89/B444, "NA")</f>
        <v>7.7762123766760314E-5</v>
      </c>
      <c r="D89" s="9"/>
      <c r="E89" s="7">
        <v>0</v>
      </c>
      <c r="F89" s="8">
        <f>IFERROR(E89/E444, "NA")</f>
        <v>0</v>
      </c>
      <c r="G89" s="9"/>
      <c r="H89" s="10">
        <f t="shared" si="20"/>
        <v>15.99</v>
      </c>
      <c r="I89" s="8">
        <f>IFERROR(H89/H444, "NA")</f>
        <v>5.2862212774538845E-4</v>
      </c>
      <c r="J89" s="9"/>
      <c r="K89" s="7">
        <v>-955.09</v>
      </c>
      <c r="L89" s="8">
        <f>IFERROR(K89/K444, "NA")</f>
        <v>-6.2082962062369358E-3</v>
      </c>
      <c r="M89" s="9"/>
      <c r="N89" s="10">
        <f t="shared" si="21"/>
        <v>971.08</v>
      </c>
      <c r="O89" s="8">
        <f>IFERROR(N89/N444, "NA")</f>
        <v>1.8751721019005459E-2</v>
      </c>
      <c r="P89" s="9"/>
      <c r="Q89" s="7">
        <v>15.99</v>
      </c>
      <c r="R89" s="8">
        <f>IFERROR(Q89/Q444, "NA")</f>
        <v>2.2346168223295993E-5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15.99</v>
      </c>
      <c r="X89" s="8">
        <f>IFERROR(W89/W444, "NA")</f>
        <v>1.559644705328102E-4</v>
      </c>
      <c r="Y89" s="9"/>
      <c r="Z89" s="7">
        <v>-2087.81</v>
      </c>
      <c r="AA89" s="8">
        <f>IFERROR(Z89/Z444, "NA")</f>
        <v>-3.749459237648686E-3</v>
      </c>
      <c r="AB89" s="9"/>
      <c r="AC89" s="10">
        <f t="shared" si="23"/>
        <v>2103.7999999999997</v>
      </c>
      <c r="AD89" s="8">
        <f>IFERROR(AC89/AC444, "NA")</f>
        <v>1.3254012539210623E-2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-6138.25</v>
      </c>
      <c r="F94" s="8">
        <f>IFERROR(E94/E444, "NA")</f>
        <v>-3.4999984319642102E-2</v>
      </c>
      <c r="G94" s="9"/>
      <c r="H94" s="10">
        <f t="shared" ref="H94:H124" si="24">IFERROR(B94-E94, "NA")</f>
        <v>6138.25</v>
      </c>
      <c r="I94" s="8">
        <f>IFERROR(H94/H444, "NA")</f>
        <v>0.20292775332289745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-21456.240000000002</v>
      </c>
      <c r="U94" s="8">
        <f>IFERROR(T94/T444, "NA")</f>
        <v>-3.4999991925427756E-2</v>
      </c>
      <c r="V94" s="9"/>
      <c r="W94" s="10">
        <f t="shared" ref="W94:W124" si="26">IFERROR(Q94-T94, "NA")</f>
        <v>21456.240000000002</v>
      </c>
      <c r="X94" s="8">
        <f>IFERROR(W94/W444, "NA")</f>
        <v>0.20928149538617283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-2246.0500000000002</v>
      </c>
      <c r="C96" s="8">
        <f>IFERROR(B96/B444, "NA")</f>
        <v>-1.0922927960370983E-2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-2246.0500000000002</v>
      </c>
      <c r="I96" s="8">
        <f>IFERROR(H96/H444, "NA")</f>
        <v>-7.4253391496093168E-2</v>
      </c>
      <c r="J96" s="9"/>
      <c r="K96" s="7">
        <v>-89.36</v>
      </c>
      <c r="L96" s="8">
        <f>IFERROR(K96/K444, "NA")</f>
        <v>-5.8085976084906407E-4</v>
      </c>
      <c r="M96" s="9"/>
      <c r="N96" s="10">
        <f t="shared" si="25"/>
        <v>-2156.69</v>
      </c>
      <c r="O96" s="8">
        <f>IFERROR(N96/N444, "NA")</f>
        <v>-4.1646053058943533E-2</v>
      </c>
      <c r="P96" s="9"/>
      <c r="Q96" s="7">
        <v>-9202.15</v>
      </c>
      <c r="R96" s="8">
        <f>IFERROR(Q96/Q444, "NA")</f>
        <v>-1.2860087049155923E-2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-9202.15</v>
      </c>
      <c r="X96" s="8">
        <f>IFERROR(W96/W444, "NA")</f>
        <v>-8.9756626173452106E-2</v>
      </c>
      <c r="Y96" s="9"/>
      <c r="Z96" s="7">
        <v>-462.76</v>
      </c>
      <c r="AA96" s="8">
        <f>IFERROR(Z96/Z444, "NA")</f>
        <v>-8.3106209703675432E-4</v>
      </c>
      <c r="AB96" s="9"/>
      <c r="AC96" s="10">
        <f t="shared" si="27"/>
        <v>-8739.39</v>
      </c>
      <c r="AD96" s="8">
        <f>IFERROR(AC96/AC444, "NA")</f>
        <v>-5.5058458334942453E-2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-2226.62</v>
      </c>
      <c r="C98" s="8">
        <f>IFERROR(B98/B444, "NA")</f>
        <v>-1.0828436524174099E-2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-2226.62</v>
      </c>
      <c r="I98" s="8">
        <f>IFERROR(H98/H444, "NA")</f>
        <v>-7.3611044532860326E-2</v>
      </c>
      <c r="J98" s="9"/>
      <c r="K98" s="7">
        <v>-2413.9299999999998</v>
      </c>
      <c r="L98" s="8">
        <f>IFERROR(K98/K444, "NA")</f>
        <v>-1.5691078810501132E-2</v>
      </c>
      <c r="M98" s="9"/>
      <c r="N98" s="10">
        <f t="shared" si="25"/>
        <v>187.30999999999995</v>
      </c>
      <c r="O98" s="8">
        <f>IFERROR(N98/N444, "NA")</f>
        <v>3.6169881617064623E-3</v>
      </c>
      <c r="P98" s="9"/>
      <c r="Q98" s="7">
        <v>-7482.71</v>
      </c>
      <c r="R98" s="8">
        <f>IFERROR(Q98/Q444, "NA")</f>
        <v>-1.0457154248038721E-2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-7482.71</v>
      </c>
      <c r="X98" s="8">
        <f>IFERROR(W98/W444, "NA")</f>
        <v>-7.2985422345251044E-2</v>
      </c>
      <c r="Y98" s="9"/>
      <c r="Z98" s="7">
        <v>-7415.33</v>
      </c>
      <c r="AA98" s="8">
        <f>IFERROR(Z98/Z444, "NA")</f>
        <v>-1.3317053548317822E-2</v>
      </c>
      <c r="AB98" s="9"/>
      <c r="AC98" s="10">
        <f t="shared" si="27"/>
        <v>-67.380000000000109</v>
      </c>
      <c r="AD98" s="8">
        <f>IFERROR(AC98/AC444, "NA")</f>
        <v>-4.2449632326837784E-4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-923.54</v>
      </c>
      <c r="C100" s="8">
        <f>IFERROR(B100/B444, "NA")</f>
        <v>-4.4913340702660296E-3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-923.54</v>
      </c>
      <c r="I100" s="8">
        <f>IFERROR(H100/H444, "NA")</f>
        <v>-3.0531812373857159E-2</v>
      </c>
      <c r="J100" s="9"/>
      <c r="K100" s="7">
        <v>-58.04</v>
      </c>
      <c r="L100" s="8">
        <f>IFERROR(K100/K444, "NA")</f>
        <v>-3.7727283482184062E-4</v>
      </c>
      <c r="M100" s="9"/>
      <c r="N100" s="10">
        <f t="shared" si="25"/>
        <v>-865.5</v>
      </c>
      <c r="O100" s="8">
        <f>IFERROR(N100/N444, "NA")</f>
        <v>-1.6712953146959288E-2</v>
      </c>
      <c r="P100" s="9"/>
      <c r="Q100" s="7">
        <v>-2088.52</v>
      </c>
      <c r="R100" s="8">
        <f>IFERROR(Q100/Q444, "NA")</f>
        <v>-2.9187254069867508E-3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-2088.52</v>
      </c>
      <c r="X100" s="8">
        <f>IFERROR(W100/W444, "NA")</f>
        <v>-2.0371164227466213E-2</v>
      </c>
      <c r="Y100" s="9"/>
      <c r="Z100" s="7">
        <v>-612.58000000000004</v>
      </c>
      <c r="AA100" s="8">
        <f>IFERROR(Z100/Z444, "NA")</f>
        <v>-1.1001210549804975E-3</v>
      </c>
      <c r="AB100" s="9"/>
      <c r="AC100" s="10">
        <f t="shared" si="27"/>
        <v>-1475.94</v>
      </c>
      <c r="AD100" s="8">
        <f>IFERROR(AC100/AC444, "NA")</f>
        <v>-9.2984728905421282E-3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-1298.3</v>
      </c>
      <c r="C102" s="8">
        <f>IFERROR(B102/B444, "NA")</f>
        <v>-6.3138564907057482E-3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-1298.3</v>
      </c>
      <c r="I102" s="8">
        <f>IFERROR(H102/H444, "NA")</f>
        <v>-4.2921207532947953E-2</v>
      </c>
      <c r="J102" s="9"/>
      <c r="K102" s="7">
        <v>-1741.18</v>
      </c>
      <c r="L102" s="8">
        <f>IFERROR(K102/K444, "NA")</f>
        <v>-1.1318055040232469E-2</v>
      </c>
      <c r="M102" s="9"/>
      <c r="N102" s="10">
        <f t="shared" si="25"/>
        <v>442.88000000000011</v>
      </c>
      <c r="O102" s="8">
        <f>IFERROR(N102/N444, "NA")</f>
        <v>8.552088607423838E-3</v>
      </c>
      <c r="P102" s="9"/>
      <c r="Q102" s="7">
        <v>-6344.48</v>
      </c>
      <c r="R102" s="8">
        <f>IFERROR(Q102/Q444, "NA")</f>
        <v>-8.8664676278509668E-3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-6344.48</v>
      </c>
      <c r="X102" s="8">
        <f>IFERROR(W102/W444, "NA")</f>
        <v>-6.1883268543214728E-2</v>
      </c>
      <c r="Y102" s="9"/>
      <c r="Z102" s="7">
        <v>-3457.87</v>
      </c>
      <c r="AA102" s="8">
        <f>IFERROR(Z102/Z444, "NA")</f>
        <v>-6.2099245688488234E-3</v>
      </c>
      <c r="AB102" s="9"/>
      <c r="AC102" s="10">
        <f t="shared" si="27"/>
        <v>-2886.6099999999997</v>
      </c>
      <c r="AD102" s="8">
        <f>IFERROR(AC102/AC444, "NA")</f>
        <v>-1.8185742530568864E-2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-809.23</v>
      </c>
      <c r="C104" s="8">
        <f>IFERROR(B104/B444, "NA")</f>
        <v>-3.9354248540197281E-3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-809.23</v>
      </c>
      <c r="I104" s="8">
        <f>IFERROR(H104/H444, "NA")</f>
        <v>-2.6752775762063832E-2</v>
      </c>
      <c r="J104" s="9"/>
      <c r="K104" s="7">
        <v>-572.29999999999995</v>
      </c>
      <c r="L104" s="8">
        <f>IFERROR(K104/K444, "NA")</f>
        <v>-3.7200765570044687E-3</v>
      </c>
      <c r="M104" s="9"/>
      <c r="N104" s="10">
        <f t="shared" si="25"/>
        <v>-236.93000000000006</v>
      </c>
      <c r="O104" s="8">
        <f>IFERROR(N104/N444, "NA")</f>
        <v>-4.5751588551231253E-3</v>
      </c>
      <c r="P104" s="9"/>
      <c r="Q104" s="7">
        <v>-2726.14</v>
      </c>
      <c r="R104" s="8">
        <f>IFERROR(Q104/Q444, "NA")</f>
        <v>-3.8098050681836231E-3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-2726.14</v>
      </c>
      <c r="X104" s="8">
        <f>IFERROR(W104/W444, "NA")</f>
        <v>-2.6590430375129152E-2</v>
      </c>
      <c r="Y104" s="9"/>
      <c r="Z104" s="7">
        <v>-1890.95</v>
      </c>
      <c r="AA104" s="8">
        <f>IFERROR(Z104/Z444, "NA")</f>
        <v>-3.3959220165780332E-3</v>
      </c>
      <c r="AB104" s="9"/>
      <c r="AC104" s="10">
        <f t="shared" si="27"/>
        <v>-835.18999999999983</v>
      </c>
      <c r="AD104" s="8">
        <f>IFERROR(AC104/AC444, "NA")</f>
        <v>-5.2617257974252873E-3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-3050.44</v>
      </c>
      <c r="L106" s="8">
        <f>IFERROR(K106/K444, "NA")</f>
        <v>-1.9828534566745961E-2</v>
      </c>
      <c r="M106" s="9"/>
      <c r="N106" s="10">
        <f t="shared" si="25"/>
        <v>3050.44</v>
      </c>
      <c r="O106" s="8">
        <f>IFERROR(N106/N444, "NA")</f>
        <v>5.8904518541433262E-2</v>
      </c>
      <c r="P106" s="9"/>
      <c r="Q106" s="7">
        <v>-1687.06</v>
      </c>
      <c r="R106" s="8">
        <f>IFERROR(Q106/Q444, "NA")</f>
        <v>-2.3576814610877885E-3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-1687.06</v>
      </c>
      <c r="X106" s="8">
        <f>IFERROR(W106/W444, "NA")</f>
        <v>-1.6455373336903237E-2</v>
      </c>
      <c r="Y106" s="9"/>
      <c r="Z106" s="7">
        <v>-5550.94</v>
      </c>
      <c r="AA106" s="8">
        <f>IFERROR(Z106/Z444, "NA")</f>
        <v>-9.9688301428930773E-3</v>
      </c>
      <c r="AB106" s="9"/>
      <c r="AC106" s="10">
        <f t="shared" si="27"/>
        <v>3863.8799999999997</v>
      </c>
      <c r="AD106" s="8">
        <f>IFERROR(AC106/AC444, "NA")</f>
        <v>2.4342577226925156E-2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-12.33</v>
      </c>
      <c r="L108" s="8">
        <f>IFERROR(K108/K444, "NA")</f>
        <v>-8.0147726625659805E-5</v>
      </c>
      <c r="M108" s="9"/>
      <c r="N108" s="10">
        <f t="shared" si="25"/>
        <v>12.33</v>
      </c>
      <c r="O108" s="8">
        <f>IFERROR(N108/N444, "NA")</f>
        <v>2.3809441051647373E-4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-32.590000000000003</v>
      </c>
      <c r="AA108" s="8">
        <f>IFERROR(Z108/Z444, "NA")</f>
        <v>-5.8527776260756816E-5</v>
      </c>
      <c r="AB108" s="9"/>
      <c r="AC108" s="10">
        <f t="shared" si="27"/>
        <v>32.590000000000003</v>
      </c>
      <c r="AD108" s="8">
        <f>IFERROR(AC108/AC444, "NA")</f>
        <v>2.0531812370609101E-4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-2.0742430678482395E-5</v>
      </c>
      <c r="AB111" s="9"/>
      <c r="AC111" s="10">
        <f t="shared" si="27"/>
        <v>11.55</v>
      </c>
      <c r="AD111" s="8">
        <f>IFERROR(AC111/AC444, "NA")</f>
        <v>7.2765398245024576E-5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-7503.74</v>
      </c>
      <c r="C118" s="15">
        <f>IFERROR(B118/B444, "NA")</f>
        <v>-3.6491979899536585E-2</v>
      </c>
      <c r="D118" s="2"/>
      <c r="E118" s="14">
        <f>IFERROR(E94+E95+E96+E97+E98+E99+E100+E101+E102+E103+E104+E105+E106+E107+E108+E109+E110+E111+E112+E113+E114+E115+E116+E117, "NA")</f>
        <v>-6138.25</v>
      </c>
      <c r="F118" s="15">
        <f>IFERROR(E118/E444, "NA")</f>
        <v>-3.4999984319642102E-2</v>
      </c>
      <c r="G118" s="2"/>
      <c r="H118" s="14">
        <f t="shared" si="24"/>
        <v>-1365.4899999999998</v>
      </c>
      <c r="I118" s="15">
        <f>IFERROR(H118/H444, "NA")</f>
        <v>-4.5142478374924973E-2</v>
      </c>
      <c r="J118" s="2"/>
      <c r="K118" s="14">
        <f>IFERROR(K94+K95+K96+K97+K98+K99+K100+K101+K102+K103+K104+K105+K106+K107+K108+K109+K110+K111+K112+K113+K114+K115+K116+K117, "NA")</f>
        <v>-7937.58</v>
      </c>
      <c r="L118" s="15">
        <f>IFERROR(K118/K444, "NA")</f>
        <v>-5.159602529678059E-2</v>
      </c>
      <c r="M118" s="2"/>
      <c r="N118" s="14">
        <f t="shared" si="25"/>
        <v>433.84000000000015</v>
      </c>
      <c r="O118" s="15">
        <f>IFERROR(N118/N444, "NA")</f>
        <v>8.3775246600540955E-3</v>
      </c>
      <c r="P118" s="2"/>
      <c r="Q118" s="14">
        <f>IFERROR(Q94+Q95+Q96+Q97+Q98+Q99+Q100+Q101+Q102+Q103+Q104+Q105+Q106+Q107+Q108+Q109+Q110+Q111+Q112+Q113+Q114+Q115+Q116+Q117, "NA")</f>
        <v>-29531.06</v>
      </c>
      <c r="R118" s="15">
        <f>IFERROR(Q118/Q444, "NA")</f>
        <v>-4.1269920861303773E-2</v>
      </c>
      <c r="S118" s="2"/>
      <c r="T118" s="14">
        <f>IFERROR(T94+T95+T96+T97+T98+T99+T100+T101+T102+T103+T104+T105+T106+T107+T108+T109+T110+T111+T112+T113+T114+T115+T116+T117, "NA")</f>
        <v>-21456.240000000002</v>
      </c>
      <c r="U118" s="15">
        <f>IFERROR(T118/T444, "NA")</f>
        <v>-3.4999991925427756E-2</v>
      </c>
      <c r="V118" s="2"/>
      <c r="W118" s="14">
        <f t="shared" si="26"/>
        <v>-8074.82</v>
      </c>
      <c r="X118" s="15">
        <f>IFERROR(W118/W444, "NA")</f>
        <v>-7.8760789615243673E-2</v>
      </c>
      <c r="Y118" s="2"/>
      <c r="Z118" s="14">
        <f>IFERROR(Z94+Z95+Z96+Z97+Z98+Z99+Z100+Z101+Z102+Z103+Z104+Z105+Z106+Z107+Z108+Z109+Z110+Z111+Z112+Z113+Z114+Z115+Z116+Z117, "NA")</f>
        <v>-19434.57</v>
      </c>
      <c r="AA118" s="15">
        <f>IFERROR(Z118/Z444, "NA")</f>
        <v>-3.4902183635594247E-2</v>
      </c>
      <c r="AB118" s="2"/>
      <c r="AC118" s="14">
        <f t="shared" si="27"/>
        <v>-10096.490000000002</v>
      </c>
      <c r="AD118" s="15">
        <f>IFERROR(AC118/AC444, "NA")</f>
        <v>-6.3608235127870852E-2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205627.10000000003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175378.65</v>
      </c>
      <c r="F122" s="15">
        <f>IFERROR(E122/E444, "NA")</f>
        <v>1</v>
      </c>
      <c r="G122" s="2"/>
      <c r="H122" s="14">
        <f t="shared" si="24"/>
        <v>30248.450000000041</v>
      </c>
      <c r="I122" s="15">
        <f>IFERROR(H122/H444, "NA")</f>
        <v>1.0000000000000009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153840.92000000004</v>
      </c>
      <c r="L122" s="15">
        <f>IFERROR(K122/K444, "NA")</f>
        <v>1.0000000000000002</v>
      </c>
      <c r="M122" s="2"/>
      <c r="N122" s="14">
        <f t="shared" si="25"/>
        <v>51786.179999999993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715558.92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613035.57000000007</v>
      </c>
      <c r="U122" s="15">
        <f>IFERROR(T122/T444, "NA")</f>
        <v>1.0000000000000002</v>
      </c>
      <c r="V122" s="2"/>
      <c r="W122" s="14">
        <f t="shared" si="26"/>
        <v>102523.34999999998</v>
      </c>
      <c r="X122" s="15">
        <f>IFERROR(W122/W444, "NA")</f>
        <v>0.99999999999999889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556829.63000000024</v>
      </c>
      <c r="AA122" s="15">
        <f>IFERROR(Z122/Z444, "NA")</f>
        <v>1.0000000000000004</v>
      </c>
      <c r="AB122" s="2"/>
      <c r="AC122" s="14">
        <f t="shared" si="27"/>
        <v>158729.2899999998</v>
      </c>
      <c r="AD122" s="15">
        <f>IFERROR(AC122/AC444, "NA")</f>
        <v>0.99999999999999856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205627.10000000003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175378.65</v>
      </c>
      <c r="F124" s="15">
        <f>IFERROR(E124/E444, "NA")</f>
        <v>1</v>
      </c>
      <c r="G124" s="2"/>
      <c r="H124" s="14">
        <f t="shared" si="24"/>
        <v>30248.450000000041</v>
      </c>
      <c r="I124" s="15">
        <f>IFERROR(H124/H444, "NA")</f>
        <v>1.0000000000000009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153840.92000000004</v>
      </c>
      <c r="L124" s="15">
        <f>IFERROR(K124/K444, "NA")</f>
        <v>1.0000000000000002</v>
      </c>
      <c r="M124" s="2"/>
      <c r="N124" s="14">
        <f t="shared" si="25"/>
        <v>51786.179999999993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715558.92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613035.57000000007</v>
      </c>
      <c r="U124" s="15">
        <f>IFERROR(T124/T444, "NA")</f>
        <v>1.0000000000000002</v>
      </c>
      <c r="V124" s="2"/>
      <c r="W124" s="14">
        <f t="shared" si="26"/>
        <v>102523.34999999998</v>
      </c>
      <c r="X124" s="15">
        <f>IFERROR(W124/W444, "NA")</f>
        <v>0.99999999999999889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556829.63000000024</v>
      </c>
      <c r="AA124" s="15">
        <f>IFERROR(Z124/Z444, "NA")</f>
        <v>1.0000000000000004</v>
      </c>
      <c r="AB124" s="2"/>
      <c r="AC124" s="14">
        <f t="shared" si="27"/>
        <v>158729.2899999998</v>
      </c>
      <c r="AD124" s="15">
        <f>IFERROR(AC124/AC444, "NA")</f>
        <v>0.99999999999999856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38407.919999999998</v>
      </c>
      <c r="F129" s="8">
        <f>IFERROR(E129/E444, "NA")</f>
        <v>0.21899997519652478</v>
      </c>
      <c r="G129" s="9"/>
      <c r="H129" s="10">
        <f t="shared" ref="H129:H141" si="28">IFERROR(-(B129-E129), "NA")</f>
        <v>38407.919999999998</v>
      </c>
      <c r="I129" s="8">
        <f>IFERROR(H129/H444, "NA")</f>
        <v>1.2697483672717109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139064.66</v>
      </c>
      <c r="U129" s="8">
        <f>IFERROR(T129/T444, "NA")</f>
        <v>0.2268459887246021</v>
      </c>
      <c r="V129" s="9"/>
      <c r="W129" s="10">
        <f t="shared" ref="W129:W141" si="30">IFERROR(-(Q129-T129), "NA")</f>
        <v>139064.66</v>
      </c>
      <c r="X129" s="8">
        <f>IFERROR(W129/W444, "NA")</f>
        <v>1.3564193912898854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10881.86</v>
      </c>
      <c r="C130" s="8">
        <f>IFERROR(B130/B444, "NA")</f>
        <v>5.2920359232805407E-2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-10881.86</v>
      </c>
      <c r="I130" s="8">
        <f>IFERROR(H130/H444, "NA")</f>
        <v>-0.35974934252829471</v>
      </c>
      <c r="J130" s="9"/>
      <c r="K130" s="7">
        <v>9312.7999999999993</v>
      </c>
      <c r="L130" s="8">
        <f>IFERROR(K130/K444, "NA")</f>
        <v>6.0535259409525102E-2</v>
      </c>
      <c r="M130" s="9"/>
      <c r="N130" s="10">
        <f t="shared" si="29"/>
        <v>-1569.0600000000013</v>
      </c>
      <c r="O130" s="8">
        <f>IFERROR(N130/N444, "NA")</f>
        <v>-3.0298817174775231E-2</v>
      </c>
      <c r="P130" s="9"/>
      <c r="Q130" s="7">
        <v>38711.85</v>
      </c>
      <c r="R130" s="8">
        <f>IFERROR(Q130/Q444, "NA")</f>
        <v>5.4100157119137016E-2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-38711.85</v>
      </c>
      <c r="X130" s="8">
        <f>IFERROR(W130/W444, "NA")</f>
        <v>-0.3775905683924683</v>
      </c>
      <c r="Y130" s="9"/>
      <c r="Z130" s="7">
        <v>35113.08</v>
      </c>
      <c r="AA130" s="8">
        <f>IFERROR(Z130/Z444, "NA")</f>
        <v>6.3058928814546028E-2</v>
      </c>
      <c r="AB130" s="9"/>
      <c r="AC130" s="10">
        <f t="shared" si="31"/>
        <v>-3598.7699999999968</v>
      </c>
      <c r="AD130" s="8">
        <f>IFERROR(AC130/AC444, "NA")</f>
        <v>-2.267237508590882E-2</v>
      </c>
    </row>
    <row r="131" spans="1:30" ht="16.5" customHeight="1" x14ac:dyDescent="0.45">
      <c r="A131" s="12" t="s">
        <v>123</v>
      </c>
      <c r="B131" s="7">
        <v>5699.84</v>
      </c>
      <c r="C131" s="8">
        <f>IFERROR(B131/B444, "NA")</f>
        <v>2.7719303535380307E-2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-5699.84</v>
      </c>
      <c r="I131" s="8">
        <f>IFERROR(H131/H444, "NA")</f>
        <v>-0.18843411811183708</v>
      </c>
      <c r="J131" s="9"/>
      <c r="K131" s="7">
        <v>4289.28</v>
      </c>
      <c r="L131" s="8">
        <f>IFERROR(K131/K444, "NA")</f>
        <v>2.7881268520755072E-2</v>
      </c>
      <c r="M131" s="9"/>
      <c r="N131" s="10">
        <f t="shared" si="29"/>
        <v>-1410.5600000000004</v>
      </c>
      <c r="O131" s="8">
        <f>IFERROR(N131/N444, "NA")</f>
        <v>-2.7238155044453958E-2</v>
      </c>
      <c r="P131" s="9"/>
      <c r="Q131" s="7">
        <v>20167.39</v>
      </c>
      <c r="R131" s="8">
        <f>IFERROR(Q131/Q444, "NA")</f>
        <v>2.818410816540446E-2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-20167.39</v>
      </c>
      <c r="X131" s="8">
        <f>IFERROR(W131/W444, "NA")</f>
        <v>-0.19671021284419579</v>
      </c>
      <c r="Y131" s="9"/>
      <c r="Z131" s="7">
        <v>16342.27</v>
      </c>
      <c r="AA131" s="8">
        <f>IFERROR(Z131/Z444, "NA")</f>
        <v>2.9348779446237445E-2</v>
      </c>
      <c r="AB131" s="9"/>
      <c r="AC131" s="10">
        <f t="shared" si="31"/>
        <v>-3825.119999999999</v>
      </c>
      <c r="AD131" s="8">
        <f>IFERROR(AC131/AC444, "NA")</f>
        <v>-2.4098387890476913E-2</v>
      </c>
    </row>
    <row r="132" spans="1:30" ht="16.5" customHeight="1" x14ac:dyDescent="0.45">
      <c r="A132" s="12" t="s">
        <v>124</v>
      </c>
      <c r="B132" s="7">
        <v>8394.93</v>
      </c>
      <c r="C132" s="8">
        <f>IFERROR(B132/B444, "NA")</f>
        <v>4.0825990348548419E-2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-8394.93</v>
      </c>
      <c r="I132" s="8">
        <f>IFERROR(H132/H444, "NA")</f>
        <v>-0.27753256778446489</v>
      </c>
      <c r="J132" s="9"/>
      <c r="K132" s="7">
        <v>5092.3900000000003</v>
      </c>
      <c r="L132" s="8">
        <f>IFERROR(K132/K444, "NA")</f>
        <v>3.3101661118511254E-2</v>
      </c>
      <c r="M132" s="9"/>
      <c r="N132" s="10">
        <f t="shared" si="29"/>
        <v>-3302.54</v>
      </c>
      <c r="O132" s="8">
        <f>IFERROR(N132/N444, "NA")</f>
        <v>-6.377261269319344E-2</v>
      </c>
      <c r="P132" s="9"/>
      <c r="Q132" s="7">
        <v>26589.3</v>
      </c>
      <c r="R132" s="8">
        <f>IFERROR(Q132/Q444, "NA")</f>
        <v>3.7158784911800129E-2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-26589.3</v>
      </c>
      <c r="X132" s="8">
        <f>IFERROR(W132/W444, "NA")</f>
        <v>-0.25934872397361164</v>
      </c>
      <c r="Y132" s="9"/>
      <c r="Z132" s="7">
        <v>19212.86</v>
      </c>
      <c r="AA132" s="8">
        <f>IFERROR(Z132/Z444, "NA")</f>
        <v>3.450401876063959E-2</v>
      </c>
      <c r="AB132" s="9"/>
      <c r="AC132" s="10">
        <f t="shared" si="31"/>
        <v>-7376.4399999999987</v>
      </c>
      <c r="AD132" s="8">
        <f>IFERROR(AC132/AC444, "NA")</f>
        <v>-4.6471826340305541E-2</v>
      </c>
    </row>
    <row r="133" spans="1:30" ht="16.5" customHeight="1" x14ac:dyDescent="0.45">
      <c r="A133" s="12" t="s">
        <v>125</v>
      </c>
      <c r="B133" s="7">
        <v>4348.7700000000004</v>
      </c>
      <c r="C133" s="8">
        <f>IFERROR(B133/B444, "NA")</f>
        <v>2.1148817446727596E-2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-4348.7700000000004</v>
      </c>
      <c r="I133" s="8">
        <f>IFERROR(H133/H444, "NA")</f>
        <v>-0.14376835837869376</v>
      </c>
      <c r="J133" s="9"/>
      <c r="K133" s="7">
        <v>4886.3900000000003</v>
      </c>
      <c r="L133" s="8">
        <f>IFERROR(K133/K444, "NA")</f>
        <v>3.1762615564181494E-2</v>
      </c>
      <c r="M133" s="9"/>
      <c r="N133" s="10">
        <f t="shared" si="29"/>
        <v>537.61999999999989</v>
      </c>
      <c r="O133" s="8">
        <f>IFERROR(N133/N444, "NA")</f>
        <v>1.0381534223995667E-2</v>
      </c>
      <c r="P133" s="9"/>
      <c r="Q133" s="7">
        <v>15143</v>
      </c>
      <c r="R133" s="8">
        <f>IFERROR(Q133/Q444, "NA")</f>
        <v>2.1162478136671121E-2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-15143</v>
      </c>
      <c r="X133" s="8">
        <f>IFERROR(W133/W444, "NA")</f>
        <v>-0.1477029379160941</v>
      </c>
      <c r="Y133" s="9"/>
      <c r="Z133" s="7">
        <v>10932.83</v>
      </c>
      <c r="AA133" s="8">
        <f>IFERROR(Z133/Z444, "NA")</f>
        <v>1.9634066527673823E-2</v>
      </c>
      <c r="AB133" s="9"/>
      <c r="AC133" s="10">
        <f t="shared" si="31"/>
        <v>-4210.17</v>
      </c>
      <c r="AD133" s="8">
        <f>IFERROR(AC133/AC444, "NA")</f>
        <v>-2.6524216167035077E-2</v>
      </c>
    </row>
    <row r="134" spans="1:30" ht="16.5" customHeight="1" x14ac:dyDescent="0.45">
      <c r="A134" s="12" t="s">
        <v>126</v>
      </c>
      <c r="B134" s="7">
        <v>1517.66</v>
      </c>
      <c r="C134" s="8">
        <f>IFERROR(B134/B444, "NA")</f>
        <v>7.3806419484591284E-3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-1517.66</v>
      </c>
      <c r="I134" s="8">
        <f>IFERROR(H134/H444, "NA")</f>
        <v>-5.0173149367984129E-2</v>
      </c>
      <c r="J134" s="9"/>
      <c r="K134" s="7">
        <v>2630.47</v>
      </c>
      <c r="L134" s="8">
        <f>IFERROR(K134/K444, "NA")</f>
        <v>1.7098636695620381E-2</v>
      </c>
      <c r="M134" s="9"/>
      <c r="N134" s="10">
        <f t="shared" si="29"/>
        <v>1112.8099999999997</v>
      </c>
      <c r="O134" s="8">
        <f>IFERROR(N134/N444, "NA")</f>
        <v>2.1488551578818904E-2</v>
      </c>
      <c r="P134" s="9"/>
      <c r="Q134" s="7">
        <v>5898.95</v>
      </c>
      <c r="R134" s="8">
        <f>IFERROR(Q134/Q444, "NA")</f>
        <v>8.2438354622146274E-3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-5898.95</v>
      </c>
      <c r="X134" s="8">
        <f>IFERROR(W134/W444, "NA")</f>
        <v>-5.7537624355817427E-2</v>
      </c>
      <c r="Y134" s="9"/>
      <c r="Z134" s="7">
        <v>5758.66</v>
      </c>
      <c r="AA134" s="8">
        <f>IFERROR(Z134/Z444, "NA")</f>
        <v>1.0341870636445837E-2</v>
      </c>
      <c r="AB134" s="9"/>
      <c r="AC134" s="10">
        <f t="shared" si="31"/>
        <v>-140.28999999999996</v>
      </c>
      <c r="AD134" s="8">
        <f>IFERROR(AC134/AC444, "NA")</f>
        <v>-8.8383183721164459E-4</v>
      </c>
    </row>
    <row r="135" spans="1:30" ht="16.5" customHeight="1" x14ac:dyDescent="0.45">
      <c r="A135" s="12" t="s">
        <v>127</v>
      </c>
      <c r="B135" s="7">
        <v>1702.75</v>
      </c>
      <c r="C135" s="8">
        <f>IFERROR(B135/B444, "NA")</f>
        <v>8.2807664942996326E-3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-1702.75</v>
      </c>
      <c r="I135" s="8">
        <f>IFERROR(H135/H444, "NA")</f>
        <v>-5.6292140589021898E-2</v>
      </c>
      <c r="J135" s="9"/>
      <c r="K135" s="7">
        <v>1861.17</v>
      </c>
      <c r="L135" s="8">
        <f>IFERROR(K135/K444, "NA")</f>
        <v>1.2098016574523866E-2</v>
      </c>
      <c r="M135" s="9"/>
      <c r="N135" s="10">
        <f t="shared" si="29"/>
        <v>158.42000000000007</v>
      </c>
      <c r="O135" s="8">
        <f>IFERROR(N135/N444, "NA")</f>
        <v>3.0591173166277198E-3</v>
      </c>
      <c r="P135" s="9"/>
      <c r="Q135" s="7">
        <v>6787.43</v>
      </c>
      <c r="R135" s="8">
        <f>IFERROR(Q135/Q444, "NA")</f>
        <v>9.485494220378107E-3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-6787.43</v>
      </c>
      <c r="X135" s="8">
        <f>IFERROR(W135/W444, "NA")</f>
        <v>-6.6203747731614249E-2</v>
      </c>
      <c r="Y135" s="9"/>
      <c r="Z135" s="7">
        <v>6545.38</v>
      </c>
      <c r="AA135" s="8">
        <f>IFERROR(Z135/Z444, "NA")</f>
        <v>1.1754726486088753E-2</v>
      </c>
      <c r="AB135" s="9"/>
      <c r="AC135" s="10">
        <f t="shared" si="31"/>
        <v>-242.05000000000018</v>
      </c>
      <c r="AD135" s="8">
        <f>IFERROR(AC135/AC444, "NA")</f>
        <v>-1.524923345905473E-3</v>
      </c>
    </row>
    <row r="136" spans="1:30" ht="16.5" customHeight="1" x14ac:dyDescent="0.45">
      <c r="A136" s="12" t="s">
        <v>128</v>
      </c>
      <c r="B136" s="7">
        <v>1982.13</v>
      </c>
      <c r="C136" s="8">
        <f>IFERROR(B136/B444, "NA")</f>
        <v>9.6394395485809026E-3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-1982.13</v>
      </c>
      <c r="I136" s="8">
        <f>IFERROR(H136/H444, "NA")</f>
        <v>-6.5528316326952274E-2</v>
      </c>
      <c r="J136" s="9"/>
      <c r="K136" s="7">
        <v>883.34</v>
      </c>
      <c r="L136" s="8">
        <f>IFERROR(K136/K444, "NA")</f>
        <v>5.7419053396196539E-3</v>
      </c>
      <c r="M136" s="9"/>
      <c r="N136" s="10">
        <f t="shared" si="29"/>
        <v>-1098.79</v>
      </c>
      <c r="O136" s="8">
        <f>IFERROR(N136/N444, "NA")</f>
        <v>-2.1217822979026454E-2</v>
      </c>
      <c r="P136" s="9"/>
      <c r="Q136" s="7">
        <v>5381.28</v>
      </c>
      <c r="R136" s="8">
        <f>IFERROR(Q136/Q444, "NA")</f>
        <v>7.5203870004164012E-3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-5381.28</v>
      </c>
      <c r="X136" s="8">
        <f>IFERROR(W136/W444, "NA")</f>
        <v>-5.248833558404007E-2</v>
      </c>
      <c r="Y136" s="9"/>
      <c r="Z136" s="7">
        <v>4348.88</v>
      </c>
      <c r="AA136" s="8">
        <f>IFERROR(Z136/Z444, "NA")</f>
        <v>7.8100728942890486E-3</v>
      </c>
      <c r="AB136" s="9"/>
      <c r="AC136" s="10">
        <f t="shared" si="31"/>
        <v>-1032.3999999999996</v>
      </c>
      <c r="AD136" s="8">
        <f>IFERROR(AC136/AC444, "NA")</f>
        <v>-6.5041555972435803E-3</v>
      </c>
    </row>
    <row r="137" spans="1:30" ht="16.5" customHeight="1" x14ac:dyDescent="0.45">
      <c r="A137" s="12" t="s">
        <v>129</v>
      </c>
      <c r="B137" s="7">
        <v>532.53</v>
      </c>
      <c r="C137" s="8">
        <f>IFERROR(B137/B444, "NA")</f>
        <v>2.5897851012828561E-3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-532.53</v>
      </c>
      <c r="I137" s="8">
        <f>IFERROR(H137/H444, "NA")</f>
        <v>-1.7605199605269024E-2</v>
      </c>
      <c r="J137" s="9"/>
      <c r="K137" s="7">
        <v>933.05</v>
      </c>
      <c r="L137" s="8">
        <f>IFERROR(K137/K444, "NA")</f>
        <v>6.0650313323659267E-3</v>
      </c>
      <c r="M137" s="9"/>
      <c r="N137" s="10">
        <f t="shared" si="29"/>
        <v>400.52</v>
      </c>
      <c r="O137" s="8">
        <f>IFERROR(N137/N444, "NA")</f>
        <v>7.7341097566957064E-3</v>
      </c>
      <c r="P137" s="9"/>
      <c r="Q137" s="7">
        <v>3160.28</v>
      </c>
      <c r="R137" s="8">
        <f>IFERROR(Q137/Q444, "NA")</f>
        <v>4.416519606799116E-3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-3160.28</v>
      </c>
      <c r="X137" s="8">
        <f>IFERROR(W137/W444, "NA")</f>
        <v>-3.082497791966413E-2</v>
      </c>
      <c r="Y137" s="9"/>
      <c r="Z137" s="7">
        <v>2678.53</v>
      </c>
      <c r="AA137" s="8">
        <f>IFERROR(Z137/Z444, "NA")</f>
        <v>4.810322324262809E-3</v>
      </c>
      <c r="AB137" s="9"/>
      <c r="AC137" s="10">
        <f t="shared" si="31"/>
        <v>-481.75</v>
      </c>
      <c r="AD137" s="8">
        <f>IFERROR(AC137/AC444, "NA")</f>
        <v>-3.0350416107827352E-3</v>
      </c>
    </row>
    <row r="138" spans="1:30" ht="16.5" customHeight="1" x14ac:dyDescent="0.45">
      <c r="A138" s="12" t="s">
        <v>130</v>
      </c>
      <c r="B138" s="7">
        <v>12449.78</v>
      </c>
      <c r="C138" s="8">
        <f>IFERROR(B138/B444, "NA")</f>
        <v>6.0545424216944171E-2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-12449.78</v>
      </c>
      <c r="I138" s="8">
        <f>IFERROR(H138/H444, "NA")</f>
        <v>-0.41158406463802266</v>
      </c>
      <c r="J138" s="9"/>
      <c r="K138" s="7">
        <v>7036.4</v>
      </c>
      <c r="L138" s="8">
        <f>IFERROR(K138/K444, "NA")</f>
        <v>4.5738156012067523E-2</v>
      </c>
      <c r="M138" s="9"/>
      <c r="N138" s="10">
        <f t="shared" si="29"/>
        <v>-5413.380000000001</v>
      </c>
      <c r="O138" s="8">
        <f>IFERROR(N138/N444, "NA")</f>
        <v>-0.1045332944040283</v>
      </c>
      <c r="P138" s="9"/>
      <c r="Q138" s="7">
        <v>38195.910000000003</v>
      </c>
      <c r="R138" s="8">
        <f>IFERROR(Q138/Q444, "NA")</f>
        <v>5.3379126347834503E-2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-38195.910000000003</v>
      </c>
      <c r="X138" s="8">
        <f>IFERROR(W138/W444, "NA")</f>
        <v>-0.37255815382544533</v>
      </c>
      <c r="Y138" s="9"/>
      <c r="Z138" s="7">
        <v>28461.5</v>
      </c>
      <c r="AA138" s="8">
        <f>IFERROR(Z138/Z444, "NA")</f>
        <v>5.1113479719101872E-2</v>
      </c>
      <c r="AB138" s="9"/>
      <c r="AC138" s="10">
        <f t="shared" si="31"/>
        <v>-9734.4100000000035</v>
      </c>
      <c r="AD138" s="8">
        <f>IFERROR(AC138/AC444, "NA")</f>
        <v>-6.1327118643320341E-2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47510.25</v>
      </c>
      <c r="C141" s="15">
        <f>IFERROR(B141/B444, "NA")</f>
        <v>0.23105052787302841</v>
      </c>
      <c r="D141" s="2"/>
      <c r="E141" s="14">
        <f>IFERROR(E129+E130+E131+E132+E133+E134+E135+E136+E137+E138+E139+E140, "NA")</f>
        <v>38407.919999999998</v>
      </c>
      <c r="F141" s="15">
        <f>IFERROR(E141/E444, "NA")</f>
        <v>0.21899997519652478</v>
      </c>
      <c r="G141" s="2"/>
      <c r="H141" s="14">
        <f t="shared" si="28"/>
        <v>-9102.3300000000017</v>
      </c>
      <c r="I141" s="15">
        <f>IFERROR(H141/H444, "NA")</f>
        <v>-0.30091889005882938</v>
      </c>
      <c r="J141" s="2"/>
      <c r="K141" s="14">
        <f>IFERROR(K129+K130+K131+K132+K133+K134+K135+K136+K137+K138+K139+K140, "NA")</f>
        <v>36925.29</v>
      </c>
      <c r="L141" s="15">
        <f>IFERROR(K141/K444, "NA")</f>
        <v>0.24002255056717028</v>
      </c>
      <c r="M141" s="2"/>
      <c r="N141" s="14">
        <f t="shared" si="29"/>
        <v>-10584.96</v>
      </c>
      <c r="O141" s="15">
        <f>IFERROR(N141/N444, "NA")</f>
        <v>-0.2043973894193393</v>
      </c>
      <c r="P141" s="2"/>
      <c r="Q141" s="14">
        <f>IFERROR(Q129+Q130+Q131+Q132+Q133+Q134+Q135+Q136+Q137+Q138+Q139+Q140, "NA")</f>
        <v>160035.38999999998</v>
      </c>
      <c r="R141" s="15">
        <f>IFERROR(Q141/Q444, "NA")</f>
        <v>0.22365089097065546</v>
      </c>
      <c r="S141" s="2"/>
      <c r="T141" s="14">
        <f>IFERROR(T129+T130+T131+T132+T133+T134+T135+T136+T137+T138+T139+T140, "NA")</f>
        <v>139064.66</v>
      </c>
      <c r="U141" s="15">
        <f>IFERROR(T141/T444, "NA")</f>
        <v>0.2268459887246021</v>
      </c>
      <c r="V141" s="2"/>
      <c r="W141" s="14">
        <f t="shared" si="30"/>
        <v>-20970.729999999981</v>
      </c>
      <c r="X141" s="15">
        <f>IFERROR(W141/W444, "NA")</f>
        <v>-0.20454589125306541</v>
      </c>
      <c r="Y141" s="2"/>
      <c r="Z141" s="14">
        <f>IFERROR(Z129+Z130+Z131+Z132+Z133+Z134+Z135+Z136+Z137+Z138+Z139+Z140, "NA")</f>
        <v>129393.99000000002</v>
      </c>
      <c r="AA141" s="15">
        <f>IFERROR(Z141/Z444, "NA")</f>
        <v>0.23237626560928523</v>
      </c>
      <c r="AB141" s="2"/>
      <c r="AC141" s="14">
        <f t="shared" si="31"/>
        <v>-30641.399999999965</v>
      </c>
      <c r="AD141" s="15">
        <f>IFERROR(AC141/AC444, "NA")</f>
        <v>-0.19304187651818991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2312.5100000000002</v>
      </c>
      <c r="C144" s="8">
        <f>IFERROR(B144/B444, "NA")</f>
        <v>1.124613438598317E-2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-2312.5100000000002</v>
      </c>
      <c r="I144" s="8">
        <f>IFERROR(H144/H444, "NA")</f>
        <v>-7.6450528870074308E-2</v>
      </c>
      <c r="J144" s="9"/>
      <c r="K144" s="7">
        <v>979.1</v>
      </c>
      <c r="L144" s="8">
        <f>IFERROR(K144/K444, "NA")</f>
        <v>6.3643665157488653E-3</v>
      </c>
      <c r="M144" s="9"/>
      <c r="N144" s="10">
        <f t="shared" si="33"/>
        <v>-1333.4100000000003</v>
      </c>
      <c r="O144" s="8">
        <f>IFERROR(N144/N444, "NA")</f>
        <v>-2.5748375338748686E-2</v>
      </c>
      <c r="P144" s="9"/>
      <c r="Q144" s="7">
        <v>6225.94</v>
      </c>
      <c r="R144" s="8">
        <f>IFERROR(Q144/Q444, "NA")</f>
        <v>8.7008069160817662E-3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-6225.94</v>
      </c>
      <c r="X144" s="8">
        <f>IFERROR(W144/W444, "NA")</f>
        <v>-6.0727044131897702E-2</v>
      </c>
      <c r="Y144" s="9"/>
      <c r="Z144" s="7">
        <v>4278.08</v>
      </c>
      <c r="AA144" s="8">
        <f>IFERROR(Z144/Z444, "NA")</f>
        <v>7.6829244880521176E-3</v>
      </c>
      <c r="AB144" s="9"/>
      <c r="AC144" s="10">
        <f t="shared" si="35"/>
        <v>-1947.8599999999997</v>
      </c>
      <c r="AD144" s="8">
        <f>IFERROR(AC144/AC444, "NA")</f>
        <v>-1.2271585162385589E-2</v>
      </c>
    </row>
    <row r="145" spans="1:30" ht="16.5" customHeight="1" x14ac:dyDescent="0.45">
      <c r="A145" s="12" t="s">
        <v>136</v>
      </c>
      <c r="B145" s="7">
        <v>-1370.9</v>
      </c>
      <c r="C145" s="8">
        <f>IFERROR(B145/B444, "NA")</f>
        <v>-6.6669227937368181E-3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1370.9</v>
      </c>
      <c r="I145" s="8">
        <f>IFERROR(H145/H444, "NA")</f>
        <v>4.5321330514456096E-2</v>
      </c>
      <c r="J145" s="9"/>
      <c r="K145" s="7">
        <v>120.72</v>
      </c>
      <c r="L145" s="8">
        <f>IFERROR(K145/K444, "NA")</f>
        <v>7.8470669572178837E-4</v>
      </c>
      <c r="M145" s="9"/>
      <c r="N145" s="10">
        <f t="shared" si="33"/>
        <v>1491.6200000000001</v>
      </c>
      <c r="O145" s="8">
        <f>IFERROR(N145/N444, "NA")</f>
        <v>2.8803437519430868E-2</v>
      </c>
      <c r="P145" s="9"/>
      <c r="Q145" s="7">
        <v>-931.38</v>
      </c>
      <c r="R145" s="8">
        <f>IFERROR(Q145/Q444, "NA")</f>
        <v>-1.3016118924211019E-3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931.38</v>
      </c>
      <c r="X145" s="8">
        <f>IFERROR(W145/W444, "NA")</f>
        <v>9.0845646382019234E-3</v>
      </c>
      <c r="Y145" s="9"/>
      <c r="Z145" s="7">
        <v>334.16</v>
      </c>
      <c r="AA145" s="8">
        <f>IFERROR(Z145/Z444, "NA")</f>
        <v>6.0011174333521008E-4</v>
      </c>
      <c r="AB145" s="9"/>
      <c r="AC145" s="10">
        <f t="shared" si="35"/>
        <v>1265.54</v>
      </c>
      <c r="AD145" s="8">
        <f>IFERROR(AC145/AC444, "NA")</f>
        <v>7.9729456359314641E-3</v>
      </c>
    </row>
    <row r="146" spans="1:30" ht="16.5" customHeight="1" x14ac:dyDescent="0.45">
      <c r="A146" s="12" t="s">
        <v>137</v>
      </c>
      <c r="B146" s="7">
        <v>158.91</v>
      </c>
      <c r="C146" s="8">
        <f>IFERROR(B146/B444, "NA")</f>
        <v>7.7280669717172488E-4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-158.91</v>
      </c>
      <c r="I146" s="8">
        <f>IFERROR(H146/H444, "NA")</f>
        <v>-5.2534923277060457E-3</v>
      </c>
      <c r="J146" s="9"/>
      <c r="K146" s="7">
        <v>-850.56</v>
      </c>
      <c r="L146" s="8">
        <f>IFERROR(K146/K444, "NA")</f>
        <v>-5.5288280907316457E-3</v>
      </c>
      <c r="M146" s="9"/>
      <c r="N146" s="10">
        <f t="shared" si="33"/>
        <v>-1009.4699999999999</v>
      </c>
      <c r="O146" s="8">
        <f>IFERROR(N146/N444, "NA")</f>
        <v>-1.9493038490191787E-2</v>
      </c>
      <c r="P146" s="9"/>
      <c r="Q146" s="7">
        <v>859.51</v>
      </c>
      <c r="R146" s="8">
        <f>IFERROR(Q146/Q444, "NA")</f>
        <v>1.2011729236776196E-3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-859.51</v>
      </c>
      <c r="X146" s="8">
        <f>IFERROR(W146/W444, "NA")</f>
        <v>-8.3835536002286239E-3</v>
      </c>
      <c r="Y146" s="9"/>
      <c r="Z146" s="7">
        <v>22.39</v>
      </c>
      <c r="AA146" s="8">
        <f>IFERROR(Z146/Z444, "NA")</f>
        <v>4.0209785531707431E-5</v>
      </c>
      <c r="AB146" s="9"/>
      <c r="AC146" s="10">
        <f t="shared" si="35"/>
        <v>-837.12</v>
      </c>
      <c r="AD146" s="8">
        <f>IFERROR(AC146/AC444, "NA")</f>
        <v>-5.2738848639718597E-3</v>
      </c>
    </row>
    <row r="147" spans="1:30" ht="16.5" customHeight="1" x14ac:dyDescent="0.45">
      <c r="A147" s="12" t="s">
        <v>138</v>
      </c>
      <c r="B147" s="7">
        <v>-295.72000000000003</v>
      </c>
      <c r="C147" s="8">
        <f>IFERROR(B147/B444, "NA")</f>
        <v>-1.4381372883243504E-3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295.72000000000003</v>
      </c>
      <c r="I147" s="8">
        <f>IFERROR(H147/H444, "NA")</f>
        <v>9.776368706495701E-3</v>
      </c>
      <c r="J147" s="9"/>
      <c r="K147" s="7">
        <v>23.85</v>
      </c>
      <c r="L147" s="8">
        <f>IFERROR(K147/K444, "NA")</f>
        <v>1.5503027412992588E-4</v>
      </c>
      <c r="M147" s="9"/>
      <c r="N147" s="10">
        <f t="shared" si="33"/>
        <v>319.57000000000005</v>
      </c>
      <c r="O147" s="8">
        <f>IFERROR(N147/N444, "NA")</f>
        <v>6.1709514005474069E-3</v>
      </c>
      <c r="P147" s="9"/>
      <c r="Q147" s="7">
        <v>87.2</v>
      </c>
      <c r="R147" s="8">
        <f>IFERROR(Q147/Q444, "NA")</f>
        <v>1.2186278105512262E-4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-87.2</v>
      </c>
      <c r="X147" s="8">
        <f>IFERROR(W147/W444, "NA")</f>
        <v>-8.5053795062295487E-4</v>
      </c>
      <c r="Y147" s="9"/>
      <c r="Z147" s="7">
        <v>127.66</v>
      </c>
      <c r="AA147" s="8">
        <f>IFERROR(Z147/Z444, "NA")</f>
        <v>2.2926222514416122E-4</v>
      </c>
      <c r="AB147" s="9"/>
      <c r="AC147" s="10">
        <f t="shared" si="35"/>
        <v>40.459999999999994</v>
      </c>
      <c r="AD147" s="8">
        <f>IFERROR(AC147/AC444, "NA")</f>
        <v>2.5489939506438908E-4</v>
      </c>
    </row>
    <row r="148" spans="1:30" ht="16.5" customHeight="1" x14ac:dyDescent="0.45">
      <c r="A148" s="13" t="s">
        <v>139</v>
      </c>
      <c r="B148" s="14">
        <f>IFERROR(B143+B144+B145+B146+B147, "NA")</f>
        <v>804.80000000000018</v>
      </c>
      <c r="C148" s="15">
        <f>IFERROR(B148/B444, "NA")</f>
        <v>3.9138810010937285E-3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-804.80000000000018</v>
      </c>
      <c r="I148" s="15">
        <f>IFERROR(H148/H444, "NA")</f>
        <v>-2.6606321976828561E-2</v>
      </c>
      <c r="J148" s="2"/>
      <c r="K148" s="14">
        <f>IFERROR(K143+K144+K145+K146+K147, "NA")</f>
        <v>273.11</v>
      </c>
      <c r="L148" s="15">
        <f>IFERROR(K148/K444, "NA")</f>
        <v>1.7752753948689333E-3</v>
      </c>
      <c r="M148" s="2"/>
      <c r="N148" s="14">
        <f t="shared" si="33"/>
        <v>-531.69000000000017</v>
      </c>
      <c r="O148" s="15">
        <f>IFERROR(N148/N444, "NA")</f>
        <v>-1.0267024908962202E-2</v>
      </c>
      <c r="P148" s="2"/>
      <c r="Q148" s="14">
        <f>IFERROR(Q143+Q144+Q145+Q146+Q147, "NA")</f>
        <v>6241.2699999999995</v>
      </c>
      <c r="R148" s="15">
        <f>IFERROR(Q148/Q444, "NA")</f>
        <v>8.7222307283934056E-3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-6241.2699999999995</v>
      </c>
      <c r="X148" s="15">
        <f>IFERROR(W148/W444, "NA")</f>
        <v>-6.0876571044547356E-2</v>
      </c>
      <c r="Y148" s="2"/>
      <c r="Z148" s="14">
        <f>IFERROR(Z143+Z144+Z145+Z146+Z147, "NA")</f>
        <v>4762.29</v>
      </c>
      <c r="AA148" s="15">
        <f>IFERROR(Z148/Z444, "NA")</f>
        <v>8.5525082420631962E-3</v>
      </c>
      <c r="AB148" s="2"/>
      <c r="AC148" s="14">
        <f t="shared" si="35"/>
        <v>-1478.9799999999996</v>
      </c>
      <c r="AD148" s="15">
        <f>IFERROR(AC148/AC444, "NA")</f>
        <v>-9.3176249953615953E-3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48315.05</v>
      </c>
      <c r="C149" s="15">
        <f>IFERROR(B149/B444, "NA")</f>
        <v>0.23496440887412215</v>
      </c>
      <c r="D149" s="2"/>
      <c r="E149" s="14">
        <f>IFERROR(E127+E129+E130+E131+E132+E133+E134+E135+E136+E137+E138+E139+E140+E143+E144+E145+E146+E147, "NA")</f>
        <v>38407.919999999998</v>
      </c>
      <c r="F149" s="15">
        <f>IFERROR(E149/E444, "NA")</f>
        <v>0.21899997519652478</v>
      </c>
      <c r="G149" s="2"/>
      <c r="H149" s="14">
        <f t="shared" si="32"/>
        <v>-9907.1300000000047</v>
      </c>
      <c r="I149" s="15">
        <f>IFERROR(H149/H444, "NA")</f>
        <v>-0.32752521203565804</v>
      </c>
      <c r="J149" s="2"/>
      <c r="K149" s="14">
        <f>IFERROR(K127+K129+K130+K131+K132+K133+K134+K135+K136+K137+K138+K139+K140+K143+K144+K145+K146+K147, "NA")</f>
        <v>37198.400000000001</v>
      </c>
      <c r="L149" s="15">
        <f>IFERROR(K149/K444, "NA")</f>
        <v>0.24179782596203922</v>
      </c>
      <c r="M149" s="2"/>
      <c r="N149" s="14">
        <f t="shared" si="33"/>
        <v>-11116.650000000001</v>
      </c>
      <c r="O149" s="15">
        <f>IFERROR(N149/N444, "NA")</f>
        <v>-0.21466441432830155</v>
      </c>
      <c r="P149" s="2"/>
      <c r="Q149" s="14">
        <f>IFERROR(Q127+Q129+Q130+Q131+Q132+Q133+Q134+Q135+Q136+Q137+Q138+Q139+Q140+Q143+Q144+Q145+Q146+Q147, "NA")</f>
        <v>166276.66</v>
      </c>
      <c r="R149" s="15">
        <f>IFERROR(Q149/Q444, "NA")</f>
        <v>0.23237312169904889</v>
      </c>
      <c r="S149" s="2"/>
      <c r="T149" s="14">
        <f>IFERROR(T127+T129+T130+T131+T132+T133+T134+T135+T136+T137+T138+T139+T140+T143+T144+T145+T146+T147, "NA")</f>
        <v>139064.66</v>
      </c>
      <c r="U149" s="15">
        <f>IFERROR(T149/T444, "NA")</f>
        <v>0.2268459887246021</v>
      </c>
      <c r="V149" s="2"/>
      <c r="W149" s="14">
        <f t="shared" si="34"/>
        <v>-27212</v>
      </c>
      <c r="X149" s="15">
        <f>IFERROR(W149/W444, "NA")</f>
        <v>-0.26542246229761296</v>
      </c>
      <c r="Y149" s="2"/>
      <c r="Z149" s="14">
        <f>IFERROR(Z127+Z129+Z130+Z131+Z132+Z133+Z134+Z135+Z136+Z137+Z138+Z139+Z140+Z143+Z144+Z145+Z146+Z147, "NA")</f>
        <v>134156.28000000003</v>
      </c>
      <c r="AA149" s="15">
        <f>IFERROR(Z149/Z444, "NA")</f>
        <v>0.24092877385134845</v>
      </c>
      <c r="AB149" s="2"/>
      <c r="AC149" s="14">
        <f t="shared" si="35"/>
        <v>-32120.379999999976</v>
      </c>
      <c r="AD149" s="15">
        <f>IFERROR(AC149/AC444, "NA")</f>
        <v>-0.20235950151355159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2981.44</v>
      </c>
      <c r="F153" s="8">
        <f>IFERROR(E153/E444, "NA")</f>
        <v>1.7000016820747567E-2</v>
      </c>
      <c r="G153" s="9"/>
      <c r="H153" s="10">
        <f t="shared" ref="H153:H158" si="36">IFERROR(-(B153-E153), "NA")</f>
        <v>2981.44</v>
      </c>
      <c r="I153" s="8">
        <f>IFERROR(H153/H444, "NA")</f>
        <v>9.8565050440601057E-2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12159.69</v>
      </c>
      <c r="U153" s="8">
        <f>IFERROR(T153/T444, "NA")</f>
        <v>1.9835211193373333E-2</v>
      </c>
      <c r="V153" s="9"/>
      <c r="W153" s="10">
        <f t="shared" ref="W153:W158" si="38">IFERROR(-(Q153-T153), "NA")</f>
        <v>12159.69</v>
      </c>
      <c r="X153" s="8">
        <f>IFERROR(W153/W444, "NA")</f>
        <v>0.11860410335791788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5539.02</v>
      </c>
      <c r="C154" s="8">
        <f>IFERROR(B154/B444, "NA")</f>
        <v>2.6937208179272091E-2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-5539.02</v>
      </c>
      <c r="I154" s="8">
        <f>IFERROR(H154/H444, "NA")</f>
        <v>-0.18311748205279935</v>
      </c>
      <c r="J154" s="9"/>
      <c r="K154" s="7">
        <v>4336.29</v>
      </c>
      <c r="L154" s="8">
        <f>IFERROR(K154/K444, "NA")</f>
        <v>2.8186843916430036E-2</v>
      </c>
      <c r="M154" s="9"/>
      <c r="N154" s="10">
        <f t="shared" si="37"/>
        <v>-1202.7300000000005</v>
      </c>
      <c r="O154" s="8">
        <f>IFERROR(N154/N444, "NA")</f>
        <v>-2.3224922170355114E-2</v>
      </c>
      <c r="P154" s="9"/>
      <c r="Q154" s="7">
        <v>18881.060000000001</v>
      </c>
      <c r="R154" s="8">
        <f>IFERROR(Q154/Q444, "NA")</f>
        <v>2.6386450468676988E-2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-18881.060000000001</v>
      </c>
      <c r="X154" s="8">
        <f>IFERROR(W154/W444, "NA")</f>
        <v>-0.18416351006868176</v>
      </c>
      <c r="Y154" s="9"/>
      <c r="Z154" s="7">
        <v>17067.8</v>
      </c>
      <c r="AA154" s="8">
        <f>IFERROR(Z154/Z444, "NA")</f>
        <v>3.06517453103205E-2</v>
      </c>
      <c r="AB154" s="9"/>
      <c r="AC154" s="10">
        <f t="shared" si="39"/>
        <v>-1813.260000000002</v>
      </c>
      <c r="AD154" s="8">
        <f>IFERROR(AC154/AC444, "NA")</f>
        <v>-1.1423600521365663E-2</v>
      </c>
    </row>
    <row r="155" spans="1:30" ht="16.5" customHeight="1" x14ac:dyDescent="0.45">
      <c r="A155" s="12" t="s">
        <v>144</v>
      </c>
      <c r="B155" s="7">
        <v>2941.02</v>
      </c>
      <c r="C155" s="8">
        <f>IFERROR(B155/B444, "NA")</f>
        <v>1.430268675675531E-2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-2941.02</v>
      </c>
      <c r="I155" s="8">
        <f>IFERROR(H155/H444, "NA")</f>
        <v>-9.7228783623623652E-2</v>
      </c>
      <c r="J155" s="9"/>
      <c r="K155" s="7">
        <v>2729.46</v>
      </c>
      <c r="L155" s="8">
        <f>IFERROR(K155/K444, "NA")</f>
        <v>1.7742093586023796E-2</v>
      </c>
      <c r="M155" s="9"/>
      <c r="N155" s="10">
        <f t="shared" si="37"/>
        <v>-211.55999999999995</v>
      </c>
      <c r="O155" s="8">
        <f>IFERROR(N155/N444, "NA")</f>
        <v>-4.0852598125600296E-3</v>
      </c>
      <c r="P155" s="9"/>
      <c r="Q155" s="7">
        <v>11369.45</v>
      </c>
      <c r="R155" s="8">
        <f>IFERROR(Q155/Q444, "NA")</f>
        <v>1.5888908211779403E-2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-11369.45</v>
      </c>
      <c r="X155" s="8">
        <f>IFERROR(W155/W444, "NA")</f>
        <v>-0.11089620071915315</v>
      </c>
      <c r="Y155" s="9"/>
      <c r="Z155" s="7">
        <v>10096.879999999999</v>
      </c>
      <c r="AA155" s="8">
        <f>IFERROR(Z155/Z444, "NA")</f>
        <v>1.8132799434541585E-2</v>
      </c>
      <c r="AB155" s="9"/>
      <c r="AC155" s="10">
        <f t="shared" si="39"/>
        <v>-1272.5700000000015</v>
      </c>
      <c r="AD155" s="8">
        <f>IFERROR(AC155/AC444, "NA")</f>
        <v>-8.0172348783264964E-3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190.79</v>
      </c>
      <c r="AA156" s="8">
        <f>IFERROR(Z156/Z444, "NA")</f>
        <v>3.4263622070542475E-4</v>
      </c>
      <c r="AB156" s="9"/>
      <c r="AC156" s="10">
        <f t="shared" si="39"/>
        <v>190.79</v>
      </c>
      <c r="AD156" s="8">
        <f>IFERROR(AC156/AC444, "NA")</f>
        <v>1.2019835784561246E-3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8480.0400000000009</v>
      </c>
      <c r="C158" s="15">
        <f>IFERROR(B158/B444, "NA")</f>
        <v>4.1239894936027408E-2</v>
      </c>
      <c r="D158" s="2"/>
      <c r="E158" s="14">
        <f>IFERROR(E153+E154+E155+E156+E157, "NA")</f>
        <v>2981.44</v>
      </c>
      <c r="F158" s="15">
        <f>IFERROR(E158/E444, "NA")</f>
        <v>1.7000016820747567E-2</v>
      </c>
      <c r="G158" s="2"/>
      <c r="H158" s="14">
        <f t="shared" si="36"/>
        <v>-5498.6</v>
      </c>
      <c r="I158" s="15">
        <f>IFERROR(H158/H444, "NA")</f>
        <v>-0.18178121523582194</v>
      </c>
      <c r="J158" s="2"/>
      <c r="K158" s="14">
        <f>IFERROR(K153+K154+K155+K156+K157, "NA")</f>
        <v>7065.75</v>
      </c>
      <c r="L158" s="15">
        <f>IFERROR(K158/K444, "NA")</f>
        <v>4.5928937502453832E-2</v>
      </c>
      <c r="M158" s="2"/>
      <c r="N158" s="14">
        <f t="shared" si="37"/>
        <v>-1414.2900000000009</v>
      </c>
      <c r="O158" s="15">
        <f>IFERROR(N158/N444, "NA")</f>
        <v>-2.7310181982915155E-2</v>
      </c>
      <c r="P158" s="2"/>
      <c r="Q158" s="14">
        <f>IFERROR(Q153+Q154+Q155+Q156+Q157, "NA")</f>
        <v>30250.510000000002</v>
      </c>
      <c r="R158" s="15">
        <f>IFERROR(Q158/Q444, "NA")</f>
        <v>4.2275358680456392E-2</v>
      </c>
      <c r="S158" s="2"/>
      <c r="T158" s="14">
        <f>IFERROR(T153+T154+T155+T156+T157, "NA")</f>
        <v>12159.69</v>
      </c>
      <c r="U158" s="15">
        <f>IFERROR(T158/T444, "NA")</f>
        <v>1.9835211193373333E-2</v>
      </c>
      <c r="V158" s="2"/>
      <c r="W158" s="14">
        <f t="shared" si="38"/>
        <v>-18090.82</v>
      </c>
      <c r="X158" s="15">
        <f>IFERROR(W158/W444, "NA")</f>
        <v>-0.17645560742991703</v>
      </c>
      <c r="Y158" s="2"/>
      <c r="Z158" s="14">
        <f>IFERROR(Z153+Z154+Z155+Z156+Z157, "NA")</f>
        <v>27355.47</v>
      </c>
      <c r="AA158" s="15">
        <f>IFERROR(Z158/Z444, "NA")</f>
        <v>4.9127180965567514E-2</v>
      </c>
      <c r="AB158" s="2"/>
      <c r="AC158" s="14">
        <f t="shared" si="39"/>
        <v>-2895.0400000000009</v>
      </c>
      <c r="AD158" s="15">
        <f>IFERROR(AC158/AC444, "NA")</f>
        <v>-1.8238851821236021E-2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197.64</v>
      </c>
      <c r="C161" s="8">
        <f>IFERROR(B161/B444, "NA")</f>
        <v>9.6115735717714238E-4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-197.64</v>
      </c>
      <c r="I161" s="8">
        <f>IFERROR(H161/H444, "NA")</f>
        <v>-6.53388851329572E-3</v>
      </c>
      <c r="J161" s="9"/>
      <c r="K161" s="7">
        <v>287.89</v>
      </c>
      <c r="L161" s="8">
        <f>IFERROR(K161/K444, "NA")</f>
        <v>1.8713486632815246E-3</v>
      </c>
      <c r="M161" s="9"/>
      <c r="N161" s="10">
        <f t="shared" si="41"/>
        <v>90.25</v>
      </c>
      <c r="O161" s="8">
        <f>IFERROR(N161/N444, "NA")</f>
        <v>1.74274294802204E-3</v>
      </c>
      <c r="P161" s="9"/>
      <c r="Q161" s="7">
        <v>608.25</v>
      </c>
      <c r="R161" s="8">
        <f>IFERROR(Q161/Q444, "NA")</f>
        <v>8.5003482312819185E-4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-608.25</v>
      </c>
      <c r="X161" s="8">
        <f>IFERROR(W161/W444, "NA")</f>
        <v>-5.9327948218625267E-3</v>
      </c>
      <c r="Y161" s="9"/>
      <c r="Z161" s="7">
        <v>1365.16</v>
      </c>
      <c r="AA161" s="8">
        <f>IFERROR(Z161/Z444, "NA")</f>
        <v>2.451665512124418E-3</v>
      </c>
      <c r="AB161" s="9"/>
      <c r="AC161" s="10">
        <f t="shared" si="43"/>
        <v>756.91000000000008</v>
      </c>
      <c r="AD161" s="8">
        <f>IFERROR(AC161/AC444, "NA")</f>
        <v>4.7685590983239448E-3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197.64</v>
      </c>
      <c r="C166" s="15">
        <f>IFERROR(B166/B444, "NA")</f>
        <v>9.6115735717714238E-4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-197.64</v>
      </c>
      <c r="I166" s="15">
        <f>IFERROR(H166/H444, "NA")</f>
        <v>-6.53388851329572E-3</v>
      </c>
      <c r="J166" s="2"/>
      <c r="K166" s="14">
        <f>IFERROR(K160+K161+K162+K163+K164+K165, "NA")</f>
        <v>287.89</v>
      </c>
      <c r="L166" s="15">
        <f>IFERROR(K166/K444, "NA")</f>
        <v>1.8713486632815246E-3</v>
      </c>
      <c r="M166" s="2"/>
      <c r="N166" s="14">
        <f t="shared" si="41"/>
        <v>90.25</v>
      </c>
      <c r="O166" s="15">
        <f>IFERROR(N166/N444, "NA")</f>
        <v>1.74274294802204E-3</v>
      </c>
      <c r="P166" s="2"/>
      <c r="Q166" s="14">
        <f>IFERROR(Q160+Q161+Q162+Q163+Q164+Q165, "NA")</f>
        <v>608.25</v>
      </c>
      <c r="R166" s="15">
        <f>IFERROR(Q166/Q444, "NA")</f>
        <v>8.5003482312819185E-4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-608.25</v>
      </c>
      <c r="X166" s="15">
        <f>IFERROR(W166/W444, "NA")</f>
        <v>-5.9327948218625267E-3</v>
      </c>
      <c r="Y166" s="2"/>
      <c r="Z166" s="14">
        <f>IFERROR(Z160+Z161+Z162+Z163+Z164+Z165, "NA")</f>
        <v>1365.16</v>
      </c>
      <c r="AA166" s="15">
        <f>IFERROR(Z166/Z444, "NA")</f>
        <v>2.451665512124418E-3</v>
      </c>
      <c r="AB166" s="2"/>
      <c r="AC166" s="14">
        <f t="shared" si="43"/>
        <v>756.91000000000008</v>
      </c>
      <c r="AD166" s="15">
        <f>IFERROR(AC166/AC444, "NA")</f>
        <v>4.7685590983239448E-3</v>
      </c>
    </row>
    <row r="167" spans="1:30" ht="16.5" customHeight="1" x14ac:dyDescent="0.45">
      <c r="A167" s="6" t="s">
        <v>155</v>
      </c>
      <c r="B167" s="7">
        <v>137.38</v>
      </c>
      <c r="C167" s="8">
        <f>IFERROR(B167/B444, "NA")</f>
        <v>6.6810259931691875E-4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-137.38</v>
      </c>
      <c r="I167" s="8">
        <f>IFERROR(H167/H444, "NA")</f>
        <v>-4.5417203195535624E-3</v>
      </c>
      <c r="J167" s="9"/>
      <c r="K167" s="7">
        <v>110</v>
      </c>
      <c r="L167" s="8">
        <f>IFERROR(K167/K444, "NA")</f>
        <v>7.1502432512754075E-4</v>
      </c>
      <c r="M167" s="9"/>
      <c r="N167" s="10">
        <f t="shared" si="41"/>
        <v>-27.379999999999995</v>
      </c>
      <c r="O167" s="8">
        <f>IFERROR(N167/N444, "NA")</f>
        <v>-5.2871248661322387E-4</v>
      </c>
      <c r="P167" s="9"/>
      <c r="Q167" s="7">
        <v>532.23</v>
      </c>
      <c r="R167" s="8">
        <f>IFERROR(Q167/Q444, "NA")</f>
        <v>7.4379619221293472E-4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-532.23</v>
      </c>
      <c r="X167" s="8">
        <f>IFERROR(W167/W444, "NA")</f>
        <v>-5.1913052002299917E-3</v>
      </c>
      <c r="Y167" s="9"/>
      <c r="Z167" s="7">
        <v>756.67</v>
      </c>
      <c r="AA167" s="8">
        <f>IFERROR(Z167/Z444, "NA")</f>
        <v>1.3588896122499802E-3</v>
      </c>
      <c r="AB167" s="9"/>
      <c r="AC167" s="10">
        <f t="shared" si="43"/>
        <v>224.43999999999994</v>
      </c>
      <c r="AD167" s="8">
        <f>IFERROR(AC167/AC444, "NA")</f>
        <v>1.4139797387111093E-3</v>
      </c>
    </row>
    <row r="168" spans="1:30" ht="16.5" customHeight="1" x14ac:dyDescent="0.45">
      <c r="A168" s="6" t="s">
        <v>156</v>
      </c>
      <c r="B168" s="7">
        <v>50.4</v>
      </c>
      <c r="C168" s="8">
        <f>IFERROR(B168/B444, "NA")</f>
        <v>2.4510387979016383E-4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-50.4</v>
      </c>
      <c r="I168" s="8">
        <f>IFERROR(H168/H444, "NA")</f>
        <v>-1.6662010780717682E-3</v>
      </c>
      <c r="J168" s="9"/>
      <c r="K168" s="7">
        <v>56.4</v>
      </c>
      <c r="L168" s="8">
        <f>IFERROR(K168/K444, "NA")</f>
        <v>3.6661247215630271E-4</v>
      </c>
      <c r="M168" s="9"/>
      <c r="N168" s="10">
        <f t="shared" si="41"/>
        <v>6</v>
      </c>
      <c r="O168" s="8">
        <f>IFERROR(N168/N444, "NA")</f>
        <v>1.1586102701531568E-4</v>
      </c>
      <c r="P168" s="9"/>
      <c r="Q168" s="7">
        <v>214.4</v>
      </c>
      <c r="R168" s="8">
        <f>IFERROR(Q168/Q444, "NA")</f>
        <v>2.9962592039241157E-4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-214.4</v>
      </c>
      <c r="X168" s="8">
        <f>IFERROR(W168/W444, "NA")</f>
        <v>-2.0912309244674487E-3</v>
      </c>
      <c r="Y168" s="9"/>
      <c r="Z168" s="7">
        <v>220.5</v>
      </c>
      <c r="AA168" s="8">
        <f>IFERROR(Z168/Z444, "NA")</f>
        <v>3.9599185840739112E-4</v>
      </c>
      <c r="AB168" s="9"/>
      <c r="AC168" s="10">
        <f t="shared" si="43"/>
        <v>6.0999999999999943</v>
      </c>
      <c r="AD168" s="8">
        <f>IFERROR(AC168/AC444, "NA")</f>
        <v>3.8430210328541086E-5</v>
      </c>
    </row>
    <row r="169" spans="1:30" ht="16.5" customHeight="1" x14ac:dyDescent="0.45">
      <c r="A169" s="6" t="s">
        <v>157</v>
      </c>
      <c r="B169" s="7">
        <v>-1733.42</v>
      </c>
      <c r="C169" s="8">
        <f>IFERROR(B169/B444, "NA")</f>
        <v>-8.4299199862274965E-3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1733.42</v>
      </c>
      <c r="I169" s="8">
        <f>IFERROR(H169/H444, "NA")</f>
        <v>5.7306076840300889E-2</v>
      </c>
      <c r="J169" s="9"/>
      <c r="K169" s="7">
        <v>-2216.96</v>
      </c>
      <c r="L169" s="8">
        <f>IFERROR(K169/K444, "NA")</f>
        <v>-1.4410730253043208E-2</v>
      </c>
      <c r="M169" s="9"/>
      <c r="N169" s="10">
        <f t="shared" si="41"/>
        <v>-483.53999999999996</v>
      </c>
      <c r="O169" s="8">
        <f>IFERROR(N169/N444, "NA")</f>
        <v>-9.3372401671642895E-3</v>
      </c>
      <c r="P169" s="9"/>
      <c r="Q169" s="7">
        <v>-10531.55</v>
      </c>
      <c r="R169" s="8">
        <f>IFERROR(Q169/Q444, "NA")</f>
        <v>-1.471793545666372E-2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10531.55</v>
      </c>
      <c r="X169" s="8">
        <f>IFERROR(W169/W444, "NA")</f>
        <v>0.10272342837021996</v>
      </c>
      <c r="Y169" s="9"/>
      <c r="Z169" s="7">
        <v>-8025.21</v>
      </c>
      <c r="AA169" s="8">
        <f>IFERROR(Z169/Z444, "NA")</f>
        <v>-1.4412325723399453E-2</v>
      </c>
      <c r="AB169" s="9"/>
      <c r="AC169" s="10">
        <f t="shared" si="43"/>
        <v>2506.3399999999992</v>
      </c>
      <c r="AD169" s="8">
        <f>IFERROR(AC169/AC444, "NA")</f>
        <v>1.5790028418825527E-2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7132.0399999999991</v>
      </c>
      <c r="C170" s="15">
        <f>IFERROR(B170/B444, "NA")</f>
        <v>3.4684338786084123E-2</v>
      </c>
      <c r="D170" s="2"/>
      <c r="E170" s="14">
        <f>IFERROR(E151+E153+E154+E155+E156+E157+E160+E161+E162+E163+E164+E165+E167+E168+E169, "NA")</f>
        <v>2981.44</v>
      </c>
      <c r="F170" s="15">
        <f>IFERROR(E170/E444, "NA")</f>
        <v>1.7000016820747567E-2</v>
      </c>
      <c r="G170" s="2"/>
      <c r="H170" s="14">
        <f t="shared" si="40"/>
        <v>-4150.5999999999985</v>
      </c>
      <c r="I170" s="15">
        <f>IFERROR(H170/H444, "NA")</f>
        <v>-0.13721694830644204</v>
      </c>
      <c r="J170" s="2"/>
      <c r="K170" s="14">
        <f>IFERROR(K151+K153+K154+K155+K156+K157+K160+K161+K162+K163+K164+K165+K167+K168+K169, "NA")</f>
        <v>5303.08</v>
      </c>
      <c r="L170" s="15">
        <f>IFERROR(K170/K444, "NA")</f>
        <v>3.4471192709975992E-2</v>
      </c>
      <c r="M170" s="2"/>
      <c r="N170" s="14">
        <f t="shared" si="41"/>
        <v>-1828.9599999999991</v>
      </c>
      <c r="O170" s="15">
        <f>IFERROR(N170/N444, "NA")</f>
        <v>-3.5317530661655279E-2</v>
      </c>
      <c r="P170" s="2"/>
      <c r="Q170" s="14">
        <f>IFERROR(Q151+Q153+Q154+Q155+Q156+Q157+Q160+Q161+Q162+Q163+Q164+Q165+Q167+Q168+Q169, "NA")</f>
        <v>21073.840000000004</v>
      </c>
      <c r="R170" s="15">
        <f>IFERROR(Q170/Q444, "NA")</f>
        <v>2.945088015952621E-2</v>
      </c>
      <c r="S170" s="2"/>
      <c r="T170" s="14">
        <f>IFERROR(T151+T153+T154+T155+T156+T157+T160+T161+T162+T163+T164+T165+T167+T168+T169, "NA")</f>
        <v>12159.69</v>
      </c>
      <c r="U170" s="15">
        <f>IFERROR(T170/T444, "NA")</f>
        <v>1.9835211193373333E-2</v>
      </c>
      <c r="V170" s="2"/>
      <c r="W170" s="14">
        <f t="shared" si="42"/>
        <v>-8914.1500000000033</v>
      </c>
      <c r="X170" s="15">
        <f>IFERROR(W170/W444, "NA")</f>
        <v>-8.694751000625707E-2</v>
      </c>
      <c r="Y170" s="2"/>
      <c r="Z170" s="14">
        <f>IFERROR(Z151+Z153+Z154+Z155+Z156+Z157+Z160+Z161+Z162+Z163+Z164+Z165+Z167+Z168+Z169, "NA")</f>
        <v>21672.59</v>
      </c>
      <c r="AA170" s="15">
        <f>IFERROR(Z170/Z444, "NA")</f>
        <v>3.8921402224949844E-2</v>
      </c>
      <c r="AB170" s="2"/>
      <c r="AC170" s="14">
        <f t="shared" si="43"/>
        <v>598.74999999999636</v>
      </c>
      <c r="AD170" s="15">
        <f>IFERROR(AC170/AC444, "NA")</f>
        <v>3.7721456449530911E-3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55447.090000000004</v>
      </c>
      <c r="C171" s="15">
        <f>IFERROR(B171/B444, "NA")</f>
        <v>0.2696487476602063</v>
      </c>
      <c r="D171" s="2"/>
      <c r="E171" s="14">
        <f>IFERROR(E127+E129+E130+E131+E132+E133+E134+E135+E136+E137+E138+E139+E140+E143+E144+E145+E146+E147+E151+E153+E154+E155+E156+E157+E160+E161+E162+E163+E164+E165+E167+E168+E169, "NA")</f>
        <v>41389.360000000001</v>
      </c>
      <c r="F171" s="15">
        <f>IFERROR(E171/E444, "NA")</f>
        <v>0.23599999201727234</v>
      </c>
      <c r="G171" s="2"/>
      <c r="H171" s="14">
        <f t="shared" si="40"/>
        <v>-14057.730000000003</v>
      </c>
      <c r="I171" s="15">
        <f>IFERROR(H171/H444, "NA")</f>
        <v>-0.46474216034210009</v>
      </c>
      <c r="J171" s="2"/>
      <c r="K171" s="14">
        <f>IFERROR(K127+K129+K130+K131+K132+K133+K134+K135+K136+K137+K138+K139+K140+K143+K144+K145+K146+K147+K151+K153+K154+K155+K156+K157+K160+K161+K162+K163+K164+K165+K167+K168+K169, "NA")</f>
        <v>42501.48</v>
      </c>
      <c r="L171" s="15">
        <f>IFERROR(K171/K444, "NA")</f>
        <v>0.2762690186720152</v>
      </c>
      <c r="M171" s="2"/>
      <c r="N171" s="14">
        <f t="shared" si="41"/>
        <v>-12945.61</v>
      </c>
      <c r="O171" s="15">
        <f>IFERROR(N171/N444, "NA")</f>
        <v>-0.24998194498995682</v>
      </c>
      <c r="P171" s="2"/>
      <c r="Q171" s="14">
        <f>IFERROR(Q127+Q129+Q130+Q131+Q132+Q133+Q134+Q135+Q136+Q137+Q138+Q139+Q140+Q143+Q144+Q145+Q146+Q147+Q151+Q153+Q154+Q155+Q156+Q157+Q160+Q161+Q162+Q163+Q164+Q165+Q167+Q168+Q169, "NA")</f>
        <v>187350.50000000003</v>
      </c>
      <c r="R171" s="15">
        <f>IFERROR(Q171/Q444, "NA")</f>
        <v>0.26182400185857513</v>
      </c>
      <c r="S171" s="2"/>
      <c r="T171" s="14">
        <f>IFERROR(T127+T129+T130+T131+T132+T133+T134+T135+T136+T137+T138+T139+T140+T143+T144+T145+T146+T147+T151+T153+T154+T155+T156+T157+T160+T161+T162+T163+T164+T165+T167+T168+T169, "NA")</f>
        <v>151224.35</v>
      </c>
      <c r="U171" s="15">
        <f>IFERROR(T171/T444, "NA")</f>
        <v>0.24668119991797544</v>
      </c>
      <c r="V171" s="2"/>
      <c r="W171" s="14">
        <f t="shared" si="42"/>
        <v>-36126.150000000023</v>
      </c>
      <c r="X171" s="15">
        <f>IFERROR(W171/W444, "NA")</f>
        <v>-0.35236997230387018</v>
      </c>
      <c r="Y171" s="2"/>
      <c r="Z171" s="14">
        <f>IFERROR(Z127+Z129+Z130+Z131+Z132+Z133+Z134+Z135+Z136+Z137+Z138+Z139+Z140+Z143+Z144+Z145+Z146+Z147+Z151+Z153+Z154+Z155+Z156+Z157+Z160+Z161+Z162+Z163+Z164+Z165+Z167+Z168+Z169, "NA")</f>
        <v>155828.87000000005</v>
      </c>
      <c r="AA171" s="15">
        <f>IFERROR(Z171/Z444, "NA")</f>
        <v>0.27985017607629831</v>
      </c>
      <c r="AB171" s="2"/>
      <c r="AC171" s="14">
        <f t="shared" si="43"/>
        <v>-31521.629999999976</v>
      </c>
      <c r="AD171" s="15">
        <f>IFERROR(AC171/AC444, "NA")</f>
        <v>-0.19858735586859846</v>
      </c>
    </row>
    <row r="172" spans="1:30" ht="16.5" customHeight="1" x14ac:dyDescent="0.45">
      <c r="A172" s="22" t="s">
        <v>160</v>
      </c>
      <c r="B172" s="23">
        <f>IFERROR(B124-B171, "NA")</f>
        <v>150180.01000000004</v>
      </c>
      <c r="C172" s="24">
        <f>IFERROR(B172/B444, "NA")</f>
        <v>0.73035125233979392</v>
      </c>
      <c r="D172" s="25"/>
      <c r="E172" s="23">
        <f>IFERROR(E124-E171, "NA")</f>
        <v>133989.28999999998</v>
      </c>
      <c r="F172" s="24">
        <f>IFERROR(E172/E444, "NA")</f>
        <v>0.7640000079827276</v>
      </c>
      <c r="G172" s="25"/>
      <c r="H172" s="23">
        <f>IFERROR(B172-E172, "NA")</f>
        <v>16190.720000000059</v>
      </c>
      <c r="I172" s="24">
        <f>IFERROR(H172/H444, "NA")</f>
        <v>0.53525783965790164</v>
      </c>
      <c r="J172" s="25"/>
      <c r="K172" s="23">
        <f>IFERROR(K124-K171, "NA")</f>
        <v>111339.44000000003</v>
      </c>
      <c r="L172" s="24">
        <f>IFERROR(K172/K444, "NA")</f>
        <v>0.72373098132798497</v>
      </c>
      <c r="M172" s="25"/>
      <c r="N172" s="23">
        <f>IFERROR(B172-K172, "NA")</f>
        <v>38840.570000000007</v>
      </c>
      <c r="O172" s="24">
        <f>IFERROR(N172/N444, "NA")</f>
        <v>0.75001805501004348</v>
      </c>
      <c r="P172" s="25"/>
      <c r="Q172" s="23">
        <f>IFERROR(Q124-Q171, "NA")</f>
        <v>528208.42000000004</v>
      </c>
      <c r="R172" s="24">
        <f>IFERROR(Q172/Q444, "NA")</f>
        <v>0.73817599814142487</v>
      </c>
      <c r="S172" s="25"/>
      <c r="T172" s="23">
        <f>IFERROR(T124-T171, "NA")</f>
        <v>461811.22000000009</v>
      </c>
      <c r="U172" s="24">
        <f>IFERROR(T172/T444, "NA")</f>
        <v>0.75331880008202479</v>
      </c>
      <c r="V172" s="25"/>
      <c r="W172" s="23">
        <f>IFERROR(Q172-T172, "NA")</f>
        <v>66397.199999999953</v>
      </c>
      <c r="X172" s="24">
        <f>IFERROR(W172/W444, "NA")</f>
        <v>0.64763002769612865</v>
      </c>
      <c r="Y172" s="25"/>
      <c r="Z172" s="23">
        <f>IFERROR(Z124-Z171, "NA")</f>
        <v>401000.76000000018</v>
      </c>
      <c r="AA172" s="24">
        <f>IFERROR(Z172/Z444, "NA")</f>
        <v>0.72014982392370208</v>
      </c>
      <c r="AB172" s="25"/>
      <c r="AC172" s="23">
        <f>IFERROR(Q172-Z172, "NA")</f>
        <v>127207.65999999986</v>
      </c>
      <c r="AD172" s="24">
        <f>IFERROR(AC172/AC444, "NA")</f>
        <v>0.80141264413140023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10076.92</v>
      </c>
      <c r="C178" s="8">
        <f>IFERROR(B178/B444, "NA")</f>
        <v>4.9005797387601149E-2</v>
      </c>
      <c r="D178" s="9"/>
      <c r="E178" s="7">
        <v>10307.69</v>
      </c>
      <c r="F178" s="8">
        <f>IFERROR(E178/E444, "NA")</f>
        <v>5.8773915753143273E-2</v>
      </c>
      <c r="G178" s="9"/>
      <c r="H178" s="10">
        <f t="shared" si="44"/>
        <v>230.77000000000044</v>
      </c>
      <c r="I178" s="8">
        <f>IFERROR(H178/H444, "NA")</f>
        <v>7.6291512457663238E-3</v>
      </c>
      <c r="J178" s="9"/>
      <c r="K178" s="7">
        <v>4423.08</v>
      </c>
      <c r="L178" s="8">
        <f>IFERROR(K178/K444, "NA")</f>
        <v>2.8750998108955664E-2</v>
      </c>
      <c r="M178" s="9"/>
      <c r="N178" s="10">
        <f t="shared" si="45"/>
        <v>-5653.84</v>
      </c>
      <c r="O178" s="8">
        <f>IFERROR(N178/N444, "NA")</f>
        <v>-0.10917661816337874</v>
      </c>
      <c r="P178" s="9"/>
      <c r="Q178" s="7">
        <v>42826.91</v>
      </c>
      <c r="R178" s="8">
        <f>IFERROR(Q178/Q444, "NA")</f>
        <v>5.9850990327952311E-2</v>
      </c>
      <c r="S178" s="9"/>
      <c r="T178" s="7">
        <v>43807.69</v>
      </c>
      <c r="U178" s="8">
        <f>IFERROR(T178/T444, "NA")</f>
        <v>7.146027431980824E-2</v>
      </c>
      <c r="V178" s="9"/>
      <c r="W178" s="10">
        <f t="shared" si="46"/>
        <v>980.77999999999884</v>
      </c>
      <c r="X178" s="8">
        <f>IFERROR(W178/W444, "NA")</f>
        <v>9.5664060918805131E-3</v>
      </c>
      <c r="Y178" s="9"/>
      <c r="Z178" s="7">
        <v>18798.09</v>
      </c>
      <c r="AA178" s="8">
        <f>IFERROR(Z178/Z444, "NA")</f>
        <v>3.3759141014101567E-2</v>
      </c>
      <c r="AB178" s="9"/>
      <c r="AC178" s="10">
        <f t="shared" si="47"/>
        <v>-24028.820000000003</v>
      </c>
      <c r="AD178" s="8">
        <f>IFERROR(AC178/AC444, "NA")</f>
        <v>-0.15138239451584518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30547.81</v>
      </c>
      <c r="C180" s="8">
        <f>IFERROR(B180/B444, "NA")</f>
        <v>0.148559260914539</v>
      </c>
      <c r="D180" s="9"/>
      <c r="E180" s="7">
        <v>27709.83</v>
      </c>
      <c r="F180" s="8">
        <f>IFERROR(E180/E444, "NA")</f>
        <v>0.1580000188164295</v>
      </c>
      <c r="G180" s="9"/>
      <c r="H180" s="10">
        <f t="shared" si="44"/>
        <v>-2837.9799999999996</v>
      </c>
      <c r="I180" s="8">
        <f>IFERROR(H180/H444, "NA")</f>
        <v>-9.3822328086232462E-2</v>
      </c>
      <c r="J180" s="9"/>
      <c r="K180" s="7">
        <v>27465.72</v>
      </c>
      <c r="L180" s="8">
        <f>IFERROR(K180/K444, "NA")</f>
        <v>0.17853325370129092</v>
      </c>
      <c r="M180" s="9"/>
      <c r="N180" s="10">
        <f t="shared" si="45"/>
        <v>-3082.09</v>
      </c>
      <c r="O180" s="8">
        <f>IFERROR(N180/N444, "NA")</f>
        <v>-5.9515685458939059E-2</v>
      </c>
      <c r="P180" s="9"/>
      <c r="Q180" s="7">
        <v>112296.35</v>
      </c>
      <c r="R180" s="8">
        <f>IFERROR(Q180/Q444, "NA")</f>
        <v>0.15693515496948873</v>
      </c>
      <c r="S180" s="9"/>
      <c r="T180" s="7">
        <v>103005.9</v>
      </c>
      <c r="U180" s="8">
        <f>IFERROR(T180/T444, "NA")</f>
        <v>0.1680259760457293</v>
      </c>
      <c r="V180" s="9"/>
      <c r="W180" s="10">
        <f t="shared" si="46"/>
        <v>-9290.4500000000116</v>
      </c>
      <c r="X180" s="8">
        <f>IFERROR(W180/W444, "NA")</f>
        <v>-9.061789338721378E-2</v>
      </c>
      <c r="Y180" s="9"/>
      <c r="Z180" s="7">
        <v>106258.53</v>
      </c>
      <c r="AA180" s="8">
        <f>IFERROR(Z180/Z444, "NA")</f>
        <v>0.19082772229631531</v>
      </c>
      <c r="AB180" s="9"/>
      <c r="AC180" s="10">
        <f t="shared" si="47"/>
        <v>-6037.820000000007</v>
      </c>
      <c r="AD180" s="8">
        <f>IFERROR(AC180/AC444, "NA")</f>
        <v>-3.8038474184569245E-2</v>
      </c>
    </row>
    <row r="181" spans="1:30" ht="16.5" customHeight="1" x14ac:dyDescent="0.45">
      <c r="A181" s="12" t="s">
        <v>166</v>
      </c>
      <c r="B181" s="7">
        <v>1395.34</v>
      </c>
      <c r="C181" s="8">
        <f>IFERROR(B181/B444, "NA")</f>
        <v>6.7857787227461747E-3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-1395.34</v>
      </c>
      <c r="I181" s="8">
        <f>IFERROR(H181/H444, "NA")</f>
        <v>-4.6129305799140104E-2</v>
      </c>
      <c r="J181" s="9"/>
      <c r="K181" s="7">
        <v>1292.3399999999999</v>
      </c>
      <c r="L181" s="8">
        <f>IFERROR(K181/K444, "NA")</f>
        <v>8.4004957848665997E-3</v>
      </c>
      <c r="M181" s="9"/>
      <c r="N181" s="10">
        <f t="shared" si="45"/>
        <v>-103</v>
      </c>
      <c r="O181" s="8">
        <f>IFERROR(N181/N444, "NA")</f>
        <v>-1.9889476304295857E-3</v>
      </c>
      <c r="P181" s="9"/>
      <c r="Q181" s="7">
        <v>2662.81</v>
      </c>
      <c r="R181" s="8">
        <f>IFERROR(Q181/Q444, "NA")</f>
        <v>3.7213008259333832E-3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-2662.81</v>
      </c>
      <c r="X181" s="8">
        <f>IFERROR(W181/W444, "NA")</f>
        <v>-2.597271743461365E-2</v>
      </c>
      <c r="Y181" s="9"/>
      <c r="Z181" s="7">
        <v>2263.19</v>
      </c>
      <c r="AA181" s="8">
        <f>IFERROR(Z181/Z444, "NA")</f>
        <v>4.0644209253016947E-3</v>
      </c>
      <c r="AB181" s="9"/>
      <c r="AC181" s="10">
        <f t="shared" si="47"/>
        <v>-399.61999999999989</v>
      </c>
      <c r="AD181" s="8">
        <f>IFERROR(AC181/AC444, "NA")</f>
        <v>-2.5176197789330487E-3</v>
      </c>
    </row>
    <row r="182" spans="1:30" ht="16.5" customHeight="1" x14ac:dyDescent="0.45">
      <c r="A182" s="13" t="s">
        <v>167</v>
      </c>
      <c r="B182" s="14">
        <f>IFERROR(B177+B178+B179+B180+B181, "NA")</f>
        <v>42020.07</v>
      </c>
      <c r="C182" s="15">
        <f>IFERROR(B182/B444, "NA")</f>
        <v>0.20435083702488629</v>
      </c>
      <c r="D182" s="2"/>
      <c r="E182" s="14">
        <f>IFERROR(E177+E178+E179+E180+E181, "NA")</f>
        <v>38017.520000000004</v>
      </c>
      <c r="F182" s="15">
        <f>IFERROR(E182/E444, "NA")</f>
        <v>0.21677393456957278</v>
      </c>
      <c r="G182" s="2"/>
      <c r="H182" s="14">
        <f t="shared" si="44"/>
        <v>-4002.5499999999956</v>
      </c>
      <c r="I182" s="15">
        <f>IFERROR(H182/H444, "NA")</f>
        <v>-0.13232248263960614</v>
      </c>
      <c r="J182" s="2"/>
      <c r="K182" s="14">
        <f>IFERROR(K177+K178+K179+K180+K181, "NA")</f>
        <v>33181.14</v>
      </c>
      <c r="L182" s="15">
        <f>IFERROR(K182/K444, "NA")</f>
        <v>0.21568474759511316</v>
      </c>
      <c r="M182" s="2"/>
      <c r="N182" s="14">
        <f t="shared" si="45"/>
        <v>-8838.93</v>
      </c>
      <c r="O182" s="15">
        <f>IFERROR(N182/N444, "NA")</f>
        <v>-0.17068125125274738</v>
      </c>
      <c r="P182" s="2"/>
      <c r="Q182" s="14">
        <f>IFERROR(Q177+Q178+Q179+Q180+Q181, "NA")</f>
        <v>157786.07</v>
      </c>
      <c r="R182" s="15">
        <f>IFERROR(Q182/Q444, "NA")</f>
        <v>0.22050744612337445</v>
      </c>
      <c r="S182" s="2"/>
      <c r="T182" s="14">
        <f>IFERROR(T177+T178+T179+T180+T181, "NA")</f>
        <v>146813.59</v>
      </c>
      <c r="U182" s="15">
        <f>IFERROR(T182/T444, "NA")</f>
        <v>0.23948625036553753</v>
      </c>
      <c r="V182" s="2"/>
      <c r="W182" s="14">
        <f t="shared" si="46"/>
        <v>-10972.48000000001</v>
      </c>
      <c r="X182" s="15">
        <f>IFERROR(W182/W444, "NA")</f>
        <v>-0.10702420472994689</v>
      </c>
      <c r="Y182" s="2"/>
      <c r="Z182" s="14">
        <f>IFERROR(Z177+Z178+Z179+Z180+Z181, "NA")</f>
        <v>127319.81</v>
      </c>
      <c r="AA182" s="15">
        <f>IFERROR(Z182/Z444, "NA")</f>
        <v>0.22865128423571857</v>
      </c>
      <c r="AB182" s="2"/>
      <c r="AC182" s="14">
        <f t="shared" si="47"/>
        <v>-30466.260000000009</v>
      </c>
      <c r="AD182" s="15">
        <f>IFERROR(AC182/AC444, "NA")</f>
        <v>-0.19193848847934747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1150</v>
      </c>
      <c r="C184" s="8">
        <f>IFERROR(B184/B444, "NA")</f>
        <v>5.5926480507676275E-3</v>
      </c>
      <c r="D184" s="9"/>
      <c r="E184" s="7">
        <v>1150</v>
      </c>
      <c r="F184" s="8">
        <f>IFERROR(E184/E444, "NA")</f>
        <v>6.5572405763187252E-3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150</v>
      </c>
      <c r="L184" s="8">
        <f>IFERROR(K184/K444, "NA")</f>
        <v>9.7503317062846474E-4</v>
      </c>
      <c r="M184" s="9"/>
      <c r="N184" s="10">
        <f t="shared" si="45"/>
        <v>-1000</v>
      </c>
      <c r="O184" s="8">
        <f>IFERROR(N184/N444, "NA")</f>
        <v>-1.9310171169219282E-2</v>
      </c>
      <c r="P184" s="9"/>
      <c r="Q184" s="7">
        <v>4600</v>
      </c>
      <c r="R184" s="8">
        <f>IFERROR(Q184/Q444, "NA")</f>
        <v>6.4285412024491281E-3</v>
      </c>
      <c r="S184" s="9"/>
      <c r="T184" s="7">
        <v>4600</v>
      </c>
      <c r="U184" s="8">
        <f>IFERROR(T184/T444, "NA")</f>
        <v>7.5036428962841429E-3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1050</v>
      </c>
      <c r="AA184" s="8">
        <f>IFERROR(Z184/Z444, "NA")</f>
        <v>1.8856755162256721E-3</v>
      </c>
      <c r="AB184" s="9"/>
      <c r="AC184" s="10">
        <f t="shared" si="47"/>
        <v>-3550</v>
      </c>
      <c r="AD184" s="8">
        <f>IFERROR(AC184/AC444, "NA")</f>
        <v>-2.2365122404314913E-2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4253.17</v>
      </c>
      <c r="C186" s="8">
        <f>IFERROR(B186/B444, "NA")</f>
        <v>2.0683898182681175E-2</v>
      </c>
      <c r="D186" s="9"/>
      <c r="E186" s="7">
        <v>4307.3999999999996</v>
      </c>
      <c r="F186" s="8">
        <f>IFERROR(E186/E444, "NA")</f>
        <v>2.4560572224726327E-2</v>
      </c>
      <c r="G186" s="9"/>
      <c r="H186" s="10">
        <f t="shared" ref="H186:H197" si="48">IFERROR(-(B186-E186), "NA")</f>
        <v>54.229999999999563</v>
      </c>
      <c r="I186" s="8">
        <f>IFERROR(H186/H444, "NA")</f>
        <v>1.7928191361871284E-3</v>
      </c>
      <c r="J186" s="9"/>
      <c r="K186" s="7">
        <v>2571.34</v>
      </c>
      <c r="L186" s="8">
        <f>IFERROR(K186/K444, "NA")</f>
        <v>1.6714278619758643E-2</v>
      </c>
      <c r="M186" s="9"/>
      <c r="N186" s="10">
        <f t="shared" ref="N186:N197" si="49">IFERROR(-(B186-K186), "NA")</f>
        <v>-1681.83</v>
      </c>
      <c r="O186" s="8">
        <f>IFERROR(N186/N444, "NA")</f>
        <v>-3.2476425177528065E-2</v>
      </c>
      <c r="P186" s="9"/>
      <c r="Q186" s="7">
        <v>16648.98</v>
      </c>
      <c r="R186" s="8">
        <f>IFERROR(Q186/Q444, "NA")</f>
        <v>2.3267098675815542E-2</v>
      </c>
      <c r="S186" s="9"/>
      <c r="T186" s="7">
        <v>18249.72</v>
      </c>
      <c r="U186" s="8">
        <f>IFERROR(T186/T444, "NA")</f>
        <v>2.9769430834168404E-2</v>
      </c>
      <c r="V186" s="9"/>
      <c r="W186" s="10">
        <f t="shared" ref="W186:W197" si="50">IFERROR(-(Q186-T186), "NA")</f>
        <v>1600.7400000000016</v>
      </c>
      <c r="X186" s="8">
        <f>IFERROR(W186/W444, "NA")</f>
        <v>1.5613418796791172E-2</v>
      </c>
      <c r="Y186" s="9"/>
      <c r="Z186" s="7">
        <v>13891.14</v>
      </c>
      <c r="AA186" s="8">
        <f>IFERROR(Z186/Z444, "NA")</f>
        <v>2.4946840562345793E-2</v>
      </c>
      <c r="AB186" s="9"/>
      <c r="AC186" s="10">
        <f t="shared" ref="AC186:AC197" si="51">IFERROR(-(Q186-Z186), "NA")</f>
        <v>-2757.84</v>
      </c>
      <c r="AD186" s="8">
        <f>IFERROR(AC186/AC444, "NA")</f>
        <v>-1.7374487090567842E-2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-0.03</v>
      </c>
      <c r="L187" s="8">
        <f>IFERROR(K187/K444, "NA")</f>
        <v>-1.9500663412569293E-7</v>
      </c>
      <c r="M187" s="9"/>
      <c r="N187" s="10">
        <f t="shared" si="49"/>
        <v>-0.03</v>
      </c>
      <c r="O187" s="8">
        <f>IFERROR(N187/N444, "NA")</f>
        <v>-5.7930513507657845E-7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0.05</v>
      </c>
      <c r="AA187" s="8">
        <f>IFERROR(Z187/Z444, "NA")</f>
        <v>8.9794072201222483E-8</v>
      </c>
      <c r="AB187" s="9"/>
      <c r="AC187" s="10">
        <f t="shared" si="51"/>
        <v>0.05</v>
      </c>
      <c r="AD187" s="8">
        <f>IFERROR(AC187/AC444, "NA")</f>
        <v>3.1500172400443544E-7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4253.17</v>
      </c>
      <c r="C193" s="15">
        <f>IFERROR(B193/B444, "NA")</f>
        <v>2.0683898182681175E-2</v>
      </c>
      <c r="D193" s="2"/>
      <c r="E193" s="14">
        <f>IFERROR(E186+E187+E188+E189+E190+E191+E192, "NA")</f>
        <v>4307.3999999999996</v>
      </c>
      <c r="F193" s="15">
        <f>IFERROR(E193/E444, "NA")</f>
        <v>2.4560572224726327E-2</v>
      </c>
      <c r="G193" s="2"/>
      <c r="H193" s="14">
        <f t="shared" si="48"/>
        <v>54.229999999999563</v>
      </c>
      <c r="I193" s="15">
        <f>IFERROR(H193/H444, "NA")</f>
        <v>1.7928191361871284E-3</v>
      </c>
      <c r="J193" s="2"/>
      <c r="K193" s="14">
        <f>IFERROR(K186+K187+K188+K189+K190+K191+K192, "NA")</f>
        <v>2571.31</v>
      </c>
      <c r="L193" s="15">
        <f>IFERROR(K193/K444, "NA")</f>
        <v>1.6714083613124518E-2</v>
      </c>
      <c r="M193" s="2"/>
      <c r="N193" s="14">
        <f t="shared" si="49"/>
        <v>-1681.8600000000001</v>
      </c>
      <c r="O193" s="15">
        <f>IFERROR(N193/N444, "NA")</f>
        <v>-3.2477004482663142E-2</v>
      </c>
      <c r="P193" s="2"/>
      <c r="Q193" s="14">
        <f>IFERROR(Q186+Q187+Q188+Q189+Q190+Q191+Q192, "NA")</f>
        <v>16648.98</v>
      </c>
      <c r="R193" s="15">
        <f>IFERROR(Q193/Q444, "NA")</f>
        <v>2.3267098675815542E-2</v>
      </c>
      <c r="S193" s="2"/>
      <c r="T193" s="14">
        <f>IFERROR(T186+T187+T188+T189+T190+T191+T192, "NA")</f>
        <v>18249.72</v>
      </c>
      <c r="U193" s="15">
        <f>IFERROR(T193/T444, "NA")</f>
        <v>2.9769430834168404E-2</v>
      </c>
      <c r="V193" s="2"/>
      <c r="W193" s="14">
        <f t="shared" si="50"/>
        <v>1600.7400000000016</v>
      </c>
      <c r="X193" s="15">
        <f>IFERROR(W193/W444, "NA")</f>
        <v>1.5613418796791172E-2</v>
      </c>
      <c r="Y193" s="2"/>
      <c r="Z193" s="14">
        <f>IFERROR(Z186+Z187+Z188+Z189+Z190+Z191+Z192, "NA")</f>
        <v>13891.189999999999</v>
      </c>
      <c r="AA193" s="15">
        <f>IFERROR(Z193/Z444, "NA")</f>
        <v>2.4946930356417991E-2</v>
      </c>
      <c r="AB193" s="2"/>
      <c r="AC193" s="14">
        <f t="shared" si="51"/>
        <v>-2757.7900000000009</v>
      </c>
      <c r="AD193" s="15">
        <f>IFERROR(AC193/AC444, "NA")</f>
        <v>-1.7374172088843842E-2</v>
      </c>
    </row>
    <row r="194" spans="1:30" ht="16.5" customHeight="1" x14ac:dyDescent="0.45">
      <c r="A194" s="6" t="s">
        <v>178</v>
      </c>
      <c r="B194" s="7">
        <v>250.16</v>
      </c>
      <c r="C194" s="8">
        <f>IFERROR(B194/B444, "NA")</f>
        <v>1.2165711620695909E-3</v>
      </c>
      <c r="D194" s="9"/>
      <c r="E194" s="7">
        <v>313.33999999999997</v>
      </c>
      <c r="F194" s="8">
        <f>IFERROR(E194/E444, "NA")</f>
        <v>1.7866484888553994E-3</v>
      </c>
      <c r="G194" s="9"/>
      <c r="H194" s="10">
        <f t="shared" si="48"/>
        <v>63.179999999999978</v>
      </c>
      <c r="I194" s="8">
        <f>IFERROR(H194/H444, "NA")</f>
        <v>2.0887020657256801E-3</v>
      </c>
      <c r="J194" s="9"/>
      <c r="K194" s="7">
        <v>0</v>
      </c>
      <c r="L194" s="8">
        <f>IFERROR(K194/K444, "NA")</f>
        <v>0</v>
      </c>
      <c r="M194" s="9"/>
      <c r="N194" s="10">
        <f t="shared" si="49"/>
        <v>-250.16</v>
      </c>
      <c r="O194" s="8">
        <f>IFERROR(N194/N444, "NA")</f>
        <v>-4.8306324196918955E-3</v>
      </c>
      <c r="P194" s="9"/>
      <c r="Q194" s="7">
        <v>1111.94</v>
      </c>
      <c r="R194" s="8">
        <f>IFERROR(Q194/Q444, "NA")</f>
        <v>1.553946109706801E-3</v>
      </c>
      <c r="S194" s="9"/>
      <c r="T194" s="7">
        <v>1211.31</v>
      </c>
      <c r="U194" s="8">
        <f>IFERROR(T194/T444, "NA")</f>
        <v>1.9759212340647704E-3</v>
      </c>
      <c r="V194" s="9"/>
      <c r="W194" s="10">
        <f t="shared" si="50"/>
        <v>99.369999999999891</v>
      </c>
      <c r="X194" s="8">
        <f>IFERROR(W194/W444, "NA")</f>
        <v>9.6924261643810698E-4</v>
      </c>
      <c r="Y194" s="9"/>
      <c r="Z194" s="7">
        <v>917.91</v>
      </c>
      <c r="AA194" s="8">
        <f>IFERROR(Z194/Z444, "NA")</f>
        <v>1.6484575362844824E-3</v>
      </c>
      <c r="AB194" s="9"/>
      <c r="AC194" s="10">
        <f t="shared" si="51"/>
        <v>-194.03000000000009</v>
      </c>
      <c r="AD194" s="8">
        <f>IFERROR(AC194/AC444, "NA")</f>
        <v>-1.2223956901716126E-3</v>
      </c>
    </row>
    <row r="195" spans="1:30" ht="16.5" customHeight="1" x14ac:dyDescent="0.45">
      <c r="A195" s="6" t="s">
        <v>179</v>
      </c>
      <c r="B195" s="7">
        <v>381.85</v>
      </c>
      <c r="C195" s="8">
        <f>IFERROR(B195/B444, "NA")</f>
        <v>1.8570023114657553E-3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-381.85</v>
      </c>
      <c r="I195" s="8">
        <f>IFERROR(H195/H444, "NA")</f>
        <v>-1.2623787334557634E-2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-381.85</v>
      </c>
      <c r="O195" s="8">
        <f>IFERROR(N195/N444, "NA")</f>
        <v>-7.3735888609663828E-3</v>
      </c>
      <c r="P195" s="9"/>
      <c r="Q195" s="7">
        <v>1527.4</v>
      </c>
      <c r="R195" s="8">
        <f>IFERROR(Q195/Q444, "NA")</f>
        <v>2.1345551810045215E-3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-1527.4</v>
      </c>
      <c r="X195" s="8">
        <f>IFERROR(W195/W444, "NA")</f>
        <v>-1.4898069561714465E-2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-1527.4</v>
      </c>
      <c r="AD195" s="8">
        <f>IFERROR(AC195/AC444, "NA")</f>
        <v>-9.6226726648874928E-3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48055.25</v>
      </c>
      <c r="C196" s="15">
        <f>IFERROR(B196/B444, "NA")</f>
        <v>0.23370095673187044</v>
      </c>
      <c r="D196" s="2"/>
      <c r="E196" s="14">
        <f>IFERROR(E175+E177+E178+E179+E180+E181+E183+E184+E186+E187+E188+E189+E190+E191+E192+E194+E195, "NA")</f>
        <v>43788.26</v>
      </c>
      <c r="F196" s="15">
        <f>IFERROR(E196/E444, "NA")</f>
        <v>0.24967839585947321</v>
      </c>
      <c r="G196" s="2"/>
      <c r="H196" s="14">
        <f t="shared" si="48"/>
        <v>-4266.989999999998</v>
      </c>
      <c r="I196" s="15">
        <f>IFERROR(H196/H444, "NA")</f>
        <v>-0.14106474877225103</v>
      </c>
      <c r="J196" s="2"/>
      <c r="K196" s="14">
        <f>IFERROR(K175+K177+K178+K179+K180+K181+K183+K184+K186+K187+K188+K189+K190+K191+K192+K194+K195, "NA")</f>
        <v>35902.449999999997</v>
      </c>
      <c r="L196" s="15">
        <f>IFERROR(K196/K444, "NA")</f>
        <v>0.23337386437886612</v>
      </c>
      <c r="M196" s="2"/>
      <c r="N196" s="14">
        <f t="shared" si="49"/>
        <v>-12152.800000000003</v>
      </c>
      <c r="O196" s="15">
        <f>IFERROR(N196/N444, "NA")</f>
        <v>-0.23467264818528813</v>
      </c>
      <c r="P196" s="2"/>
      <c r="Q196" s="14">
        <f>IFERROR(Q175+Q177+Q178+Q179+Q180+Q181+Q183+Q184+Q186+Q187+Q188+Q189+Q190+Q191+Q192+Q194+Q195, "NA")</f>
        <v>181674.39</v>
      </c>
      <c r="R196" s="15">
        <f>IFERROR(Q196/Q444, "NA")</f>
        <v>0.25389158729235045</v>
      </c>
      <c r="S196" s="2"/>
      <c r="T196" s="14">
        <f>IFERROR(T175+T177+T178+T179+T180+T181+T183+T184+T186+T187+T188+T189+T190+T191+T192+T194+T195, "NA")</f>
        <v>170874.62</v>
      </c>
      <c r="U196" s="15">
        <f>IFERROR(T196/T444, "NA")</f>
        <v>0.27873524533005484</v>
      </c>
      <c r="V196" s="2"/>
      <c r="W196" s="14">
        <f t="shared" si="50"/>
        <v>-10799.770000000019</v>
      </c>
      <c r="X196" s="15">
        <f>IFERROR(W196/W444, "NA")</f>
        <v>-0.10533961287843217</v>
      </c>
      <c r="Y196" s="2"/>
      <c r="Z196" s="14">
        <f>IFERROR(Z175+Z177+Z178+Z179+Z180+Z181+Z183+Z184+Z186+Z187+Z188+Z189+Z190+Z191+Z192+Z194+Z195, "NA")</f>
        <v>143178.91</v>
      </c>
      <c r="AA196" s="15">
        <f>IFERROR(Z196/Z444, "NA")</f>
        <v>0.25713234764464671</v>
      </c>
      <c r="AB196" s="2"/>
      <c r="AC196" s="14">
        <f t="shared" si="51"/>
        <v>-38495.48000000001</v>
      </c>
      <c r="AD196" s="15">
        <f>IFERROR(AC196/AC444, "NA")</f>
        <v>-0.24252285132756532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48055.25</v>
      </c>
      <c r="C197" s="15">
        <f>IFERROR(B197/B444, "NA")</f>
        <v>0.23370095673187044</v>
      </c>
      <c r="D197" s="2"/>
      <c r="E197" s="14">
        <f>IFERROR(E175+E177+E178+E179+E180+E181+E183+E184+E186+E187+E188+E189+E190+E191+E192+E194+E195, "NA")</f>
        <v>43788.26</v>
      </c>
      <c r="F197" s="15">
        <f>IFERROR(E197/E444, "NA")</f>
        <v>0.24967839585947321</v>
      </c>
      <c r="G197" s="2"/>
      <c r="H197" s="14">
        <f t="shared" si="48"/>
        <v>-4266.989999999998</v>
      </c>
      <c r="I197" s="15">
        <f>IFERROR(H197/H444, "NA")</f>
        <v>-0.14106474877225103</v>
      </c>
      <c r="J197" s="2"/>
      <c r="K197" s="14">
        <f>IFERROR(K175+K177+K178+K179+K180+K181+K183+K184+K186+K187+K188+K189+K190+K191+K192+K194+K195, "NA")</f>
        <v>35902.449999999997</v>
      </c>
      <c r="L197" s="15">
        <f>IFERROR(K197/K444, "NA")</f>
        <v>0.23337386437886612</v>
      </c>
      <c r="M197" s="2"/>
      <c r="N197" s="14">
        <f t="shared" si="49"/>
        <v>-12152.800000000003</v>
      </c>
      <c r="O197" s="15">
        <f>IFERROR(N197/N444, "NA")</f>
        <v>-0.23467264818528813</v>
      </c>
      <c r="P197" s="2"/>
      <c r="Q197" s="14">
        <f>IFERROR(Q175+Q177+Q178+Q179+Q180+Q181+Q183+Q184+Q186+Q187+Q188+Q189+Q190+Q191+Q192+Q194+Q195, "NA")</f>
        <v>181674.39</v>
      </c>
      <c r="R197" s="15">
        <f>IFERROR(Q197/Q444, "NA")</f>
        <v>0.25389158729235045</v>
      </c>
      <c r="S197" s="2"/>
      <c r="T197" s="14">
        <f>IFERROR(T175+T177+T178+T179+T180+T181+T183+T184+T186+T187+T188+T189+T190+T191+T192+T194+T195, "NA")</f>
        <v>170874.62</v>
      </c>
      <c r="U197" s="15">
        <f>IFERROR(T197/T444, "NA")</f>
        <v>0.27873524533005484</v>
      </c>
      <c r="V197" s="2"/>
      <c r="W197" s="14">
        <f t="shared" si="50"/>
        <v>-10799.770000000019</v>
      </c>
      <c r="X197" s="15">
        <f>IFERROR(W197/W444, "NA")</f>
        <v>-0.10533961287843217</v>
      </c>
      <c r="Y197" s="2"/>
      <c r="Z197" s="14">
        <f>IFERROR(Z175+Z177+Z178+Z179+Z180+Z181+Z183+Z184+Z186+Z187+Z188+Z189+Z190+Z191+Z192+Z194+Z195, "NA")</f>
        <v>143178.91</v>
      </c>
      <c r="AA197" s="15">
        <f>IFERROR(Z197/Z444, "NA")</f>
        <v>0.25713234764464671</v>
      </c>
      <c r="AB197" s="2"/>
      <c r="AC197" s="14">
        <f t="shared" si="51"/>
        <v>-38495.48000000001</v>
      </c>
      <c r="AD197" s="15">
        <f>IFERROR(AC197/AC444, "NA")</f>
        <v>-0.24252285132756532</v>
      </c>
    </row>
    <row r="198" spans="1:30" ht="16.5" customHeight="1" x14ac:dyDescent="0.45">
      <c r="A198" s="22" t="s">
        <v>181</v>
      </c>
      <c r="B198" s="23">
        <f>IFERROR(B172-B197, "NA")</f>
        <v>102124.76000000004</v>
      </c>
      <c r="C198" s="24">
        <f>IFERROR(B198/B444, "NA")</f>
        <v>0.49665029560792345</v>
      </c>
      <c r="D198" s="25"/>
      <c r="E198" s="23">
        <f>IFERROR(E172-E197, "NA")</f>
        <v>90201.02999999997</v>
      </c>
      <c r="F198" s="24">
        <f>IFERROR(E198/E444, "NA")</f>
        <v>0.51432161212325433</v>
      </c>
      <c r="G198" s="25"/>
      <c r="H198" s="23">
        <f>IFERROR(B198-E198, "NA")</f>
        <v>11923.730000000069</v>
      </c>
      <c r="I198" s="24">
        <f>IFERROR(H198/H444, "NA")</f>
        <v>0.3941930908856508</v>
      </c>
      <c r="J198" s="25"/>
      <c r="K198" s="23">
        <f>IFERROR(K172-K197, "NA")</f>
        <v>75436.990000000034</v>
      </c>
      <c r="L198" s="24">
        <f>IFERROR(K198/K444, "NA")</f>
        <v>0.49035711694911877</v>
      </c>
      <c r="M198" s="25"/>
      <c r="N198" s="23">
        <f>IFERROR(B198-K198, "NA")</f>
        <v>26687.770000000004</v>
      </c>
      <c r="O198" s="24">
        <f>IFERROR(N198/N444, "NA")</f>
        <v>0.51534540682475527</v>
      </c>
      <c r="P198" s="25"/>
      <c r="Q198" s="23">
        <f>IFERROR(Q172-Q197, "NA")</f>
        <v>346534.03</v>
      </c>
      <c r="R198" s="24">
        <f>IFERROR(Q198/Q444, "NA")</f>
        <v>0.48428441084907448</v>
      </c>
      <c r="S198" s="25"/>
      <c r="T198" s="23">
        <f>IFERROR(T172-T197, "NA")</f>
        <v>290936.60000000009</v>
      </c>
      <c r="U198" s="24">
        <f>IFERROR(T198/T444, "NA")</f>
        <v>0.47458355475196995</v>
      </c>
      <c r="V198" s="25"/>
      <c r="W198" s="23">
        <f>IFERROR(Q198-T198, "NA")</f>
        <v>55597.429999999935</v>
      </c>
      <c r="X198" s="24">
        <f>IFERROR(W198/W444, "NA")</f>
        <v>0.54229041481769646</v>
      </c>
      <c r="Y198" s="25"/>
      <c r="Z198" s="23">
        <f>IFERROR(Z172-Z197, "NA")</f>
        <v>257821.85000000018</v>
      </c>
      <c r="AA198" s="24">
        <f>IFERROR(Z198/Z444, "NA")</f>
        <v>0.46301747627905537</v>
      </c>
      <c r="AB198" s="25"/>
      <c r="AC198" s="23">
        <f>IFERROR(Q198-Z198, "NA")</f>
        <v>88712.179999999847</v>
      </c>
      <c r="AD198" s="24">
        <f>IFERROR(AC198/AC444, "NA")</f>
        <v>0.55888979280383488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2981.44</v>
      </c>
      <c r="F201" s="8">
        <f>IFERROR(E201/E444, "NA")</f>
        <v>1.7000016820747567E-2</v>
      </c>
      <c r="G201" s="9"/>
      <c r="H201" s="10">
        <f t="shared" ref="H201:H209" si="52">IFERROR(-(B201-E201), "NA")</f>
        <v>2981.44</v>
      </c>
      <c r="I201" s="8">
        <f>IFERROR(H201/H444, "NA")</f>
        <v>9.8565050440601057E-2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10669.91</v>
      </c>
      <c r="U201" s="8">
        <f>IFERROR(T201/T444, "NA")</f>
        <v>1.7405042255541552E-2</v>
      </c>
      <c r="V201" s="9"/>
      <c r="W201" s="10">
        <f t="shared" ref="W201:W209" si="54">IFERROR(-(Q201-T201), "NA")</f>
        <v>10669.91</v>
      </c>
      <c r="X201" s="8">
        <f>IFERROR(W201/W444, "NA")</f>
        <v>0.10407297459554327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1633.85</v>
      </c>
      <c r="C202" s="8">
        <f>IFERROR(B202/B444, "NA")</f>
        <v>7.9456939284753801E-3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-1633.85</v>
      </c>
      <c r="I202" s="8">
        <f>IFERROR(H202/H444, "NA")</f>
        <v>-5.4014337924753145E-2</v>
      </c>
      <c r="J202" s="9"/>
      <c r="K202" s="7">
        <v>1269.8800000000001</v>
      </c>
      <c r="L202" s="8">
        <f>IFERROR(K202/K444, "NA")</f>
        <v>8.2545008181178318E-3</v>
      </c>
      <c r="M202" s="9"/>
      <c r="N202" s="10">
        <f t="shared" si="53"/>
        <v>-363.9699999999998</v>
      </c>
      <c r="O202" s="8">
        <f>IFERROR(N202/N444, "NA")</f>
        <v>-7.0283230004607377E-3</v>
      </c>
      <c r="P202" s="9"/>
      <c r="Q202" s="7">
        <v>5377.51</v>
      </c>
      <c r="R202" s="8">
        <f>IFERROR(Q202/Q444, "NA")</f>
        <v>7.5151183916483079E-3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-5377.51</v>
      </c>
      <c r="X202" s="8">
        <f>IFERROR(W202/W444, "NA")</f>
        <v>-5.2451563473101447E-2</v>
      </c>
      <c r="Y202" s="9"/>
      <c r="Z202" s="7">
        <v>4859.3999999999996</v>
      </c>
      <c r="AA202" s="8">
        <f>IFERROR(Z202/Z444, "NA")</f>
        <v>8.7269062890924093E-3</v>
      </c>
      <c r="AB202" s="9"/>
      <c r="AC202" s="10">
        <f t="shared" si="55"/>
        <v>-518.11000000000058</v>
      </c>
      <c r="AD202" s="8">
        <f>IFERROR(AC202/AC444, "NA")</f>
        <v>-3.2641108644787644E-3</v>
      </c>
    </row>
    <row r="203" spans="1:30" ht="16.5" customHeight="1" x14ac:dyDescent="0.45">
      <c r="A203" s="6" t="s">
        <v>185</v>
      </c>
      <c r="B203" s="7">
        <v>1999.35</v>
      </c>
      <c r="C203" s="8">
        <f>IFERROR(B203/B444, "NA")</f>
        <v>9.7231833741758741E-3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-1999.35</v>
      </c>
      <c r="I203" s="8">
        <f>IFERROR(H203/H444, "NA")</f>
        <v>-6.6097601695293454E-2</v>
      </c>
      <c r="J203" s="9"/>
      <c r="K203" s="7">
        <v>383.84</v>
      </c>
      <c r="L203" s="8">
        <f>IFERROR(K203/K444, "NA")</f>
        <v>2.4950448814268656E-3</v>
      </c>
      <c r="M203" s="9"/>
      <c r="N203" s="10">
        <f t="shared" si="53"/>
        <v>-1615.51</v>
      </c>
      <c r="O203" s="8">
        <f>IFERROR(N203/N444, "NA")</f>
        <v>-3.119577462558544E-2</v>
      </c>
      <c r="P203" s="9"/>
      <c r="Q203" s="7">
        <v>5531.17</v>
      </c>
      <c r="R203" s="8">
        <f>IFERROR(Q203/Q444, "NA")</f>
        <v>7.7298596179892496E-3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-5531.17</v>
      </c>
      <c r="X203" s="8">
        <f>IFERROR(W203/W444, "NA")</f>
        <v>-5.3950343994806992E-2</v>
      </c>
      <c r="Y203" s="9"/>
      <c r="Z203" s="7">
        <v>3815.91</v>
      </c>
      <c r="AA203" s="8">
        <f>IFERROR(Z203/Z444, "NA")</f>
        <v>6.8529219610673374E-3</v>
      </c>
      <c r="AB203" s="9"/>
      <c r="AC203" s="10">
        <f t="shared" si="55"/>
        <v>-1715.2600000000002</v>
      </c>
      <c r="AD203" s="8">
        <f>IFERROR(AC203/AC444, "NA")</f>
        <v>-1.0806197142316959E-2</v>
      </c>
    </row>
    <row r="204" spans="1:30" ht="16.5" customHeight="1" x14ac:dyDescent="0.45">
      <c r="A204" s="6" t="s">
        <v>186</v>
      </c>
      <c r="B204" s="7">
        <v>40.659999999999997</v>
      </c>
      <c r="C204" s="8">
        <f>IFERROR(B204/B444, "NA")</f>
        <v>1.9773658238627105E-4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-40.659999999999997</v>
      </c>
      <c r="I204" s="8">
        <f>IFERROR(H204/H444, "NA")</f>
        <v>-1.344201107825359E-3</v>
      </c>
      <c r="J204" s="9"/>
      <c r="K204" s="7">
        <v>29.9</v>
      </c>
      <c r="L204" s="8">
        <f>IFERROR(K204/K444, "NA")</f>
        <v>1.9435661201194063E-4</v>
      </c>
      <c r="M204" s="9"/>
      <c r="N204" s="10">
        <f t="shared" si="53"/>
        <v>-10.759999999999998</v>
      </c>
      <c r="O204" s="8">
        <f>IFERROR(N204/N444, "NA")</f>
        <v>-2.0777744178079942E-4</v>
      </c>
      <c r="P204" s="9"/>
      <c r="Q204" s="7">
        <v>412.59</v>
      </c>
      <c r="R204" s="8">
        <f>IFERROR(Q204/Q444, "NA")</f>
        <v>5.7659822059097517E-4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-412.59</v>
      </c>
      <c r="X204" s="8">
        <f>IFERROR(W204/W444, "NA")</f>
        <v>-4.0243515257743683E-3</v>
      </c>
      <c r="Y204" s="9"/>
      <c r="Z204" s="7">
        <v>1150.33</v>
      </c>
      <c r="AA204" s="8">
        <f>IFERROR(Z204/Z444, "NA")</f>
        <v>2.0658563015046451E-3</v>
      </c>
      <c r="AB204" s="9"/>
      <c r="AC204" s="10">
        <f t="shared" si="55"/>
        <v>737.74</v>
      </c>
      <c r="AD204" s="8">
        <f>IFERROR(AC204/AC444, "NA")</f>
        <v>4.6477874373406433E-3</v>
      </c>
    </row>
    <row r="205" spans="1:30" ht="16.5" customHeight="1" x14ac:dyDescent="0.45">
      <c r="A205" s="6" t="s">
        <v>187</v>
      </c>
      <c r="B205" s="7">
        <v>712.45</v>
      </c>
      <c r="C205" s="8">
        <f>IFERROR(B205/B444, "NA")</f>
        <v>3.4647670467559968E-3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-712.45</v>
      </c>
      <c r="I205" s="8">
        <f>IFERROR(H205/H444, "NA")</f>
        <v>-2.3553272977623638E-2</v>
      </c>
      <c r="J205" s="9"/>
      <c r="K205" s="7">
        <v>340.37</v>
      </c>
      <c r="L205" s="8">
        <f>IFERROR(K205/K444, "NA")</f>
        <v>2.2124802685787367E-3</v>
      </c>
      <c r="M205" s="9"/>
      <c r="N205" s="10">
        <f t="shared" si="53"/>
        <v>-372.08000000000004</v>
      </c>
      <c r="O205" s="8">
        <f>IFERROR(N205/N444, "NA")</f>
        <v>-7.1849284886431105E-3</v>
      </c>
      <c r="P205" s="9"/>
      <c r="Q205" s="7">
        <v>2995.04</v>
      </c>
      <c r="R205" s="8">
        <f>IFERROR(Q205/Q444, "NA")</f>
        <v>4.1855952267354866E-3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-2995.04</v>
      </c>
      <c r="X205" s="8">
        <f>IFERROR(W205/W444, "NA")</f>
        <v>-2.9213247518735948E-2</v>
      </c>
      <c r="Y205" s="9"/>
      <c r="Z205" s="7">
        <v>1886.74</v>
      </c>
      <c r="AA205" s="8">
        <f>IFERROR(Z205/Z444, "NA")</f>
        <v>3.38836135569869E-3</v>
      </c>
      <c r="AB205" s="9"/>
      <c r="AC205" s="10">
        <f t="shared" si="55"/>
        <v>-1108.3</v>
      </c>
      <c r="AD205" s="8">
        <f>IFERROR(AC205/AC444, "NA")</f>
        <v>-6.9823282142823144E-3</v>
      </c>
    </row>
    <row r="206" spans="1:30" ht="16.5" customHeight="1" x14ac:dyDescent="0.45">
      <c r="A206" s="6" t="s">
        <v>188</v>
      </c>
      <c r="B206" s="7">
        <v>38.58</v>
      </c>
      <c r="C206" s="8">
        <f>IFERROR(B206/B444, "NA")</f>
        <v>1.8762118417270875E-4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-38.58</v>
      </c>
      <c r="I206" s="8">
        <f>IFERROR(H206/H444, "NA")</f>
        <v>-1.2754372538096989E-3</v>
      </c>
      <c r="J206" s="9"/>
      <c r="K206" s="7">
        <v>196.18</v>
      </c>
      <c r="L206" s="8">
        <f>IFERROR(K206/K444, "NA")</f>
        <v>1.2752133827592814E-3</v>
      </c>
      <c r="M206" s="9"/>
      <c r="N206" s="10">
        <f t="shared" si="53"/>
        <v>157.60000000000002</v>
      </c>
      <c r="O206" s="8">
        <f>IFERROR(N206/N444, "NA")</f>
        <v>3.0432829762689589E-3</v>
      </c>
      <c r="P206" s="9"/>
      <c r="Q206" s="7">
        <v>293.82</v>
      </c>
      <c r="R206" s="8">
        <f>IFERROR(Q206/Q444, "NA")</f>
        <v>4.1061608176165283E-4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-293.82</v>
      </c>
      <c r="X206" s="8">
        <f>IFERROR(W206/W444, "NA")</f>
        <v>-2.865883723073814E-3</v>
      </c>
      <c r="Y206" s="9"/>
      <c r="Z206" s="7">
        <v>422.99</v>
      </c>
      <c r="AA206" s="8">
        <f>IFERROR(Z206/Z444, "NA")</f>
        <v>7.59639892007902E-4</v>
      </c>
      <c r="AB206" s="9"/>
      <c r="AC206" s="10">
        <f t="shared" si="55"/>
        <v>129.17000000000002</v>
      </c>
      <c r="AD206" s="8">
        <f>IFERROR(AC206/AC444, "NA")</f>
        <v>8.1377545379305856E-4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154.15</v>
      </c>
      <c r="L207" s="8">
        <f>IFERROR(K207/K444, "NA")</f>
        <v>1.0020090883491855E-3</v>
      </c>
      <c r="M207" s="9"/>
      <c r="N207" s="10">
        <f t="shared" si="53"/>
        <v>154.15</v>
      </c>
      <c r="O207" s="8">
        <f>IFERROR(N207/N444, "NA")</f>
        <v>2.976662885735152E-3</v>
      </c>
      <c r="P207" s="9"/>
      <c r="Q207" s="7">
        <v>99.6</v>
      </c>
      <c r="R207" s="8">
        <f>IFERROR(Q207/Q444, "NA")</f>
        <v>1.3919189212259416E-4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-99.6</v>
      </c>
      <c r="X207" s="8">
        <f>IFERROR(W207/W444, "NA")</f>
        <v>-9.7148600782163193E-4</v>
      </c>
      <c r="Y207" s="9"/>
      <c r="Z207" s="7">
        <v>308.3</v>
      </c>
      <c r="AA207" s="8">
        <f>IFERROR(Z207/Z444, "NA")</f>
        <v>5.5367024919273787E-4</v>
      </c>
      <c r="AB207" s="9"/>
      <c r="AC207" s="10">
        <f t="shared" si="55"/>
        <v>208.70000000000002</v>
      </c>
      <c r="AD207" s="8">
        <f>IFERROR(AC207/AC444, "NA")</f>
        <v>1.3148171959945134E-3</v>
      </c>
    </row>
    <row r="208" spans="1:30" ht="16.5" customHeight="1" x14ac:dyDescent="0.45">
      <c r="A208" s="6" t="s">
        <v>190</v>
      </c>
      <c r="B208" s="7">
        <v>234.27</v>
      </c>
      <c r="C208" s="8">
        <f>IFERROR(B208/B444, "NA")</f>
        <v>1.1392953555246367E-3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-234.27</v>
      </c>
      <c r="I208" s="8">
        <f>IFERROR(H208/H444, "NA")</f>
        <v>-7.7448596539657381E-3</v>
      </c>
      <c r="J208" s="9"/>
      <c r="K208" s="7">
        <v>76.58</v>
      </c>
      <c r="L208" s="8">
        <f>IFERROR(K208/K444, "NA")</f>
        <v>4.9778693471151886E-4</v>
      </c>
      <c r="M208" s="9"/>
      <c r="N208" s="10">
        <f t="shared" si="53"/>
        <v>-157.69</v>
      </c>
      <c r="O208" s="8">
        <f>IFERROR(N208/N444, "NA")</f>
        <v>-3.0450208916741883E-3</v>
      </c>
      <c r="P208" s="9"/>
      <c r="Q208" s="7">
        <v>636.57000000000005</v>
      </c>
      <c r="R208" s="8">
        <f>IFERROR(Q208/Q444, "NA")</f>
        <v>8.8961227679196567E-4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-636.57000000000005</v>
      </c>
      <c r="X208" s="8">
        <f>IFERROR(W208/W444, "NA")</f>
        <v>-6.2090245783033762E-3</v>
      </c>
      <c r="Y208" s="9"/>
      <c r="Z208" s="7">
        <v>604.09</v>
      </c>
      <c r="AA208" s="8">
        <f>IFERROR(Z208/Z444, "NA")</f>
        <v>1.0848740215207299E-3</v>
      </c>
      <c r="AB208" s="9"/>
      <c r="AC208" s="10">
        <f t="shared" si="55"/>
        <v>-32.480000000000018</v>
      </c>
      <c r="AD208" s="8">
        <f>IFERROR(AC208/AC444, "NA")</f>
        <v>-2.0462511991328134E-4</v>
      </c>
    </row>
    <row r="209" spans="1:30" ht="16.5" customHeight="1" x14ac:dyDescent="0.45">
      <c r="A209" s="19" t="s">
        <v>191</v>
      </c>
      <c r="B209" s="14">
        <f>IFERROR(B201+B202+B203+B204+B205+B206+B207+B208, "NA")</f>
        <v>4659.16</v>
      </c>
      <c r="C209" s="15">
        <f>IFERROR(B209/B444, "NA")</f>
        <v>2.2658297471490868E-2</v>
      </c>
      <c r="D209" s="2"/>
      <c r="E209" s="14">
        <f>IFERROR(E201+E202+E203+E204+E205+E206+E207+E208, "NA")</f>
        <v>2981.44</v>
      </c>
      <c r="F209" s="15">
        <f>IFERROR(E209/E444, "NA")</f>
        <v>1.7000016820747567E-2</v>
      </c>
      <c r="G209" s="2"/>
      <c r="H209" s="14">
        <f t="shared" si="52"/>
        <v>-1677.7199999999998</v>
      </c>
      <c r="I209" s="15">
        <f>IFERROR(H209/H444, "NA")</f>
        <v>-5.5464660172669975E-2</v>
      </c>
      <c r="J209" s="2"/>
      <c r="K209" s="14">
        <f>IFERROR(K201+K202+K203+K204+K205+K206+K207+K208, "NA")</f>
        <v>2450.9</v>
      </c>
      <c r="L209" s="15">
        <f>IFERROR(K209/K444, "NA")</f>
        <v>1.5931391985955362E-2</v>
      </c>
      <c r="M209" s="2"/>
      <c r="N209" s="14">
        <f t="shared" si="53"/>
        <v>-2208.2599999999998</v>
      </c>
      <c r="O209" s="15">
        <f>IFERROR(N209/N444, "NA")</f>
        <v>-4.2641878586140165E-2</v>
      </c>
      <c r="P209" s="2"/>
      <c r="Q209" s="14">
        <f>IFERROR(Q201+Q202+Q203+Q204+Q205+Q206+Q207+Q208, "NA")</f>
        <v>15346.300000000001</v>
      </c>
      <c r="R209" s="15">
        <f>IFERROR(Q209/Q444, "NA")</f>
        <v>2.1446591707640232E-2</v>
      </c>
      <c r="S209" s="2"/>
      <c r="T209" s="14">
        <f>IFERROR(T201+T202+T203+T204+T205+T206+T207+T208, "NA")</f>
        <v>10669.91</v>
      </c>
      <c r="U209" s="15">
        <f>IFERROR(T209/T444, "NA")</f>
        <v>1.7405042255541552E-2</v>
      </c>
      <c r="V209" s="2"/>
      <c r="W209" s="14">
        <f t="shared" si="54"/>
        <v>-4676.3900000000012</v>
      </c>
      <c r="X209" s="15">
        <f>IFERROR(W209/W444, "NA")</f>
        <v>-4.5612926226074324E-2</v>
      </c>
      <c r="Y209" s="2"/>
      <c r="Z209" s="14">
        <f>IFERROR(Z201+Z202+Z203+Z204+Z205+Z206+Z207+Z208, "NA")</f>
        <v>13047.759999999998</v>
      </c>
      <c r="AA209" s="15">
        <f>IFERROR(Z209/Z444, "NA")</f>
        <v>2.343223007008445E-2</v>
      </c>
      <c r="AB209" s="2"/>
      <c r="AC209" s="14">
        <f t="shared" si="55"/>
        <v>-2298.5400000000027</v>
      </c>
      <c r="AD209" s="15">
        <f>IFERROR(AC209/AC444, "NA")</f>
        <v>-1.4480881253863116E-2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7888.85</v>
      </c>
      <c r="F213" s="8">
        <f>IFERROR(E213/E444, "NA")</f>
        <v>4.4981815061297371E-2</v>
      </c>
      <c r="G213" s="9"/>
      <c r="H213" s="10">
        <f t="shared" ref="H213:H227" si="56">IFERROR(-(B213-E213), "NA")</f>
        <v>7888.85</v>
      </c>
      <c r="I213" s="8">
        <f>IFERROR(H213/H444, "NA")</f>
        <v>0.26080179314973156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28553.81</v>
      </c>
      <c r="U213" s="8">
        <f>IFERROR(T213/T444, "NA")</f>
        <v>4.6577737732249373E-2</v>
      </c>
      <c r="V213" s="9"/>
      <c r="W213" s="10">
        <f t="shared" ref="W213:W227" si="58">IFERROR(-(Q213-T213), "NA")</f>
        <v>28553.81</v>
      </c>
      <c r="X213" s="8">
        <f>IFERROR(W213/W444, "NA")</f>
        <v>0.27851031009033528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3986.91</v>
      </c>
      <c r="C214" s="8">
        <f>IFERROR(B214/B444, "NA")</f>
        <v>1.9389029947900836E-2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-3986.91</v>
      </c>
      <c r="I214" s="8">
        <f>IFERROR(H214/H444, "NA")</f>
        <v>-0.13180543135268083</v>
      </c>
      <c r="J214" s="9"/>
      <c r="K214" s="7">
        <v>760</v>
      </c>
      <c r="L214" s="8">
        <f>IFERROR(K214/K444, "NA")</f>
        <v>4.9401680645175545E-3</v>
      </c>
      <c r="M214" s="9"/>
      <c r="N214" s="10">
        <f t="shared" si="57"/>
        <v>-3226.91</v>
      </c>
      <c r="O214" s="8">
        <f>IFERROR(N214/N444, "NA")</f>
        <v>-6.2312184447665384E-2</v>
      </c>
      <c r="P214" s="9"/>
      <c r="Q214" s="7">
        <v>21223.9</v>
      </c>
      <c r="R214" s="8">
        <f>IFERROR(Q214/Q444, "NA")</f>
        <v>2.9660590353621754E-2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-21223.9</v>
      </c>
      <c r="X214" s="8">
        <f>IFERROR(W214/W444, "NA")</f>
        <v>-0.20701527993379051</v>
      </c>
      <c r="Y214" s="9"/>
      <c r="Z214" s="7">
        <v>2730</v>
      </c>
      <c r="AA214" s="8">
        <f>IFERROR(Z214/Z444, "NA")</f>
        <v>4.9027563421867471E-3</v>
      </c>
      <c r="AB214" s="9"/>
      <c r="AC214" s="10">
        <f t="shared" si="59"/>
        <v>-18493.900000000001</v>
      </c>
      <c r="AD214" s="8">
        <f>IFERROR(AC214/AC444, "NA")</f>
        <v>-0.11651220767131257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111.03</v>
      </c>
      <c r="C216" s="8">
        <f>IFERROR(B216/B444, "NA")</f>
        <v>5.3995801137106923E-4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-111.03</v>
      </c>
      <c r="I216" s="8">
        <f>IFERROR(H216/H444, "NA")</f>
        <v>-3.6706013035378657E-3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-111.03</v>
      </c>
      <c r="O216" s="8">
        <f>IFERROR(N216/N444, "NA")</f>
        <v>-2.1440083049184167E-3</v>
      </c>
      <c r="P216" s="9"/>
      <c r="Q216" s="7">
        <v>115</v>
      </c>
      <c r="R216" s="8">
        <f>IFERROR(Q216/Q444, "NA")</f>
        <v>1.6071353006122822E-4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-115</v>
      </c>
      <c r="X216" s="8">
        <f>IFERROR(W216/W444, "NA")</f>
        <v>-1.1216956917619245E-3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-115</v>
      </c>
      <c r="AD216" s="8">
        <f>IFERROR(AC216/AC444, "NA")</f>
        <v>-7.2450396521020141E-4</v>
      </c>
    </row>
    <row r="217" spans="1:30" ht="16.5" customHeight="1" x14ac:dyDescent="0.45">
      <c r="A217" s="12" t="s">
        <v>197</v>
      </c>
      <c r="B217" s="7">
        <v>3074.48</v>
      </c>
      <c r="C217" s="8">
        <f>IFERROR(B217/B444, "NA")</f>
        <v>1.4951725720977438E-2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-3074.48</v>
      </c>
      <c r="I217" s="8">
        <f>IFERROR(H217/H444, "NA")</f>
        <v>-0.10164091052599386</v>
      </c>
      <c r="J217" s="9"/>
      <c r="K217" s="7">
        <v>168.5</v>
      </c>
      <c r="L217" s="8">
        <f>IFERROR(K217/K444, "NA")</f>
        <v>1.095287261672642E-3</v>
      </c>
      <c r="M217" s="9"/>
      <c r="N217" s="10">
        <f t="shared" si="57"/>
        <v>-2905.98</v>
      </c>
      <c r="O217" s="8">
        <f>IFERROR(N217/N444, "NA")</f>
        <v>-5.6114971214327847E-2</v>
      </c>
      <c r="P217" s="9"/>
      <c r="Q217" s="7">
        <v>20369.34</v>
      </c>
      <c r="R217" s="8">
        <f>IFERROR(Q217/Q444, "NA")</f>
        <v>2.8466335099281551E-2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-20369.34</v>
      </c>
      <c r="X217" s="8">
        <f>IFERROR(W217/W444, "NA")</f>
        <v>-0.19868000801768554</v>
      </c>
      <c r="Y217" s="9"/>
      <c r="Z217" s="7">
        <v>1166.56</v>
      </c>
      <c r="AA217" s="8">
        <f>IFERROR(Z217/Z444, "NA")</f>
        <v>2.0950034573411617E-3</v>
      </c>
      <c r="AB217" s="9"/>
      <c r="AC217" s="10">
        <f t="shared" si="59"/>
        <v>-19202.78</v>
      </c>
      <c r="AD217" s="8">
        <f>IFERROR(AC217/AC444, "NA")</f>
        <v>-0.12097817611355784</v>
      </c>
    </row>
    <row r="218" spans="1:30" ht="16.5" customHeight="1" x14ac:dyDescent="0.45">
      <c r="A218" s="13" t="s">
        <v>198</v>
      </c>
      <c r="B218" s="14">
        <f>IFERROR(B213+B214+B215+B216+B217, "NA")</f>
        <v>7172.42</v>
      </c>
      <c r="C218" s="15">
        <f>IFERROR(B218/B444, "NA")</f>
        <v>3.4880713680249344E-2</v>
      </c>
      <c r="D218" s="2"/>
      <c r="E218" s="14">
        <f>IFERROR(E213+E214+E215+E216+E217, "NA")</f>
        <v>7888.85</v>
      </c>
      <c r="F218" s="15">
        <f>IFERROR(E218/E444, "NA")</f>
        <v>4.4981815061297371E-2</v>
      </c>
      <c r="G218" s="2"/>
      <c r="H218" s="14">
        <f t="shared" si="56"/>
        <v>716.43000000000029</v>
      </c>
      <c r="I218" s="15">
        <f>IFERROR(H218/H444, "NA")</f>
        <v>2.3684849967518996E-2</v>
      </c>
      <c r="J218" s="2"/>
      <c r="K218" s="14">
        <f>IFERROR(K213+K214+K215+K216+K217, "NA")</f>
        <v>928.5</v>
      </c>
      <c r="L218" s="15">
        <f>IFERROR(K218/K444, "NA")</f>
        <v>6.0354553261901967E-3</v>
      </c>
      <c r="M218" s="2"/>
      <c r="N218" s="14">
        <f t="shared" si="57"/>
        <v>-6243.92</v>
      </c>
      <c r="O218" s="15">
        <f>IFERROR(N218/N444, "NA")</f>
        <v>-0.12057116396691166</v>
      </c>
      <c r="P218" s="2"/>
      <c r="Q218" s="14">
        <f>IFERROR(Q213+Q214+Q215+Q216+Q217, "NA")</f>
        <v>41708.240000000005</v>
      </c>
      <c r="R218" s="15">
        <f>IFERROR(Q218/Q444, "NA")</f>
        <v>5.8287638982964539E-2</v>
      </c>
      <c r="S218" s="2"/>
      <c r="T218" s="14">
        <f>IFERROR(T213+T214+T215+T216+T217, "NA")</f>
        <v>28553.81</v>
      </c>
      <c r="U218" s="15">
        <f>IFERROR(T218/T444, "NA")</f>
        <v>4.6577737732249373E-2</v>
      </c>
      <c r="V218" s="2"/>
      <c r="W218" s="14">
        <f t="shared" si="58"/>
        <v>-13154.430000000004</v>
      </c>
      <c r="X218" s="15">
        <f>IFERROR(W218/W444, "NA")</f>
        <v>-0.12830667355290276</v>
      </c>
      <c r="Y218" s="2"/>
      <c r="Z218" s="14">
        <f>IFERROR(Z213+Z214+Z215+Z216+Z217, "NA")</f>
        <v>3896.56</v>
      </c>
      <c r="AA218" s="15">
        <f>IFERROR(Z218/Z444, "NA")</f>
        <v>6.9977597995279093E-3</v>
      </c>
      <c r="AB218" s="2"/>
      <c r="AC218" s="14">
        <f t="shared" si="59"/>
        <v>-37811.680000000008</v>
      </c>
      <c r="AD218" s="15">
        <f>IFERROR(AC218/AC444, "NA")</f>
        <v>-0.23821488775008065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599.79999999999995</v>
      </c>
      <c r="C222" s="8">
        <f>IFERROR(B222/B444, "NA")</f>
        <v>2.9169306963916716E-3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-599.79999999999995</v>
      </c>
      <c r="I222" s="8">
        <f>IFERROR(H222/H444, "NA")</f>
        <v>-1.9829115210862034E-2</v>
      </c>
      <c r="J222" s="9"/>
      <c r="K222" s="7">
        <v>87.5</v>
      </c>
      <c r="L222" s="8">
        <f>IFERROR(K222/K444, "NA")</f>
        <v>5.6876934953327104E-4</v>
      </c>
      <c r="M222" s="9"/>
      <c r="N222" s="10">
        <f t="shared" si="57"/>
        <v>-512.29999999999995</v>
      </c>
      <c r="O222" s="8">
        <f>IFERROR(N222/N444, "NA")</f>
        <v>-9.8926006899910362E-3</v>
      </c>
      <c r="P222" s="9"/>
      <c r="Q222" s="7">
        <v>1353.8</v>
      </c>
      <c r="R222" s="8">
        <f>IFERROR(Q222/Q444, "NA")</f>
        <v>1.8919476260599196E-3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-1353.8</v>
      </c>
      <c r="X222" s="8">
        <f>IFERROR(W222/W444, "NA")</f>
        <v>-1.3204796760932985E-2</v>
      </c>
      <c r="Y222" s="9"/>
      <c r="Z222" s="7">
        <v>550</v>
      </c>
      <c r="AA222" s="8">
        <f>IFERROR(Z222/Z444, "NA")</f>
        <v>9.8773479421344727E-4</v>
      </c>
      <c r="AB222" s="9"/>
      <c r="AC222" s="10">
        <f t="shared" si="59"/>
        <v>-803.8</v>
      </c>
      <c r="AD222" s="8">
        <f>IFERROR(AC222/AC444, "NA")</f>
        <v>-5.0639677150953032E-3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175.38</v>
      </c>
      <c r="F226" s="8">
        <f>IFERROR(E226/E444, "NA")</f>
        <v>1.0000076976302418E-3</v>
      </c>
      <c r="G226" s="9"/>
      <c r="H226" s="10">
        <f t="shared" si="56"/>
        <v>175.38</v>
      </c>
      <c r="I226" s="8">
        <f>IFERROR(H226/H444, "NA")</f>
        <v>5.797983037147356E-3</v>
      </c>
      <c r="J226" s="9"/>
      <c r="K226" s="7">
        <v>180.34</v>
      </c>
      <c r="L226" s="8">
        <f>IFERROR(K226/K444, "NA")</f>
        <v>1.1722498799409155E-3</v>
      </c>
      <c r="M226" s="9"/>
      <c r="N226" s="10">
        <f t="shared" si="57"/>
        <v>180.34</v>
      </c>
      <c r="O226" s="8">
        <f>IFERROR(N226/N444, "NA")</f>
        <v>3.4823962686570051E-3</v>
      </c>
      <c r="P226" s="9"/>
      <c r="Q226" s="7">
        <v>0</v>
      </c>
      <c r="R226" s="8">
        <f>IFERROR(Q226/Q444, "NA")</f>
        <v>0</v>
      </c>
      <c r="S226" s="9"/>
      <c r="T226" s="7">
        <v>613.04</v>
      </c>
      <c r="U226" s="8">
        <f>IFERROR(T226/T444, "NA")</f>
        <v>1.0000072263343545E-3</v>
      </c>
      <c r="V226" s="9"/>
      <c r="W226" s="10">
        <f t="shared" si="58"/>
        <v>613.04</v>
      </c>
      <c r="X226" s="8">
        <f>IFERROR(W226/W444, "NA")</f>
        <v>5.9795158858933052E-3</v>
      </c>
      <c r="Y226" s="9"/>
      <c r="Z226" s="7">
        <v>1067.28</v>
      </c>
      <c r="AA226" s="8">
        <f>IFERROR(Z226/Z444, "NA")</f>
        <v>1.9167083475784144E-3</v>
      </c>
      <c r="AB226" s="9"/>
      <c r="AC226" s="10">
        <f t="shared" si="59"/>
        <v>1067.28</v>
      </c>
      <c r="AD226" s="8">
        <f>IFERROR(AC226/AC444, "NA")</f>
        <v>6.7239007999090761E-3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7772.22</v>
      </c>
      <c r="C227" s="15">
        <f>IFERROR(B227/B444, "NA")</f>
        <v>3.7797644376641015E-2</v>
      </c>
      <c r="D227" s="2"/>
      <c r="E227" s="14">
        <f>IFERROR(E211+E213+E214+E215+E216+E217+E219+E220+E221+E222+E223+E224+E225+E226, "NA")</f>
        <v>8064.2300000000005</v>
      </c>
      <c r="F227" s="15">
        <f>IFERROR(E227/E444, "NA")</f>
        <v>4.5981822758927614E-2</v>
      </c>
      <c r="G227" s="2"/>
      <c r="H227" s="14">
        <f t="shared" si="56"/>
        <v>292.01000000000022</v>
      </c>
      <c r="I227" s="15">
        <f>IFERROR(H227/H444, "NA")</f>
        <v>9.6537177938043148E-3</v>
      </c>
      <c r="J227" s="2"/>
      <c r="K227" s="14">
        <f>IFERROR(K211+K213+K214+K215+K216+K217+K219+K220+K221+K222+K223+K224+K225+K226, "NA")</f>
        <v>1196.3399999999999</v>
      </c>
      <c r="L227" s="15">
        <f>IFERROR(K227/K444, "NA")</f>
        <v>7.7764745556643828E-3</v>
      </c>
      <c r="M227" s="2"/>
      <c r="N227" s="14">
        <f t="shared" si="57"/>
        <v>-6575.88</v>
      </c>
      <c r="O227" s="15">
        <f>IFERROR(N227/N444, "NA")</f>
        <v>-0.1269813683882457</v>
      </c>
      <c r="P227" s="2"/>
      <c r="Q227" s="14">
        <f>IFERROR(Q211+Q213+Q214+Q215+Q216+Q217+Q219+Q220+Q221+Q222+Q223+Q224+Q225+Q226, "NA")</f>
        <v>43062.040000000008</v>
      </c>
      <c r="R227" s="15">
        <f>IFERROR(Q227/Q444, "NA")</f>
        <v>6.0179586609024463E-2</v>
      </c>
      <c r="S227" s="2"/>
      <c r="T227" s="14">
        <f>IFERROR(T211+T213+T214+T215+T216+T217+T219+T220+T221+T222+T223+T224+T225+T226, "NA")</f>
        <v>29166.850000000002</v>
      </c>
      <c r="U227" s="15">
        <f>IFERROR(T227/T444, "NA")</f>
        <v>4.7577744958583731E-2</v>
      </c>
      <c r="V227" s="2"/>
      <c r="W227" s="14">
        <f t="shared" si="58"/>
        <v>-13895.190000000006</v>
      </c>
      <c r="X227" s="15">
        <f>IFERROR(W227/W444, "NA")</f>
        <v>-0.13553195442794244</v>
      </c>
      <c r="Y227" s="2"/>
      <c r="Z227" s="14">
        <f>IFERROR(Z211+Z213+Z214+Z215+Z216+Z217+Z219+Z220+Z221+Z222+Z223+Z224+Z225+Z226, "NA")</f>
        <v>5513.8399999999992</v>
      </c>
      <c r="AA227" s="15">
        <f>IFERROR(Z227/Z444, "NA")</f>
        <v>9.9022029413197692E-3</v>
      </c>
      <c r="AB227" s="2"/>
      <c r="AC227" s="14">
        <f t="shared" si="59"/>
        <v>-37548.200000000012</v>
      </c>
      <c r="AD227" s="15">
        <f>IFERROR(AC227/AC444, "NA")</f>
        <v>-0.23655495466526691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5217.51</v>
      </c>
      <c r="F229" s="8">
        <f>IFERROR(E229/E444, "NA")</f>
        <v>2.974997241682497E-2</v>
      </c>
      <c r="G229" s="9"/>
      <c r="H229" s="10">
        <f t="shared" ref="H229:H236" si="60">IFERROR(-(B229-E229), "NA")</f>
        <v>5217.51</v>
      </c>
      <c r="I229" s="8">
        <f>IFERROR(H229/H444, "NA")</f>
        <v>0.17248850767559984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18237.810000000001</v>
      </c>
      <c r="U229" s="8">
        <f>IFERROR(T229/T444, "NA")</f>
        <v>2.9750002923973895E-2</v>
      </c>
      <c r="V229" s="9"/>
      <c r="W229" s="10">
        <f t="shared" ref="W229:W236" si="62">IFERROR(-(Q229-T229), "NA")</f>
        <v>18237.810000000001</v>
      </c>
      <c r="X229" s="8">
        <f>IFERROR(W229/W444, "NA")</f>
        <v>0.17788932960150039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30</v>
      </c>
      <c r="AA230" s="8">
        <f>IFERROR(Z230/Z444, "NA")</f>
        <v>5.3876443320733487E-5</v>
      </c>
      <c r="AB230" s="9"/>
      <c r="AC230" s="10">
        <f t="shared" si="63"/>
        <v>30</v>
      </c>
      <c r="AD230" s="8">
        <f>IFERROR(AC230/AC444, "NA")</f>
        <v>1.8900103440266125E-4</v>
      </c>
    </row>
    <row r="231" spans="1:30" ht="16.5" customHeight="1" x14ac:dyDescent="0.45">
      <c r="A231" s="6" t="s">
        <v>210</v>
      </c>
      <c r="B231" s="7">
        <v>392</v>
      </c>
      <c r="C231" s="8">
        <f>IFERROR(B231/B444, "NA")</f>
        <v>1.9063635094790522E-3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-392</v>
      </c>
      <c r="I231" s="8">
        <f>IFERROR(H231/H444, "NA")</f>
        <v>-1.2959341718335977E-2</v>
      </c>
      <c r="J231" s="9"/>
      <c r="K231" s="7">
        <v>496.66</v>
      </c>
      <c r="L231" s="8">
        <f>IFERROR(K231/K444, "NA")</f>
        <v>3.2283998301622218E-3</v>
      </c>
      <c r="M231" s="9"/>
      <c r="N231" s="10">
        <f t="shared" si="61"/>
        <v>104.66000000000003</v>
      </c>
      <c r="O231" s="8">
        <f>IFERROR(N231/N444, "NA")</f>
        <v>2.0210025145704904E-3</v>
      </c>
      <c r="P231" s="9"/>
      <c r="Q231" s="7">
        <v>1576.81</v>
      </c>
      <c r="R231" s="8">
        <f>IFERROR(Q231/Q444, "NA")</f>
        <v>2.2036060985725675E-3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-1576.81</v>
      </c>
      <c r="X231" s="8">
        <f>IFERROR(W231/W444, "NA")</f>
        <v>-1.538000855414887E-2</v>
      </c>
      <c r="Y231" s="9"/>
      <c r="Z231" s="7">
        <v>1425.16</v>
      </c>
      <c r="AA231" s="8">
        <f>IFERROR(Z231/Z444, "NA")</f>
        <v>2.5594183987658848E-3</v>
      </c>
      <c r="AB231" s="9"/>
      <c r="AC231" s="10">
        <f t="shared" si="63"/>
        <v>-151.64999999999986</v>
      </c>
      <c r="AD231" s="8">
        <f>IFERROR(AC231/AC444, "NA")</f>
        <v>-9.5540022890545169E-4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17</v>
      </c>
      <c r="AA233" s="8">
        <f>IFERROR(Z233/Z444, "NA")</f>
        <v>3.0529984548415646E-5</v>
      </c>
      <c r="AB233" s="9"/>
      <c r="AC233" s="10">
        <f t="shared" si="63"/>
        <v>17</v>
      </c>
      <c r="AD233" s="8">
        <f>IFERROR(AC233/AC444, "NA")</f>
        <v>1.0710058616150803E-4</v>
      </c>
    </row>
    <row r="234" spans="1:30" ht="16.5" customHeight="1" x14ac:dyDescent="0.45">
      <c r="A234" s="6" t="s">
        <v>213</v>
      </c>
      <c r="B234" s="7">
        <v>3984.95</v>
      </c>
      <c r="C234" s="8">
        <f>IFERROR(B234/B444, "NA")</f>
        <v>1.9379498130353438E-2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-3984.95</v>
      </c>
      <c r="I234" s="8">
        <f>IFERROR(H234/H444, "NA")</f>
        <v>-0.13174063464408914</v>
      </c>
      <c r="J234" s="9"/>
      <c r="K234" s="7">
        <v>3763.69</v>
      </c>
      <c r="L234" s="8">
        <f>IFERROR(K234/K444, "NA")</f>
        <v>2.446481729308431E-2</v>
      </c>
      <c r="M234" s="9"/>
      <c r="N234" s="10">
        <f t="shared" si="61"/>
        <v>-221.25999999999976</v>
      </c>
      <c r="O234" s="8">
        <f>IFERROR(N234/N444, "NA")</f>
        <v>-4.2725684729014533E-3</v>
      </c>
      <c r="P234" s="9"/>
      <c r="Q234" s="7">
        <v>14624.77</v>
      </c>
      <c r="R234" s="8">
        <f>IFERROR(Q234/Q444, "NA")</f>
        <v>2.0438247069856943E-2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-14624.77</v>
      </c>
      <c r="X234" s="8">
        <f>IFERROR(W234/W444, "NA")</f>
        <v>-0.14264818697399165</v>
      </c>
      <c r="Y234" s="9"/>
      <c r="Z234" s="7">
        <v>15180.54</v>
      </c>
      <c r="AA234" s="8">
        <f>IFERROR(Z234/Z444, "NA")</f>
        <v>2.7262450096270919E-2</v>
      </c>
      <c r="AB234" s="9"/>
      <c r="AC234" s="10">
        <f t="shared" si="63"/>
        <v>555.77000000000044</v>
      </c>
      <c r="AD234" s="8">
        <f>IFERROR(AC234/AC444, "NA")</f>
        <v>3.501370162998904E-3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4376.95</v>
      </c>
      <c r="C236" s="15">
        <f>IFERROR(B236/B444, "NA")</f>
        <v>2.1285861639832492E-2</v>
      </c>
      <c r="D236" s="2"/>
      <c r="E236" s="14">
        <f>IFERROR(E229+E230+E231+E232+E233+E234+E235, "NA")</f>
        <v>5217.51</v>
      </c>
      <c r="F236" s="15">
        <f>IFERROR(E236/E444, "NA")</f>
        <v>2.974997241682497E-2</v>
      </c>
      <c r="G236" s="2"/>
      <c r="H236" s="14">
        <f t="shared" si="60"/>
        <v>840.5600000000004</v>
      </c>
      <c r="I236" s="15">
        <f>IFERROR(H236/H444, "NA")</f>
        <v>2.7788531313174727E-2</v>
      </c>
      <c r="J236" s="2"/>
      <c r="K236" s="14">
        <f>IFERROR(K229+K230+K231+K232+K233+K234+K235, "NA")</f>
        <v>4260.3500000000004</v>
      </c>
      <c r="L236" s="15">
        <f>IFERROR(K236/K444, "NA")</f>
        <v>2.7693217123246534E-2</v>
      </c>
      <c r="M236" s="2"/>
      <c r="N236" s="14">
        <f t="shared" si="61"/>
        <v>-116.59999999999945</v>
      </c>
      <c r="O236" s="15">
        <f>IFERROR(N236/N444, "NA")</f>
        <v>-2.2515659583309576E-3</v>
      </c>
      <c r="P236" s="2"/>
      <c r="Q236" s="14">
        <f>IFERROR(Q229+Q230+Q231+Q232+Q233+Q234+Q235, "NA")</f>
        <v>16201.58</v>
      </c>
      <c r="R236" s="15">
        <f>IFERROR(Q236/Q444, "NA")</f>
        <v>2.264185316842951E-2</v>
      </c>
      <c r="S236" s="2"/>
      <c r="T236" s="14">
        <f>IFERROR(T229+T230+T231+T232+T233+T234+T235, "NA")</f>
        <v>18237.810000000001</v>
      </c>
      <c r="U236" s="15">
        <f>IFERROR(T236/T444, "NA")</f>
        <v>2.9750002923973895E-2</v>
      </c>
      <c r="V236" s="2"/>
      <c r="W236" s="14">
        <f t="shared" si="62"/>
        <v>2036.2300000000014</v>
      </c>
      <c r="X236" s="15">
        <f>IFERROR(W236/W444, "NA")</f>
        <v>1.9861134073359869E-2</v>
      </c>
      <c r="Y236" s="2"/>
      <c r="Z236" s="14">
        <f>IFERROR(Z229+Z230+Z231+Z232+Z233+Z234+Z235, "NA")</f>
        <v>16652.7</v>
      </c>
      <c r="AA236" s="15">
        <f>IFERROR(Z236/Z444, "NA")</f>
        <v>2.9906274922905953E-2</v>
      </c>
      <c r="AB236" s="2"/>
      <c r="AC236" s="14">
        <f t="shared" si="63"/>
        <v>451.1200000000008</v>
      </c>
      <c r="AD236" s="15">
        <f>IFERROR(AC236/AC444, "NA")</f>
        <v>2.842071554657623E-3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16042.59</v>
      </c>
      <c r="F240" s="8">
        <f>IFERROR(E240/E444, "NA")</f>
        <v>9.1474019214995678E-2</v>
      </c>
      <c r="G240" s="9"/>
      <c r="H240" s="10">
        <f t="shared" ref="H240:H263" si="64">IFERROR(-(B240-E240), "NA")</f>
        <v>16042.59</v>
      </c>
      <c r="I240" s="8">
        <f>IFERROR(H240/H444, "NA")</f>
        <v>0.53036072922744781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56766.28</v>
      </c>
      <c r="U240" s="8">
        <f>IFERROR(T240/T444, "NA")</f>
        <v>9.2598672537060125E-2</v>
      </c>
      <c r="V240" s="9"/>
      <c r="W240" s="10">
        <f t="shared" ref="W240:W263" si="66">IFERROR(-(Q240-T240), "NA")</f>
        <v>56766.28</v>
      </c>
      <c r="X240" s="8">
        <f>IFERROR(W240/W444, "NA")</f>
        <v>0.55369123229000949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2540.7199999999998</v>
      </c>
      <c r="C242" s="8">
        <f>IFERROR(B242/B444, "NA")</f>
        <v>1.235595891786637E-2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-2540.7199999999998</v>
      </c>
      <c r="I242" s="8">
        <f>IFERROR(H242/H444, "NA")</f>
        <v>-8.3995047680129026E-2</v>
      </c>
      <c r="J242" s="9"/>
      <c r="K242" s="7">
        <v>1829.2</v>
      </c>
      <c r="L242" s="8">
        <f>IFERROR(K242/K444, "NA")</f>
        <v>1.1890204504757251E-2</v>
      </c>
      <c r="M242" s="9"/>
      <c r="N242" s="10">
        <f t="shared" si="65"/>
        <v>-711.51999999999975</v>
      </c>
      <c r="O242" s="8">
        <f>IFERROR(N242/N444, "NA")</f>
        <v>-1.3739572990322899E-2</v>
      </c>
      <c r="P242" s="9"/>
      <c r="Q242" s="7">
        <v>10388.77</v>
      </c>
      <c r="R242" s="8">
        <f>IFERROR(Q242/Q444, "NA")</f>
        <v>1.4518399127775529E-2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-10388.77</v>
      </c>
      <c r="X242" s="8">
        <f>IFERROR(W242/W444, "NA")</f>
        <v>-0.10133077001483068</v>
      </c>
      <c r="Y242" s="9"/>
      <c r="Z242" s="7">
        <v>7231.47</v>
      </c>
      <c r="AA242" s="8">
        <f>IFERROR(Z242/Z444, "NA")</f>
        <v>1.2986862786019487E-2</v>
      </c>
      <c r="AB242" s="9"/>
      <c r="AC242" s="10">
        <f t="shared" si="67"/>
        <v>-3157.3</v>
      </c>
      <c r="AD242" s="8">
        <f>IFERROR(AC242/AC444, "NA")</f>
        <v>-1.9891098863984078E-2</v>
      </c>
    </row>
    <row r="243" spans="1:30" ht="16.5" customHeight="1" x14ac:dyDescent="0.45">
      <c r="A243" s="12" t="s">
        <v>220</v>
      </c>
      <c r="B243" s="7">
        <v>6438.38</v>
      </c>
      <c r="C243" s="8">
        <f>IFERROR(B243/B444, "NA")</f>
        <v>3.131095074530546E-2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-6438.38</v>
      </c>
      <c r="I243" s="8">
        <f>IFERROR(H243/H444, "NA")</f>
        <v>-0.21284991462372443</v>
      </c>
      <c r="J243" s="9"/>
      <c r="K243" s="7">
        <v>6563.55</v>
      </c>
      <c r="L243" s="8">
        <f>IFERROR(K243/K444, "NA")</f>
        <v>4.2664526447189731E-2</v>
      </c>
      <c r="M243" s="9"/>
      <c r="N243" s="10">
        <f t="shared" si="65"/>
        <v>125.17000000000007</v>
      </c>
      <c r="O243" s="8">
        <f>IFERROR(N243/N444, "NA")</f>
        <v>2.4170541252511789E-3</v>
      </c>
      <c r="P243" s="9"/>
      <c r="Q243" s="7">
        <v>26615.35</v>
      </c>
      <c r="R243" s="8">
        <f>IFERROR(Q243/Q444, "NA")</f>
        <v>3.7195190020131393E-2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-26615.35</v>
      </c>
      <c r="X243" s="8">
        <f>IFERROR(W243/W444, "NA")</f>
        <v>-0.25960281243248462</v>
      </c>
      <c r="Y243" s="9"/>
      <c r="Z243" s="7">
        <v>27003.91</v>
      </c>
      <c r="AA243" s="8">
        <f>IFERROR(Z243/Z444, "NA")</f>
        <v>4.8495820885106275E-2</v>
      </c>
      <c r="AB243" s="9"/>
      <c r="AC243" s="10">
        <f t="shared" si="67"/>
        <v>388.56000000000131</v>
      </c>
      <c r="AD243" s="8">
        <f>IFERROR(AC243/AC444, "NA")</f>
        <v>2.4479413975832766E-3</v>
      </c>
    </row>
    <row r="244" spans="1:30" ht="16.5" customHeight="1" x14ac:dyDescent="0.45">
      <c r="A244" s="12" t="s">
        <v>221</v>
      </c>
      <c r="B244" s="7">
        <v>590</v>
      </c>
      <c r="C244" s="8">
        <f>IFERROR(B244/B444, "NA")</f>
        <v>2.8692716086546957E-3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-590</v>
      </c>
      <c r="I244" s="8">
        <f>IFERROR(H244/H444, "NA")</f>
        <v>-1.9505131667903637E-2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-590</v>
      </c>
      <c r="O244" s="8">
        <f>IFERROR(N244/N444, "NA")</f>
        <v>-1.1393000989839376E-2</v>
      </c>
      <c r="P244" s="9"/>
      <c r="Q244" s="7">
        <v>590</v>
      </c>
      <c r="R244" s="8">
        <f>IFERROR(Q244/Q444, "NA")</f>
        <v>8.2453028466195348E-4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-590</v>
      </c>
      <c r="X244" s="8">
        <f>IFERROR(W244/W444, "NA")</f>
        <v>-5.7547865925176994E-3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-590</v>
      </c>
      <c r="AD244" s="8">
        <f>IFERROR(AC244/AC444, "NA")</f>
        <v>-3.7170203432523377E-3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840.68</v>
      </c>
      <c r="C246" s="8">
        <f>IFERROR(B246/B444, "NA")</f>
        <v>4.0883716202776768E-3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-840.68</v>
      </c>
      <c r="I246" s="8">
        <f>IFERROR(H246/H444, "NA")</f>
        <v>-2.7792498458598693E-2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-840.68</v>
      </c>
      <c r="O246" s="8">
        <f>IFERROR(N246/N444, "NA")</f>
        <v>-1.6233674698539265E-2</v>
      </c>
      <c r="P246" s="9"/>
      <c r="Q246" s="7">
        <v>2727.94</v>
      </c>
      <c r="R246" s="8">
        <f>IFERROR(Q246/Q444, "NA")</f>
        <v>3.8123205843063209E-3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-2727.94</v>
      </c>
      <c r="X246" s="8">
        <f>IFERROR(W246/W444, "NA")</f>
        <v>-2.6607987351174124E-2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-2727.94</v>
      </c>
      <c r="AD246" s="8">
        <f>IFERROR(AC246/AC444, "NA")</f>
        <v>-1.7186116059613191E-2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7.8</v>
      </c>
      <c r="AA247" s="8">
        <f>IFERROR(Z247/Z444, "NA")</f>
        <v>1.4007875263390707E-5</v>
      </c>
      <c r="AB247" s="9"/>
      <c r="AC247" s="10">
        <f t="shared" si="67"/>
        <v>7.8</v>
      </c>
      <c r="AD247" s="8">
        <f>IFERROR(AC247/AC444, "NA")</f>
        <v>4.9140268944691923E-5</v>
      </c>
    </row>
    <row r="248" spans="1:30" ht="16.5" customHeight="1" x14ac:dyDescent="0.45">
      <c r="A248" s="12" t="s">
        <v>225</v>
      </c>
      <c r="B248" s="7">
        <v>189.04</v>
      </c>
      <c r="C248" s="8">
        <f>IFERROR(B248/B444, "NA")</f>
        <v>9.193340761018367E-4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-189.04</v>
      </c>
      <c r="I248" s="8">
        <f>IFERROR(H248/H444, "NA")</f>
        <v>-6.2495764245771241E-3</v>
      </c>
      <c r="J248" s="9"/>
      <c r="K248" s="7">
        <v>189.04</v>
      </c>
      <c r="L248" s="8">
        <f>IFERROR(K248/K444, "NA")</f>
        <v>1.2288018038373663E-3</v>
      </c>
      <c r="M248" s="9"/>
      <c r="N248" s="10">
        <f t="shared" si="65"/>
        <v>0</v>
      </c>
      <c r="O248" s="8">
        <f>IFERROR(N248/N444, "NA")</f>
        <v>0</v>
      </c>
      <c r="P248" s="9"/>
      <c r="Q248" s="7">
        <v>729.75</v>
      </c>
      <c r="R248" s="8">
        <f>IFERROR(Q248/Q444, "NA")</f>
        <v>1.0198321614102721E-3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-729.75</v>
      </c>
      <c r="X248" s="8">
        <f>IFERROR(W248/W444, "NA")</f>
        <v>-7.1178907048979508E-3</v>
      </c>
      <c r="Y248" s="9"/>
      <c r="Z248" s="7">
        <v>746.43</v>
      </c>
      <c r="AA248" s="8">
        <f>IFERROR(Z248/Z444, "NA")</f>
        <v>1.3404997862631698E-3</v>
      </c>
      <c r="AB248" s="9"/>
      <c r="AC248" s="10">
        <f t="shared" si="67"/>
        <v>16.67999999999995</v>
      </c>
      <c r="AD248" s="8">
        <f>IFERROR(AC248/AC444, "NA")</f>
        <v>1.0508457512787933E-4</v>
      </c>
    </row>
    <row r="249" spans="1:30" ht="16.5" customHeight="1" x14ac:dyDescent="0.45">
      <c r="A249" s="12" t="s">
        <v>226</v>
      </c>
      <c r="B249" s="7">
        <v>3192.05</v>
      </c>
      <c r="C249" s="8">
        <f>IFERROR(B249/B444, "NA")</f>
        <v>1.5523488878654613E-2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-3192.05</v>
      </c>
      <c r="I249" s="8">
        <f>IFERROR(H249/H444, "NA")</f>
        <v>-0.10552772125513867</v>
      </c>
      <c r="J249" s="9"/>
      <c r="K249" s="7">
        <v>3555.58</v>
      </c>
      <c r="L249" s="8">
        <f>IFERROR(K249/K444, "NA")</f>
        <v>2.3112056272154378E-2</v>
      </c>
      <c r="M249" s="9"/>
      <c r="N249" s="10">
        <f t="shared" si="65"/>
        <v>363.52999999999975</v>
      </c>
      <c r="O249" s="8">
        <f>IFERROR(N249/N444, "NA")</f>
        <v>7.0198265251462805E-3</v>
      </c>
      <c r="P249" s="9"/>
      <c r="Q249" s="7">
        <v>15324.47</v>
      </c>
      <c r="R249" s="8">
        <f>IFERROR(Q249/Q444, "NA")</f>
        <v>2.1416084087107736E-2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-15324.47</v>
      </c>
      <c r="X249" s="8">
        <f>IFERROR(W249/W444, "NA")</f>
        <v>-0.14947297371769441</v>
      </c>
      <c r="Y249" s="9"/>
      <c r="Z249" s="7">
        <v>10555.35</v>
      </c>
      <c r="AA249" s="8">
        <f>IFERROR(Z249/Z444, "NA")</f>
        <v>1.8956157200183475E-2</v>
      </c>
      <c r="AB249" s="9"/>
      <c r="AC249" s="10">
        <f t="shared" si="67"/>
        <v>-4769.119999999999</v>
      </c>
      <c r="AD249" s="8">
        <f>IFERROR(AC249/AC444, "NA")</f>
        <v>-3.0045620439680652E-2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132.16</v>
      </c>
      <c r="AA252" s="8">
        <f>IFERROR(Z252/Z444, "NA")</f>
        <v>2.3734369164227125E-4</v>
      </c>
      <c r="AB252" s="9"/>
      <c r="AC252" s="10">
        <f t="shared" si="67"/>
        <v>132.16</v>
      </c>
      <c r="AD252" s="8">
        <f>IFERROR(AC252/AC444, "NA")</f>
        <v>8.3261255688852362E-4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5033.9799999999996</v>
      </c>
      <c r="C254" s="8">
        <f>IFERROR(B254/B444, "NA")</f>
        <v>2.4481111682263669E-2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-5033.9799999999996</v>
      </c>
      <c r="I254" s="8">
        <f>IFERROR(H254/H444, "NA")</f>
        <v>-0.1664210893450738</v>
      </c>
      <c r="J254" s="9"/>
      <c r="K254" s="7">
        <v>3401.66</v>
      </c>
      <c r="L254" s="8">
        <f>IFERROR(K254/K444, "NA")</f>
        <v>2.2111542234666822E-2</v>
      </c>
      <c r="M254" s="9"/>
      <c r="N254" s="10">
        <f t="shared" si="65"/>
        <v>-1632.3199999999997</v>
      </c>
      <c r="O254" s="8">
        <f>IFERROR(N254/N444, "NA")</f>
        <v>-3.1520378602940012E-2</v>
      </c>
      <c r="P254" s="9"/>
      <c r="Q254" s="7">
        <v>8408.98</v>
      </c>
      <c r="R254" s="8">
        <f>IFERROR(Q254/Q444, "NA")</f>
        <v>1.1751624869689276E-2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-8408.98</v>
      </c>
      <c r="X254" s="8">
        <f>IFERROR(W254/W444, "NA")</f>
        <v>-8.2020144679236406E-2</v>
      </c>
      <c r="Y254" s="9"/>
      <c r="Z254" s="7">
        <v>8667.66</v>
      </c>
      <c r="AA254" s="8">
        <f>IFERROR(Z254/Z444, "NA")</f>
        <v>1.5566089757112961E-2</v>
      </c>
      <c r="AB254" s="9"/>
      <c r="AC254" s="10">
        <f t="shared" si="67"/>
        <v>258.68000000000029</v>
      </c>
      <c r="AD254" s="8">
        <f>IFERROR(AC254/AC444, "NA")</f>
        <v>1.6296929193093488E-3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328.82</v>
      </c>
      <c r="C257" s="8">
        <f>IFERROR(B257/B444, "NA")</f>
        <v>1.5991082887420968E-3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-328.82</v>
      </c>
      <c r="I257" s="8">
        <f>IFERROR(H257/H444, "NA")</f>
        <v>-1.0870639652610295E-2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-328.82</v>
      </c>
      <c r="O257" s="8">
        <f>IFERROR(N257/N444, "NA")</f>
        <v>-6.349570483862684E-3</v>
      </c>
      <c r="P257" s="9"/>
      <c r="Q257" s="7">
        <v>328.82</v>
      </c>
      <c r="R257" s="8">
        <f>IFERROR(Q257/Q444, "NA")</f>
        <v>4.5952889525854835E-4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-328.82</v>
      </c>
      <c r="X257" s="8">
        <f>IFERROR(W257/W444, "NA")</f>
        <v>-3.2072693683926606E-3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-328.82</v>
      </c>
      <c r="AD257" s="8">
        <f>IFERROR(AC257/AC444, "NA")</f>
        <v>-2.0715773377427689E-3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19153.670000000002</v>
      </c>
      <c r="C262" s="15">
        <f>IFERROR(B262/B444, "NA")</f>
        <v>9.3147595817866427E-2</v>
      </c>
      <c r="D262" s="2"/>
      <c r="E262" s="14">
        <f>IFERROR(E240+E241+E242+E243+E244+E245+E246+E247+E248+E249+E250+E251+E252+E253+E254+E255+E256+E257+E258+E259+E260+E261, "NA")</f>
        <v>16042.59</v>
      </c>
      <c r="F262" s="15">
        <f>IFERROR(E262/E444, "NA")</f>
        <v>9.1474019214995678E-2</v>
      </c>
      <c r="G262" s="2"/>
      <c r="H262" s="14">
        <f t="shared" si="64"/>
        <v>-3111.0800000000017</v>
      </c>
      <c r="I262" s="15">
        <f>IFERROR(H262/H444, "NA")</f>
        <v>-0.10285088988030794</v>
      </c>
      <c r="J262" s="2"/>
      <c r="K262" s="14">
        <f>IFERROR(K240+K241+K242+K243+K244+K245+K246+K247+K248+K249+K250+K251+K252+K253+K254+K255+K256+K257+K258+K259+K260+K261, "NA")</f>
        <v>15539.03</v>
      </c>
      <c r="L262" s="15">
        <f>IFERROR(K262/K444, "NA")</f>
        <v>0.10100713126260555</v>
      </c>
      <c r="M262" s="2"/>
      <c r="N262" s="14">
        <f t="shared" si="65"/>
        <v>-3614.6400000000012</v>
      </c>
      <c r="O262" s="15">
        <f>IFERROR(N262/N444, "NA")</f>
        <v>-6.9799317115106799E-2</v>
      </c>
      <c r="P262" s="2"/>
      <c r="Q262" s="14">
        <f>IFERROR(Q240+Q241+Q242+Q243+Q244+Q245+Q246+Q247+Q248+Q249+Q250+Q251+Q252+Q253+Q254+Q255+Q256+Q257+Q258+Q259+Q260+Q261, "NA")</f>
        <v>65114.079999999994</v>
      </c>
      <c r="R262" s="15">
        <f>IFERROR(Q262/Q444, "NA")</f>
        <v>9.0997510030341025E-2</v>
      </c>
      <c r="S262" s="2"/>
      <c r="T262" s="14">
        <f>IFERROR(T240+T241+T242+T243+T244+T245+T246+T247+T248+T249+T250+T251+T252+T253+T254+T255+T256+T257+T258+T259+T260+T261, "NA")</f>
        <v>56766.28</v>
      </c>
      <c r="U262" s="15">
        <f>IFERROR(T262/T444, "NA")</f>
        <v>9.2598672537060125E-2</v>
      </c>
      <c r="V262" s="2"/>
      <c r="W262" s="14">
        <f t="shared" si="66"/>
        <v>-8347.7999999999956</v>
      </c>
      <c r="X262" s="15">
        <f>IFERROR(W262/W444, "NA")</f>
        <v>-8.1423402571219022E-2</v>
      </c>
      <c r="Y262" s="2"/>
      <c r="Z262" s="14">
        <f>IFERROR(Z240+Z241+Z242+Z243+Z244+Z245+Z246+Z247+Z248+Z249+Z250+Z251+Z252+Z253+Z254+Z255+Z256+Z257+Z258+Z259+Z260+Z261, "NA")</f>
        <v>54344.78</v>
      </c>
      <c r="AA262" s="15">
        <f>IFERROR(Z262/Z444, "NA")</f>
        <v>9.7596781981591024E-2</v>
      </c>
      <c r="AB262" s="2"/>
      <c r="AC262" s="14">
        <f t="shared" si="67"/>
        <v>-10769.299999999996</v>
      </c>
      <c r="AD262" s="15">
        <f>IFERROR(AC262/AC444, "NA")</f>
        <v>-6.7846961326419292E-2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19153.670000000002</v>
      </c>
      <c r="C263" s="15">
        <f>IFERROR(B263/B444, "NA")</f>
        <v>9.3147595817866427E-2</v>
      </c>
      <c r="D263" s="2"/>
      <c r="E263" s="14">
        <f>IFERROR(E238+E240+E241+E242+E243+E244+E245+E246+E247+E248+E249+E250+E251+E252+E253+E254+E255+E256+E257+E258+E259+E260+E261, "NA")</f>
        <v>16042.59</v>
      </c>
      <c r="F263" s="15">
        <f>IFERROR(E263/E444, "NA")</f>
        <v>9.1474019214995678E-2</v>
      </c>
      <c r="G263" s="2"/>
      <c r="H263" s="14">
        <f t="shared" si="64"/>
        <v>-3111.0800000000017</v>
      </c>
      <c r="I263" s="15">
        <f>IFERROR(H263/H444, "NA")</f>
        <v>-0.10285088988030794</v>
      </c>
      <c r="J263" s="2"/>
      <c r="K263" s="14">
        <f>IFERROR(K238+K240+K241+K242+K243+K244+K245+K246+K247+K248+K249+K250+K251+K252+K253+K254+K255+K256+K257+K258+K259+K260+K261, "NA")</f>
        <v>15539.03</v>
      </c>
      <c r="L263" s="15">
        <f>IFERROR(K263/K444, "NA")</f>
        <v>0.10100713126260555</v>
      </c>
      <c r="M263" s="2"/>
      <c r="N263" s="14">
        <f t="shared" si="65"/>
        <v>-3614.6400000000012</v>
      </c>
      <c r="O263" s="15">
        <f>IFERROR(N263/N444, "NA")</f>
        <v>-6.9799317115106799E-2</v>
      </c>
      <c r="P263" s="2"/>
      <c r="Q263" s="14">
        <f>IFERROR(Q238+Q240+Q241+Q242+Q243+Q244+Q245+Q246+Q247+Q248+Q249+Q250+Q251+Q252+Q253+Q254+Q255+Q256+Q257+Q258+Q259+Q260+Q261, "NA")</f>
        <v>65114.079999999994</v>
      </c>
      <c r="R263" s="15">
        <f>IFERROR(Q263/Q444, "NA")</f>
        <v>9.0997510030341025E-2</v>
      </c>
      <c r="S263" s="2"/>
      <c r="T263" s="14">
        <f>IFERROR(T238+T240+T241+T242+T243+T244+T245+T246+T247+T248+T249+T250+T251+T252+T253+T254+T255+T256+T257+T258+T259+T260+T261, "NA")</f>
        <v>56766.28</v>
      </c>
      <c r="U263" s="15">
        <f>IFERROR(T263/T444, "NA")</f>
        <v>9.2598672537060125E-2</v>
      </c>
      <c r="V263" s="2"/>
      <c r="W263" s="14">
        <f t="shared" si="66"/>
        <v>-8347.7999999999956</v>
      </c>
      <c r="X263" s="15">
        <f>IFERROR(W263/W444, "NA")</f>
        <v>-8.1423402571219022E-2</v>
      </c>
      <c r="Y263" s="2"/>
      <c r="Z263" s="14">
        <f>IFERROR(Z238+Z240+Z241+Z242+Z243+Z244+Z245+Z246+Z247+Z248+Z249+Z250+Z251+Z252+Z253+Z254+Z255+Z256+Z257+Z258+Z259+Z260+Z261, "NA")</f>
        <v>54344.78</v>
      </c>
      <c r="AA263" s="15">
        <f>IFERROR(Z263/Z444, "NA")</f>
        <v>9.7596781981591024E-2</v>
      </c>
      <c r="AB263" s="2"/>
      <c r="AC263" s="14">
        <f t="shared" si="67"/>
        <v>-10769.299999999996</v>
      </c>
      <c r="AD263" s="15">
        <f>IFERROR(AC263/AC444, "NA")</f>
        <v>-6.7846961326419292E-2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5418.12</v>
      </c>
      <c r="C265" s="8">
        <f>IFERROR(B265/B444, "NA")</f>
        <v>2.634925065810878E-2</v>
      </c>
      <c r="D265" s="9"/>
      <c r="E265" s="7">
        <v>4384.47</v>
      </c>
      <c r="F265" s="8">
        <f>IFERROR(E265/E444, "NA")</f>
        <v>2.5000021382306229E-2</v>
      </c>
      <c r="G265" s="9"/>
      <c r="H265" s="10">
        <f>IFERROR(-(B265-E265), "NA")</f>
        <v>-1033.6499999999996</v>
      </c>
      <c r="I265" s="8">
        <f>IFERROR(H265/H444, "NA")</f>
        <v>-3.4171998895811163E-2</v>
      </c>
      <c r="J265" s="9"/>
      <c r="K265" s="7">
        <v>3530.9</v>
      </c>
      <c r="L265" s="8">
        <f>IFERROR(K265/K444, "NA")</f>
        <v>2.2951630814480307E-2</v>
      </c>
      <c r="M265" s="9"/>
      <c r="N265" s="10">
        <f>IFERROR(-(B265-K265), "NA")</f>
        <v>-1887.2199999999998</v>
      </c>
      <c r="O265" s="8">
        <f>IFERROR(N265/N444, "NA")</f>
        <v>-3.6442541233974009E-2</v>
      </c>
      <c r="P265" s="9"/>
      <c r="Q265" s="7">
        <v>16990.509999999998</v>
      </c>
      <c r="R265" s="8">
        <f>IFERROR(Q265/Q444, "NA")</f>
        <v>2.3744389909918246E-2</v>
      </c>
      <c r="S265" s="9"/>
      <c r="T265" s="7">
        <v>15574.19</v>
      </c>
      <c r="U265" s="8">
        <f>IFERROR(T265/T444, "NA")</f>
        <v>2.5405034817147724E-2</v>
      </c>
      <c r="V265" s="9"/>
      <c r="W265" s="10">
        <f>IFERROR(-(Q265-T265), "NA")</f>
        <v>-1416.3199999999979</v>
      </c>
      <c r="X265" s="8">
        <f>IFERROR(W265/W444, "NA")</f>
        <v>-1.381460906222823E-2</v>
      </c>
      <c r="Y265" s="9"/>
      <c r="Z265" s="7">
        <v>12987.04</v>
      </c>
      <c r="AA265" s="8">
        <f>IFERROR(Z265/Z444, "NA")</f>
        <v>2.3323184148803289E-2</v>
      </c>
      <c r="AB265" s="9"/>
      <c r="AC265" s="10">
        <f>IFERROR(-(Q265-Z265), "NA")</f>
        <v>-4003.4699999999975</v>
      </c>
      <c r="AD265" s="8">
        <f>IFERROR(AC265/AC444, "NA")</f>
        <v>-2.5221999040000723E-2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14.55</v>
      </c>
      <c r="L266" s="8">
        <f>IFERROR(K266/K444, "NA")</f>
        <v>9.457821755096108E-5</v>
      </c>
      <c r="M266" s="9"/>
      <c r="N266" s="10">
        <f>IFERROR(-(B266-K266), "NA")</f>
        <v>14.55</v>
      </c>
      <c r="O266" s="8">
        <f>IFERROR(N266/N444, "NA")</f>
        <v>2.8096299051214057E-4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14.55</v>
      </c>
      <c r="AA266" s="8">
        <f>IFERROR(Z266/Z444, "NA")</f>
        <v>2.6130075010555742E-5</v>
      </c>
      <c r="AB266" s="9"/>
      <c r="AC266" s="10">
        <f>IFERROR(-(Q266-Z266), "NA")</f>
        <v>14.55</v>
      </c>
      <c r="AD266" s="8">
        <f>IFERROR(AC266/AC444, "NA")</f>
        <v>9.1665501685290706E-5</v>
      </c>
    </row>
    <row r="267" spans="1:30" ht="16.5" customHeight="1" x14ac:dyDescent="0.45">
      <c r="A267" s="19" t="s">
        <v>243</v>
      </c>
      <c r="B267" s="14">
        <f>IFERROR(B265+B266, "NA")</f>
        <v>5418.12</v>
      </c>
      <c r="C267" s="15">
        <f>IFERROR(B267/B444, "NA")</f>
        <v>2.634925065810878E-2</v>
      </c>
      <c r="D267" s="2"/>
      <c r="E267" s="14">
        <f>IFERROR(E265+E266, "NA")</f>
        <v>4384.47</v>
      </c>
      <c r="F267" s="15">
        <f>IFERROR(E267/E444, "NA")</f>
        <v>2.5000021382306229E-2</v>
      </c>
      <c r="G267" s="2"/>
      <c r="H267" s="14">
        <f>IFERROR(-(B267-E267), "NA")</f>
        <v>-1033.6499999999996</v>
      </c>
      <c r="I267" s="15">
        <f>IFERROR(H267/H444, "NA")</f>
        <v>-3.4171998895811163E-2</v>
      </c>
      <c r="J267" s="2"/>
      <c r="K267" s="14">
        <f>IFERROR(K265+K266, "NA")</f>
        <v>3545.4500000000003</v>
      </c>
      <c r="L267" s="15">
        <f>IFERROR(K267/K444, "NA")</f>
        <v>2.3046209032031268E-2</v>
      </c>
      <c r="M267" s="2"/>
      <c r="N267" s="14">
        <f>IFERROR(-(B267-K267), "NA")</f>
        <v>-1872.6699999999996</v>
      </c>
      <c r="O267" s="15">
        <f>IFERROR(N267/N444, "NA")</f>
        <v>-3.6161578243461862E-2</v>
      </c>
      <c r="P267" s="2"/>
      <c r="Q267" s="14">
        <f>IFERROR(Q265+Q266, "NA")</f>
        <v>16990.509999999998</v>
      </c>
      <c r="R267" s="15">
        <f>IFERROR(Q267/Q444, "NA")</f>
        <v>2.3744389909918246E-2</v>
      </c>
      <c r="S267" s="2"/>
      <c r="T267" s="14">
        <f>IFERROR(T265+T266, "NA")</f>
        <v>15574.19</v>
      </c>
      <c r="U267" s="15">
        <f>IFERROR(T267/T444, "NA")</f>
        <v>2.5405034817147724E-2</v>
      </c>
      <c r="V267" s="2"/>
      <c r="W267" s="14">
        <f>IFERROR(-(Q267-T267), "NA")</f>
        <v>-1416.3199999999979</v>
      </c>
      <c r="X267" s="15">
        <f>IFERROR(W267/W444, "NA")</f>
        <v>-1.381460906222823E-2</v>
      </c>
      <c r="Y267" s="2"/>
      <c r="Z267" s="14">
        <f>IFERROR(Z265+Z266, "NA")</f>
        <v>13001.59</v>
      </c>
      <c r="AA267" s="15">
        <f>IFERROR(Z267/Z444, "NA")</f>
        <v>2.3349314223813845E-2</v>
      </c>
      <c r="AB267" s="2"/>
      <c r="AC267" s="14">
        <f>IFERROR(-(Q267-Z267), "NA")</f>
        <v>-3988.9199999999983</v>
      </c>
      <c r="AD267" s="15">
        <f>IFERROR(AC267/AC444, "NA")</f>
        <v>-2.5130333538315439E-2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229.7</v>
      </c>
      <c r="C270" s="8">
        <f>IFERROR(B270/B444, "NA")</f>
        <v>1.1170706584881077E-3</v>
      </c>
      <c r="D270" s="9"/>
      <c r="E270" s="7">
        <v>235.01</v>
      </c>
      <c r="F270" s="8">
        <f>IFERROR(E270/E444, "NA")</f>
        <v>1.3400148763831857E-3</v>
      </c>
      <c r="G270" s="9"/>
      <c r="H270" s="10">
        <f>IFERROR(-(B270-E270), "NA")</f>
        <v>5.3100000000000023</v>
      </c>
      <c r="I270" s="8">
        <f>IFERROR(H270/H444, "NA")</f>
        <v>1.755461850111328E-4</v>
      </c>
      <c r="J270" s="9"/>
      <c r="K270" s="7">
        <v>163.32</v>
      </c>
      <c r="L270" s="8">
        <f>IFERROR(K270/K444, "NA")</f>
        <v>1.0616161161802723E-3</v>
      </c>
      <c r="M270" s="9"/>
      <c r="N270" s="10">
        <f>IFERROR(-(B270-K270), "NA")</f>
        <v>-66.38</v>
      </c>
      <c r="O270" s="8">
        <f>IFERROR(N270/N444, "NA")</f>
        <v>-1.2818091622127758E-3</v>
      </c>
      <c r="P270" s="9"/>
      <c r="Q270" s="7">
        <v>918.8</v>
      </c>
      <c r="R270" s="8">
        <f>IFERROR(Q270/Q444, "NA")</f>
        <v>1.2840312297413606E-3</v>
      </c>
      <c r="S270" s="9"/>
      <c r="T270" s="7">
        <v>1132.98</v>
      </c>
      <c r="U270" s="8">
        <f>IFERROR(T270/T444, "NA")</f>
        <v>1.8481472453547843E-3</v>
      </c>
      <c r="V270" s="9"/>
      <c r="W270" s="10">
        <f>IFERROR(-(Q270-T270), "NA")</f>
        <v>214.18000000000006</v>
      </c>
      <c r="X270" s="8">
        <f>IFERROR(W270/W444, "NA")</f>
        <v>2.0890850718397309E-3</v>
      </c>
      <c r="Y270" s="9"/>
      <c r="Z270" s="7">
        <v>653.28</v>
      </c>
      <c r="AA270" s="8">
        <f>IFERROR(Z270/Z444, "NA")</f>
        <v>1.1732134297522923E-3</v>
      </c>
      <c r="AB270" s="9"/>
      <c r="AC270" s="10">
        <f>IFERROR(-(Q270-Z270), "NA")</f>
        <v>-265.52</v>
      </c>
      <c r="AD270" s="8">
        <f>IFERROR(AC270/AC444, "NA")</f>
        <v>-1.6727851551531535E-3</v>
      </c>
    </row>
    <row r="271" spans="1:30" ht="16.5" customHeight="1" x14ac:dyDescent="0.45">
      <c r="A271" s="6" t="s">
        <v>246</v>
      </c>
      <c r="B271" s="7">
        <v>852.8</v>
      </c>
      <c r="C271" s="8">
        <f>IFERROR(B271/B444, "NA")</f>
        <v>4.1473132675605498E-3</v>
      </c>
      <c r="D271" s="9"/>
      <c r="E271" s="7">
        <v>701.51</v>
      </c>
      <c r="F271" s="8">
        <f>IFERROR(E271/E444, "NA")</f>
        <v>3.999973771037695E-3</v>
      </c>
      <c r="G271" s="9"/>
      <c r="H271" s="10">
        <f>IFERROR(-(B271-E271), "NA")</f>
        <v>-151.28999999999996</v>
      </c>
      <c r="I271" s="8">
        <f>IFERROR(H271/H444, "NA")</f>
        <v>-5.0015785932832893E-3</v>
      </c>
      <c r="J271" s="9"/>
      <c r="K271" s="7">
        <v>561.82000000000005</v>
      </c>
      <c r="L271" s="8">
        <f>IFERROR(K271/K444, "NA")</f>
        <v>3.6519542394832273E-3</v>
      </c>
      <c r="M271" s="9"/>
      <c r="N271" s="10">
        <f>IFERROR(-(B271-K271), "NA")</f>
        <v>-290.9799999999999</v>
      </c>
      <c r="O271" s="8">
        <f>IFERROR(N271/N444, "NA")</f>
        <v>-5.6188736068194245E-3</v>
      </c>
      <c r="P271" s="9"/>
      <c r="Q271" s="7">
        <v>3411.2</v>
      </c>
      <c r="R271" s="8">
        <f>IFERROR(Q271/Q444, "NA")</f>
        <v>4.7671825543031451E-3</v>
      </c>
      <c r="S271" s="9"/>
      <c r="T271" s="7">
        <v>2452.14</v>
      </c>
      <c r="U271" s="8">
        <f>IFERROR(T271/T444, "NA")</f>
        <v>3.9999962808030861E-3</v>
      </c>
      <c r="V271" s="9"/>
      <c r="W271" s="10">
        <f>IFERROR(-(Q271-T271), "NA")</f>
        <v>-959.06</v>
      </c>
      <c r="X271" s="8">
        <f>IFERROR(W271/W444, "NA")</f>
        <v>-9.3545519142712273E-3</v>
      </c>
      <c r="Y271" s="9"/>
      <c r="Z271" s="7">
        <v>2247.2800000000002</v>
      </c>
      <c r="AA271" s="8">
        <f>IFERROR(Z271/Z444, "NA")</f>
        <v>4.0358484515272651E-3</v>
      </c>
      <c r="AB271" s="9"/>
      <c r="AC271" s="10">
        <f>IFERROR(-(Q271-Z271), "NA")</f>
        <v>-1163.9199999999996</v>
      </c>
      <c r="AD271" s="8">
        <f>IFERROR(AC271/AC444, "NA")</f>
        <v>-7.3327361320648463E-3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1082.5</v>
      </c>
      <c r="C273" s="15">
        <f>IFERROR(B273/B444, "NA")</f>
        <v>5.264383926048658E-3</v>
      </c>
      <c r="D273" s="2"/>
      <c r="E273" s="14">
        <f>IFERROR(E269+E270+E271+E272, "NA")</f>
        <v>936.52</v>
      </c>
      <c r="F273" s="15">
        <f>IFERROR(E273/E444, "NA")</f>
        <v>5.3399886474208803E-3</v>
      </c>
      <c r="G273" s="2"/>
      <c r="H273" s="14">
        <f>IFERROR(-(B273-E273), "NA")</f>
        <v>-145.98000000000002</v>
      </c>
      <c r="I273" s="15">
        <f>IFERROR(H273/H444, "NA")</f>
        <v>-4.8260324082721583E-3</v>
      </c>
      <c r="J273" s="2"/>
      <c r="K273" s="14">
        <f>IFERROR(K269+K270+K271+K272, "NA")</f>
        <v>725.1400000000001</v>
      </c>
      <c r="L273" s="15">
        <f>IFERROR(K273/K444, "NA")</f>
        <v>4.7135703556634998E-3</v>
      </c>
      <c r="M273" s="2"/>
      <c r="N273" s="14">
        <f>IFERROR(-(B273-K273), "NA")</f>
        <v>-357.3599999999999</v>
      </c>
      <c r="O273" s="15">
        <f>IFERROR(N273/N444, "NA")</f>
        <v>-6.9006827690321999E-3</v>
      </c>
      <c r="P273" s="2"/>
      <c r="Q273" s="14">
        <f>IFERROR(Q269+Q270+Q271+Q272, "NA")</f>
        <v>4330</v>
      </c>
      <c r="R273" s="15">
        <f>IFERROR(Q273/Q444, "NA")</f>
        <v>6.0512137840445061E-3</v>
      </c>
      <c r="S273" s="2"/>
      <c r="T273" s="14">
        <f>IFERROR(T269+T270+T271+T272, "NA")</f>
        <v>3585.12</v>
      </c>
      <c r="U273" s="15">
        <f>IFERROR(T273/T444, "NA")</f>
        <v>5.8481435261578708E-3</v>
      </c>
      <c r="V273" s="2"/>
      <c r="W273" s="14">
        <f>IFERROR(-(Q273-T273), "NA")</f>
        <v>-744.88000000000011</v>
      </c>
      <c r="X273" s="15">
        <f>IFERROR(W273/W444, "NA")</f>
        <v>-7.2654668424314995E-3</v>
      </c>
      <c r="Y273" s="2"/>
      <c r="Z273" s="14">
        <f>IFERROR(Z269+Z270+Z271+Z272, "NA")</f>
        <v>2900.5600000000004</v>
      </c>
      <c r="AA273" s="15">
        <f>IFERROR(Z273/Z444, "NA")</f>
        <v>5.2090618812795581E-3</v>
      </c>
      <c r="AB273" s="2"/>
      <c r="AC273" s="14">
        <f>IFERROR(-(Q273-Z273), "NA")</f>
        <v>-1429.4399999999996</v>
      </c>
      <c r="AD273" s="15">
        <f>IFERROR(AC273/AC444, "NA")</f>
        <v>-9.0055212872180001E-3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365</v>
      </c>
      <c r="F287" s="8">
        <f>IFERROR(E287/E444, "NA")</f>
        <v>2.0812111394402913E-3</v>
      </c>
      <c r="G287" s="9"/>
      <c r="H287" s="10">
        <f t="shared" si="72"/>
        <v>365</v>
      </c>
      <c r="I287" s="8">
        <f>IFERROR(H287/H444, "NA")</f>
        <v>1.2066733997940386E-2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1460</v>
      </c>
      <c r="U287" s="8">
        <f>IFERROR(T287/T444, "NA")</f>
        <v>2.3815910062119235E-3</v>
      </c>
      <c r="V287" s="9"/>
      <c r="W287" s="10">
        <f t="shared" si="74"/>
        <v>1460</v>
      </c>
      <c r="X287" s="8">
        <f>IFERROR(W287/W444, "NA")</f>
        <v>1.4240658347586171E-2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146.85</v>
      </c>
      <c r="C288" s="8">
        <f>IFERROR(B288/B444, "NA")</f>
        <v>7.1415684022193573E-4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-146.85</v>
      </c>
      <c r="I288" s="8">
        <f>IFERROR(H288/H444, "NA")</f>
        <v>-4.8547942125960154E-3</v>
      </c>
      <c r="J288" s="9"/>
      <c r="K288" s="7">
        <v>144.65</v>
      </c>
      <c r="L288" s="8">
        <f>IFERROR(K288/K444, "NA")</f>
        <v>9.4025698754271621E-4</v>
      </c>
      <c r="M288" s="9"/>
      <c r="N288" s="10">
        <f t="shared" si="73"/>
        <v>-2.1999999999999886</v>
      </c>
      <c r="O288" s="8">
        <f>IFERROR(N288/N444, "NA")</f>
        <v>-4.2482376572282198E-5</v>
      </c>
      <c r="P288" s="9"/>
      <c r="Q288" s="7">
        <v>580.79999999999995</v>
      </c>
      <c r="R288" s="8">
        <f>IFERROR(Q288/Q444, "NA")</f>
        <v>8.1167320225705513E-4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-580.79999999999995</v>
      </c>
      <c r="X288" s="8">
        <f>IFERROR(W288/W444, "NA")</f>
        <v>-5.6650509371767447E-3</v>
      </c>
      <c r="Y288" s="9"/>
      <c r="Z288" s="7">
        <v>585.22</v>
      </c>
      <c r="AA288" s="8">
        <f>IFERROR(Z288/Z444, "NA")</f>
        <v>1.0509857386719885E-3</v>
      </c>
      <c r="AB288" s="9"/>
      <c r="AC288" s="10">
        <f t="shared" si="75"/>
        <v>4.4200000000000728</v>
      </c>
      <c r="AD288" s="8">
        <f>IFERROR(AC288/AC444, "NA")</f>
        <v>2.7846152401992546E-5</v>
      </c>
    </row>
    <row r="289" spans="1:30" ht="16.5" customHeight="1" x14ac:dyDescent="0.45">
      <c r="A289" s="6" t="s">
        <v>262</v>
      </c>
      <c r="B289" s="7">
        <v>218.07</v>
      </c>
      <c r="C289" s="8">
        <f>IFERROR(B289/B444, "NA")</f>
        <v>1.0605119655920838E-3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-218.07</v>
      </c>
      <c r="I289" s="8">
        <f>IFERROR(H289/H444, "NA")</f>
        <v>-7.2092950217283831E-3</v>
      </c>
      <c r="J289" s="9"/>
      <c r="K289" s="7">
        <v>210.6</v>
      </c>
      <c r="L289" s="8">
        <f>IFERROR(K289/K444, "NA")</f>
        <v>1.3689465715623645E-3</v>
      </c>
      <c r="M289" s="9"/>
      <c r="N289" s="10">
        <f t="shared" si="73"/>
        <v>-7.4699999999999989</v>
      </c>
      <c r="O289" s="8">
        <f>IFERROR(N289/N444, "NA")</f>
        <v>-1.4424697863406802E-4</v>
      </c>
      <c r="P289" s="9"/>
      <c r="Q289" s="7">
        <v>878.12</v>
      </c>
      <c r="R289" s="8">
        <f>IFERROR(Q289/Q444, "NA")</f>
        <v>1.2271805653683975E-3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-878.12</v>
      </c>
      <c r="X289" s="8">
        <f>IFERROR(W289/W444, "NA")</f>
        <v>-8.5650732247824438E-3</v>
      </c>
      <c r="Y289" s="9"/>
      <c r="Z289" s="7">
        <v>875.62</v>
      </c>
      <c r="AA289" s="8">
        <f>IFERROR(Z289/Z444, "NA")</f>
        <v>1.5725097100166886E-3</v>
      </c>
      <c r="AB289" s="9"/>
      <c r="AC289" s="10">
        <f t="shared" si="75"/>
        <v>-2.5</v>
      </c>
      <c r="AD289" s="8">
        <f>IFERROR(AC289/AC444, "NA")</f>
        <v>-1.5750086200221769E-5</v>
      </c>
    </row>
    <row r="290" spans="1:30" ht="16.5" customHeight="1" x14ac:dyDescent="0.45">
      <c r="A290" s="6" t="s">
        <v>263</v>
      </c>
      <c r="B290" s="7">
        <v>393.31</v>
      </c>
      <c r="C290" s="8">
        <f>IFERROR(B290/B444, "NA")</f>
        <v>1.9127342650847091E-3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-393.31</v>
      </c>
      <c r="I290" s="8">
        <f>IFERROR(H290/H444, "NA")</f>
        <v>-1.3002649722547763E-2</v>
      </c>
      <c r="J290" s="9"/>
      <c r="K290" s="7">
        <v>304.94</v>
      </c>
      <c r="L290" s="8">
        <f>IFERROR(K290/K444, "NA")</f>
        <v>1.9821774336762936E-3</v>
      </c>
      <c r="M290" s="9"/>
      <c r="N290" s="10">
        <f t="shared" si="73"/>
        <v>-88.37</v>
      </c>
      <c r="O290" s="8">
        <f>IFERROR(N290/N444, "NA")</f>
        <v>-1.706439826223908E-3</v>
      </c>
      <c r="P290" s="9"/>
      <c r="Q290" s="7">
        <v>5566.49</v>
      </c>
      <c r="R290" s="8">
        <f>IFERROR(Q290/Q444, "NA")</f>
        <v>7.7792196343524017E-3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-5566.49</v>
      </c>
      <c r="X290" s="8">
        <f>IFERROR(W290/W444, "NA")</f>
        <v>-5.4294850880311607E-2</v>
      </c>
      <c r="Y290" s="9"/>
      <c r="Z290" s="7">
        <v>554.94000000000005</v>
      </c>
      <c r="AA290" s="8">
        <f>IFERROR(Z290/Z444, "NA")</f>
        <v>9.9660644854692826E-4</v>
      </c>
      <c r="AB290" s="9"/>
      <c r="AC290" s="10">
        <f t="shared" si="75"/>
        <v>-5011.5499999999993</v>
      </c>
      <c r="AD290" s="8">
        <f>IFERROR(AC290/AC444, "NA")</f>
        <v>-3.1572937798688562E-2</v>
      </c>
    </row>
    <row r="291" spans="1:30" ht="16.5" customHeight="1" x14ac:dyDescent="0.45">
      <c r="A291" s="6" t="s">
        <v>264</v>
      </c>
      <c r="B291" s="7">
        <v>119.55</v>
      </c>
      <c r="C291" s="8">
        <f>IFERROR(B291/B444, "NA")</f>
        <v>5.8139223866893023E-4</v>
      </c>
      <c r="D291" s="9"/>
      <c r="E291" s="7">
        <v>2279.92</v>
      </c>
      <c r="F291" s="8">
        <f>IFERROR(E291/E444, "NA")</f>
        <v>1.2999986030226599E-2</v>
      </c>
      <c r="G291" s="9"/>
      <c r="H291" s="10">
        <f t="shared" si="72"/>
        <v>2160.37</v>
      </c>
      <c r="I291" s="8">
        <f>IFERROR(H291/H444, "NA")</f>
        <v>7.1420849663371144E-2</v>
      </c>
      <c r="J291" s="9"/>
      <c r="K291" s="7">
        <v>2250.9699999999998</v>
      </c>
      <c r="L291" s="8">
        <f>IFERROR(K291/K444, "NA")</f>
        <v>1.4631802773930367E-2</v>
      </c>
      <c r="M291" s="9"/>
      <c r="N291" s="10">
        <f t="shared" si="73"/>
        <v>2131.4199999999996</v>
      </c>
      <c r="O291" s="8">
        <f>IFERROR(N291/N444, "NA")</f>
        <v>4.1158085033497355E-2</v>
      </c>
      <c r="P291" s="9"/>
      <c r="Q291" s="7">
        <v>6332.75</v>
      </c>
      <c r="R291" s="8">
        <f>IFERROR(Q291/Q444, "NA")</f>
        <v>8.8500748477847221E-3</v>
      </c>
      <c r="S291" s="9"/>
      <c r="T291" s="7">
        <v>7969.46</v>
      </c>
      <c r="U291" s="8">
        <f>IFERROR(T291/T444, "NA")</f>
        <v>1.2999996068743615E-2</v>
      </c>
      <c r="V291" s="9"/>
      <c r="W291" s="10">
        <f t="shared" si="74"/>
        <v>1636.71</v>
      </c>
      <c r="X291" s="8">
        <f>IFERROR(W291/W444, "NA")</f>
        <v>1.5964265701423126E-2</v>
      </c>
      <c r="Y291" s="9"/>
      <c r="Z291" s="7">
        <v>4874.72</v>
      </c>
      <c r="AA291" s="8">
        <f>IFERROR(Z291/Z444, "NA")</f>
        <v>8.7544191928148659E-3</v>
      </c>
      <c r="AB291" s="9"/>
      <c r="AC291" s="10">
        <f t="shared" si="75"/>
        <v>-1458.0299999999997</v>
      </c>
      <c r="AD291" s="8">
        <f>IFERROR(AC291/AC444, "NA")</f>
        <v>-9.1856392730037366E-3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681.63</v>
      </c>
      <c r="R292" s="8">
        <f>IFERROR(Q292/Q444, "NA")</f>
        <v>9.5258403039682592E-4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-681.63</v>
      </c>
      <c r="X292" s="8">
        <f>IFERROR(W292/W444, "NA")</f>
        <v>-6.6485342119624391E-3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-681.63</v>
      </c>
      <c r="AD292" s="8">
        <f>IFERROR(AC292/AC444, "NA")</f>
        <v>-4.2942925026628661E-3</v>
      </c>
    </row>
    <row r="293" spans="1:30" ht="16.5" customHeight="1" x14ac:dyDescent="0.45">
      <c r="A293" s="6" t="s">
        <v>266</v>
      </c>
      <c r="B293" s="7">
        <v>450.21</v>
      </c>
      <c r="C293" s="8">
        <f>IFERROR(B293/B444, "NA")</f>
        <v>2.189448764292255E-3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-450.21</v>
      </c>
      <c r="I293" s="8">
        <f>IFERROR(H293/H444, "NA")</f>
        <v>-1.4883737844418468E-2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-450.21</v>
      </c>
      <c r="O293" s="8">
        <f>IFERROR(N293/N444, "NA")</f>
        <v>-8.6936321620942128E-3</v>
      </c>
      <c r="P293" s="9"/>
      <c r="Q293" s="7">
        <v>450.21</v>
      </c>
      <c r="R293" s="8">
        <f>IFERROR(Q293/Q444, "NA")</f>
        <v>6.2917250755535256E-4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-450.21</v>
      </c>
      <c r="X293" s="8">
        <f>IFERROR(W293/W444, "NA")</f>
        <v>-4.3912923251142261E-3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-450.21</v>
      </c>
      <c r="AD293" s="8">
        <f>IFERROR(AC293/AC444, "NA")</f>
        <v>-2.8363385232807372E-3</v>
      </c>
    </row>
    <row r="294" spans="1:30" ht="16.5" customHeight="1" x14ac:dyDescent="0.45">
      <c r="A294" s="6" t="s">
        <v>267</v>
      </c>
      <c r="B294" s="7">
        <v>324.99</v>
      </c>
      <c r="C294" s="8">
        <f>IFERROR(B294/B444, "NA")</f>
        <v>1.5804823391469315E-3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-324.99</v>
      </c>
      <c r="I294" s="8">
        <f>IFERROR(H294/H444, "NA")</f>
        <v>-1.0744021594494921E-2</v>
      </c>
      <c r="J294" s="9"/>
      <c r="K294" s="7">
        <v>244</v>
      </c>
      <c r="L294" s="8">
        <f>IFERROR(K294/K444, "NA")</f>
        <v>1.5860539575556359E-3</v>
      </c>
      <c r="M294" s="9"/>
      <c r="N294" s="10">
        <f t="shared" si="73"/>
        <v>-80.990000000000009</v>
      </c>
      <c r="O294" s="8">
        <f>IFERROR(N294/N444, "NA")</f>
        <v>-1.5639307629950697E-3</v>
      </c>
      <c r="P294" s="9"/>
      <c r="Q294" s="7">
        <v>1513.98</v>
      </c>
      <c r="R294" s="8">
        <f>IFERROR(Q294/Q444, "NA")</f>
        <v>2.1158006108008549E-3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-1513.98</v>
      </c>
      <c r="X294" s="8">
        <f>IFERROR(W294/W444, "NA")</f>
        <v>-1.4767172551423638E-2</v>
      </c>
      <c r="Y294" s="9"/>
      <c r="Z294" s="7">
        <v>976</v>
      </c>
      <c r="AA294" s="8">
        <f>IFERROR(Z294/Z444, "NA")</f>
        <v>1.7527802893678628E-3</v>
      </c>
      <c r="AB294" s="9"/>
      <c r="AC294" s="10">
        <f t="shared" si="75"/>
        <v>-537.98</v>
      </c>
      <c r="AD294" s="8">
        <f>IFERROR(AC294/AC444, "NA")</f>
        <v>-3.3892925495981234E-3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1652.98</v>
      </c>
      <c r="C295" s="15">
        <f>IFERROR(B295/B444, "NA")</f>
        <v>8.0387264130068452E-3</v>
      </c>
      <c r="D295" s="2"/>
      <c r="E295" s="14">
        <f>IFERROR(E286+E287+E288+E289+E290+E291+E292+E293+E294, "NA")</f>
        <v>2644.92</v>
      </c>
      <c r="F295" s="15">
        <f>IFERROR(E295/E444, "NA")</f>
        <v>1.5081197169666891E-2</v>
      </c>
      <c r="G295" s="2"/>
      <c r="H295" s="14">
        <f t="shared" si="72"/>
        <v>991.94</v>
      </c>
      <c r="I295" s="15">
        <f>IFERROR(H295/H444, "NA")</f>
        <v>3.279308526552599E-2</v>
      </c>
      <c r="J295" s="2"/>
      <c r="K295" s="14">
        <f>IFERROR(K286+K287+K288+K289+K290+K291+K292+K293+K294, "NA")</f>
        <v>3155.16</v>
      </c>
      <c r="L295" s="15">
        <f>IFERROR(K295/K444, "NA")</f>
        <v>2.0509237724267378E-2</v>
      </c>
      <c r="M295" s="2"/>
      <c r="N295" s="14">
        <f t="shared" si="73"/>
        <v>1502.1799999999998</v>
      </c>
      <c r="O295" s="15">
        <f>IFERROR(N295/N444, "NA")</f>
        <v>2.9007352926977818E-2</v>
      </c>
      <c r="P295" s="2"/>
      <c r="Q295" s="14">
        <f>IFERROR(Q286+Q287+Q288+Q289+Q290+Q291+Q292+Q293+Q294, "NA")</f>
        <v>16003.979999999998</v>
      </c>
      <c r="R295" s="15">
        <f>IFERROR(Q295/Q444, "NA")</f>
        <v>2.2365705398515606E-2</v>
      </c>
      <c r="S295" s="2"/>
      <c r="T295" s="14">
        <f>IFERROR(T286+T287+T288+T289+T290+T291+T292+T293+T294, "NA")</f>
        <v>9429.4599999999991</v>
      </c>
      <c r="U295" s="15">
        <f>IFERROR(T295/T444, "NA")</f>
        <v>1.5381587074955537E-2</v>
      </c>
      <c r="V295" s="2"/>
      <c r="W295" s="14">
        <f t="shared" si="74"/>
        <v>-6574.5199999999986</v>
      </c>
      <c r="X295" s="15">
        <f>IFERROR(W295/W444, "NA")</f>
        <v>-6.4127050081761797E-2</v>
      </c>
      <c r="Y295" s="2"/>
      <c r="Z295" s="14">
        <f>IFERROR(Z286+Z287+Z288+Z289+Z290+Z291+Z292+Z293+Z294, "NA")</f>
        <v>7866.5</v>
      </c>
      <c r="AA295" s="15">
        <f>IFERROR(Z295/Z444, "NA")</f>
        <v>1.4127301379418334E-2</v>
      </c>
      <c r="AB295" s="2"/>
      <c r="AC295" s="14">
        <f t="shared" si="75"/>
        <v>-8137.4799999999977</v>
      </c>
      <c r="AD295" s="15">
        <f>IFERROR(AC295/AC444, "NA")</f>
        <v>-5.1266404581032245E-2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2279.92</v>
      </c>
      <c r="F297" s="8">
        <f>IFERROR(E297/E444, "NA")</f>
        <v>1.2999986030226599E-2</v>
      </c>
      <c r="G297" s="9"/>
      <c r="H297" s="10">
        <f t="shared" ref="H297:H325" si="76">IFERROR(-(B297-E297), "NA")</f>
        <v>2279.92</v>
      </c>
      <c r="I297" s="8">
        <f>IFERROR(H297/H444, "NA")</f>
        <v>7.5373118292011626E-2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7969.46</v>
      </c>
      <c r="U297" s="8">
        <f>IFERROR(T297/T444, "NA")</f>
        <v>1.2999996068743615E-2</v>
      </c>
      <c r="V297" s="9"/>
      <c r="W297" s="10">
        <f t="shared" ref="W297:W325" si="78">IFERROR(-(Q297-T297), "NA")</f>
        <v>7969.46</v>
      </c>
      <c r="X297" s="8">
        <f>IFERROR(W297/W444, "NA")</f>
        <v>7.7733121284078138E-2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1209.3900000000001</v>
      </c>
      <c r="C299" s="8">
        <f>IFERROR(B299/B444, "NA")</f>
        <v>5.8814718487981404E-3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-1209.3900000000001</v>
      </c>
      <c r="I299" s="8">
        <f>IFERROR(H299/H444, "NA")</f>
        <v>-3.9981883369230475E-2</v>
      </c>
      <c r="J299" s="9"/>
      <c r="K299" s="7">
        <v>491.87</v>
      </c>
      <c r="L299" s="8">
        <f>IFERROR(K299/K444, "NA")</f>
        <v>3.1972637709134864E-3</v>
      </c>
      <c r="M299" s="9"/>
      <c r="N299" s="10">
        <f t="shared" si="77"/>
        <v>-717.5200000000001</v>
      </c>
      <c r="O299" s="8">
        <f>IFERROR(N299/N444, "NA")</f>
        <v>-1.3855434017338221E-2</v>
      </c>
      <c r="P299" s="9"/>
      <c r="Q299" s="7">
        <v>3237.3</v>
      </c>
      <c r="R299" s="8">
        <f>IFERROR(Q299/Q444, "NA")</f>
        <v>4.5241557466714271E-3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-3237.3</v>
      </c>
      <c r="X299" s="8">
        <f>IFERROR(W299/W444, "NA")</f>
        <v>-3.1576221416877201E-2</v>
      </c>
      <c r="Y299" s="9"/>
      <c r="Z299" s="7">
        <v>1108.8800000000001</v>
      </c>
      <c r="AA299" s="8">
        <f>IFERROR(Z299/Z444, "NA")</f>
        <v>1.9914170156498318E-3</v>
      </c>
      <c r="AB299" s="9"/>
      <c r="AC299" s="10">
        <f t="shared" si="79"/>
        <v>-2128.42</v>
      </c>
      <c r="AD299" s="8">
        <f>IFERROR(AC299/AC444, "NA")</f>
        <v>-1.3409119388110409E-2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62.93</v>
      </c>
      <c r="C310" s="8">
        <f>IFERROR(B310/B444, "NA")</f>
        <v>3.0603942768244071E-4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-62.93</v>
      </c>
      <c r="I310" s="8">
        <f>IFERROR(H310/H444, "NA")</f>
        <v>-2.0804371794257218E-3</v>
      </c>
      <c r="J310" s="9"/>
      <c r="K310" s="7">
        <v>34.08</v>
      </c>
      <c r="L310" s="8">
        <f>IFERROR(K310/K444, "NA")</f>
        <v>2.2152753636678718E-4</v>
      </c>
      <c r="M310" s="9"/>
      <c r="N310" s="10">
        <f t="shared" si="77"/>
        <v>-28.85</v>
      </c>
      <c r="O310" s="8">
        <f>IFERROR(N310/N444, "NA")</f>
        <v>-5.5709843823197633E-4</v>
      </c>
      <c r="P310" s="9"/>
      <c r="Q310" s="7">
        <v>221.83</v>
      </c>
      <c r="R310" s="8">
        <f>IFERROR(Q310/Q444, "NA")</f>
        <v>3.1000941194332394E-4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-221.83</v>
      </c>
      <c r="X310" s="8">
        <f>IFERROR(W310/W444, "NA")</f>
        <v>-2.1637022200308499E-3</v>
      </c>
      <c r="Y310" s="9"/>
      <c r="Z310" s="7">
        <v>85.85</v>
      </c>
      <c r="AA310" s="8">
        <f>IFERROR(Z310/Z444, "NA")</f>
        <v>1.5417642196949898E-4</v>
      </c>
      <c r="AB310" s="9"/>
      <c r="AC310" s="10">
        <f t="shared" si="79"/>
        <v>-135.98000000000002</v>
      </c>
      <c r="AD310" s="8">
        <f>IFERROR(AC310/AC444, "NA")</f>
        <v>-8.5667868860246263E-4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26.73</v>
      </c>
      <c r="R311" s="8">
        <f>IFERROR(Q311/Q444, "NA")</f>
        <v>3.7355414422057656E-5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-2.6072109426779339E-4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-1.6839992165277118E-4</v>
      </c>
    </row>
    <row r="312" spans="1:30" ht="16.5" customHeight="1" x14ac:dyDescent="0.45">
      <c r="A312" s="6" t="s">
        <v>284</v>
      </c>
      <c r="B312" s="7">
        <v>104.18</v>
      </c>
      <c r="C312" s="8">
        <f>IFERROR(B312/B444, "NA")</f>
        <v>5.0664528167736645E-4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-104.18</v>
      </c>
      <c r="I312" s="8">
        <f>IFERROR(H312/H444, "NA")</f>
        <v>-3.4441434189189848E-3</v>
      </c>
      <c r="J312" s="9"/>
      <c r="K312" s="7">
        <v>312.98</v>
      </c>
      <c r="L312" s="8">
        <f>IFERROR(K312/K444, "NA")</f>
        <v>2.0344392116219794E-3</v>
      </c>
      <c r="M312" s="9"/>
      <c r="N312" s="10">
        <f t="shared" si="77"/>
        <v>208.8</v>
      </c>
      <c r="O312" s="8">
        <f>IFERROR(N312/N444, "NA")</f>
        <v>4.0319637401329857E-3</v>
      </c>
      <c r="P312" s="9"/>
      <c r="Q312" s="7">
        <v>782.88</v>
      </c>
      <c r="R312" s="8">
        <f>IFERROR(Q312/Q444, "NA")</f>
        <v>1.0940818122985596E-3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-782.88</v>
      </c>
      <c r="X312" s="8">
        <f>IFERROR(W312/W444, "NA")</f>
        <v>-7.6361141144919596E-3</v>
      </c>
      <c r="Y312" s="9"/>
      <c r="Z312" s="7">
        <v>941.15</v>
      </c>
      <c r="AA312" s="8">
        <f>IFERROR(Z312/Z444, "NA")</f>
        <v>1.6901938210436107E-3</v>
      </c>
      <c r="AB312" s="9"/>
      <c r="AC312" s="10">
        <f t="shared" si="79"/>
        <v>158.26999999999998</v>
      </c>
      <c r="AD312" s="8">
        <f>IFERROR(AC312/AC444, "NA")</f>
        <v>9.9710645716363962E-4</v>
      </c>
    </row>
    <row r="313" spans="1:30" ht="16.5" customHeight="1" x14ac:dyDescent="0.45">
      <c r="A313" s="6" t="s">
        <v>285</v>
      </c>
      <c r="B313" s="7">
        <v>279</v>
      </c>
      <c r="C313" s="8">
        <f>IFERROR(B313/B444, "NA")</f>
        <v>1.3568250488384069E-3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-279</v>
      </c>
      <c r="I313" s="8">
        <f>IFERROR(H313/H444, "NA")</f>
        <v>-9.223613110754432E-3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-279</v>
      </c>
      <c r="O313" s="8">
        <f>IFERROR(N313/N444, "NA")</f>
        <v>-5.3875377562121792E-3</v>
      </c>
      <c r="P313" s="9"/>
      <c r="Q313" s="7">
        <v>975</v>
      </c>
      <c r="R313" s="8">
        <f>IFERROR(Q313/Q444, "NA")</f>
        <v>1.3625712331278043E-3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-975</v>
      </c>
      <c r="X313" s="8">
        <f>IFERROR(W313/W444, "NA")</f>
        <v>-9.5100286910250117E-3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-975</v>
      </c>
      <c r="AD313" s="8">
        <f>IFERROR(AC313/AC444, "NA")</f>
        <v>-6.1425336180864903E-3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693</v>
      </c>
      <c r="F318" s="8">
        <f>IFERROR(E318/E444, "NA")</f>
        <v>3.9514501907729361E-3</v>
      </c>
      <c r="G318" s="9"/>
      <c r="H318" s="10">
        <f t="shared" si="76"/>
        <v>693</v>
      </c>
      <c r="I318" s="8">
        <f>IFERROR(H318/H444, "NA")</f>
        <v>2.2910264823486813E-2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2772</v>
      </c>
      <c r="U318" s="8">
        <f>IFERROR(T318/T444, "NA")</f>
        <v>4.5217604583694879E-3</v>
      </c>
      <c r="V318" s="9"/>
      <c r="W318" s="10">
        <f t="shared" si="78"/>
        <v>2772</v>
      </c>
      <c r="X318" s="8">
        <f>IFERROR(W318/W444, "NA")</f>
        <v>2.7037743109252648E-2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313.20999999999998</v>
      </c>
      <c r="C319" s="8">
        <f>IFERROR(B319/B444, "NA")</f>
        <v>1.5231941704181987E-3</v>
      </c>
      <c r="D319" s="9"/>
      <c r="E319" s="7">
        <v>294</v>
      </c>
      <c r="F319" s="8">
        <f>IFERROR(E319/E444, "NA")</f>
        <v>1.6763728082067003E-3</v>
      </c>
      <c r="G319" s="9"/>
      <c r="H319" s="10">
        <f t="shared" si="76"/>
        <v>-19.20999999999998</v>
      </c>
      <c r="I319" s="8">
        <f>IFERROR(H319/H444, "NA")</f>
        <v>-6.3507386328886183E-4</v>
      </c>
      <c r="J319" s="9"/>
      <c r="K319" s="7">
        <v>293.35000000000002</v>
      </c>
      <c r="L319" s="8">
        <f>IFERROR(K319/K444, "NA")</f>
        <v>1.906839870692401E-3</v>
      </c>
      <c r="M319" s="9"/>
      <c r="N319" s="10">
        <f t="shared" si="77"/>
        <v>-19.859999999999957</v>
      </c>
      <c r="O319" s="8">
        <f>IFERROR(N319/N444, "NA")</f>
        <v>-3.8349999942069408E-4</v>
      </c>
      <c r="P319" s="9"/>
      <c r="Q319" s="7">
        <v>1260.6400000000001</v>
      </c>
      <c r="R319" s="8">
        <f>IFERROR(Q319/Q444, "NA")</f>
        <v>1.7617556916207544E-3</v>
      </c>
      <c r="S319" s="9"/>
      <c r="T319" s="7">
        <v>1176</v>
      </c>
      <c r="U319" s="8">
        <f>IFERROR(T319/T444, "NA")</f>
        <v>1.918322618702207E-3</v>
      </c>
      <c r="V319" s="9"/>
      <c r="W319" s="10">
        <f t="shared" si="78"/>
        <v>-84.6400000000001</v>
      </c>
      <c r="X319" s="8">
        <f>IFERROR(W319/W444, "NA")</f>
        <v>-8.2556802913677735E-4</v>
      </c>
      <c r="Y319" s="9"/>
      <c r="Z319" s="7">
        <v>1132.75</v>
      </c>
      <c r="AA319" s="8">
        <f>IFERROR(Z319/Z444, "NA")</f>
        <v>2.0342847057186952E-3</v>
      </c>
      <c r="AB319" s="9"/>
      <c r="AC319" s="10">
        <f t="shared" si="79"/>
        <v>-127.8900000000001</v>
      </c>
      <c r="AD319" s="8">
        <f>IFERROR(AC319/AC444, "NA")</f>
        <v>-8.0571140965854555E-4</v>
      </c>
    </row>
    <row r="320" spans="1:30" ht="16.5" customHeight="1" x14ac:dyDescent="0.45">
      <c r="A320" s="6" t="s">
        <v>292</v>
      </c>
      <c r="B320" s="7">
        <v>1191.9100000000001</v>
      </c>
      <c r="C320" s="8">
        <f>IFERROR(B320/B444, "NA")</f>
        <v>5.7964635984264724E-3</v>
      </c>
      <c r="D320" s="9"/>
      <c r="E320" s="7">
        <v>833</v>
      </c>
      <c r="F320" s="8">
        <f>IFERROR(E320/E444, "NA")</f>
        <v>4.7497229565856506E-3</v>
      </c>
      <c r="G320" s="9"/>
      <c r="H320" s="10">
        <f t="shared" si="76"/>
        <v>-358.91000000000008</v>
      </c>
      <c r="I320" s="8">
        <f>IFERROR(H320/H444, "NA")</f>
        <v>-1.1865401367673382E-2</v>
      </c>
      <c r="J320" s="9"/>
      <c r="K320" s="7">
        <v>822.38</v>
      </c>
      <c r="L320" s="8">
        <f>IFERROR(K320/K444, "NA")</f>
        <v>5.3456518590762449E-3</v>
      </c>
      <c r="M320" s="9"/>
      <c r="N320" s="10">
        <f t="shared" si="77"/>
        <v>-369.53000000000009</v>
      </c>
      <c r="O320" s="8">
        <f>IFERROR(N320/N444, "NA")</f>
        <v>-7.1356875521616028E-3</v>
      </c>
      <c r="P320" s="9"/>
      <c r="Q320" s="7">
        <v>4135.0600000000004</v>
      </c>
      <c r="R320" s="8">
        <f>IFERROR(Q320/Q444, "NA")</f>
        <v>5.7787833879563684E-3</v>
      </c>
      <c r="S320" s="9"/>
      <c r="T320" s="7">
        <v>3332</v>
      </c>
      <c r="U320" s="8">
        <f>IFERROR(T320/T444, "NA")</f>
        <v>5.4352474196562531E-3</v>
      </c>
      <c r="V320" s="9"/>
      <c r="W320" s="10">
        <f t="shared" si="78"/>
        <v>-803.0600000000004</v>
      </c>
      <c r="X320" s="8">
        <f>IFERROR(W320/W444, "NA")</f>
        <v>-7.832947323707231E-3</v>
      </c>
      <c r="Y320" s="9"/>
      <c r="Z320" s="7">
        <v>3289.52</v>
      </c>
      <c r="AA320" s="8">
        <f>IFERROR(Z320/Z444, "NA")</f>
        <v>5.9075879277473075E-3</v>
      </c>
      <c r="AB320" s="9"/>
      <c r="AC320" s="10">
        <f t="shared" si="79"/>
        <v>-845.54000000000042</v>
      </c>
      <c r="AD320" s="8">
        <f>IFERROR(AC320/AC444, "NA")</f>
        <v>-5.3269311542942085E-3</v>
      </c>
    </row>
    <row r="321" spans="1:30" ht="16.5" customHeight="1" x14ac:dyDescent="0.45">
      <c r="A321" s="6" t="s">
        <v>293</v>
      </c>
      <c r="B321" s="7">
        <v>1733.42</v>
      </c>
      <c r="C321" s="8">
        <f>IFERROR(B321/B444, "NA")</f>
        <v>8.4299199862274965E-3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-1733.42</v>
      </c>
      <c r="I321" s="8">
        <f>IFERROR(H321/H444, "NA")</f>
        <v>-5.7306076840300889E-2</v>
      </c>
      <c r="J321" s="9"/>
      <c r="K321" s="7">
        <v>1454.35</v>
      </c>
      <c r="L321" s="8">
        <f>IFERROR(K321/K444, "NA")</f>
        <v>9.4535966113567169E-3</v>
      </c>
      <c r="M321" s="9"/>
      <c r="N321" s="10">
        <f t="shared" si="77"/>
        <v>-279.07000000000016</v>
      </c>
      <c r="O321" s="8">
        <f>IFERROR(N321/N444, "NA")</f>
        <v>-5.3888894681940278E-3</v>
      </c>
      <c r="P321" s="9"/>
      <c r="Q321" s="7">
        <v>10531.55</v>
      </c>
      <c r="R321" s="8">
        <f>IFERROR(Q321/Q444, "NA")</f>
        <v>1.471793545666372E-2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-10531.55</v>
      </c>
      <c r="X321" s="8">
        <f>IFERROR(W321/W444, "NA")</f>
        <v>-0.10272342837021996</v>
      </c>
      <c r="Y321" s="9"/>
      <c r="Z321" s="7">
        <v>6666.75</v>
      </c>
      <c r="AA321" s="8">
        <f>IFERROR(Z321/Z444, "NA")</f>
        <v>1.197269261695E-2</v>
      </c>
      <c r="AB321" s="9"/>
      <c r="AC321" s="10">
        <f t="shared" si="79"/>
        <v>-3864.7999999999993</v>
      </c>
      <c r="AD321" s="8">
        <f>IFERROR(AC321/AC444, "NA")</f>
        <v>-2.4348373258646833E-2</v>
      </c>
    </row>
    <row r="322" spans="1:30" ht="16.5" customHeight="1" x14ac:dyDescent="0.45">
      <c r="A322" s="6" t="s">
        <v>294</v>
      </c>
      <c r="B322" s="7">
        <v>174.48</v>
      </c>
      <c r="C322" s="8">
        <f>IFERROR(B322/B444, "NA")</f>
        <v>8.4852628860690048E-4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-174.48</v>
      </c>
      <c r="I322" s="8">
        <f>IFERROR(H322/H444, "NA")</f>
        <v>-5.7682294464675024E-3</v>
      </c>
      <c r="J322" s="9"/>
      <c r="K322" s="7">
        <v>180.7</v>
      </c>
      <c r="L322" s="8">
        <f>IFERROR(K322/K444, "NA")</f>
        <v>1.1745899595504237E-3</v>
      </c>
      <c r="M322" s="9"/>
      <c r="N322" s="10">
        <f t="shared" si="77"/>
        <v>6.2199999999999989</v>
      </c>
      <c r="O322" s="8">
        <f>IFERROR(N322/N444, "NA")</f>
        <v>1.201092646725439E-4</v>
      </c>
      <c r="P322" s="9"/>
      <c r="Q322" s="7">
        <v>733.51</v>
      </c>
      <c r="R322" s="8">
        <f>IFERROR(Q322/Q444, "NA")</f>
        <v>1.0250867950887957E-3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-733.51</v>
      </c>
      <c r="X322" s="8">
        <f>IFERROR(W322/W444, "NA")</f>
        <v>-7.1545652770807757E-3</v>
      </c>
      <c r="Y322" s="9"/>
      <c r="Z322" s="7">
        <v>651.30999999999995</v>
      </c>
      <c r="AA322" s="8">
        <f>IFERROR(Z322/Z444, "NA")</f>
        <v>1.1696755433075641E-3</v>
      </c>
      <c r="AB322" s="9"/>
      <c r="AC322" s="10">
        <f t="shared" si="79"/>
        <v>-82.200000000000045</v>
      </c>
      <c r="AD322" s="8">
        <f>IFERROR(AC322/AC444, "NA")</f>
        <v>-5.1786283426329214E-4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-31.29</v>
      </c>
      <c r="AA323" s="8">
        <f>IFERROR(Z323/Z444, "NA")</f>
        <v>-5.6193130383525024E-5</v>
      </c>
      <c r="AB323" s="9"/>
      <c r="AC323" s="10">
        <f t="shared" si="79"/>
        <v>-31.29</v>
      </c>
      <c r="AD323" s="8">
        <f>IFERROR(AC323/AC444, "NA")</f>
        <v>-1.9712807888197566E-4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5068.5200000000004</v>
      </c>
      <c r="C324" s="15">
        <f>IFERROR(B324/B444, "NA")</f>
        <v>2.4649085650675424E-2</v>
      </c>
      <c r="D324" s="2"/>
      <c r="E324" s="14">
        <f>IFERROR(E297+E298+E299+E300+E301+E302+E303+E304+E305+E306+E307+E308+E309+E310+E311+E312+E313+E314+E315+E316+E317+E318+E319+E320+E321+E322+E323, "NA")</f>
        <v>4099.92</v>
      </c>
      <c r="F324" s="15">
        <f>IFERROR(E324/E444, "NA")</f>
        <v>2.3377531985791886E-2</v>
      </c>
      <c r="G324" s="2"/>
      <c r="H324" s="14">
        <f t="shared" si="76"/>
        <v>-968.60000000000036</v>
      </c>
      <c r="I324" s="15">
        <f>IFERROR(H324/H444, "NA")</f>
        <v>-3.2021475480561813E-2</v>
      </c>
      <c r="J324" s="2"/>
      <c r="K324" s="14">
        <f>IFERROR(K297+K298+K299+K300+K301+K302+K303+K304+K305+K306+K307+K308+K309+K310+K311+K312+K313+K314+K315+K316+K317+K318+K319+K320+K321+K322+K323, "NA")</f>
        <v>3589.71</v>
      </c>
      <c r="L324" s="15">
        <f>IFERROR(K324/K444, "NA")</f>
        <v>2.3333908819578041E-2</v>
      </c>
      <c r="M324" s="2"/>
      <c r="N324" s="14">
        <f t="shared" si="77"/>
        <v>-1478.8100000000004</v>
      </c>
      <c r="O324" s="15">
        <f>IFERROR(N324/N444, "NA")</f>
        <v>-2.8556074226753173E-2</v>
      </c>
      <c r="P324" s="2"/>
      <c r="Q324" s="14">
        <f>IFERROR(Q297+Q298+Q299+Q300+Q301+Q302+Q303+Q304+Q305+Q306+Q307+Q308+Q309+Q310+Q311+Q312+Q313+Q314+Q315+Q316+Q317+Q318+Q319+Q320+Q321+Q322+Q323, "NA")</f>
        <v>21904.499999999996</v>
      </c>
      <c r="R324" s="15">
        <f>IFERROR(Q324/Q444, "NA")</f>
        <v>3.0611734949792808E-2</v>
      </c>
      <c r="S324" s="2"/>
      <c r="T324" s="14">
        <f>IFERROR(T297+T298+T299+T300+T301+T302+T303+T304+T305+T306+T307+T308+T309+T310+T311+T312+T313+T314+T315+T316+T317+T318+T319+T320+T321+T322+T323, "NA")</f>
        <v>15249.46</v>
      </c>
      <c r="U324" s="15">
        <f>IFERROR(T324/T444, "NA")</f>
        <v>2.4875326565471562E-2</v>
      </c>
      <c r="V324" s="2"/>
      <c r="W324" s="14">
        <f t="shared" si="78"/>
        <v>-6655.0399999999972</v>
      </c>
      <c r="X324" s="15">
        <f>IFERROR(W324/W444, "NA")</f>
        <v>-6.491243214350674E-2</v>
      </c>
      <c r="Y324" s="2"/>
      <c r="Z324" s="14">
        <f>IFERROR(Z297+Z298+Z299+Z300+Z301+Z302+Z303+Z304+Z305+Z306+Z307+Z308+Z309+Z310+Z311+Z312+Z313+Z314+Z315+Z316+Z317+Z318+Z319+Z320+Z321+Z322+Z323, "NA")</f>
        <v>13844.919999999998</v>
      </c>
      <c r="AA324" s="15">
        <f>IFERROR(Z324/Z444, "NA")</f>
        <v>2.4863834922002979E-2</v>
      </c>
      <c r="AB324" s="2"/>
      <c r="AC324" s="14">
        <f t="shared" si="79"/>
        <v>-8059.5799999999981</v>
      </c>
      <c r="AD324" s="15">
        <f>IFERROR(AC324/AC444, "NA")</f>
        <v>-5.0775631895033341E-2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49184.12</v>
      </c>
      <c r="C325" s="15">
        <f>IFERROR(B325/B444, "NA")</f>
        <v>0.23919084595367052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44371.6</v>
      </c>
      <c r="F325" s="15">
        <f>IFERROR(E325/E444, "NA")</f>
        <v>0.25300457039668167</v>
      </c>
      <c r="G325" s="2"/>
      <c r="H325" s="14">
        <f t="shared" si="76"/>
        <v>-4812.5200000000041</v>
      </c>
      <c r="I325" s="15">
        <f>IFERROR(H325/H444, "NA")</f>
        <v>-0.15909972246511811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34462.079999999994</v>
      </c>
      <c r="L325" s="15">
        <f>IFERROR(K325/K444, "NA")</f>
        <v>0.22401114085901197</v>
      </c>
      <c r="M325" s="2"/>
      <c r="N325" s="14">
        <f t="shared" si="77"/>
        <v>-14722.040000000008</v>
      </c>
      <c r="O325" s="15">
        <f>IFERROR(N325/N444, "NA")</f>
        <v>-0.28428511236009318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198952.99000000002</v>
      </c>
      <c r="R325" s="15">
        <f>IFERROR(Q325/Q444, "NA")</f>
        <v>0.27803858555770644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158679.08000000002</v>
      </c>
      <c r="U325" s="15">
        <f>IFERROR(T325/T444, "NA")</f>
        <v>0.25884155465889203</v>
      </c>
      <c r="V325" s="2"/>
      <c r="W325" s="14">
        <f t="shared" si="78"/>
        <v>-40273.910000000003</v>
      </c>
      <c r="X325" s="15">
        <f>IFERROR(W325/W444, "NA")</f>
        <v>-0.39282670728180424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127172.65000000004</v>
      </c>
      <c r="AA325" s="15">
        <f>IFERROR(Z325/Z444, "NA")</f>
        <v>0.22838700232241599</v>
      </c>
      <c r="AB325" s="2"/>
      <c r="AC325" s="14">
        <f t="shared" si="79"/>
        <v>-71780.339999999982</v>
      </c>
      <c r="AD325" s="15">
        <f>IFERROR(AC325/AC444, "NA")</f>
        <v>-0.45221861699249061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10136.4</v>
      </c>
      <c r="C329" s="8">
        <f>IFERROR(B329/B444, "NA")</f>
        <v>4.9295058871131281E-2</v>
      </c>
      <c r="D329" s="9"/>
      <c r="E329" s="7">
        <v>9355</v>
      </c>
      <c r="F329" s="8">
        <f>IFERROR(E329/E444, "NA")</f>
        <v>5.3341726601271025E-2</v>
      </c>
      <c r="G329" s="9"/>
      <c r="H329" s="10">
        <f t="shared" si="80"/>
        <v>-781.39999999999964</v>
      </c>
      <c r="I329" s="8">
        <f>IFERROR(H329/H444, "NA")</f>
        <v>-2.5832728619152364E-2</v>
      </c>
      <c r="J329" s="9"/>
      <c r="K329" s="7">
        <v>9841.17</v>
      </c>
      <c r="L329" s="8">
        <f>IFERROR(K329/K444, "NA")</f>
        <v>6.396978125195818E-2</v>
      </c>
      <c r="M329" s="9"/>
      <c r="N329" s="10">
        <f t="shared" si="81"/>
        <v>-295.22999999999956</v>
      </c>
      <c r="O329" s="8">
        <f>IFERROR(N329/N444, "NA")</f>
        <v>-5.7009418342886002E-3</v>
      </c>
      <c r="P329" s="9"/>
      <c r="Q329" s="7">
        <v>40545.599999999999</v>
      </c>
      <c r="R329" s="8">
        <f>IFERROR(Q329/Q444, "NA")</f>
        <v>5.6662839169135081E-2</v>
      </c>
      <c r="S329" s="9"/>
      <c r="T329" s="7">
        <v>39762</v>
      </c>
      <c r="U329" s="8">
        <f>IFERROR(T329/T444, "NA")</f>
        <v>6.4860836704793493E-2</v>
      </c>
      <c r="V329" s="9"/>
      <c r="W329" s="10">
        <f t="shared" si="82"/>
        <v>-783.59999999999854</v>
      </c>
      <c r="X329" s="8">
        <f>IFERROR(W329/W444, "NA")</f>
        <v>-7.6431369049099335E-3</v>
      </c>
      <c r="Y329" s="9"/>
      <c r="Z329" s="7">
        <v>39364.68</v>
      </c>
      <c r="AA329" s="8">
        <f>IFERROR(Z329/Z444, "NA")</f>
        <v>7.0694298361960367E-2</v>
      </c>
      <c r="AB329" s="9"/>
      <c r="AC329" s="10">
        <f t="shared" si="83"/>
        <v>-1180.9199999999983</v>
      </c>
      <c r="AD329" s="8">
        <f>IFERROR(AC329/AC444, "NA")</f>
        <v>-7.4398367182263465E-3</v>
      </c>
    </row>
    <row r="330" spans="1:30" ht="16.5" customHeight="1" x14ac:dyDescent="0.45">
      <c r="A330" s="6" t="s">
        <v>301</v>
      </c>
      <c r="B330" s="7">
        <v>728.65</v>
      </c>
      <c r="C330" s="8">
        <f>IFERROR(B330/B444, "NA")</f>
        <v>3.5435504366885489E-3</v>
      </c>
      <c r="D330" s="9"/>
      <c r="E330" s="7">
        <v>728</v>
      </c>
      <c r="F330" s="8">
        <f>IFERROR(E330/E444, "NA")</f>
        <v>4.1510183822261147E-3</v>
      </c>
      <c r="G330" s="9"/>
      <c r="H330" s="10">
        <f t="shared" si="80"/>
        <v>-0.64999999999997726</v>
      </c>
      <c r="I330" s="8">
        <f>IFERROR(H330/H444, "NA")</f>
        <v>-2.1488704379893085E-5</v>
      </c>
      <c r="J330" s="9"/>
      <c r="K330" s="7">
        <v>728.65</v>
      </c>
      <c r="L330" s="8">
        <f>IFERROR(K330/K444, "NA")</f>
        <v>4.7363861318562052E-3</v>
      </c>
      <c r="M330" s="9"/>
      <c r="N330" s="10">
        <f t="shared" si="81"/>
        <v>0</v>
      </c>
      <c r="O330" s="8">
        <f>IFERROR(N330/N444, "NA")</f>
        <v>0</v>
      </c>
      <c r="P330" s="9"/>
      <c r="Q330" s="7">
        <v>2914.6</v>
      </c>
      <c r="R330" s="8">
        <f>IFERROR(Q330/Q444, "NA")</f>
        <v>4.0731796062300502E-3</v>
      </c>
      <c r="S330" s="9"/>
      <c r="T330" s="7">
        <v>2912</v>
      </c>
      <c r="U330" s="8">
        <f>IFERROR(T330/T444, "NA")</f>
        <v>4.7501321986911788E-3</v>
      </c>
      <c r="V330" s="9"/>
      <c r="W330" s="10">
        <f t="shared" si="82"/>
        <v>-2.5999999999999091</v>
      </c>
      <c r="X330" s="8">
        <f>IFERROR(W330/W444, "NA")</f>
        <v>-2.5360076509399142E-5</v>
      </c>
      <c r="Y330" s="9"/>
      <c r="Z330" s="7">
        <v>2914.6</v>
      </c>
      <c r="AA330" s="8">
        <f>IFERROR(Z330/Z444, "NA")</f>
        <v>5.2342760567536603E-3</v>
      </c>
      <c r="AB330" s="9"/>
      <c r="AC330" s="10">
        <f t="shared" si="83"/>
        <v>0</v>
      </c>
      <c r="AD330" s="8">
        <f>IFERROR(AC330/AC444, "NA")</f>
        <v>0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15.16</v>
      </c>
      <c r="C332" s="8">
        <f>IFERROR(B332/B444, "NA")</f>
        <v>7.3725690825771509E-5</v>
      </c>
      <c r="D332" s="9"/>
      <c r="E332" s="7">
        <v>15</v>
      </c>
      <c r="F332" s="8">
        <f>IFERROR(E332/E444, "NA")</f>
        <v>8.552922490850511E-5</v>
      </c>
      <c r="G332" s="9"/>
      <c r="H332" s="10">
        <f t="shared" si="80"/>
        <v>-0.16000000000000014</v>
      </c>
      <c r="I332" s="8">
        <f>IFERROR(H332/H444, "NA")</f>
        <v>-5.289527231973872E-6</v>
      </c>
      <c r="J332" s="9"/>
      <c r="K332" s="7">
        <v>15.16</v>
      </c>
      <c r="L332" s="8">
        <f>IFERROR(K332/K444, "NA")</f>
        <v>9.8543352444850168E-5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60.64</v>
      </c>
      <c r="R332" s="8">
        <f>IFERROR(Q332/Q444, "NA")</f>
        <v>8.4744943155764168E-5</v>
      </c>
      <c r="S332" s="9"/>
      <c r="T332" s="7">
        <v>60</v>
      </c>
      <c r="U332" s="8">
        <f>IFERROR(T332/T444, "NA")</f>
        <v>9.7873602995010562E-5</v>
      </c>
      <c r="V332" s="9"/>
      <c r="W332" s="10">
        <f t="shared" si="82"/>
        <v>-0.64000000000000057</v>
      </c>
      <c r="X332" s="8">
        <f>IFERROR(W332/W444, "NA")</f>
        <v>-6.2424803715446286E-6</v>
      </c>
      <c r="Y332" s="9"/>
      <c r="Z332" s="7">
        <v>60.64</v>
      </c>
      <c r="AA332" s="8">
        <f>IFERROR(Z332/Z444, "NA")</f>
        <v>1.0890225076564262E-4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964.14</v>
      </c>
      <c r="C333" s="8">
        <f>IFERROR(B333/B444, "NA")</f>
        <v>4.6887788623192171E-3</v>
      </c>
      <c r="D333" s="9"/>
      <c r="E333" s="7">
        <v>728</v>
      </c>
      <c r="F333" s="8">
        <f>IFERROR(E333/E444, "NA")</f>
        <v>4.1510183822261147E-3</v>
      </c>
      <c r="G333" s="9"/>
      <c r="H333" s="10">
        <f t="shared" si="80"/>
        <v>-236.14</v>
      </c>
      <c r="I333" s="8">
        <f>IFERROR(H333/H444, "NA")</f>
        <v>-7.8066810034894312E-3</v>
      </c>
      <c r="J333" s="9"/>
      <c r="K333" s="7">
        <v>964.14</v>
      </c>
      <c r="L333" s="8">
        <f>IFERROR(K333/K444, "NA")</f>
        <v>6.2671232075315192E-3</v>
      </c>
      <c r="M333" s="9"/>
      <c r="N333" s="10">
        <f t="shared" si="81"/>
        <v>0</v>
      </c>
      <c r="O333" s="8">
        <f>IFERROR(N333/N444, "NA")</f>
        <v>0</v>
      </c>
      <c r="P333" s="9"/>
      <c r="Q333" s="7">
        <v>3856.56</v>
      </c>
      <c r="R333" s="8">
        <f>IFERROR(Q333/Q444, "NA")</f>
        <v>5.389577143416785E-3</v>
      </c>
      <c r="S333" s="9"/>
      <c r="T333" s="7">
        <v>2912</v>
      </c>
      <c r="U333" s="8">
        <f>IFERROR(T333/T444, "NA")</f>
        <v>4.7501321986911788E-3</v>
      </c>
      <c r="V333" s="9"/>
      <c r="W333" s="10">
        <f t="shared" si="82"/>
        <v>-944.56</v>
      </c>
      <c r="X333" s="8">
        <f>IFERROR(W333/W444, "NA")</f>
        <v>-9.2131207183534201E-3</v>
      </c>
      <c r="Y333" s="9"/>
      <c r="Z333" s="7">
        <v>3856.56</v>
      </c>
      <c r="AA333" s="8">
        <f>IFERROR(Z333/Z444, "NA")</f>
        <v>6.9259245417669316E-3</v>
      </c>
      <c r="AB333" s="9"/>
      <c r="AC333" s="10">
        <f t="shared" si="83"/>
        <v>0</v>
      </c>
      <c r="AD333" s="8">
        <f>IFERROR(AC333/AC444, "NA")</f>
        <v>0</v>
      </c>
    </row>
    <row r="334" spans="1:30" ht="16.5" customHeight="1" x14ac:dyDescent="0.45">
      <c r="A334" s="6" t="s">
        <v>305</v>
      </c>
      <c r="B334" s="7">
        <v>-780.5</v>
      </c>
      <c r="C334" s="8">
        <f>IFERROR(B334/B444, "NA")</f>
        <v>-3.7957059161948985E-3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780.5</v>
      </c>
      <c r="I334" s="8">
        <f>IFERROR(H334/H444, "NA")</f>
        <v>2.5802975028472522E-2</v>
      </c>
      <c r="J334" s="9"/>
      <c r="K334" s="7">
        <v>-757.77</v>
      </c>
      <c r="L334" s="8">
        <f>IFERROR(K334/K444, "NA")</f>
        <v>-4.9256725713808782E-3</v>
      </c>
      <c r="M334" s="9"/>
      <c r="N334" s="10">
        <f t="shared" si="81"/>
        <v>22.730000000000018</v>
      </c>
      <c r="O334" s="8">
        <f>IFERROR(N334/N444, "NA")</f>
        <v>4.3892019067635462E-4</v>
      </c>
      <c r="P334" s="9"/>
      <c r="Q334" s="7">
        <v>-780.5</v>
      </c>
      <c r="R334" s="8">
        <f>IFERROR(Q334/Q444, "NA")</f>
        <v>-1.0907557409807706E-3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780.5</v>
      </c>
      <c r="X334" s="8">
        <f>IFERROR(W334/W444, "NA")</f>
        <v>7.6128998906102785E-3</v>
      </c>
      <c r="Y334" s="9"/>
      <c r="Z334" s="7">
        <v>-757.77</v>
      </c>
      <c r="AA334" s="8">
        <f>IFERROR(Z334/Z444, "NA")</f>
        <v>-1.3608650818384071E-3</v>
      </c>
      <c r="AB334" s="9"/>
      <c r="AC334" s="10">
        <f t="shared" si="83"/>
        <v>22.730000000000018</v>
      </c>
      <c r="AD334" s="8">
        <f>IFERROR(AC334/AC444, "NA")</f>
        <v>1.4319978373241644E-4</v>
      </c>
    </row>
    <row r="335" spans="1:30" ht="16.5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3309.62</v>
      </c>
      <c r="R335" s="8">
        <f>IFERROR(Q335/Q444, "NA")</f>
        <v>4.6252235944455834E-3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-3309.62</v>
      </c>
      <c r="X335" s="8">
        <f>IFERROR(W335/W444, "NA")</f>
        <v>-3.2281621698861743E-2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-3309.62</v>
      </c>
      <c r="AD335" s="8">
        <f>IFERROR(AC335/AC444, "NA")</f>
        <v>-2.0850720115991189E-2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3673.17</v>
      </c>
      <c r="F337" s="8">
        <f>IFERROR(E337/E444, "NA")</f>
        <v>2.0944225537144916E-2</v>
      </c>
      <c r="G337" s="9"/>
      <c r="H337" s="10">
        <f t="shared" ref="H337:H344" si="84">IFERROR(-(B337-E337), "NA")</f>
        <v>3673.17</v>
      </c>
      <c r="I337" s="8">
        <f>IFERROR(H337/H444, "NA")</f>
        <v>0.12143332964168407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15717.41</v>
      </c>
      <c r="U337" s="8">
        <f>IFERROR(T337/T444, "NA")</f>
        <v>2.5638659107496815E-2</v>
      </c>
      <c r="V337" s="9"/>
      <c r="W337" s="10">
        <f t="shared" ref="W337:W344" si="86">IFERROR(-(Q337-T337), "NA")</f>
        <v>15717.41</v>
      </c>
      <c r="X337" s="8">
        <f>IFERROR(W337/W444, "NA")</f>
        <v>0.15330566158831122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3042.04</v>
      </c>
      <c r="C338" s="8">
        <f>IFERROR(B338/B444, "NA")</f>
        <v>1.4793964414223612E-2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-3042.04</v>
      </c>
      <c r="I338" s="8">
        <f>IFERROR(H338/H444, "NA")</f>
        <v>-0.10056845887971115</v>
      </c>
      <c r="J338" s="9"/>
      <c r="K338" s="7">
        <v>2156.63</v>
      </c>
      <c r="L338" s="8">
        <f>IFERROR(K338/K444, "NA")</f>
        <v>1.4018571911816439E-2</v>
      </c>
      <c r="M338" s="9"/>
      <c r="N338" s="10">
        <f t="shared" si="85"/>
        <v>-885.40999999999985</v>
      </c>
      <c r="O338" s="8">
        <f>IFERROR(N338/N444, "NA")</f>
        <v>-1.709741865493844E-2</v>
      </c>
      <c r="P338" s="9"/>
      <c r="Q338" s="7">
        <v>16733.93</v>
      </c>
      <c r="R338" s="8">
        <f>IFERROR(Q338/Q444, "NA")</f>
        <v>2.3385817061717294E-2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-16733.93</v>
      </c>
      <c r="X338" s="8">
        <f>IFERROR(W338/W444, "NA")</f>
        <v>-0.16322067119344016</v>
      </c>
      <c r="Y338" s="9"/>
      <c r="Z338" s="7">
        <v>10332.98</v>
      </c>
      <c r="AA338" s="8">
        <f>IFERROR(Z338/Z444, "NA")</f>
        <v>1.8556807043475756E-2</v>
      </c>
      <c r="AB338" s="9"/>
      <c r="AC338" s="10">
        <f t="shared" si="87"/>
        <v>-6400.9500000000007</v>
      </c>
      <c r="AD338" s="8">
        <f>IFERROR(AC338/AC444, "NA")</f>
        <v>-4.0326205705323817E-2</v>
      </c>
    </row>
    <row r="339" spans="1:30" ht="16.5" customHeight="1" x14ac:dyDescent="0.45">
      <c r="A339" s="12" t="s">
        <v>309</v>
      </c>
      <c r="B339" s="7">
        <v>345.88</v>
      </c>
      <c r="C339" s="8">
        <f>IFERROR(B339/B444, "NA")</f>
        <v>1.6820740067821798E-3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-345.88</v>
      </c>
      <c r="I339" s="8">
        <f>IFERROR(H339/H444, "NA")</f>
        <v>-1.1434635493719508E-2</v>
      </c>
      <c r="J339" s="9"/>
      <c r="K339" s="7">
        <v>392.47</v>
      </c>
      <c r="L339" s="8">
        <f>IFERROR(K339/K444, "NA")</f>
        <v>2.5511417898436903E-3</v>
      </c>
      <c r="M339" s="9"/>
      <c r="N339" s="10">
        <f t="shared" si="85"/>
        <v>46.590000000000032</v>
      </c>
      <c r="O339" s="8">
        <f>IFERROR(N339/N444, "NA")</f>
        <v>8.9966087477392695E-4</v>
      </c>
      <c r="P339" s="9"/>
      <c r="Q339" s="7">
        <v>1295.6500000000001</v>
      </c>
      <c r="R339" s="8">
        <f>IFERROR(Q339/Q444, "NA")</f>
        <v>1.8106824802072204E-3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-1295.6500000000001</v>
      </c>
      <c r="X339" s="8">
        <f>IFERROR(W339/W444, "NA")</f>
        <v>-1.2637608895924675E-2</v>
      </c>
      <c r="Y339" s="9"/>
      <c r="Z339" s="7">
        <v>1948.2</v>
      </c>
      <c r="AA339" s="8">
        <f>IFERROR(Z339/Z444, "NA")</f>
        <v>3.4987362292484329E-3</v>
      </c>
      <c r="AB339" s="9"/>
      <c r="AC339" s="10">
        <f t="shared" si="87"/>
        <v>652.54999999999995</v>
      </c>
      <c r="AD339" s="8">
        <f>IFERROR(AC339/AC444, "NA")</f>
        <v>4.111087499981886E-3</v>
      </c>
    </row>
    <row r="340" spans="1:30" ht="16.5" customHeight="1" x14ac:dyDescent="0.45">
      <c r="A340" s="12" t="s">
        <v>310</v>
      </c>
      <c r="B340" s="7">
        <v>587.38</v>
      </c>
      <c r="C340" s="8">
        <f>IFERROR(B340/B444, "NA")</f>
        <v>2.8565300974433818E-3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-587.38</v>
      </c>
      <c r="I340" s="8">
        <f>IFERROR(H340/H444, "NA")</f>
        <v>-1.9418515659480065E-2</v>
      </c>
      <c r="J340" s="9"/>
      <c r="K340" s="7">
        <v>432.39</v>
      </c>
      <c r="L340" s="8">
        <f>IFERROR(K340/K444, "NA")</f>
        <v>2.8106306176536124E-3</v>
      </c>
      <c r="M340" s="9"/>
      <c r="N340" s="10">
        <f t="shared" si="85"/>
        <v>-154.99</v>
      </c>
      <c r="O340" s="8">
        <f>IFERROR(N340/N444, "NA")</f>
        <v>-2.9928834295172963E-3</v>
      </c>
      <c r="P340" s="9"/>
      <c r="Q340" s="7">
        <v>2185.35</v>
      </c>
      <c r="R340" s="8">
        <f>IFERROR(Q340/Q444, "NA")</f>
        <v>3.0540461992983048E-3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-2185.35</v>
      </c>
      <c r="X340" s="8">
        <f>IFERROR(W340/W444, "NA")</f>
        <v>-2.1315631999929752E-2</v>
      </c>
      <c r="Y340" s="9"/>
      <c r="Z340" s="7">
        <v>1689.29</v>
      </c>
      <c r="AA340" s="8">
        <f>IFERROR(Z340/Z444, "NA")</f>
        <v>3.0337645645760625E-3</v>
      </c>
      <c r="AB340" s="9"/>
      <c r="AC340" s="10">
        <f t="shared" si="87"/>
        <v>-496.05999999999995</v>
      </c>
      <c r="AD340" s="8">
        <f>IFERROR(AC340/AC444, "NA")</f>
        <v>-3.125195104192804E-3</v>
      </c>
    </row>
    <row r="341" spans="1:30" ht="16.5" customHeight="1" x14ac:dyDescent="0.45">
      <c r="A341" s="12" t="s">
        <v>311</v>
      </c>
      <c r="B341" s="7">
        <v>380.17</v>
      </c>
      <c r="C341" s="8">
        <f>IFERROR(B341/B444, "NA")</f>
        <v>1.8488321821394165E-3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-380.17</v>
      </c>
      <c r="I341" s="8">
        <f>IFERROR(H341/H444, "NA")</f>
        <v>-1.2568247298621908E-2</v>
      </c>
      <c r="J341" s="9"/>
      <c r="K341" s="7">
        <v>351.45</v>
      </c>
      <c r="L341" s="8">
        <f>IFERROR(K341/K444, "NA")</f>
        <v>2.2845027187824926E-3</v>
      </c>
      <c r="M341" s="9"/>
      <c r="N341" s="10">
        <f t="shared" si="85"/>
        <v>-28.720000000000027</v>
      </c>
      <c r="O341" s="8">
        <f>IFERROR(N341/N444, "NA")</f>
        <v>-5.5458811597997829E-4</v>
      </c>
      <c r="P341" s="9"/>
      <c r="Q341" s="7">
        <v>1520.68</v>
      </c>
      <c r="R341" s="8">
        <f>IFERROR(Q341/Q444, "NA")</f>
        <v>2.1251639208131178E-3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-1520.68</v>
      </c>
      <c r="X341" s="8">
        <f>IFERROR(W341/W444, "NA")</f>
        <v>-1.4832523517813246E-2</v>
      </c>
      <c r="Y341" s="9"/>
      <c r="Z341" s="7">
        <v>1405.8</v>
      </c>
      <c r="AA341" s="8">
        <f>IFERROR(Z341/Z444, "NA")</f>
        <v>2.524650134009571E-3</v>
      </c>
      <c r="AB341" s="9"/>
      <c r="AC341" s="10">
        <f t="shared" si="87"/>
        <v>-114.88000000000011</v>
      </c>
      <c r="AD341" s="8">
        <f>IFERROR(AC341/AC444, "NA")</f>
        <v>-7.2374796107259147E-4</v>
      </c>
    </row>
    <row r="342" spans="1:30" ht="16.5" customHeight="1" x14ac:dyDescent="0.45">
      <c r="A342" s="13" t="s">
        <v>312</v>
      </c>
      <c r="B342" s="14">
        <f>IFERROR(B337+B338+B339+B340+B341, "NA")</f>
        <v>4355.47</v>
      </c>
      <c r="C342" s="15">
        <f>IFERROR(B342/B444, "NA")</f>
        <v>2.118140070058859E-2</v>
      </c>
      <c r="D342" s="2"/>
      <c r="E342" s="14">
        <f>IFERROR(E337+E338+E339+E340+E341, "NA")</f>
        <v>3673.17</v>
      </c>
      <c r="F342" s="15">
        <f>IFERROR(E342/E444, "NA")</f>
        <v>2.0944225537144916E-2</v>
      </c>
      <c r="G342" s="2"/>
      <c r="H342" s="14">
        <f t="shared" si="84"/>
        <v>-682.30000000000018</v>
      </c>
      <c r="I342" s="15">
        <f>IFERROR(H342/H444, "NA")</f>
        <v>-2.2556527689848567E-2</v>
      </c>
      <c r="J342" s="2"/>
      <c r="K342" s="14">
        <f>IFERROR(K337+K338+K339+K340+K341, "NA")</f>
        <v>3332.94</v>
      </c>
      <c r="L342" s="15">
        <f>IFERROR(K342/K444, "NA")</f>
        <v>2.1664847038096235E-2</v>
      </c>
      <c r="M342" s="2"/>
      <c r="N342" s="14">
        <f t="shared" si="85"/>
        <v>-1022.5300000000002</v>
      </c>
      <c r="O342" s="15">
        <f>IFERROR(N342/N444, "NA")</f>
        <v>-1.9745229325661796E-2</v>
      </c>
      <c r="P342" s="2"/>
      <c r="Q342" s="14">
        <f>IFERROR(Q337+Q338+Q339+Q340+Q341, "NA")</f>
        <v>21735.61</v>
      </c>
      <c r="R342" s="15">
        <f>IFERROR(Q342/Q444, "NA")</f>
        <v>3.0375709662035937E-2</v>
      </c>
      <c r="S342" s="2"/>
      <c r="T342" s="14">
        <f>IFERROR(T337+T338+T339+T340+T341, "NA")</f>
        <v>15717.41</v>
      </c>
      <c r="U342" s="15">
        <f>IFERROR(T342/T444, "NA")</f>
        <v>2.5638659107496815E-2</v>
      </c>
      <c r="V342" s="2"/>
      <c r="W342" s="14">
        <f t="shared" si="86"/>
        <v>-6018.2000000000007</v>
      </c>
      <c r="X342" s="15">
        <f>IFERROR(W342/W444, "NA")</f>
        <v>-5.8700774018796649E-2</v>
      </c>
      <c r="Y342" s="2"/>
      <c r="Z342" s="14">
        <f>IFERROR(Z337+Z338+Z339+Z340+Z341, "NA")</f>
        <v>15376.27</v>
      </c>
      <c r="AA342" s="15">
        <f>IFERROR(Z342/Z444, "NA")</f>
        <v>2.7613957971309826E-2</v>
      </c>
      <c r="AB342" s="2"/>
      <c r="AC342" s="14">
        <f t="shared" si="87"/>
        <v>-6359.34</v>
      </c>
      <c r="AD342" s="15">
        <f>IFERROR(AC342/AC444, "NA")</f>
        <v>-4.0064061270607326E-2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15419.319999999998</v>
      </c>
      <c r="C343" s="15">
        <f>IFERROR(B343/B444, "NA")</f>
        <v>7.4986808645358505E-2</v>
      </c>
      <c r="D343" s="2"/>
      <c r="E343" s="14">
        <f>IFERROR(E328+E329+E330+E331+E332+E333+E334+E335+E337+E338+E339+E340+E341, "NA")</f>
        <v>14499.17</v>
      </c>
      <c r="F343" s="15">
        <f>IFERROR(E343/E444, "NA")</f>
        <v>8.267351812777668E-2</v>
      </c>
      <c r="G343" s="2"/>
      <c r="H343" s="14">
        <f t="shared" si="84"/>
        <v>-920.14999999999782</v>
      </c>
      <c r="I343" s="15">
        <f>IFERROR(H343/H444, "NA")</f>
        <v>-3.0419740515629644E-2</v>
      </c>
      <c r="J343" s="2"/>
      <c r="K343" s="14">
        <f>IFERROR(K328+K329+K330+K331+K332+K333+K334+K335+K337+K338+K339+K340+K341, "NA")</f>
        <v>14124.289999999999</v>
      </c>
      <c r="L343" s="15">
        <f>IFERROR(K343/K444, "NA")</f>
        <v>9.1811008410506115E-2</v>
      </c>
      <c r="M343" s="2"/>
      <c r="N343" s="14">
        <f t="shared" si="85"/>
        <v>-1295.0299999999988</v>
      </c>
      <c r="O343" s="15">
        <f>IFERROR(N343/N444, "NA")</f>
        <v>-2.5007250969274024E-2</v>
      </c>
      <c r="P343" s="2"/>
      <c r="Q343" s="14">
        <f>IFERROR(Q328+Q329+Q330+Q331+Q332+Q333+Q334+Q335+Q337+Q338+Q339+Q340+Q341, "NA")</f>
        <v>71642.12999999999</v>
      </c>
      <c r="R343" s="15">
        <f>IFERROR(Q343/Q444, "NA")</f>
        <v>0.10012051837743842</v>
      </c>
      <c r="S343" s="2"/>
      <c r="T343" s="14">
        <f>IFERROR(T328+T329+T330+T331+T332+T333+T334+T335+T337+T338+T339+T340+T341, "NA")</f>
        <v>61363.41</v>
      </c>
      <c r="U343" s="15">
        <f>IFERROR(T343/T444, "NA")</f>
        <v>0.10009763381266769</v>
      </c>
      <c r="V343" s="2"/>
      <c r="W343" s="14">
        <f t="shared" si="86"/>
        <v>-10278.719999999987</v>
      </c>
      <c r="X343" s="15">
        <f>IFERROR(W343/W444, "NA")</f>
        <v>-0.10025735600719228</v>
      </c>
      <c r="Y343" s="2"/>
      <c r="Z343" s="14">
        <f>IFERROR(Z328+Z329+Z330+Z331+Z332+Z333+Z334+Z335+Z337+Z338+Z339+Z340+Z341, "NA")</f>
        <v>60814.98</v>
      </c>
      <c r="AA343" s="15">
        <f>IFERROR(Z343/Z444, "NA")</f>
        <v>0.10921649410071803</v>
      </c>
      <c r="AB343" s="2"/>
      <c r="AC343" s="14">
        <f t="shared" si="87"/>
        <v>-10827.149999999987</v>
      </c>
      <c r="AD343" s="15">
        <f>IFERROR(AC343/AC444, "NA")</f>
        <v>-6.8211418321092371E-2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15419.319999999998</v>
      </c>
      <c r="C344" s="15">
        <f>IFERROR(B344/B444, "NA")</f>
        <v>7.4986808645358505E-2</v>
      </c>
      <c r="D344" s="2"/>
      <c r="E344" s="14">
        <f>IFERROR(E328+E329+E330+E331+E332+E333+E334+E335+E337+E338+E339+E340+E341, "NA")</f>
        <v>14499.17</v>
      </c>
      <c r="F344" s="15">
        <f>IFERROR(E344/E444, "NA")</f>
        <v>8.267351812777668E-2</v>
      </c>
      <c r="G344" s="2"/>
      <c r="H344" s="14">
        <f t="shared" si="84"/>
        <v>-920.14999999999782</v>
      </c>
      <c r="I344" s="15">
        <f>IFERROR(H344/H444, "NA")</f>
        <v>-3.0419740515629644E-2</v>
      </c>
      <c r="J344" s="2"/>
      <c r="K344" s="14">
        <f>IFERROR(K328+K329+K330+K331+K332+K333+K334+K335+K337+K338+K339+K340+K341, "NA")</f>
        <v>14124.289999999999</v>
      </c>
      <c r="L344" s="15">
        <f>IFERROR(K344/K444, "NA")</f>
        <v>9.1811008410506115E-2</v>
      </c>
      <c r="M344" s="2"/>
      <c r="N344" s="14">
        <f t="shared" si="85"/>
        <v>-1295.0299999999988</v>
      </c>
      <c r="O344" s="15">
        <f>IFERROR(N344/N444, "NA")</f>
        <v>-2.5007250969274024E-2</v>
      </c>
      <c r="P344" s="2"/>
      <c r="Q344" s="14">
        <f>IFERROR(Q328+Q329+Q330+Q331+Q332+Q333+Q334+Q335+Q337+Q338+Q339+Q340+Q341, "NA")</f>
        <v>71642.12999999999</v>
      </c>
      <c r="R344" s="15">
        <f>IFERROR(Q344/Q444, "NA")</f>
        <v>0.10012051837743842</v>
      </c>
      <c r="S344" s="2"/>
      <c r="T344" s="14">
        <f>IFERROR(T328+T329+T330+T331+T332+T333+T334+T335+T337+T338+T339+T340+T341, "NA")</f>
        <v>61363.41</v>
      </c>
      <c r="U344" s="15">
        <f>IFERROR(T344/T444, "NA")</f>
        <v>0.10009763381266769</v>
      </c>
      <c r="V344" s="2"/>
      <c r="W344" s="14">
        <f t="shared" si="86"/>
        <v>-10278.719999999987</v>
      </c>
      <c r="X344" s="15">
        <f>IFERROR(W344/W444, "NA")</f>
        <v>-0.10025735600719228</v>
      </c>
      <c r="Y344" s="2"/>
      <c r="Z344" s="14">
        <f>IFERROR(Z328+Z329+Z330+Z331+Z332+Z333+Z334+Z335+Z337+Z338+Z339+Z340+Z341, "NA")</f>
        <v>60814.98</v>
      </c>
      <c r="AA344" s="15">
        <f>IFERROR(Z344/Z444, "NA")</f>
        <v>0.10921649410071803</v>
      </c>
      <c r="AB344" s="2"/>
      <c r="AC344" s="14">
        <f t="shared" si="87"/>
        <v>-10827.149999999987</v>
      </c>
      <c r="AD344" s="15">
        <f>IFERROR(AC344/AC444, "NA")</f>
        <v>-6.8211418321092371E-2</v>
      </c>
    </row>
    <row r="345" spans="1:30" ht="16.5" customHeight="1" x14ac:dyDescent="0.45">
      <c r="A345" s="22" t="s">
        <v>315</v>
      </c>
      <c r="B345" s="23">
        <f>IFERROR(B198-B325-B344, "NA")</f>
        <v>37521.320000000036</v>
      </c>
      <c r="C345" s="24">
        <f>IFERROR(B345/B444, "NA")</f>
        <v>0.18247264100889443</v>
      </c>
      <c r="D345" s="25"/>
      <c r="E345" s="23">
        <f>IFERROR(E198-E325-E344, "NA")</f>
        <v>31330.259999999973</v>
      </c>
      <c r="F345" s="24">
        <f>IFERROR(E345/E444, "NA")</f>
        <v>0.17864352359879596</v>
      </c>
      <c r="G345" s="25"/>
      <c r="H345" s="23">
        <f>IFERROR(B345-E345, "NA")</f>
        <v>6191.0600000000632</v>
      </c>
      <c r="I345" s="24">
        <f>IFERROR(H345/H444, "NA")</f>
        <v>0.20467362790490293</v>
      </c>
      <c r="J345" s="25"/>
      <c r="K345" s="23">
        <f>IFERROR(K198-K325-K344, "NA")</f>
        <v>26850.620000000039</v>
      </c>
      <c r="L345" s="24">
        <f>IFERROR(K345/K444, "NA")</f>
        <v>0.17453496767960069</v>
      </c>
      <c r="M345" s="25"/>
      <c r="N345" s="23">
        <f>IFERROR(B345-K345, "NA")</f>
        <v>10670.699999999997</v>
      </c>
      <c r="O345" s="24">
        <f>IFERROR(N345/N444, "NA")</f>
        <v>0.20605304349538811</v>
      </c>
      <c r="P345" s="25"/>
      <c r="Q345" s="23">
        <f>IFERROR(Q198-Q325-Q344, "NA")</f>
        <v>75938.910000000018</v>
      </c>
      <c r="R345" s="24">
        <f>IFERROR(Q345/Q444, "NA")</f>
        <v>0.10612530691392963</v>
      </c>
      <c r="S345" s="25"/>
      <c r="T345" s="23">
        <f>IFERROR(T198-T325-T344, "NA")</f>
        <v>70894.110000000073</v>
      </c>
      <c r="U345" s="24">
        <f>IFERROR(T345/T444, "NA")</f>
        <v>0.11564436628041025</v>
      </c>
      <c r="V345" s="25"/>
      <c r="W345" s="23">
        <f>IFERROR(Q345-T345, "NA")</f>
        <v>5044.7999999999447</v>
      </c>
      <c r="X345" s="24">
        <f>IFERROR(W345/W444, "NA")</f>
        <v>4.9206351528699954E-2</v>
      </c>
      <c r="Y345" s="25"/>
      <c r="Z345" s="23">
        <f>IFERROR(Z198-Z325-Z344, "NA")</f>
        <v>69834.220000000147</v>
      </c>
      <c r="AA345" s="24">
        <f>IFERROR(Z345/Z444, "NA")</f>
        <v>0.12541397985592137</v>
      </c>
      <c r="AB345" s="25"/>
      <c r="AC345" s="23">
        <f>IFERROR(Q345-Z345, "NA")</f>
        <v>6104.6899999998714</v>
      </c>
      <c r="AD345" s="24">
        <f>IFERROR(AC345/AC444, "NA")</f>
        <v>3.8459757490251927E-2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37521.320000000036</v>
      </c>
      <c r="C404" s="24">
        <f>IFERROR(B404/B444, "NA")</f>
        <v>0.18247264100889443</v>
      </c>
      <c r="D404" s="25"/>
      <c r="E404" s="23">
        <f>IFERROR(E345-E403, "NA")</f>
        <v>31330.259999999973</v>
      </c>
      <c r="F404" s="24">
        <f>IFERROR(E404/E444, "NA")</f>
        <v>0.17864352359879596</v>
      </c>
      <c r="G404" s="25"/>
      <c r="H404" s="23">
        <f>IFERROR(B404-E404, "NA")</f>
        <v>6191.0600000000632</v>
      </c>
      <c r="I404" s="24">
        <f>IFERROR(H404/H444, "NA")</f>
        <v>0.20467362790490293</v>
      </c>
      <c r="J404" s="25"/>
      <c r="K404" s="23">
        <f>IFERROR(K345-K403, "NA")</f>
        <v>26850.620000000039</v>
      </c>
      <c r="L404" s="24">
        <f>IFERROR(K404/K444, "NA")</f>
        <v>0.17453496767960069</v>
      </c>
      <c r="M404" s="25"/>
      <c r="N404" s="23">
        <f>IFERROR(B404-K404, "NA")</f>
        <v>10670.699999999997</v>
      </c>
      <c r="O404" s="24">
        <f>IFERROR(N404/N444, "NA")</f>
        <v>0.20605304349538811</v>
      </c>
      <c r="P404" s="25"/>
      <c r="Q404" s="23">
        <f>IFERROR(Q345-Q403, "NA")</f>
        <v>75938.910000000018</v>
      </c>
      <c r="R404" s="24">
        <f>IFERROR(Q404/Q444, "NA")</f>
        <v>0.10612530691392963</v>
      </c>
      <c r="S404" s="25"/>
      <c r="T404" s="23">
        <f>IFERROR(T345-T403, "NA")</f>
        <v>70894.110000000073</v>
      </c>
      <c r="U404" s="24">
        <f>IFERROR(T404/T444, "NA")</f>
        <v>0.11564436628041025</v>
      </c>
      <c r="V404" s="25"/>
      <c r="W404" s="23">
        <f>IFERROR(Q404-T404, "NA")</f>
        <v>5044.7999999999447</v>
      </c>
      <c r="X404" s="24">
        <f>IFERROR(W404/W444, "NA")</f>
        <v>4.9206351528699954E-2</v>
      </c>
      <c r="Y404" s="25"/>
      <c r="Z404" s="23">
        <f>IFERROR(Z345-Z403, "NA")</f>
        <v>69834.220000000147</v>
      </c>
      <c r="AA404" s="24">
        <f>IFERROR(Z404/Z444, "NA")</f>
        <v>0.12541397985592137</v>
      </c>
      <c r="AB404" s="25"/>
      <c r="AC404" s="23">
        <f>IFERROR(Q404-Z404, "NA")</f>
        <v>6104.6899999998714</v>
      </c>
      <c r="AD404" s="24">
        <f>IFERROR(AC404/AC444, "NA")</f>
        <v>3.8459757490251927E-2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-40</v>
      </c>
      <c r="AA407" s="8">
        <f>IFERROR(Z407/Z444, "NA")</f>
        <v>-7.1835257760977987E-5</v>
      </c>
      <c r="AB407" s="9"/>
      <c r="AC407" s="10">
        <f t="shared" ref="AC407:AC429" si="103">IFERROR(-(Q407-Z407), "NA")</f>
        <v>-40</v>
      </c>
      <c r="AD407" s="8">
        <f>IFERROR(AC407/AC444, "NA")</f>
        <v>-2.520013792035483E-4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-231</v>
      </c>
      <c r="L408" s="8">
        <f>IFERROR(K408/K444, "NA")</f>
        <v>-1.5015510827678356E-3</v>
      </c>
      <c r="M408" s="9"/>
      <c r="N408" s="10">
        <f t="shared" si="101"/>
        <v>-231</v>
      </c>
      <c r="O408" s="8">
        <f>IFERROR(N408/N444, "NA")</f>
        <v>-4.4606495400896541E-3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-231</v>
      </c>
      <c r="AA408" s="8">
        <f>IFERROR(Z408/Z444, "NA")</f>
        <v>-4.1484861356964789E-4</v>
      </c>
      <c r="AB408" s="9"/>
      <c r="AC408" s="10">
        <f t="shared" si="103"/>
        <v>-231</v>
      </c>
      <c r="AD408" s="8">
        <f>IFERROR(AC408/AC444, "NA")</f>
        <v>-1.4553079649004916E-3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3345.17</v>
      </c>
      <c r="C410" s="8">
        <f>IFERROR(B410/B444, "NA")</f>
        <v>1.6268137808683778E-2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-3345.17</v>
      </c>
      <c r="I410" s="8">
        <f>IFERROR(H410/H444, "NA")</f>
        <v>-0.11058979881613765</v>
      </c>
      <c r="J410" s="9"/>
      <c r="K410" s="7">
        <v>4587.55</v>
      </c>
      <c r="L410" s="8">
        <f>IFERROR(K410/K444, "NA")</f>
        <v>2.982008947944409E-2</v>
      </c>
      <c r="M410" s="9"/>
      <c r="N410" s="10">
        <f t="shared" si="101"/>
        <v>1242.3800000000001</v>
      </c>
      <c r="O410" s="8">
        <f>IFERROR(N410/N444, "NA")</f>
        <v>2.3990570457214651E-2</v>
      </c>
      <c r="P410" s="9"/>
      <c r="Q410" s="7">
        <v>12824.27</v>
      </c>
      <c r="R410" s="8">
        <f>IFERROR(Q410/Q444, "NA")</f>
        <v>1.7922032192680931E-2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-12824.27</v>
      </c>
      <c r="X410" s="8">
        <f>IFERROR(W410/W444, "NA")</f>
        <v>-0.12508633399123212</v>
      </c>
      <c r="Y410" s="9"/>
      <c r="Z410" s="7">
        <v>18182.98</v>
      </c>
      <c r="AA410" s="8">
        <f>IFERROR(Z410/Z444, "NA")</f>
        <v>3.2654476379067689E-2</v>
      </c>
      <c r="AB410" s="9"/>
      <c r="AC410" s="10">
        <f t="shared" si="103"/>
        <v>5358.7099999999991</v>
      </c>
      <c r="AD410" s="8">
        <f>IFERROR(AC410/AC444, "NA")</f>
        <v>3.3760057768796155E-2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-45.14</v>
      </c>
      <c r="C417" s="8">
        <f>IFERROR(B417/B444, "NA")</f>
        <v>-2.1952359392317451E-4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45.14</v>
      </c>
      <c r="I417" s="8">
        <f>IFERROR(H417/H444, "NA")</f>
        <v>1.4923078703206274E-3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45.14</v>
      </c>
      <c r="O417" s="8">
        <f>IFERROR(N417/N444, "NA")</f>
        <v>8.7166112657855832E-4</v>
      </c>
      <c r="P417" s="9"/>
      <c r="Q417" s="7">
        <v>-184.47</v>
      </c>
      <c r="R417" s="8">
        <f>IFERROR(Q417/Q444, "NA")</f>
        <v>-2.5779847730778059E-4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184.47</v>
      </c>
      <c r="X417" s="8">
        <f>IFERROR(W417/W444, "NA")</f>
        <v>1.7992974283419321E-3</v>
      </c>
      <c r="Y417" s="9"/>
      <c r="Z417" s="7">
        <v>-28.35</v>
      </c>
      <c r="AA417" s="8">
        <f>IFERROR(Z417/Z444, "NA")</f>
        <v>-5.0913238938093146E-5</v>
      </c>
      <c r="AB417" s="9"/>
      <c r="AC417" s="10">
        <f t="shared" si="103"/>
        <v>156.12</v>
      </c>
      <c r="AD417" s="8">
        <f>IFERROR(AC417/AC444, "NA")</f>
        <v>9.8356138303144921E-4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-30</v>
      </c>
      <c r="C421" s="8">
        <f>IFERROR(B421/B444, "NA")</f>
        <v>-1.4589516654176418E-4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30</v>
      </c>
      <c r="I421" s="8">
        <f>IFERROR(H421/H444, "NA")</f>
        <v>9.917863559951003E-4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30</v>
      </c>
      <c r="O421" s="8">
        <f>IFERROR(N421/N444, "NA")</f>
        <v>5.7930513507657841E-4</v>
      </c>
      <c r="P421" s="9"/>
      <c r="Q421" s="7">
        <v>-50</v>
      </c>
      <c r="R421" s="8">
        <f>IFERROR(Q421/Q444, "NA")</f>
        <v>-6.9875447852707913E-5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50</v>
      </c>
      <c r="X421" s="8">
        <f>IFERROR(W421/W444, "NA")</f>
        <v>4.8769377902692368E-4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50</v>
      </c>
      <c r="AD421" s="8">
        <f>IFERROR(AC421/AC444, "NA")</f>
        <v>3.1500172400443543E-4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3270.03</v>
      </c>
      <c r="C428" s="15">
        <f>IFERROR(B428/B444, "NA")</f>
        <v>1.5902719048218838E-2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-3270.03</v>
      </c>
      <c r="I428" s="15">
        <f>IFERROR(H428/H444, "NA")</f>
        <v>-0.10810570458982192</v>
      </c>
      <c r="J428" s="2"/>
      <c r="K428" s="14">
        <f>IFERROR(K407+K408+K409+K410+K411+K412+K413+K414+K415+K416+K417+K418+K419+K420+K421+K422+K423+K424+K425+K426+K427, "NA")</f>
        <v>4356.55</v>
      </c>
      <c r="L428" s="15">
        <f>IFERROR(K428/K444, "NA")</f>
        <v>2.8318538396676255E-2</v>
      </c>
      <c r="M428" s="2"/>
      <c r="N428" s="14">
        <f t="shared" si="101"/>
        <v>1086.52</v>
      </c>
      <c r="O428" s="15">
        <f>IFERROR(N428/N444, "NA")</f>
        <v>2.0980887178780133E-2</v>
      </c>
      <c r="P428" s="2"/>
      <c r="Q428" s="14">
        <f>IFERROR(Q407+Q408+Q409+Q410+Q411+Q412+Q413+Q414+Q415+Q416+Q417+Q418+Q419+Q420+Q421+Q422+Q423+Q424+Q425+Q426+Q427, "NA")</f>
        <v>12589.800000000001</v>
      </c>
      <c r="R428" s="15">
        <f>IFERROR(Q428/Q444, "NA")</f>
        <v>1.7594358267520444E-2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-12589.800000000001</v>
      </c>
      <c r="X428" s="15">
        <f>IFERROR(W428/W444, "NA")</f>
        <v>-0.12279934278386329</v>
      </c>
      <c r="Y428" s="2"/>
      <c r="Z428" s="14">
        <f>IFERROR(Z407+Z408+Z409+Z410+Z411+Z412+Z413+Z414+Z415+Z416+Z417+Z418+Z419+Z420+Z421+Z422+Z423+Z424+Z425+Z426+Z427, "NA")</f>
        <v>17883.63</v>
      </c>
      <c r="AA428" s="15">
        <f>IFERROR(Z428/Z444, "NA")</f>
        <v>3.211687926879897E-2</v>
      </c>
      <c r="AB428" s="2"/>
      <c r="AC428" s="14">
        <f t="shared" si="103"/>
        <v>5293.83</v>
      </c>
      <c r="AD428" s="15">
        <f>IFERROR(AC428/AC444, "NA")</f>
        <v>3.3351311531728003E-2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3270.03</v>
      </c>
      <c r="C429" s="15">
        <f>IFERROR(B429/B444, "NA")</f>
        <v>1.5902719048218838E-2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-3270.03</v>
      </c>
      <c r="I429" s="15">
        <f>IFERROR(H429/H444, "NA")</f>
        <v>-0.10810570458982192</v>
      </c>
      <c r="J429" s="2"/>
      <c r="K429" s="14">
        <f>IFERROR(K407+K408+K409+K410+K411+K412+K413+K414+K415+K416+K417+K418+K419+K420+K421+K422+K423+K424+K425+K426+K427, "NA")</f>
        <v>4356.55</v>
      </c>
      <c r="L429" s="15">
        <f>IFERROR(K429/K444, "NA")</f>
        <v>2.8318538396676255E-2</v>
      </c>
      <c r="M429" s="2"/>
      <c r="N429" s="14">
        <f t="shared" si="101"/>
        <v>1086.52</v>
      </c>
      <c r="O429" s="15">
        <f>IFERROR(N429/N444, "NA")</f>
        <v>2.0980887178780133E-2</v>
      </c>
      <c r="P429" s="2"/>
      <c r="Q429" s="14">
        <f>IFERROR(Q407+Q408+Q409+Q410+Q411+Q412+Q413+Q414+Q415+Q416+Q417+Q418+Q419+Q420+Q421+Q422+Q423+Q424+Q425+Q426+Q427, "NA")</f>
        <v>12589.800000000001</v>
      </c>
      <c r="R429" s="15">
        <f>IFERROR(Q429/Q444, "NA")</f>
        <v>1.7594358267520444E-2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-12589.800000000001</v>
      </c>
      <c r="X429" s="15">
        <f>IFERROR(W429/W444, "NA")</f>
        <v>-0.12279934278386329</v>
      </c>
      <c r="Y429" s="2"/>
      <c r="Z429" s="14">
        <f>IFERROR(Z407+Z408+Z409+Z410+Z411+Z412+Z413+Z414+Z415+Z416+Z417+Z418+Z419+Z420+Z421+Z422+Z423+Z424+Z425+Z426+Z427, "NA")</f>
        <v>17883.63</v>
      </c>
      <c r="AA429" s="15">
        <f>IFERROR(Z429/Z444, "NA")</f>
        <v>3.211687926879897E-2</v>
      </c>
      <c r="AB429" s="2"/>
      <c r="AC429" s="14">
        <f t="shared" si="103"/>
        <v>5293.83</v>
      </c>
      <c r="AD429" s="15">
        <f>IFERROR(AC429/AC444, "NA")</f>
        <v>3.3351311531728003E-2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34251.290000000037</v>
      </c>
      <c r="C443" s="24">
        <f>IFERROR(B443/B444, "NA")</f>
        <v>0.1665699219606756</v>
      </c>
      <c r="D443" s="25"/>
      <c r="E443" s="23">
        <f>IFERROR(E404-E429-E442, "NA")</f>
        <v>31330.259999999973</v>
      </c>
      <c r="F443" s="24">
        <f>IFERROR(E443/E444, "NA")</f>
        <v>0.17864352359879596</v>
      </c>
      <c r="G443" s="25"/>
      <c r="H443" s="23">
        <f>IFERROR(B443-E443, "NA")</f>
        <v>2921.0300000000643</v>
      </c>
      <c r="I443" s="24">
        <f>IFERROR(H443/H444, "NA")</f>
        <v>9.6567923315081045E-2</v>
      </c>
      <c r="J443" s="25"/>
      <c r="K443" s="23">
        <f>IFERROR(K404-K429-K442, "NA")</f>
        <v>22494.07000000004</v>
      </c>
      <c r="L443" s="24">
        <f>IFERROR(K443/K444, "NA")</f>
        <v>0.14621642928292444</v>
      </c>
      <c r="M443" s="25"/>
      <c r="N443" s="23">
        <f>IFERROR(B443-K443, "NA")</f>
        <v>11757.219999999998</v>
      </c>
      <c r="O443" s="24">
        <f>IFERROR(N443/N444, "NA")</f>
        <v>0.22703393067416827</v>
      </c>
      <c r="P443" s="25"/>
      <c r="Q443" s="23">
        <f>IFERROR(Q404-Q429-Q442, "NA")</f>
        <v>63349.110000000015</v>
      </c>
      <c r="R443" s="24">
        <f>IFERROR(Q443/Q444, "NA")</f>
        <v>8.8530948646409174E-2</v>
      </c>
      <c r="S443" s="25"/>
      <c r="T443" s="23">
        <f>IFERROR(T404-T429-T442, "NA")</f>
        <v>70894.110000000073</v>
      </c>
      <c r="U443" s="24">
        <f>IFERROR(T443/T444, "NA")</f>
        <v>0.11564436628041025</v>
      </c>
      <c r="V443" s="25"/>
      <c r="W443" s="23">
        <f>IFERROR(Q443-T443, "NA")</f>
        <v>-7545.0000000000582</v>
      </c>
      <c r="X443" s="24">
        <f>IFERROR(W443/W444, "NA")</f>
        <v>-7.3592991255163345E-2</v>
      </c>
      <c r="Y443" s="25"/>
      <c r="Z443" s="23">
        <f>IFERROR(Z404-Z429-Z442, "NA")</f>
        <v>51950.590000000142</v>
      </c>
      <c r="AA443" s="24">
        <f>IFERROR(Z443/Z444, "NA")</f>
        <v>9.3297100587122386E-2</v>
      </c>
      <c r="AB443" s="25"/>
      <c r="AC443" s="23">
        <f>IFERROR(Q443-Z443, "NA")</f>
        <v>11398.519999999873</v>
      </c>
      <c r="AD443" s="24">
        <f>IFERROR(AC443/AC444, "NA")</f>
        <v>7.1811069021979937E-2</v>
      </c>
    </row>
    <row r="444" spans="1:30" ht="15.75" hidden="1" x14ac:dyDescent="0.45">
      <c r="A444" s="26" t="s">
        <v>117</v>
      </c>
      <c r="B444" s="7">
        <v>205627.1</v>
      </c>
      <c r="C444" s="27"/>
      <c r="D444" s="9"/>
      <c r="E444" s="7">
        <v>175378.65</v>
      </c>
      <c r="F444" s="27"/>
      <c r="G444" s="9"/>
      <c r="H444" s="10">
        <f>IFERROR(B444-E444, "NA")</f>
        <v>30248.450000000012</v>
      </c>
      <c r="I444" s="27"/>
      <c r="J444" s="9"/>
      <c r="K444" s="7">
        <v>153840.92000000001</v>
      </c>
      <c r="L444" s="27"/>
      <c r="M444" s="9"/>
      <c r="N444" s="10">
        <f>IFERROR(B444-K444, "NA")</f>
        <v>51786.179999999993</v>
      </c>
      <c r="O444" s="27"/>
      <c r="P444" s="9"/>
      <c r="Q444" s="7">
        <v>715558.92</v>
      </c>
      <c r="R444" s="27"/>
      <c r="S444" s="9"/>
      <c r="T444" s="7">
        <v>613035.56999999995</v>
      </c>
      <c r="U444" s="27"/>
      <c r="V444" s="9"/>
      <c r="W444" s="10">
        <f>IFERROR(Q444-T444, "NA")</f>
        <v>102523.35000000009</v>
      </c>
      <c r="X444" s="27"/>
      <c r="Y444" s="9"/>
      <c r="Z444" s="7">
        <v>556829.63</v>
      </c>
      <c r="AA444" s="27"/>
      <c r="AB444" s="9"/>
      <c r="AC444" s="10">
        <f>IFERROR(Q444-Z444, "NA")</f>
        <v>158729.29000000004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414</v>
      </c>
      <c r="B3" s="31" t="s">
        <v>414</v>
      </c>
      <c r="C3" s="31" t="s">
        <v>414</v>
      </c>
      <c r="D3" s="31" t="s">
        <v>414</v>
      </c>
      <c r="E3" s="31" t="s">
        <v>414</v>
      </c>
      <c r="F3" s="31" t="s">
        <v>414</v>
      </c>
      <c r="G3" s="31" t="s">
        <v>414</v>
      </c>
      <c r="H3" s="31" t="s">
        <v>414</v>
      </c>
      <c r="I3" s="31" t="s">
        <v>414</v>
      </c>
      <c r="J3" s="31" t="s">
        <v>414</v>
      </c>
      <c r="K3" s="31" t="s">
        <v>414</v>
      </c>
      <c r="L3" s="31" t="s">
        <v>414</v>
      </c>
      <c r="M3" s="31" t="s">
        <v>414</v>
      </c>
      <c r="N3" s="31" t="s">
        <v>414</v>
      </c>
      <c r="O3" s="31" t="s">
        <v>414</v>
      </c>
      <c r="P3" s="31" t="s">
        <v>414</v>
      </c>
      <c r="Q3" s="31" t="s">
        <v>414</v>
      </c>
      <c r="R3" s="31" t="s">
        <v>414</v>
      </c>
      <c r="S3" s="31" t="s">
        <v>414</v>
      </c>
      <c r="T3" s="31" t="s">
        <v>414</v>
      </c>
      <c r="U3" s="31" t="s">
        <v>414</v>
      </c>
      <c r="V3" s="31" t="s">
        <v>414</v>
      </c>
      <c r="W3" s="31" t="s">
        <v>414</v>
      </c>
      <c r="X3" s="31" t="s">
        <v>414</v>
      </c>
      <c r="Y3" s="31" t="s">
        <v>414</v>
      </c>
      <c r="Z3" s="31" t="s">
        <v>414</v>
      </c>
      <c r="AA3" s="31" t="s">
        <v>414</v>
      </c>
      <c r="AB3" s="31" t="s">
        <v>414</v>
      </c>
      <c r="AC3" s="31" t="s">
        <v>414</v>
      </c>
      <c r="AD3" s="31" t="s">
        <v>414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65010.97</v>
      </c>
      <c r="F10" s="8">
        <f>IFERROR(E10/E444, "NA")</f>
        <v>0.49400001443756386</v>
      </c>
      <c r="G10" s="9"/>
      <c r="H10" s="10">
        <f t="shared" ref="H10:H19" si="0">IFERROR(B10-E10, "NA")</f>
        <v>-65010.97</v>
      </c>
      <c r="I10" s="8">
        <f>IFERROR(H10/H444, "NA")</f>
        <v>1.7115784540735939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179368.05</v>
      </c>
      <c r="U10" s="8">
        <f>IFERROR(T10/T444, "NA")</f>
        <v>0.49400003894317046</v>
      </c>
      <c r="V10" s="9"/>
      <c r="W10" s="10">
        <f t="shared" ref="W10:W19" si="2">IFERROR(Q10-T10, "NA")</f>
        <v>-179368.05</v>
      </c>
      <c r="X10" s="8">
        <f>IFERROR(W10/W444, "NA")</f>
        <v>60.057607312663691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42873.9</v>
      </c>
      <c r="C11" s="8">
        <f>IFERROR(B11/B444, "NA")</f>
        <v>0.45796592752897142</v>
      </c>
      <c r="D11" s="9"/>
      <c r="E11" s="7">
        <v>0</v>
      </c>
      <c r="F11" s="8">
        <f>IFERROR(E11/E444, "NA")</f>
        <v>0</v>
      </c>
      <c r="G11" s="9"/>
      <c r="H11" s="10">
        <f t="shared" si="0"/>
        <v>42873.9</v>
      </c>
      <c r="I11" s="8">
        <f>IFERROR(H11/H444, "NA")</f>
        <v>-1.1287640144748781</v>
      </c>
      <c r="J11" s="9"/>
      <c r="K11" s="7">
        <v>41347.17</v>
      </c>
      <c r="L11" s="8">
        <f>IFERROR(K11/K444, "NA")</f>
        <v>0.38016442984120818</v>
      </c>
      <c r="M11" s="9"/>
      <c r="N11" s="10">
        <f t="shared" si="1"/>
        <v>1526.7300000000032</v>
      </c>
      <c r="O11" s="8">
        <f>IFERROR(N11/N444, "NA")</f>
        <v>-0.10081964290195349</v>
      </c>
      <c r="P11" s="9"/>
      <c r="Q11" s="7">
        <v>156094.59</v>
      </c>
      <c r="R11" s="8">
        <f>IFERROR(Q11/Q444, "NA")</f>
        <v>0.43346774075975669</v>
      </c>
      <c r="S11" s="9"/>
      <c r="T11" s="7">
        <v>0</v>
      </c>
      <c r="U11" s="8">
        <f>IFERROR(T11/T444, "NA")</f>
        <v>0</v>
      </c>
      <c r="V11" s="9"/>
      <c r="W11" s="10">
        <f t="shared" si="2"/>
        <v>156094.59</v>
      </c>
      <c r="X11" s="8">
        <f>IFERROR(W11/W444, "NA")</f>
        <v>-52.26498024509516</v>
      </c>
      <c r="Y11" s="9"/>
      <c r="Z11" s="7">
        <v>153488.51</v>
      </c>
      <c r="AA11" s="8">
        <f>IFERROR(Z11/Z444, "NA")</f>
        <v>0.49209496855021273</v>
      </c>
      <c r="AB11" s="9"/>
      <c r="AC11" s="10">
        <f t="shared" si="3"/>
        <v>2606.0799999999872</v>
      </c>
      <c r="AD11" s="8">
        <f>IFERROR(AC11/AC444, "NA")</f>
        <v>5.4069979260670413E-2</v>
      </c>
    </row>
    <row r="12" spans="1:30" ht="16.5" customHeight="1" x14ac:dyDescent="0.45">
      <c r="A12" s="12" t="s">
        <v>14</v>
      </c>
      <c r="B12" s="7">
        <v>4659.45</v>
      </c>
      <c r="C12" s="8">
        <f>IFERROR(B12/B444, "NA")</f>
        <v>4.9770824231638963E-2</v>
      </c>
      <c r="D12" s="9"/>
      <c r="E12" s="7">
        <v>0</v>
      </c>
      <c r="F12" s="8">
        <f>IFERROR(E12/E444, "NA")</f>
        <v>0</v>
      </c>
      <c r="G12" s="9"/>
      <c r="H12" s="10">
        <f t="shared" si="0"/>
        <v>4659.45</v>
      </c>
      <c r="I12" s="8">
        <f>IFERROR(H12/H444, "NA")</f>
        <v>-0.12267182335278502</v>
      </c>
      <c r="J12" s="9"/>
      <c r="K12" s="7">
        <v>4212.6499999999996</v>
      </c>
      <c r="L12" s="8">
        <f>IFERROR(K12/K444, "NA")</f>
        <v>3.8732993947846142E-2</v>
      </c>
      <c r="M12" s="9"/>
      <c r="N12" s="10">
        <f t="shared" si="1"/>
        <v>446.80000000000018</v>
      </c>
      <c r="O12" s="8">
        <f>IFERROR(N12/N444, "NA")</f>
        <v>-2.9505031307823084E-2</v>
      </c>
      <c r="P12" s="9"/>
      <c r="Q12" s="7">
        <v>15203.7</v>
      </c>
      <c r="R12" s="8">
        <f>IFERROR(Q12/Q444, "NA")</f>
        <v>4.2219999361855609E-2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15203.7</v>
      </c>
      <c r="X12" s="8">
        <f>IFERROR(W12/W444, "NA")</f>
        <v>-5.090638183888073</v>
      </c>
      <c r="Y12" s="9"/>
      <c r="Z12" s="7">
        <v>14922.3</v>
      </c>
      <c r="AA12" s="8">
        <f>IFERROR(Z12/Z444, "NA")</f>
        <v>4.7841944320111254E-2</v>
      </c>
      <c r="AB12" s="9"/>
      <c r="AC12" s="10">
        <f t="shared" si="3"/>
        <v>281.40000000000146</v>
      </c>
      <c r="AD12" s="8">
        <f>IFERROR(AC12/AC444, "NA")</f>
        <v>5.8383826144833648E-3</v>
      </c>
    </row>
    <row r="13" spans="1:30" ht="16.5" customHeight="1" x14ac:dyDescent="0.45">
      <c r="A13" s="12" t="s">
        <v>15</v>
      </c>
      <c r="B13" s="7">
        <v>208</v>
      </c>
      <c r="C13" s="8">
        <f>IFERROR(B13/B444, "NA")</f>
        <v>2.2217925807082174E-3</v>
      </c>
      <c r="D13" s="9"/>
      <c r="E13" s="7">
        <v>0</v>
      </c>
      <c r="F13" s="8">
        <f>IFERROR(E13/E444, "NA")</f>
        <v>0</v>
      </c>
      <c r="G13" s="9"/>
      <c r="H13" s="10">
        <f t="shared" si="0"/>
        <v>208</v>
      </c>
      <c r="I13" s="8">
        <f>IFERROR(H13/H444, "NA")</f>
        <v>-5.4761268513192083E-3</v>
      </c>
      <c r="J13" s="9"/>
      <c r="K13" s="7">
        <v>144.5</v>
      </c>
      <c r="L13" s="8">
        <f>IFERROR(K13/K444, "NA")</f>
        <v>1.3285978245199026E-3</v>
      </c>
      <c r="M13" s="9"/>
      <c r="N13" s="10">
        <f t="shared" si="1"/>
        <v>63.5</v>
      </c>
      <c r="O13" s="8">
        <f>IFERROR(N13/N444, "NA")</f>
        <v>-4.1933068219488926E-3</v>
      </c>
      <c r="P13" s="9"/>
      <c r="Q13" s="7">
        <v>516.5</v>
      </c>
      <c r="R13" s="8">
        <f>IFERROR(Q13/Q444, "NA")</f>
        <v>1.4342975506224419E-3</v>
      </c>
      <c r="S13" s="9"/>
      <c r="T13" s="7">
        <v>0</v>
      </c>
      <c r="U13" s="8">
        <f>IFERROR(T13/T444, "NA")</f>
        <v>0</v>
      </c>
      <c r="V13" s="9"/>
      <c r="W13" s="10">
        <f t="shared" si="2"/>
        <v>516.5</v>
      </c>
      <c r="X13" s="8">
        <f>IFERROR(W13/W444, "NA")</f>
        <v>-0.17293912810553941</v>
      </c>
      <c r="Y13" s="9"/>
      <c r="Z13" s="7">
        <v>378.5</v>
      </c>
      <c r="AA13" s="8">
        <f>IFERROR(Z13/Z444, "NA")</f>
        <v>1.213497646151204E-3</v>
      </c>
      <c r="AB13" s="9"/>
      <c r="AC13" s="10">
        <f t="shared" si="3"/>
        <v>138</v>
      </c>
      <c r="AD13" s="8">
        <f>IFERROR(AC13/AC444, "NA")</f>
        <v>2.863172710727435E-3</v>
      </c>
    </row>
    <row r="14" spans="1:30" ht="16.5" customHeight="1" x14ac:dyDescent="0.45">
      <c r="A14" s="12" t="s">
        <v>16</v>
      </c>
      <c r="B14" s="7">
        <v>260</v>
      </c>
      <c r="C14" s="8">
        <f>IFERROR(B14/B444, "NA")</f>
        <v>2.7772407258852719E-3</v>
      </c>
      <c r="D14" s="9"/>
      <c r="E14" s="7">
        <v>0</v>
      </c>
      <c r="F14" s="8">
        <f>IFERROR(E14/E444, "NA")</f>
        <v>0</v>
      </c>
      <c r="G14" s="9"/>
      <c r="H14" s="10">
        <f t="shared" si="0"/>
        <v>260</v>
      </c>
      <c r="I14" s="8">
        <f>IFERROR(H14/H444, "NA")</f>
        <v>-6.845158564149011E-3</v>
      </c>
      <c r="J14" s="9"/>
      <c r="K14" s="7">
        <v>665</v>
      </c>
      <c r="L14" s="8">
        <f>IFERROR(K14/K444, "NA")</f>
        <v>6.1143083273753306E-3</v>
      </c>
      <c r="M14" s="9"/>
      <c r="N14" s="10">
        <f t="shared" si="1"/>
        <v>-405</v>
      </c>
      <c r="O14" s="8">
        <f>IFERROR(N14/N444, "NA")</f>
        <v>2.6744712801406324E-2</v>
      </c>
      <c r="P14" s="9"/>
      <c r="Q14" s="7">
        <v>1145</v>
      </c>
      <c r="R14" s="8">
        <f>IFERROR(Q14/Q444, "NA")</f>
        <v>3.179614124806769E-3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1145</v>
      </c>
      <c r="X14" s="8">
        <f>IFERROR(W14/W444, "NA")</f>
        <v>-0.38337909328333519</v>
      </c>
      <c r="Y14" s="9"/>
      <c r="Z14" s="7">
        <v>2410</v>
      </c>
      <c r="AA14" s="8">
        <f>IFERROR(Z14/Z444, "NA")</f>
        <v>7.7266296624158553E-3</v>
      </c>
      <c r="AB14" s="9"/>
      <c r="AC14" s="10">
        <f t="shared" si="3"/>
        <v>-1265</v>
      </c>
      <c r="AD14" s="8">
        <f>IFERROR(AC14/AC444, "NA")</f>
        <v>-2.6245749848334821E-2</v>
      </c>
    </row>
    <row r="15" spans="1:30" ht="16.5" customHeight="1" x14ac:dyDescent="0.45">
      <c r="A15" s="12" t="s">
        <v>17</v>
      </c>
      <c r="B15" s="7">
        <v>56</v>
      </c>
      <c r="C15" s="8">
        <f>IFERROR(B15/B444, "NA")</f>
        <v>5.9817492557528941E-4</v>
      </c>
      <c r="D15" s="9"/>
      <c r="E15" s="7">
        <v>0</v>
      </c>
      <c r="F15" s="8">
        <f>IFERROR(E15/E444, "NA")</f>
        <v>0</v>
      </c>
      <c r="G15" s="9"/>
      <c r="H15" s="10">
        <f t="shared" si="0"/>
        <v>56</v>
      </c>
      <c r="I15" s="8">
        <f>IFERROR(H15/H444, "NA")</f>
        <v>-1.4743418445859408E-3</v>
      </c>
      <c r="J15" s="9"/>
      <c r="K15" s="7">
        <v>25.5</v>
      </c>
      <c r="L15" s="8">
        <f>IFERROR(K15/K444, "NA")</f>
        <v>2.344584396211593E-4</v>
      </c>
      <c r="M15" s="9"/>
      <c r="N15" s="10">
        <f t="shared" si="1"/>
        <v>30.5</v>
      </c>
      <c r="O15" s="8">
        <f>IFERROR(N15/N444, "NA")</f>
        <v>-2.0141080010935624E-3</v>
      </c>
      <c r="P15" s="9"/>
      <c r="Q15" s="7">
        <v>107</v>
      </c>
      <c r="R15" s="8">
        <f>IFERROR(Q15/Q444, "NA")</f>
        <v>2.9713424572430067E-4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107</v>
      </c>
      <c r="X15" s="8">
        <f>IFERROR(W15/W444, "NA")</f>
        <v>-3.5826692560102069E-2</v>
      </c>
      <c r="Y15" s="9"/>
      <c r="Z15" s="7">
        <v>168.5</v>
      </c>
      <c r="AA15" s="8">
        <f>IFERROR(Z15/Z444, "NA")</f>
        <v>5.4022286228924135E-4</v>
      </c>
      <c r="AB15" s="9"/>
      <c r="AC15" s="10">
        <f t="shared" si="3"/>
        <v>-61.5</v>
      </c>
      <c r="AD15" s="8">
        <f>IFERROR(AC15/AC444, "NA")</f>
        <v>-1.275979142824183E-3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1.1000000000000001</v>
      </c>
      <c r="R16" s="8">
        <f>IFERROR(Q16/Q444, "NA")</f>
        <v>3.0546511242685119E-6</v>
      </c>
      <c r="S16" s="9"/>
      <c r="T16" s="7">
        <v>0</v>
      </c>
      <c r="U16" s="8">
        <f>IFERROR(T16/T444, "NA")</f>
        <v>0</v>
      </c>
      <c r="V16" s="9"/>
      <c r="W16" s="10">
        <f t="shared" si="2"/>
        <v>1.1000000000000001</v>
      </c>
      <c r="X16" s="8">
        <f>IFERROR(W16/W444, "NA")</f>
        <v>-3.6831179267394652E-4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1.1000000000000001</v>
      </c>
      <c r="AD16" s="8">
        <f>IFERROR(AC16/AC444, "NA")</f>
        <v>2.2822391172465065E-5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48057.35</v>
      </c>
      <c r="C18" s="15">
        <f>IFERROR(B18/B444, "NA")</f>
        <v>0.51333395999277909</v>
      </c>
      <c r="D18" s="2"/>
      <c r="E18" s="14">
        <f>IFERROR(E10+E11+E12+E13+E14+E15+E16+E17, "NA")</f>
        <v>65010.97</v>
      </c>
      <c r="F18" s="15">
        <f>IFERROR(E18/E444, "NA")</f>
        <v>0.49400001443756386</v>
      </c>
      <c r="G18" s="2"/>
      <c r="H18" s="14">
        <f t="shared" si="0"/>
        <v>-16953.620000000003</v>
      </c>
      <c r="I18" s="15">
        <f>IFERROR(H18/H444, "NA")</f>
        <v>0.44634698898587682</v>
      </c>
      <c r="J18" s="2"/>
      <c r="K18" s="14">
        <f>IFERROR(K10+K11+K12+K13+K14+K15+K16+K17, "NA")</f>
        <v>46394.82</v>
      </c>
      <c r="L18" s="15">
        <f>IFERROR(K18/K444, "NA")</f>
        <v>0.42657478838057072</v>
      </c>
      <c r="M18" s="2"/>
      <c r="N18" s="14">
        <f t="shared" si="1"/>
        <v>1662.5299999999988</v>
      </c>
      <c r="O18" s="15">
        <f>IFERROR(N18/N444, "NA")</f>
        <v>-0.1097873762314124</v>
      </c>
      <c r="P18" s="2"/>
      <c r="Q18" s="14">
        <f>IFERROR(Q10+Q11+Q12+Q13+Q14+Q15+Q16+Q17, "NA")</f>
        <v>173067.89</v>
      </c>
      <c r="R18" s="15">
        <f>IFERROR(Q18/Q444, "NA")</f>
        <v>0.48060184069389011</v>
      </c>
      <c r="S18" s="2"/>
      <c r="T18" s="14">
        <f>IFERROR(T10+T11+T12+T13+T14+T15+T16+T17, "NA")</f>
        <v>179368.05</v>
      </c>
      <c r="U18" s="15">
        <f>IFERROR(T18/T444, "NA")</f>
        <v>0.49400003894317046</v>
      </c>
      <c r="V18" s="2"/>
      <c r="W18" s="14">
        <f t="shared" si="2"/>
        <v>-6300.1599999999744</v>
      </c>
      <c r="X18" s="15">
        <f>IFERROR(W18/W444, "NA")</f>
        <v>2.109475657938801</v>
      </c>
      <c r="Y18" s="2"/>
      <c r="Z18" s="14">
        <f>IFERROR(Z10+Z11+Z12+Z13+Z14+Z15+Z16+Z17, "NA")</f>
        <v>171367.81</v>
      </c>
      <c r="AA18" s="15">
        <f>IFERROR(Z18/Z444, "NA")</f>
        <v>0.54941726304118033</v>
      </c>
      <c r="AB18" s="2"/>
      <c r="AC18" s="14">
        <f t="shared" si="3"/>
        <v>1700.0800000000163</v>
      </c>
      <c r="AD18" s="15">
        <f>IFERROR(AC18/AC444, "NA")</f>
        <v>3.5272627985895248E-2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10264.89</v>
      </c>
      <c r="F21" s="8">
        <f>IFERROR(E21/E444, "NA")</f>
        <v>7.8000002279615344E-2</v>
      </c>
      <c r="G21" s="9"/>
      <c r="H21" s="10">
        <f t="shared" ref="H21:H29" si="4">IFERROR(B21-E21, "NA")</f>
        <v>-10264.89</v>
      </c>
      <c r="I21" s="8">
        <f>IFERROR(H21/H444, "NA")</f>
        <v>0.27024922959056746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28321.27</v>
      </c>
      <c r="U21" s="8">
        <f>IFERROR(T21/T444, "NA")</f>
        <v>7.8000003249854399E-2</v>
      </c>
      <c r="V21" s="9"/>
      <c r="W21" s="10">
        <f t="shared" ref="W21:W29" si="6">IFERROR(Q21-T21, "NA")</f>
        <v>-28321.27</v>
      </c>
      <c r="X21" s="8">
        <f>IFERROR(W21/W444, "NA")</f>
        <v>9.4827797495480546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6107.1</v>
      </c>
      <c r="C22" s="8">
        <f>IFERROR(B22/B444, "NA")</f>
        <v>6.5234180142515169E-2</v>
      </c>
      <c r="D22" s="9"/>
      <c r="E22" s="7">
        <v>0</v>
      </c>
      <c r="F22" s="8">
        <f>IFERROR(E22/E444, "NA")</f>
        <v>0</v>
      </c>
      <c r="G22" s="9"/>
      <c r="H22" s="10">
        <f t="shared" si="4"/>
        <v>6107.1</v>
      </c>
      <c r="I22" s="8">
        <f>IFERROR(H22/H444, "NA")</f>
        <v>-0.16078487641197856</v>
      </c>
      <c r="J22" s="9"/>
      <c r="K22" s="7">
        <v>4880.55</v>
      </c>
      <c r="L22" s="8">
        <f>IFERROR(K22/K444, "NA")</f>
        <v>4.4873966176198002E-2</v>
      </c>
      <c r="M22" s="9"/>
      <c r="N22" s="10">
        <f t="shared" si="5"/>
        <v>1226.5500000000002</v>
      </c>
      <c r="O22" s="8">
        <f>IFERROR(N22/N444, "NA")</f>
        <v>-8.0996857991518345E-2</v>
      </c>
      <c r="P22" s="9"/>
      <c r="Q22" s="7">
        <v>22789</v>
      </c>
      <c r="R22" s="8">
        <f>IFERROR(Q22/Q444, "NA")</f>
        <v>6.3284040428141008E-2</v>
      </c>
      <c r="S22" s="9"/>
      <c r="T22" s="7">
        <v>0</v>
      </c>
      <c r="U22" s="8">
        <f>IFERROR(T22/T444, "NA")</f>
        <v>0</v>
      </c>
      <c r="V22" s="9"/>
      <c r="W22" s="10">
        <f t="shared" si="6"/>
        <v>22789</v>
      </c>
      <c r="X22" s="8">
        <f>IFERROR(W22/W444, "NA")</f>
        <v>-7.630415857496879</v>
      </c>
      <c r="Y22" s="9"/>
      <c r="Z22" s="7">
        <v>19029.490000000002</v>
      </c>
      <c r="AA22" s="8">
        <f>IFERROR(Z22/Z444, "NA")</f>
        <v>6.1009884603587514E-2</v>
      </c>
      <c r="AB22" s="9"/>
      <c r="AC22" s="10">
        <f t="shared" si="7"/>
        <v>3759.5099999999984</v>
      </c>
      <c r="AD22" s="8">
        <f>IFERROR(AC22/AC444, "NA")</f>
        <v>7.8000916215267349E-2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1300.43</v>
      </c>
      <c r="C24" s="8">
        <f>IFERROR(B24/B444, "NA")</f>
        <v>1.3890796758319172E-2</v>
      </c>
      <c r="D24" s="9"/>
      <c r="E24" s="7">
        <v>0</v>
      </c>
      <c r="F24" s="8">
        <f>IFERROR(E24/E444, "NA")</f>
        <v>0</v>
      </c>
      <c r="G24" s="9"/>
      <c r="H24" s="10">
        <f t="shared" si="4"/>
        <v>1300.43</v>
      </c>
      <c r="I24" s="8">
        <f>IFERROR(H24/H444, "NA")</f>
        <v>-3.4237113659908842E-2</v>
      </c>
      <c r="J24" s="9"/>
      <c r="K24" s="7">
        <v>346.99</v>
      </c>
      <c r="L24" s="8">
        <f>IFERROR(K24/K444, "NA")</f>
        <v>3.1903817240841593E-3</v>
      </c>
      <c r="M24" s="9"/>
      <c r="N24" s="10">
        <f t="shared" si="5"/>
        <v>953.44</v>
      </c>
      <c r="O24" s="8">
        <f>IFERROR(N24/N444, "NA")</f>
        <v>-6.2961676477463813E-2</v>
      </c>
      <c r="P24" s="9"/>
      <c r="Q24" s="7">
        <v>4711.47</v>
      </c>
      <c r="R24" s="8">
        <f>IFERROR(Q24/Q444, "NA")</f>
        <v>1.3083542847688513E-2</v>
      </c>
      <c r="S24" s="9"/>
      <c r="T24" s="7">
        <v>0</v>
      </c>
      <c r="U24" s="8">
        <f>IFERROR(T24/T444, "NA")</f>
        <v>0</v>
      </c>
      <c r="V24" s="9"/>
      <c r="W24" s="10">
        <f t="shared" si="6"/>
        <v>4711.47</v>
      </c>
      <c r="X24" s="8">
        <f>IFERROR(W24/W444, "NA")</f>
        <v>-1.5775363289359261</v>
      </c>
      <c r="Y24" s="9"/>
      <c r="Z24" s="7">
        <v>1267.31</v>
      </c>
      <c r="AA24" s="8">
        <f>IFERROR(Z24/Z444, "NA")</f>
        <v>4.06308507779097E-3</v>
      </c>
      <c r="AB24" s="9"/>
      <c r="AC24" s="10">
        <f t="shared" si="7"/>
        <v>3444.1600000000003</v>
      </c>
      <c r="AD24" s="8">
        <f>IFERROR(AC24/AC444, "NA")</f>
        <v>7.1458151618688431E-2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493.28</v>
      </c>
      <c r="L27" s="8">
        <f>IFERROR(K27/K444, "NA")</f>
        <v>4.5354376116206055E-3</v>
      </c>
      <c r="M27" s="9"/>
      <c r="N27" s="10">
        <f t="shared" si="5"/>
        <v>-493.28</v>
      </c>
      <c r="O27" s="8">
        <f>IFERROR(N27/N444, "NA")</f>
        <v>3.2574399828833853E-2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1119.02</v>
      </c>
      <c r="AA27" s="8">
        <f>IFERROR(Z27/Z444, "NA")</f>
        <v>3.5876568982724441E-3</v>
      </c>
      <c r="AB27" s="9"/>
      <c r="AC27" s="10">
        <f t="shared" si="7"/>
        <v>-1119.02</v>
      </c>
      <c r="AD27" s="8">
        <f>IFERROR(AC27/AC444, "NA")</f>
        <v>-2.3217011063465322E-2</v>
      </c>
    </row>
    <row r="28" spans="1:30" ht="16.5" customHeight="1" x14ac:dyDescent="0.45">
      <c r="A28" s="12" t="s">
        <v>29</v>
      </c>
      <c r="B28" s="7">
        <v>880.53</v>
      </c>
      <c r="C28" s="8">
        <f>IFERROR(B28/B444, "NA")</f>
        <v>9.4055529860144552E-3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880.53</v>
      </c>
      <c r="I28" s="8">
        <f>IFERROR(H28/H444, "NA")</f>
        <v>-2.3182182578808185E-2</v>
      </c>
      <c r="J28" s="9"/>
      <c r="K28" s="7">
        <v>892.65</v>
      </c>
      <c r="L28" s="8">
        <f>IFERROR(K28/K444, "NA")</f>
        <v>8.2074245540324636E-3</v>
      </c>
      <c r="M28" s="9"/>
      <c r="N28" s="10">
        <f t="shared" si="5"/>
        <v>-12.120000000000005</v>
      </c>
      <c r="O28" s="8">
        <f>IFERROR(N28/N444, "NA")</f>
        <v>8.0036029420504874E-4</v>
      </c>
      <c r="P28" s="9"/>
      <c r="Q28" s="7">
        <v>3418.97</v>
      </c>
      <c r="R28" s="8">
        <f>IFERROR(Q28/Q444, "NA")</f>
        <v>9.4943277766730109E-3</v>
      </c>
      <c r="S28" s="9"/>
      <c r="T28" s="7">
        <v>0</v>
      </c>
      <c r="U28" s="8">
        <f>IFERROR(T28/T444, "NA")</f>
        <v>0</v>
      </c>
      <c r="V28" s="9"/>
      <c r="W28" s="10">
        <f t="shared" si="6"/>
        <v>3418.97</v>
      </c>
      <c r="X28" s="8">
        <f>IFERROR(W28/W444, "NA")</f>
        <v>-1.1447699725440388</v>
      </c>
      <c r="Y28" s="9"/>
      <c r="Z28" s="7">
        <v>3175.19</v>
      </c>
      <c r="AA28" s="8">
        <f>IFERROR(Z28/Z444, "NA")</f>
        <v>1.017988267128888E-2</v>
      </c>
      <c r="AB28" s="9"/>
      <c r="AC28" s="10">
        <f t="shared" si="7"/>
        <v>243.77999999999975</v>
      </c>
      <c r="AD28" s="8">
        <f>IFERROR(AC28/AC444, "NA")</f>
        <v>5.0578568363850249E-3</v>
      </c>
    </row>
    <row r="29" spans="1:30" ht="16.5" customHeight="1" x14ac:dyDescent="0.45">
      <c r="A29" s="13" t="s">
        <v>30</v>
      </c>
      <c r="B29" s="14">
        <f>IFERROR(B21+B22+B23+B24+B25+B26+B27+B28, "NA")</f>
        <v>8288.0600000000013</v>
      </c>
      <c r="C29" s="15">
        <f>IFERROR(B29/B444, "NA")</f>
        <v>8.8530529886848813E-2</v>
      </c>
      <c r="D29" s="2"/>
      <c r="E29" s="14">
        <f>IFERROR(E21+E22+E23+E24+E25+E26+E27+E28, "NA")</f>
        <v>10264.89</v>
      </c>
      <c r="F29" s="15">
        <f>IFERROR(E29/E444, "NA")</f>
        <v>7.8000002279615344E-2</v>
      </c>
      <c r="G29" s="2"/>
      <c r="H29" s="14">
        <f t="shared" si="4"/>
        <v>-1976.8299999999981</v>
      </c>
      <c r="I29" s="15">
        <f>IFERROR(H29/H444, "NA")</f>
        <v>5.2045056939871832E-2</v>
      </c>
      <c r="J29" s="2"/>
      <c r="K29" s="14">
        <f>IFERROR(K21+K22+K23+K24+K25+K26+K27+K28, "NA")</f>
        <v>6613.4699999999993</v>
      </c>
      <c r="L29" s="15">
        <f>IFERROR(K29/K444, "NA")</f>
        <v>6.0807210065935223E-2</v>
      </c>
      <c r="M29" s="2"/>
      <c r="N29" s="14">
        <f t="shared" si="5"/>
        <v>1674.590000000002</v>
      </c>
      <c r="O29" s="15">
        <f>IFERROR(N29/N444, "NA")</f>
        <v>-0.11058377434594337</v>
      </c>
      <c r="P29" s="2"/>
      <c r="Q29" s="14">
        <f>IFERROR(Q21+Q22+Q23+Q24+Q25+Q26+Q27+Q28, "NA")</f>
        <v>30919.440000000002</v>
      </c>
      <c r="R29" s="15">
        <f>IFERROR(Q29/Q444, "NA")</f>
        <v>8.5861911052502543E-2</v>
      </c>
      <c r="S29" s="2"/>
      <c r="T29" s="14">
        <f>IFERROR(T21+T22+T23+T24+T25+T26+T27+T28, "NA")</f>
        <v>28321.27</v>
      </c>
      <c r="U29" s="15">
        <f>IFERROR(T29/T444, "NA")</f>
        <v>7.8000003249854399E-2</v>
      </c>
      <c r="V29" s="2"/>
      <c r="W29" s="14">
        <f t="shared" si="6"/>
        <v>2598.1700000000019</v>
      </c>
      <c r="X29" s="15">
        <f>IFERROR(W29/W444, "NA")</f>
        <v>-0.86994240942878931</v>
      </c>
      <c r="Y29" s="2"/>
      <c r="Z29" s="14">
        <f>IFERROR(Z21+Z22+Z23+Z24+Z25+Z26+Z27+Z28, "NA")</f>
        <v>24591.010000000002</v>
      </c>
      <c r="AA29" s="15">
        <f>IFERROR(Z29/Z444, "NA")</f>
        <v>7.8840509250939814E-2</v>
      </c>
      <c r="AB29" s="2"/>
      <c r="AC29" s="14">
        <f t="shared" si="7"/>
        <v>6328.43</v>
      </c>
      <c r="AD29" s="15">
        <f>IFERROR(AC29/AC444, "NA")</f>
        <v>0.13129991360687554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31979.08</v>
      </c>
      <c r="F31" s="8">
        <f>IFERROR(E31/E444, "NA")</f>
        <v>0.24300000417929482</v>
      </c>
      <c r="G31" s="9"/>
      <c r="H31" s="10">
        <f t="shared" ref="H31:H40" si="8">IFERROR(B31-E31, "NA")</f>
        <v>-31979.08</v>
      </c>
      <c r="I31" s="8">
        <f>IFERROR(H31/H444, "NA")</f>
        <v>0.8419302820600244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88231.64</v>
      </c>
      <c r="U31" s="8">
        <f>IFERROR(T31/T444, "NA")</f>
        <v>0.24299998576123116</v>
      </c>
      <c r="V31" s="9"/>
      <c r="W31" s="10">
        <f t="shared" ref="W31:W40" si="10">IFERROR(Q31-T31, "NA")</f>
        <v>-88231.64</v>
      </c>
      <c r="X31" s="8">
        <f>IFERROR(W31/W444, "NA")</f>
        <v>29.542503180874803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10730.16</v>
      </c>
      <c r="C33" s="8">
        <f>IFERROR(B33/B444, "NA")</f>
        <v>0.1146162974894812</v>
      </c>
      <c r="D33" s="9"/>
      <c r="E33" s="7">
        <v>0</v>
      </c>
      <c r="F33" s="8">
        <f>IFERROR(E33/E444, "NA")</f>
        <v>0</v>
      </c>
      <c r="G33" s="9"/>
      <c r="H33" s="10">
        <f t="shared" si="8"/>
        <v>10730.16</v>
      </c>
      <c r="I33" s="8">
        <f>IFERROR(H33/H444, "NA")</f>
        <v>-0.28249864084111209</v>
      </c>
      <c r="J33" s="9"/>
      <c r="K33" s="7">
        <v>6523.36</v>
      </c>
      <c r="L33" s="8">
        <f>IFERROR(K33/K444, "NA")</f>
        <v>5.9978698301454338E-2</v>
      </c>
      <c r="M33" s="9"/>
      <c r="N33" s="10">
        <f t="shared" si="9"/>
        <v>4206.8</v>
      </c>
      <c r="O33" s="8">
        <f>IFERROR(N33/N444, "NA")</f>
        <v>-0.27780162422952126</v>
      </c>
      <c r="P33" s="9"/>
      <c r="Q33" s="7">
        <v>43874.38</v>
      </c>
      <c r="R33" s="8">
        <f>IFERROR(Q33/Q444, "NA")</f>
        <v>0.12183720381234898</v>
      </c>
      <c r="S33" s="9"/>
      <c r="T33" s="7">
        <v>0</v>
      </c>
      <c r="U33" s="8">
        <f>IFERROR(T33/T444, "NA")</f>
        <v>0</v>
      </c>
      <c r="V33" s="9"/>
      <c r="W33" s="10">
        <f t="shared" si="10"/>
        <v>43874.38</v>
      </c>
      <c r="X33" s="8">
        <f>IFERROR(W33/W444, "NA")</f>
        <v>-14.690410500234494</v>
      </c>
      <c r="Y33" s="9"/>
      <c r="Z33" s="7">
        <v>25664.21</v>
      </c>
      <c r="AA33" s="8">
        <f>IFERROR(Z33/Z444, "NA")</f>
        <v>8.2281264003514362E-2</v>
      </c>
      <c r="AB33" s="9"/>
      <c r="AC33" s="10">
        <f t="shared" si="11"/>
        <v>18210.169999999998</v>
      </c>
      <c r="AD33" s="8">
        <f>IFERROR(AC33/AC444, "NA")</f>
        <v>0.37781783914280731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1413.02</v>
      </c>
      <c r="C35" s="8">
        <f>IFERROR(B35/B444, "NA")</f>
        <v>1.5093448809578488E-2</v>
      </c>
      <c r="D35" s="9"/>
      <c r="E35" s="7">
        <v>0</v>
      </c>
      <c r="F35" s="8">
        <f>IFERROR(E35/E444, "NA")</f>
        <v>0</v>
      </c>
      <c r="G35" s="9"/>
      <c r="H35" s="10">
        <f t="shared" si="8"/>
        <v>1413.02</v>
      </c>
      <c r="I35" s="8">
        <f>IFERROR(H35/H444, "NA")</f>
        <v>-3.7201330593514749E-2</v>
      </c>
      <c r="J35" s="9"/>
      <c r="K35" s="7">
        <v>0</v>
      </c>
      <c r="L35" s="8">
        <f>IFERROR(K35/K444, "NA")</f>
        <v>0</v>
      </c>
      <c r="M35" s="9"/>
      <c r="N35" s="10">
        <f t="shared" si="9"/>
        <v>1413.02</v>
      </c>
      <c r="O35" s="8">
        <f>IFERROR(N35/N444, "NA")</f>
        <v>-9.3310652055909035E-2</v>
      </c>
      <c r="P35" s="9"/>
      <c r="Q35" s="7">
        <v>5671.55</v>
      </c>
      <c r="R35" s="8">
        <f>IFERROR(Q35/Q444, "NA")</f>
        <v>1.5749642348950071E-2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5671.55</v>
      </c>
      <c r="X35" s="8">
        <f>IFERROR(W35/W444, "NA")</f>
        <v>-1.8989988615817466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5671.55</v>
      </c>
      <c r="AD35" s="8">
        <f>IFERROR(AC35/AC444, "NA")</f>
        <v>0.11767121150381293</v>
      </c>
    </row>
    <row r="36" spans="1:30" ht="16.5" customHeight="1" x14ac:dyDescent="0.45">
      <c r="A36" s="12" t="s">
        <v>36</v>
      </c>
      <c r="B36" s="7">
        <v>12278.19</v>
      </c>
      <c r="C36" s="8">
        <f>IFERROR(B36/B444, "NA")</f>
        <v>0.1311518819544511</v>
      </c>
      <c r="D36" s="9"/>
      <c r="E36" s="7">
        <v>0</v>
      </c>
      <c r="F36" s="8">
        <f>IFERROR(E36/E444, "NA")</f>
        <v>0</v>
      </c>
      <c r="G36" s="9"/>
      <c r="H36" s="10">
        <f t="shared" si="8"/>
        <v>12278.19</v>
      </c>
      <c r="I36" s="8">
        <f>IFERROR(H36/H444, "NA")</f>
        <v>-0.32325445165672595</v>
      </c>
      <c r="J36" s="9"/>
      <c r="K36" s="7">
        <v>9131.5300000000007</v>
      </c>
      <c r="L36" s="8">
        <f>IFERROR(K36/K444, "NA")</f>
        <v>8.3959383339364896E-2</v>
      </c>
      <c r="M36" s="9"/>
      <c r="N36" s="10">
        <f t="shared" si="9"/>
        <v>3146.66</v>
      </c>
      <c r="O36" s="8">
        <f>IFERROR(N36/N444, "NA")</f>
        <v>-0.20779387156462523</v>
      </c>
      <c r="P36" s="9"/>
      <c r="Q36" s="7">
        <v>66471.22</v>
      </c>
      <c r="R36" s="8">
        <f>IFERROR(Q36/Q444, "NA")</f>
        <v>0.18458762445863597</v>
      </c>
      <c r="S36" s="9"/>
      <c r="T36" s="7">
        <v>0</v>
      </c>
      <c r="U36" s="8">
        <f>IFERROR(T36/T444, "NA")</f>
        <v>0</v>
      </c>
      <c r="V36" s="9"/>
      <c r="W36" s="10">
        <f t="shared" si="10"/>
        <v>66471.22</v>
      </c>
      <c r="X36" s="8">
        <f>IFERROR(W36/W444, "NA")</f>
        <v>-22.25648563584026</v>
      </c>
      <c r="Y36" s="9"/>
      <c r="Z36" s="7">
        <v>35667.29</v>
      </c>
      <c r="AA36" s="8">
        <f>IFERROR(Z36/Z444, "NA")</f>
        <v>0.11435184269377113</v>
      </c>
      <c r="AB36" s="9"/>
      <c r="AC36" s="10">
        <f t="shared" si="11"/>
        <v>30803.93</v>
      </c>
      <c r="AD36" s="8">
        <f>IFERROR(AC36/AC444, "NA")</f>
        <v>0.63910849100839251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1405.1</v>
      </c>
      <c r="C39" s="8">
        <f>IFERROR(B39/B444, "NA")</f>
        <v>1.5008849784389983E-2</v>
      </c>
      <c r="D39" s="9"/>
      <c r="E39" s="7">
        <v>0</v>
      </c>
      <c r="F39" s="8">
        <f>IFERROR(E39/E444, "NA")</f>
        <v>0</v>
      </c>
      <c r="G39" s="9"/>
      <c r="H39" s="10">
        <f t="shared" si="8"/>
        <v>1405.1</v>
      </c>
      <c r="I39" s="8">
        <f>IFERROR(H39/H444, "NA")</f>
        <v>-3.6992816532637592E-2</v>
      </c>
      <c r="J39" s="9"/>
      <c r="K39" s="7">
        <v>913.45</v>
      </c>
      <c r="L39" s="8">
        <f>IFERROR(K39/K444, "NA")</f>
        <v>8.398669085174431E-3</v>
      </c>
      <c r="M39" s="9"/>
      <c r="N39" s="10">
        <f t="shared" si="9"/>
        <v>491.64999999999986</v>
      </c>
      <c r="O39" s="8">
        <f>IFERROR(N39/N444, "NA")</f>
        <v>-3.2466760614349173E-2</v>
      </c>
      <c r="P39" s="9"/>
      <c r="Q39" s="7">
        <v>3694.68</v>
      </c>
      <c r="R39" s="8">
        <f>IFERROR(Q39/Q444, "NA")</f>
        <v>1.0259962196193077E-2</v>
      </c>
      <c r="S39" s="9"/>
      <c r="T39" s="7">
        <v>0</v>
      </c>
      <c r="U39" s="8">
        <f>IFERROR(T39/T444, "NA")</f>
        <v>0</v>
      </c>
      <c r="V39" s="9"/>
      <c r="W39" s="10">
        <f t="shared" si="10"/>
        <v>3694.68</v>
      </c>
      <c r="X39" s="8">
        <f>IFERROR(W39/W444, "NA")</f>
        <v>-1.2370856492332514</v>
      </c>
      <c r="Y39" s="9"/>
      <c r="Z39" s="7">
        <v>3658.94</v>
      </c>
      <c r="AA39" s="8">
        <f>IFERROR(Z39/Z444, "NA")</f>
        <v>1.17308192269709E-2</v>
      </c>
      <c r="AB39" s="9"/>
      <c r="AC39" s="10">
        <f t="shared" si="11"/>
        <v>35.739999999999782</v>
      </c>
      <c r="AD39" s="8">
        <f>IFERROR(AC39/AC444, "NA")</f>
        <v>7.4152023682172398E-4</v>
      </c>
    </row>
    <row r="40" spans="1:30" ht="16.5" customHeight="1" x14ac:dyDescent="0.45">
      <c r="A40" s="13" t="s">
        <v>40</v>
      </c>
      <c r="B40" s="14">
        <f>IFERROR(B31+B32+B33+B34+B35+B36+B37+B38+B39, "NA")</f>
        <v>25826.47</v>
      </c>
      <c r="C40" s="15">
        <f>IFERROR(B40/B444, "NA")</f>
        <v>0.27587047803790077</v>
      </c>
      <c r="D40" s="2"/>
      <c r="E40" s="14">
        <f>IFERROR(E31+E32+E33+E34+E35+E36+E37+E38+E39, "NA")</f>
        <v>31979.08</v>
      </c>
      <c r="F40" s="15">
        <f>IFERROR(E40/E444, "NA")</f>
        <v>0.24300000417929482</v>
      </c>
      <c r="G40" s="2"/>
      <c r="H40" s="14">
        <f t="shared" si="8"/>
        <v>-6152.6100000000006</v>
      </c>
      <c r="I40" s="15">
        <f>IFERROR(H40/H444, "NA")</f>
        <v>0.16198304243603404</v>
      </c>
      <c r="J40" s="2"/>
      <c r="K40" s="14">
        <f>IFERROR(K31+K32+K33+K34+K35+K36+K37+K38+K39, "NA")</f>
        <v>16568.34</v>
      </c>
      <c r="L40" s="15">
        <f>IFERROR(K40/K444, "NA")</f>
        <v>0.15233675072599367</v>
      </c>
      <c r="M40" s="2"/>
      <c r="N40" s="14">
        <f t="shared" si="9"/>
        <v>9258.130000000001</v>
      </c>
      <c r="O40" s="15">
        <f>IFERROR(N40/N444, "NA")</f>
        <v>-0.61137290846440484</v>
      </c>
      <c r="P40" s="2"/>
      <c r="Q40" s="14">
        <f>IFERROR(Q31+Q32+Q33+Q34+Q35+Q36+Q37+Q38+Q39, "NA")</f>
        <v>119711.82999999999</v>
      </c>
      <c r="R40" s="15">
        <f>IFERROR(Q40/Q444, "NA")</f>
        <v>0.33243443281612806</v>
      </c>
      <c r="S40" s="2"/>
      <c r="T40" s="14">
        <f>IFERROR(T31+T32+T33+T34+T35+T36+T37+T38+T39, "NA")</f>
        <v>88231.64</v>
      </c>
      <c r="U40" s="15">
        <f>IFERROR(T40/T444, "NA")</f>
        <v>0.24299998576123116</v>
      </c>
      <c r="V40" s="2"/>
      <c r="W40" s="14">
        <f t="shared" si="10"/>
        <v>31480.189999999988</v>
      </c>
      <c r="X40" s="15">
        <f>IFERROR(W40/W444, "NA")</f>
        <v>-10.540477466014945</v>
      </c>
      <c r="Y40" s="2"/>
      <c r="Z40" s="14">
        <f>IFERROR(Z31+Z32+Z33+Z34+Z35+Z36+Z37+Z38+Z39, "NA")</f>
        <v>64990.44</v>
      </c>
      <c r="AA40" s="15">
        <f>IFERROR(Z40/Z444, "NA")</f>
        <v>0.2083639259242564</v>
      </c>
      <c r="AB40" s="2"/>
      <c r="AC40" s="14">
        <f t="shared" si="11"/>
        <v>54721.389999999985</v>
      </c>
      <c r="AD40" s="15">
        <f>IFERROR(AC40/AC444, "NA")</f>
        <v>1.1353390618918342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2677.53</v>
      </c>
      <c r="C43" s="8">
        <f>IFERROR(B43/B444, "NA")</f>
        <v>2.8600559079921511E-2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2677.53</v>
      </c>
      <c r="I43" s="8">
        <f>IFERROR(H43/H444, "NA")</f>
        <v>-7.0492759270253474E-2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2677.53</v>
      </c>
      <c r="O43" s="8">
        <f>IFERROR(N43/N444, "NA")</f>
        <v>-0.17681424905469006</v>
      </c>
      <c r="P43" s="9"/>
      <c r="Q43" s="7">
        <v>14822.42</v>
      </c>
      <c r="R43" s="8">
        <f>IFERROR(Q43/Q444, "NA")</f>
        <v>4.1161201743072792E-2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14822.42</v>
      </c>
      <c r="X43" s="8">
        <f>IFERROR(W43/W444, "NA")</f>
        <v>-4.9629746199692342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14822.42</v>
      </c>
      <c r="AD43" s="8">
        <f>IFERROR(AC43/AC444, "NA")</f>
        <v>0.30753006123869964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26715.03</v>
      </c>
      <c r="F46" s="8">
        <f>IFERROR(E46/E444, "NA")</f>
        <v>0.20299997378442361</v>
      </c>
      <c r="G46" s="9"/>
      <c r="H46" s="10">
        <f t="shared" ref="H46:H62" si="12">IFERROR(B46-E46, "NA")</f>
        <v>-26715.03</v>
      </c>
      <c r="I46" s="8">
        <f>IFERROR(H46/H444, "NA")</f>
        <v>0.70334083229229893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73707.91</v>
      </c>
      <c r="U46" s="8">
        <f>IFERROR(T46/T444, "NA")</f>
        <v>0.20299997915135781</v>
      </c>
      <c r="V46" s="9"/>
      <c r="W46" s="10">
        <f t="shared" ref="W46:W62" si="14">IFERROR(Q46-T46, "NA")</f>
        <v>-73707.91</v>
      </c>
      <c r="X46" s="8">
        <f>IFERROR(W46/W444, "NA")</f>
        <v>24.679538605772645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9755.99</v>
      </c>
      <c r="C48" s="8">
        <f>IFERROR(B48/B444, "NA")</f>
        <v>0.10421051057434405</v>
      </c>
      <c r="D48" s="9"/>
      <c r="E48" s="7">
        <v>0</v>
      </c>
      <c r="F48" s="8">
        <f>IFERROR(E48/E444, "NA")</f>
        <v>0</v>
      </c>
      <c r="G48" s="9"/>
      <c r="H48" s="10">
        <f t="shared" si="12"/>
        <v>9755.99</v>
      </c>
      <c r="I48" s="8">
        <f>IFERROR(H48/H444, "NA")</f>
        <v>-0.25685114807789272</v>
      </c>
      <c r="J48" s="9"/>
      <c r="K48" s="7">
        <v>36636.21</v>
      </c>
      <c r="L48" s="8">
        <f>IFERROR(K48/K444, "NA")</f>
        <v>0.33684975020522007</v>
      </c>
      <c r="M48" s="9"/>
      <c r="N48" s="10">
        <f t="shared" si="13"/>
        <v>-26880.22</v>
      </c>
      <c r="O48" s="8">
        <f>IFERROR(N48/N444, "NA")</f>
        <v>1.7750710220706625</v>
      </c>
      <c r="P48" s="9"/>
      <c r="Q48" s="7">
        <v>26992.39</v>
      </c>
      <c r="R48" s="8">
        <f>IFERROR(Q48/Q444, "NA")</f>
        <v>7.4956667691085568E-2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26992.39</v>
      </c>
      <c r="X48" s="8">
        <f>IFERROR(W48/W444, "NA")</f>
        <v>-9.0378323176857336</v>
      </c>
      <c r="Y48" s="9"/>
      <c r="Z48" s="7">
        <v>54805.97</v>
      </c>
      <c r="AA48" s="8">
        <f>IFERROR(Z48/Z444, "NA")</f>
        <v>0.17571179812426288</v>
      </c>
      <c r="AB48" s="9"/>
      <c r="AC48" s="10">
        <f t="shared" si="15"/>
        <v>-27813.58</v>
      </c>
      <c r="AD48" s="8">
        <f>IFERROR(AC48/AC444, "NA")</f>
        <v>-0.57706582060604628</v>
      </c>
    </row>
    <row r="49" spans="1:30" ht="16.5" customHeight="1" x14ac:dyDescent="0.45">
      <c r="A49" s="17" t="s">
        <v>47</v>
      </c>
      <c r="B49" s="7">
        <v>5</v>
      </c>
      <c r="C49" s="8">
        <f>IFERROR(B49/B444, "NA")</f>
        <v>5.3408475497793694E-5</v>
      </c>
      <c r="D49" s="9"/>
      <c r="E49" s="7">
        <v>0</v>
      </c>
      <c r="F49" s="8">
        <f>IFERROR(E49/E444, "NA")</f>
        <v>0</v>
      </c>
      <c r="G49" s="9"/>
      <c r="H49" s="10">
        <f t="shared" si="12"/>
        <v>5</v>
      </c>
      <c r="I49" s="8">
        <f>IFERROR(H49/H444, "NA")</f>
        <v>-1.3163766469517329E-4</v>
      </c>
      <c r="J49" s="9"/>
      <c r="K49" s="7">
        <v>0</v>
      </c>
      <c r="L49" s="8">
        <f>IFERROR(K49/K444, "NA")</f>
        <v>0</v>
      </c>
      <c r="M49" s="9"/>
      <c r="N49" s="10">
        <f t="shared" si="13"/>
        <v>5</v>
      </c>
      <c r="O49" s="8">
        <f>IFERROR(N49/N444, "NA")</f>
        <v>-3.3018163952353485E-4</v>
      </c>
      <c r="P49" s="9"/>
      <c r="Q49" s="7">
        <v>5</v>
      </c>
      <c r="R49" s="8">
        <f>IFERROR(Q49/Q444, "NA")</f>
        <v>1.3884777837584144E-5</v>
      </c>
      <c r="S49" s="9"/>
      <c r="T49" s="7">
        <v>0</v>
      </c>
      <c r="U49" s="8">
        <f>IFERROR(T49/T444, "NA")</f>
        <v>0</v>
      </c>
      <c r="V49" s="9"/>
      <c r="W49" s="10">
        <f t="shared" si="14"/>
        <v>5</v>
      </c>
      <c r="X49" s="8">
        <f>IFERROR(W49/W444, "NA")</f>
        <v>-1.6741445121543023E-3</v>
      </c>
      <c r="Y49" s="9"/>
      <c r="Z49" s="7">
        <v>410.02</v>
      </c>
      <c r="AA49" s="8">
        <f>IFERROR(Z49/Z444, "NA")</f>
        <v>1.314552985138485E-3</v>
      </c>
      <c r="AB49" s="9"/>
      <c r="AC49" s="10">
        <f t="shared" si="15"/>
        <v>-405.02</v>
      </c>
      <c r="AD49" s="8">
        <f>IFERROR(AC49/AC444, "NA")</f>
        <v>-8.4032044297016363E-3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15.85</v>
      </c>
      <c r="C54" s="8">
        <f>IFERROR(B54/B444, "NA")</f>
        <v>1.69304867328006E-4</v>
      </c>
      <c r="D54" s="9"/>
      <c r="E54" s="7">
        <v>0</v>
      </c>
      <c r="F54" s="8">
        <f>IFERROR(E54/E444, "NA")</f>
        <v>0</v>
      </c>
      <c r="G54" s="9"/>
      <c r="H54" s="10">
        <f t="shared" si="12"/>
        <v>15.85</v>
      </c>
      <c r="I54" s="8">
        <f>IFERROR(H54/H444, "NA")</f>
        <v>-4.1729139708369928E-4</v>
      </c>
      <c r="J54" s="9"/>
      <c r="K54" s="7">
        <v>0</v>
      </c>
      <c r="L54" s="8">
        <f>IFERROR(K54/K444, "NA")</f>
        <v>0</v>
      </c>
      <c r="M54" s="9"/>
      <c r="N54" s="10">
        <f t="shared" si="13"/>
        <v>15.85</v>
      </c>
      <c r="O54" s="8">
        <f>IFERROR(N54/N444, "NA")</f>
        <v>-1.0466757972896054E-3</v>
      </c>
      <c r="P54" s="9"/>
      <c r="Q54" s="7">
        <v>15.85</v>
      </c>
      <c r="R54" s="8">
        <f>IFERROR(Q54/Q444, "NA")</f>
        <v>4.4014745745141735E-5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15.85</v>
      </c>
      <c r="X54" s="8">
        <f>IFERROR(W54/W444, "NA")</f>
        <v>-5.3070381035291376E-3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15.85</v>
      </c>
      <c r="AD54" s="8">
        <f>IFERROR(AC54/AC444, "NA")</f>
        <v>3.2884990916688293E-4</v>
      </c>
    </row>
    <row r="55" spans="1:30" ht="16.5" customHeight="1" x14ac:dyDescent="0.45">
      <c r="A55" s="17" t="s">
        <v>53</v>
      </c>
      <c r="B55" s="7">
        <v>678.61</v>
      </c>
      <c r="C55" s="8">
        <f>IFERROR(B55/B444, "NA")</f>
        <v>7.2487051115115555E-3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678.61</v>
      </c>
      <c r="I55" s="8">
        <f>IFERROR(H55/H444, "NA")</f>
        <v>-1.786612712775831E-2</v>
      </c>
      <c r="J55" s="9"/>
      <c r="K55" s="7">
        <v>487.49</v>
      </c>
      <c r="L55" s="8">
        <f>IFERROR(K55/K444, "NA")</f>
        <v>4.4822017541536838E-3</v>
      </c>
      <c r="M55" s="9"/>
      <c r="N55" s="10">
        <f t="shared" si="13"/>
        <v>191.12</v>
      </c>
      <c r="O55" s="8">
        <f>IFERROR(N55/N444, "NA")</f>
        <v>-1.2620862989147595E-2</v>
      </c>
      <c r="P55" s="9"/>
      <c r="Q55" s="7">
        <v>1337.49</v>
      </c>
      <c r="R55" s="8">
        <f>IFERROR(Q55/Q444, "NA")</f>
        <v>3.7141503019980831E-3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1337.49</v>
      </c>
      <c r="X55" s="8">
        <f>IFERROR(W55/W444, "NA")</f>
        <v>-0.44783030871225155</v>
      </c>
      <c r="Y55" s="9"/>
      <c r="Z55" s="7">
        <v>1551.3</v>
      </c>
      <c r="AA55" s="8">
        <f>IFERROR(Z55/Z444, "NA")</f>
        <v>4.9735770105002975E-3</v>
      </c>
      <c r="AB55" s="9"/>
      <c r="AC55" s="10">
        <f t="shared" si="15"/>
        <v>-213.80999999999995</v>
      </c>
      <c r="AD55" s="8">
        <f>IFERROR(AC55/AC444, "NA")</f>
        <v>-4.4360504150770487E-3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873.15</v>
      </c>
      <c r="L59" s="8">
        <f>IFERROR(K59/K444, "NA")</f>
        <v>8.0281328060868712E-3</v>
      </c>
      <c r="M59" s="9"/>
      <c r="N59" s="10">
        <f t="shared" si="13"/>
        <v>-873.15</v>
      </c>
      <c r="O59" s="8">
        <f>IFERROR(N59/N444, "NA")</f>
        <v>5.7659619709994885E-2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2292.6</v>
      </c>
      <c r="AA59" s="8">
        <f>IFERROR(Z59/Z444, "NA")</f>
        <v>7.3502369975330245E-3</v>
      </c>
      <c r="AB59" s="9"/>
      <c r="AC59" s="10">
        <f t="shared" si="15"/>
        <v>-2292.6</v>
      </c>
      <c r="AD59" s="8">
        <f>IFERROR(AC59/AC444, "NA")</f>
        <v>-4.7566012729084908E-2</v>
      </c>
    </row>
    <row r="60" spans="1:30" ht="16.5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14.1</v>
      </c>
      <c r="L60" s="8">
        <f>IFERROR(K60/K444, "NA")</f>
        <v>1.2964172543758219E-4</v>
      </c>
      <c r="M60" s="9"/>
      <c r="N60" s="10">
        <f t="shared" si="13"/>
        <v>-14.1</v>
      </c>
      <c r="O60" s="8">
        <f>IFERROR(N60/N444, "NA")</f>
        <v>9.3111222345636821E-4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116.96</v>
      </c>
      <c r="AA60" s="8">
        <f>IFERROR(Z60/Z444, "NA")</f>
        <v>3.7498199390711967E-4</v>
      </c>
      <c r="AB60" s="9"/>
      <c r="AC60" s="10">
        <f t="shared" si="15"/>
        <v>-116.96</v>
      </c>
      <c r="AD60" s="8">
        <f>IFERROR(AC60/AC444, "NA")</f>
        <v>-2.4266426104831941E-3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10455.450000000001</v>
      </c>
      <c r="C61" s="15">
        <f>IFERROR(B61/B444, "NA")</f>
        <v>0.11168192902868142</v>
      </c>
      <c r="D61" s="2"/>
      <c r="E61" s="14">
        <f>IFERROR(E46+E47+E48+E49+E50+E51+E52+E53+E54+E55+E56+E57+E58+E59+E60, "NA")</f>
        <v>26715.03</v>
      </c>
      <c r="F61" s="15">
        <f>IFERROR(E61/E444, "NA")</f>
        <v>0.20299997378442361</v>
      </c>
      <c r="G61" s="2"/>
      <c r="H61" s="14">
        <f t="shared" si="12"/>
        <v>-16259.579999999998</v>
      </c>
      <c r="I61" s="15">
        <f>IFERROR(H61/H444, "NA")</f>
        <v>0.42807462802486906</v>
      </c>
      <c r="J61" s="2"/>
      <c r="K61" s="14">
        <f>IFERROR(K46+K47+K48+K49+K50+K51+K52+K53+K54+K55+K56+K57+K58+K59+K60, "NA")</f>
        <v>38010.949999999997</v>
      </c>
      <c r="L61" s="15">
        <f>IFERROR(K61/K444, "NA")</f>
        <v>0.34948972649089821</v>
      </c>
      <c r="M61" s="2"/>
      <c r="N61" s="14">
        <f t="shared" si="13"/>
        <v>-27555.499999999996</v>
      </c>
      <c r="O61" s="15">
        <f>IFERROR(N61/N444, "NA")</f>
        <v>1.8196640335781527</v>
      </c>
      <c r="P61" s="2"/>
      <c r="Q61" s="14">
        <f>IFERROR(Q46+Q47+Q48+Q49+Q50+Q51+Q52+Q53+Q54+Q55+Q56+Q57+Q58+Q59+Q60, "NA")</f>
        <v>28350.73</v>
      </c>
      <c r="R61" s="15">
        <f>IFERROR(Q61/Q444, "NA")</f>
        <v>7.872871751666638E-2</v>
      </c>
      <c r="S61" s="2"/>
      <c r="T61" s="14">
        <f>IFERROR(T46+T47+T48+T49+T50+T51+T52+T53+T54+T55+T56+T57+T58+T59+T60, "NA")</f>
        <v>73707.91</v>
      </c>
      <c r="U61" s="15">
        <f>IFERROR(T61/T444, "NA")</f>
        <v>0.20299997915135781</v>
      </c>
      <c r="V61" s="2"/>
      <c r="W61" s="14">
        <f t="shared" si="14"/>
        <v>-45357.180000000008</v>
      </c>
      <c r="X61" s="15">
        <f>IFERROR(W61/W444, "NA")</f>
        <v>15.186894796758978</v>
      </c>
      <c r="Y61" s="2"/>
      <c r="Z61" s="14">
        <f>IFERROR(Z46+Z47+Z48+Z49+Z50+Z51+Z52+Z53+Z54+Z55+Z56+Z57+Z58+Z59+Z60, "NA")</f>
        <v>59176.85</v>
      </c>
      <c r="AA61" s="15">
        <f>IFERROR(Z61/Z444, "NA")</f>
        <v>0.18972514711134178</v>
      </c>
      <c r="AB61" s="2"/>
      <c r="AC61" s="14">
        <f t="shared" si="15"/>
        <v>-30826.12</v>
      </c>
      <c r="AD61" s="15">
        <f>IFERROR(AC61/AC444, "NA")</f>
        <v>-0.6395688808812261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13132.980000000001</v>
      </c>
      <c r="C62" s="15">
        <f>IFERROR(B62/B444, "NA")</f>
        <v>0.14028248810860294</v>
      </c>
      <c r="D62" s="2"/>
      <c r="E62" s="14">
        <f>IFERROR(E42+E43+E44+E46+E47+E48+E49+E50+E51+E52+E53+E54+E55+E56+E57+E58+E59+E60, "NA")</f>
        <v>26715.03</v>
      </c>
      <c r="F62" s="15">
        <f>IFERROR(E62/E444, "NA")</f>
        <v>0.20299997378442361</v>
      </c>
      <c r="G62" s="2"/>
      <c r="H62" s="14">
        <f t="shared" si="12"/>
        <v>-13582.049999999997</v>
      </c>
      <c r="I62" s="15">
        <f>IFERROR(H62/H444, "NA")</f>
        <v>0.35758186875461556</v>
      </c>
      <c r="J62" s="2"/>
      <c r="K62" s="14">
        <f>IFERROR(K42+K43+K44+K46+K47+K48+K49+K50+K51+K52+K53+K54+K55+K56+K57+K58+K59+K60, "NA")</f>
        <v>38010.949999999997</v>
      </c>
      <c r="L62" s="15">
        <f>IFERROR(K62/K444, "NA")</f>
        <v>0.34948972649089821</v>
      </c>
      <c r="M62" s="2"/>
      <c r="N62" s="14">
        <f t="shared" si="13"/>
        <v>-24877.969999999994</v>
      </c>
      <c r="O62" s="15">
        <f>IFERROR(N62/N444, "NA")</f>
        <v>1.6428497845234624</v>
      </c>
      <c r="P62" s="2"/>
      <c r="Q62" s="14">
        <f>IFERROR(Q42+Q43+Q44+Q46+Q47+Q48+Q49+Q50+Q51+Q52+Q53+Q54+Q55+Q56+Q57+Q58+Q59+Q60, "NA")</f>
        <v>43173.149999999994</v>
      </c>
      <c r="R62" s="15">
        <f>IFERROR(Q62/Q444, "NA")</f>
        <v>0.11988991925973916</v>
      </c>
      <c r="S62" s="2"/>
      <c r="T62" s="14">
        <f>IFERROR(T42+T43+T44+T46+T47+T48+T49+T50+T51+T52+T53+T54+T55+T56+T57+T58+T59+T60, "NA")</f>
        <v>73707.91</v>
      </c>
      <c r="U62" s="15">
        <f>IFERROR(T62/T444, "NA")</f>
        <v>0.20299997915135781</v>
      </c>
      <c r="V62" s="2"/>
      <c r="W62" s="14">
        <f t="shared" si="14"/>
        <v>-30534.760000000009</v>
      </c>
      <c r="X62" s="15">
        <f>IFERROR(W62/W444, "NA")</f>
        <v>10.223920176789743</v>
      </c>
      <c r="Y62" s="2"/>
      <c r="Z62" s="14">
        <f>IFERROR(Z42+Z43+Z44+Z46+Z47+Z48+Z49+Z50+Z51+Z52+Z53+Z54+Z55+Z56+Z57+Z58+Z59+Z60, "NA")</f>
        <v>59176.85</v>
      </c>
      <c r="AA62" s="15">
        <f>IFERROR(Z62/Z444, "NA")</f>
        <v>0.18972514711134178</v>
      </c>
      <c r="AB62" s="2"/>
      <c r="AC62" s="14">
        <f t="shared" si="15"/>
        <v>-16003.700000000004</v>
      </c>
      <c r="AD62" s="15">
        <f>IFERROR(AC62/AC444, "NA")</f>
        <v>-0.33203881964252657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2299.42</v>
      </c>
      <c r="C65" s="8">
        <f>IFERROR(B65/B444, "NA")</f>
        <v>2.4561703345827354E-2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2299.42</v>
      </c>
      <c r="I65" s="8">
        <f>IFERROR(H65/H444, "NA")</f>
        <v>-6.0538055790675074E-2</v>
      </c>
      <c r="J65" s="9"/>
      <c r="K65" s="7">
        <v>364.71</v>
      </c>
      <c r="L65" s="8">
        <f>IFERROR(K65/K444, "NA")</f>
        <v>3.3533073534993334E-3</v>
      </c>
      <c r="M65" s="9"/>
      <c r="N65" s="10">
        <f t="shared" si="17"/>
        <v>1934.71</v>
      </c>
      <c r="O65" s="8">
        <f>IFERROR(N65/N444, "NA")</f>
        <v>-0.12776114396051563</v>
      </c>
      <c r="P65" s="9"/>
      <c r="Q65" s="7">
        <v>8000.49</v>
      </c>
      <c r="R65" s="8">
        <f>IFERROR(Q65/Q444, "NA")</f>
        <v>2.221700524836271E-2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8000.49</v>
      </c>
      <c r="X65" s="8">
        <f>IFERROR(W65/W444, "NA")</f>
        <v>-2.6787952856090747</v>
      </c>
      <c r="Y65" s="9"/>
      <c r="Z65" s="7">
        <v>364.71</v>
      </c>
      <c r="AA65" s="8">
        <f>IFERROR(Z65/Z444, "NA")</f>
        <v>1.1692859353442683E-3</v>
      </c>
      <c r="AB65" s="9"/>
      <c r="AC65" s="10">
        <f t="shared" si="19"/>
        <v>7635.78</v>
      </c>
      <c r="AD65" s="8">
        <f>IFERROR(AC65/AC444, "NA")</f>
        <v>0.15842432551535024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0</v>
      </c>
      <c r="AD66" s="8">
        <f>IFERROR(AC66/AC444,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2299.42</v>
      </c>
      <c r="C73" s="15">
        <f>IFERROR(B73/B444, "NA")</f>
        <v>2.4561703345827354E-2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2299.42</v>
      </c>
      <c r="I73" s="15">
        <f>IFERROR(H73/H444, "NA")</f>
        <v>-6.0538055790675074E-2</v>
      </c>
      <c r="J73" s="2"/>
      <c r="K73" s="14">
        <f>IFERROR(K64+K65+K66+K67+K68+K69+K70+K71+K72, "NA")</f>
        <v>364.71</v>
      </c>
      <c r="L73" s="15">
        <f>IFERROR(K73/K444, "NA")</f>
        <v>3.3533073534993334E-3</v>
      </c>
      <c r="M73" s="2"/>
      <c r="N73" s="14">
        <f t="shared" si="17"/>
        <v>1934.71</v>
      </c>
      <c r="O73" s="15">
        <f>IFERROR(N73/N444, "NA")</f>
        <v>-0.12776114396051563</v>
      </c>
      <c r="P73" s="2"/>
      <c r="Q73" s="14">
        <f>IFERROR(Q64+Q65+Q66+Q67+Q68+Q69+Q70+Q71+Q72, "NA")</f>
        <v>8000.49</v>
      </c>
      <c r="R73" s="15">
        <f>IFERROR(Q73/Q444, "NA")</f>
        <v>2.221700524836271E-2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8000.49</v>
      </c>
      <c r="X73" s="15">
        <f>IFERROR(W73/W444, "NA")</f>
        <v>-2.6787952856090747</v>
      </c>
      <c r="Y73" s="2"/>
      <c r="Z73" s="14">
        <f>IFERROR(Z64+Z65+Z66+Z67+Z68+Z69+Z70+Z71+Z72, "NA")</f>
        <v>364.71</v>
      </c>
      <c r="AA73" s="15">
        <f>IFERROR(Z73/Z444, "NA")</f>
        <v>1.1692859353442683E-3</v>
      </c>
      <c r="AB73" s="2"/>
      <c r="AC73" s="14">
        <f t="shared" si="19"/>
        <v>7635.78</v>
      </c>
      <c r="AD73" s="15">
        <f>IFERROR(AC73/AC444, "NA")</f>
        <v>0.15842432551535024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2237.2199999999998</v>
      </c>
      <c r="F75" s="8">
        <f>IFERROR(E75/E444, "NA")</f>
        <v>1.7000003419423006E-2</v>
      </c>
      <c r="G75" s="9"/>
      <c r="H75" s="10">
        <f t="shared" ref="H75:H92" si="20">IFERROR(B75-E75, "NA")</f>
        <v>-2237.2199999999998</v>
      </c>
      <c r="I75" s="8">
        <f>IFERROR(H75/H444, "NA")</f>
        <v>5.8900483241867106E-2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6172.58</v>
      </c>
      <c r="U75" s="8">
        <f>IFERROR(T75/T444, "NA")</f>
        <v>1.6999988350098222E-2</v>
      </c>
      <c r="V75" s="9"/>
      <c r="W75" s="10">
        <f t="shared" ref="W75:W92" si="22">IFERROR(Q75-T75, "NA")</f>
        <v>-6172.58</v>
      </c>
      <c r="X75" s="8">
        <f>IFERROR(W75/W444, "NA")</f>
        <v>2.0667581865666804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380.17</v>
      </c>
      <c r="C77" s="8">
        <f>IFERROR(B77/B444, "NA")</f>
        <v>4.0608600259992456E-3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380.17</v>
      </c>
      <c r="I77" s="8">
        <f>IFERROR(H77/H444, "NA")</f>
        <v>-1.0008938197432806E-2</v>
      </c>
      <c r="J77" s="9"/>
      <c r="K77" s="7">
        <v>98.67</v>
      </c>
      <c r="L77" s="8">
        <f>IFERROR(K77/K444, "NA")</f>
        <v>9.0721624460469758E-4</v>
      </c>
      <c r="M77" s="9"/>
      <c r="N77" s="10">
        <f t="shared" si="21"/>
        <v>281.5</v>
      </c>
      <c r="O77" s="8">
        <f>IFERROR(N77/N444, "NA")</f>
        <v>-1.8589226305175011E-2</v>
      </c>
      <c r="P77" s="9"/>
      <c r="Q77" s="7">
        <v>1476.84</v>
      </c>
      <c r="R77" s="8">
        <f>IFERROR(Q77/Q444, "NA")</f>
        <v>4.1011190603315534E-3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1476.84</v>
      </c>
      <c r="X77" s="8">
        <f>IFERROR(W77/W444, "NA")</f>
        <v>-0.49448871626599189</v>
      </c>
      <c r="Y77" s="9"/>
      <c r="Z77" s="7">
        <v>376.74</v>
      </c>
      <c r="AA77" s="8">
        <f>IFERROR(Z77/Z444, "NA")</f>
        <v>1.2078549622483608E-3</v>
      </c>
      <c r="AB77" s="9"/>
      <c r="AC77" s="10">
        <f t="shared" si="23"/>
        <v>1100.0999999999999</v>
      </c>
      <c r="AD77" s="8">
        <f>IFERROR(AC77/AC444, "NA")</f>
        <v>2.282446593529892E-2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8.9700000000000006</v>
      </c>
      <c r="L79" s="8">
        <f>IFERROR(K79/K444, "NA")</f>
        <v>8.2474204054972514E-5</v>
      </c>
      <c r="M79" s="9"/>
      <c r="N79" s="10">
        <f t="shared" si="21"/>
        <v>-8.9700000000000006</v>
      </c>
      <c r="O79" s="8">
        <f>IFERROR(N79/N444, "NA")</f>
        <v>5.9234586130522157E-4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44.85</v>
      </c>
      <c r="AA79" s="8">
        <f>IFERROR(Z79/Z444, "NA")</f>
        <v>1.4379225741051915E-4</v>
      </c>
      <c r="AB79" s="9"/>
      <c r="AC79" s="10">
        <f t="shared" si="23"/>
        <v>-44.85</v>
      </c>
      <c r="AD79" s="8">
        <f>IFERROR(AC79/AC444, "NA")</f>
        <v>-9.3053113098641644E-4</v>
      </c>
    </row>
    <row r="80" spans="1:30" ht="16.5" customHeight="1" x14ac:dyDescent="0.45">
      <c r="A80" s="12" t="s">
        <v>76</v>
      </c>
      <c r="B80" s="7">
        <v>850.17</v>
      </c>
      <c r="C80" s="8">
        <f>IFERROR(B80/B444, "NA")</f>
        <v>9.0812567227918518E-3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850.17</v>
      </c>
      <c r="I80" s="8">
        <f>IFERROR(H80/H444, "NA")</f>
        <v>-2.2382878678779094E-2</v>
      </c>
      <c r="J80" s="9"/>
      <c r="K80" s="7">
        <v>3761.31</v>
      </c>
      <c r="L80" s="8">
        <f>IFERROR(K80/K444, "NA")</f>
        <v>3.458317151103775E-2</v>
      </c>
      <c r="M80" s="9"/>
      <c r="N80" s="10">
        <f t="shared" si="21"/>
        <v>-2911.14</v>
      </c>
      <c r="O80" s="8">
        <f>IFERROR(N80/N444, "NA")</f>
        <v>0.19224099561650865</v>
      </c>
      <c r="P80" s="9"/>
      <c r="Q80" s="7">
        <v>3072.52</v>
      </c>
      <c r="R80" s="8">
        <f>IFERROR(Q80/Q444, "NA")</f>
        <v>8.5322515203068057E-3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3072.52</v>
      </c>
      <c r="X80" s="8">
        <f>IFERROR(W80/W444, "NA")</f>
        <v>-1.0287684992968673</v>
      </c>
      <c r="Y80" s="9"/>
      <c r="Z80" s="7">
        <v>4726.6499999999996</v>
      </c>
      <c r="AA80" s="8">
        <f>IFERROR(Z80/Z444, "NA")</f>
        <v>1.5153972653053072E-2</v>
      </c>
      <c r="AB80" s="9"/>
      <c r="AC80" s="10">
        <f t="shared" si="23"/>
        <v>-1654.1299999999997</v>
      </c>
      <c r="AD80" s="8">
        <f>IFERROR(AC80/AC444, "NA")</f>
        <v>-3.4319274463736026E-2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25</v>
      </c>
      <c r="AA82" s="8">
        <f>IFERROR(Z82/Z444, "NA")</f>
        <v>8.0151759983566962E-5</v>
      </c>
      <c r="AB82" s="9"/>
      <c r="AC82" s="10">
        <f t="shared" si="23"/>
        <v>-25</v>
      </c>
      <c r="AD82" s="8">
        <f>IFERROR(AC82/AC444, "NA")</f>
        <v>-5.1869070846511506E-4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1230.3399999999999</v>
      </c>
      <c r="C88" s="15">
        <f>IFERROR(B88/B444, "NA")</f>
        <v>1.3142116748791097E-2</v>
      </c>
      <c r="D88" s="2"/>
      <c r="E88" s="14">
        <f>IFERROR(E75+E76+E77+E78+E79+E80+E81+E82+E83+E84+E85+E86+E87, "NA")</f>
        <v>2237.2199999999998</v>
      </c>
      <c r="F88" s="15">
        <f>IFERROR(E88/E444, "NA")</f>
        <v>1.7000003419423006E-2</v>
      </c>
      <c r="G88" s="2"/>
      <c r="H88" s="14">
        <f t="shared" si="20"/>
        <v>-1006.8799999999999</v>
      </c>
      <c r="I88" s="15">
        <f>IFERROR(H88/H444, "NA")</f>
        <v>2.6508666365655211E-2</v>
      </c>
      <c r="J88" s="2"/>
      <c r="K88" s="14">
        <f>IFERROR(K75+K76+K77+K78+K79+K80+K81+K82+K83+K84+K85+K86+K87, "NA")</f>
        <v>3868.95</v>
      </c>
      <c r="L88" s="15">
        <f>IFERROR(K88/K444, "NA")</f>
        <v>3.5572861959697423E-2</v>
      </c>
      <c r="M88" s="2"/>
      <c r="N88" s="14">
        <f t="shared" si="21"/>
        <v>-2638.6099999999997</v>
      </c>
      <c r="O88" s="15">
        <f>IFERROR(N88/N444, "NA")</f>
        <v>0.17424411517263882</v>
      </c>
      <c r="P88" s="2"/>
      <c r="Q88" s="14">
        <f>IFERROR(Q75+Q76+Q77+Q78+Q79+Q80+Q81+Q82+Q83+Q84+Q85+Q86+Q87, "NA")</f>
        <v>4549.3599999999997</v>
      </c>
      <c r="R88" s="15">
        <f>IFERROR(Q88/Q444, "NA")</f>
        <v>1.2633370580638358E-2</v>
      </c>
      <c r="S88" s="2"/>
      <c r="T88" s="14">
        <f>IFERROR(T75+T76+T77+T78+T79+T80+T81+T82+T83+T84+T85+T86+T87, "NA")</f>
        <v>6172.58</v>
      </c>
      <c r="U88" s="15">
        <f>IFERROR(T88/T444, "NA")</f>
        <v>1.6999988350098222E-2</v>
      </c>
      <c r="V88" s="2"/>
      <c r="W88" s="14">
        <f t="shared" si="22"/>
        <v>-1623.2200000000003</v>
      </c>
      <c r="X88" s="15">
        <f>IFERROR(W88/W444, "NA")</f>
        <v>0.54350097100382133</v>
      </c>
      <c r="Y88" s="2"/>
      <c r="Z88" s="14">
        <f>IFERROR(Z75+Z76+Z77+Z78+Z79+Z80+Z81+Z82+Z83+Z84+Z85+Z86+Z87, "NA")</f>
        <v>5173.24</v>
      </c>
      <c r="AA88" s="15">
        <f>IFERROR(Z88/Z444, "NA")</f>
        <v>1.6585771632695517E-2</v>
      </c>
      <c r="AB88" s="2"/>
      <c r="AC88" s="14">
        <f t="shared" si="23"/>
        <v>-623.88000000000011</v>
      </c>
      <c r="AD88" s="15">
        <f>IFERROR(AC88/AC444, "NA")</f>
        <v>-1.2944030367888642E-2</v>
      </c>
    </row>
    <row r="89" spans="1:30" ht="16.5" customHeight="1" x14ac:dyDescent="0.45">
      <c r="A89" s="6" t="s">
        <v>85</v>
      </c>
      <c r="B89" s="7">
        <v>-30.37</v>
      </c>
      <c r="C89" s="8">
        <f>IFERROR(B89/B444, "NA")</f>
        <v>-3.244030801735989E-4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-30.37</v>
      </c>
      <c r="I89" s="8">
        <f>IFERROR(H89/H444, "NA")</f>
        <v>7.9956717535848256E-4</v>
      </c>
      <c r="J89" s="9"/>
      <c r="K89" s="7">
        <v>-264.81</v>
      </c>
      <c r="L89" s="8">
        <f>IFERROR(K89/K444, "NA")</f>
        <v>-2.434781937101145E-3</v>
      </c>
      <c r="M89" s="9"/>
      <c r="N89" s="10">
        <f t="shared" si="21"/>
        <v>234.44</v>
      </c>
      <c r="O89" s="8">
        <f>IFERROR(N89/N444, "NA")</f>
        <v>-1.5481556713979501E-2</v>
      </c>
      <c r="P89" s="9"/>
      <c r="Q89" s="7">
        <v>-109.72</v>
      </c>
      <c r="R89" s="8">
        <f>IFERROR(Q89/Q444, "NA")</f>
        <v>-3.0468756486794641E-4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-109.72</v>
      </c>
      <c r="X89" s="8">
        <f>IFERROR(W89/W444, "NA")</f>
        <v>3.673742717471401E-2</v>
      </c>
      <c r="Y89" s="9"/>
      <c r="Z89" s="7">
        <v>1016.36</v>
      </c>
      <c r="AA89" s="8">
        <f>IFERROR(Z89/Z444, "NA")</f>
        <v>3.258521711075925E-3</v>
      </c>
      <c r="AB89" s="9"/>
      <c r="AC89" s="10">
        <f t="shared" si="23"/>
        <v>-1126.08</v>
      </c>
      <c r="AD89" s="8">
        <f>IFERROR(AC89/AC444, "NA")</f>
        <v>-2.3363489319535868E-2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-4606.04</v>
      </c>
      <c r="F94" s="8">
        <f>IFERROR(E94/E444, "NA")</f>
        <v>-3.4999998100320555E-2</v>
      </c>
      <c r="G94" s="9"/>
      <c r="H94" s="10">
        <f t="shared" ref="H94:H124" si="24">IFERROR(B94-E94, "NA")</f>
        <v>4606.04</v>
      </c>
      <c r="I94" s="8">
        <f>IFERROR(H94/H444, "NA")</f>
        <v>-0.12126566981851118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-12708.26</v>
      </c>
      <c r="U94" s="8">
        <f>IFERROR(T94/T444, "NA")</f>
        <v>-3.4999995455712071E-2</v>
      </c>
      <c r="V94" s="9"/>
      <c r="W94" s="10">
        <f t="shared" ref="W94:W124" si="26">IFERROR(Q94-T94, "NA")</f>
        <v>12708.26</v>
      </c>
      <c r="X94" s="8">
        <f>IFERROR(W94/W444, "NA")</f>
        <v>-4.2550927476060068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-1763.2</v>
      </c>
      <c r="C96" s="8">
        <f>IFERROR(B96/B444, "NA")</f>
        <v>-1.8833964799541969E-2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-1763.2</v>
      </c>
      <c r="I96" s="8">
        <f>IFERROR(H96/H444, "NA")</f>
        <v>4.642070607810591E-2</v>
      </c>
      <c r="J96" s="9"/>
      <c r="K96" s="7">
        <v>-199.55</v>
      </c>
      <c r="L96" s="8">
        <f>IFERROR(K96/K444, "NA")</f>
        <v>-1.834752220643229E-3</v>
      </c>
      <c r="M96" s="9"/>
      <c r="N96" s="10">
        <f t="shared" si="25"/>
        <v>-1563.65</v>
      </c>
      <c r="O96" s="8">
        <f>IFERROR(N96/N444, "NA")</f>
        <v>0.10325770412819506</v>
      </c>
      <c r="P96" s="9"/>
      <c r="Q96" s="7">
        <v>-7218.15</v>
      </c>
      <c r="R96" s="8">
        <f>IFERROR(Q96/Q444, "NA")</f>
        <v>-2.0044481829671595E-2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-7218.15</v>
      </c>
      <c r="X96" s="8">
        <f>IFERROR(W96/W444, "NA")</f>
        <v>2.4168452420813153</v>
      </c>
      <c r="Y96" s="9"/>
      <c r="Z96" s="7">
        <v>-351.13</v>
      </c>
      <c r="AA96" s="8">
        <f>IFERROR(Z96/Z444, "NA")</f>
        <v>-1.1257474993211947E-3</v>
      </c>
      <c r="AB96" s="9"/>
      <c r="AC96" s="10">
        <f t="shared" si="27"/>
        <v>-6867.0199999999995</v>
      </c>
      <c r="AD96" s="8">
        <f>IFERROR(AC96/AC444, "NA")</f>
        <v>-0.14247437875376456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-2019.22</v>
      </c>
      <c r="C98" s="8">
        <f>IFERROR(B98/B444, "NA")</f>
        <v>-2.1568692378930995E-2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-2019.22</v>
      </c>
      <c r="I98" s="8">
        <f>IFERROR(H98/H444, "NA")</f>
        <v>5.3161081061157557E-2</v>
      </c>
      <c r="J98" s="9"/>
      <c r="K98" s="7">
        <v>-1736.59</v>
      </c>
      <c r="L98" s="8">
        <f>IFERROR(K98/K444, "NA")</f>
        <v>-1.5966987516145451E-2</v>
      </c>
      <c r="M98" s="9"/>
      <c r="N98" s="10">
        <f t="shared" si="25"/>
        <v>-282.63000000000011</v>
      </c>
      <c r="O98" s="8">
        <f>IFERROR(N98/N444, "NA")</f>
        <v>1.8663847355707336E-2</v>
      </c>
      <c r="P98" s="9"/>
      <c r="Q98" s="7">
        <v>-6070.19</v>
      </c>
      <c r="R98" s="8">
        <f>IFERROR(Q98/Q444, "NA")</f>
        <v>-1.6856647916384977E-2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-6070.19</v>
      </c>
      <c r="X98" s="8">
        <f>IFERROR(W98/W444, "NA")</f>
        <v>2.0324750552467847</v>
      </c>
      <c r="Y98" s="9"/>
      <c r="Z98" s="7">
        <v>-5081.7700000000004</v>
      </c>
      <c r="AA98" s="8">
        <f>IFERROR(Z98/Z444, "NA")</f>
        <v>-1.6292512373267645E-2</v>
      </c>
      <c r="AB98" s="9"/>
      <c r="AC98" s="10">
        <f t="shared" si="27"/>
        <v>-988.41999999999916</v>
      </c>
      <c r="AD98" s="8">
        <f>IFERROR(AC98/AC444, "NA")</f>
        <v>-2.0507370802443543E-2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-164.25</v>
      </c>
      <c r="C100" s="8">
        <f>IFERROR(B100/B444, "NA")</f>
        <v>-1.7544684201025228E-3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-164.25</v>
      </c>
      <c r="I100" s="8">
        <f>IFERROR(H100/H444, "NA")</f>
        <v>4.3242972852364425E-3</v>
      </c>
      <c r="J100" s="9"/>
      <c r="K100" s="7">
        <v>-2.5</v>
      </c>
      <c r="L100" s="8">
        <f>IFERROR(K100/K444, "NA")</f>
        <v>-2.2986121531486206E-5</v>
      </c>
      <c r="M100" s="9"/>
      <c r="N100" s="10">
        <f t="shared" si="25"/>
        <v>-161.75</v>
      </c>
      <c r="O100" s="8">
        <f>IFERROR(N100/N444, "NA")</f>
        <v>1.0681376038586352E-2</v>
      </c>
      <c r="P100" s="9"/>
      <c r="Q100" s="7">
        <v>-1040.82</v>
      </c>
      <c r="R100" s="8">
        <f>IFERROR(Q100/Q444, "NA")</f>
        <v>-2.8903108937828655E-3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-1040.82</v>
      </c>
      <c r="X100" s="8">
        <f>IFERROR(W100/W444, "NA")</f>
        <v>0.34849661822808814</v>
      </c>
      <c r="Y100" s="9"/>
      <c r="Z100" s="7">
        <v>-4306.05</v>
      </c>
      <c r="AA100" s="8">
        <f>IFERROR(Z100/Z444, "NA")</f>
        <v>-1.3805499443089541E-2</v>
      </c>
      <c r="AB100" s="9"/>
      <c r="AC100" s="10">
        <f t="shared" si="27"/>
        <v>3265.2300000000005</v>
      </c>
      <c r="AD100" s="8">
        <f>IFERROR(AC100/AC444, "NA")</f>
        <v>6.7745778480061913E-2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-610.29999999999995</v>
      </c>
      <c r="C102" s="8">
        <f>IFERROR(B102/B444, "NA")</f>
        <v>-6.5190385192606974E-3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-610.29999999999995</v>
      </c>
      <c r="I102" s="8">
        <f>IFERROR(H102/H444, "NA")</f>
        <v>1.6067693352692848E-2</v>
      </c>
      <c r="J102" s="9"/>
      <c r="K102" s="7">
        <v>-570.35</v>
      </c>
      <c r="L102" s="8">
        <f>IFERROR(K102/K444, "NA")</f>
        <v>-5.2440537661932627E-3</v>
      </c>
      <c r="M102" s="9"/>
      <c r="N102" s="10">
        <f t="shared" si="25"/>
        <v>-39.949999999999932</v>
      </c>
      <c r="O102" s="8">
        <f>IFERROR(N102/N444, "NA")</f>
        <v>2.638151299793039E-3</v>
      </c>
      <c r="P102" s="9"/>
      <c r="Q102" s="7">
        <v>-2857.75</v>
      </c>
      <c r="R102" s="8">
        <f>IFERROR(Q102/Q444, "NA")</f>
        <v>-7.9358447730712173E-3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-2857.75</v>
      </c>
      <c r="X102" s="8">
        <f>IFERROR(W102/W444, "NA")</f>
        <v>0.95685729592179147</v>
      </c>
      <c r="Y102" s="9"/>
      <c r="Z102" s="7">
        <v>-1235</v>
      </c>
      <c r="AA102" s="8">
        <f>IFERROR(Z102/Z444, "NA")</f>
        <v>-3.9594969431882079E-3</v>
      </c>
      <c r="AB102" s="9"/>
      <c r="AC102" s="10">
        <f t="shared" si="27"/>
        <v>-1622.75</v>
      </c>
      <c r="AD102" s="8">
        <f>IFERROR(AC102/AC444, "NA")</f>
        <v>-3.3668213886470615E-2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-629.17999999999995</v>
      </c>
      <c r="C104" s="8">
        <f>IFERROR(B104/B444, "NA")</f>
        <v>-6.7207089227403665E-3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-629.17999999999995</v>
      </c>
      <c r="I104" s="8">
        <f>IFERROR(H104/H444, "NA")</f>
        <v>1.6564757174581824E-2</v>
      </c>
      <c r="J104" s="9"/>
      <c r="K104" s="7">
        <v>-266.16000000000003</v>
      </c>
      <c r="L104" s="8">
        <f>IFERROR(K104/K444, "NA")</f>
        <v>-2.4471944427281477E-3</v>
      </c>
      <c r="M104" s="9"/>
      <c r="N104" s="10">
        <f t="shared" si="25"/>
        <v>-363.01999999999992</v>
      </c>
      <c r="O104" s="8">
        <f>IFERROR(N104/N444, "NA")</f>
        <v>2.3972507755966717E-2</v>
      </c>
      <c r="P104" s="9"/>
      <c r="Q104" s="7">
        <v>-2018.94</v>
      </c>
      <c r="R104" s="8">
        <f>IFERROR(Q104/Q444, "NA")</f>
        <v>-5.6065066734824259E-3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-2018.94</v>
      </c>
      <c r="X104" s="8">
        <f>IFERROR(W104/W444, "NA")</f>
        <v>0.67599946427376145</v>
      </c>
      <c r="Y104" s="9"/>
      <c r="Z104" s="7">
        <v>-3055.12</v>
      </c>
      <c r="AA104" s="8">
        <f>IFERROR(Z104/Z444, "NA")</f>
        <v>-9.7949297984398047E-3</v>
      </c>
      <c r="AB104" s="9"/>
      <c r="AC104" s="10">
        <f t="shared" si="27"/>
        <v>1036.1799999999998</v>
      </c>
      <c r="AD104" s="8">
        <f>IFERROR(AC104/AC444, "NA")</f>
        <v>2.1498277531895312E-2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0</v>
      </c>
      <c r="R106" s="8">
        <f>IFERROR(Q106/Q444, "NA")</f>
        <v>0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0</v>
      </c>
      <c r="X106" s="8">
        <f>IFERROR(W106/W444, "NA")</f>
        <v>0</v>
      </c>
      <c r="Y106" s="9"/>
      <c r="Z106" s="7">
        <v>-713.04</v>
      </c>
      <c r="AA106" s="8">
        <f>IFERROR(Z106/Z444, "NA")</f>
        <v>-2.2860564375473034E-3</v>
      </c>
      <c r="AB106" s="9"/>
      <c r="AC106" s="10">
        <f t="shared" si="27"/>
        <v>713.04</v>
      </c>
      <c r="AD106" s="8">
        <f>IFERROR(AC106/AC444, "NA")</f>
        <v>1.4793888910558625E-2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-20</v>
      </c>
      <c r="L108" s="8">
        <f>IFERROR(K108/K444, "NA")</f>
        <v>-1.8388897225188965E-4</v>
      </c>
      <c r="M108" s="9"/>
      <c r="N108" s="10">
        <f t="shared" si="25"/>
        <v>20</v>
      </c>
      <c r="O108" s="8">
        <f>IFERROR(N108/N444, "NA")</f>
        <v>-1.3207265580941394E-3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-30</v>
      </c>
      <c r="AA108" s="8">
        <f>IFERROR(Z108/Z444, "NA")</f>
        <v>-9.6182111980280363E-5</v>
      </c>
      <c r="AB108" s="9"/>
      <c r="AC108" s="10">
        <f t="shared" si="27"/>
        <v>30</v>
      </c>
      <c r="AD108" s="8">
        <f>IFERROR(AC108/AC444, "NA")</f>
        <v>6.2242885015813807E-4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-5186.1500000000005</v>
      </c>
      <c r="C118" s="15">
        <f>IFERROR(B118/B444, "NA")</f>
        <v>-5.5396873040576555E-2</v>
      </c>
      <c r="D118" s="2"/>
      <c r="E118" s="14">
        <f>IFERROR(E94+E95+E96+E97+E98+E99+E100+E101+E102+E103+E104+E105+E106+E107+E108+E109+E110+E111+E112+E113+E114+E115+E116+E117, "NA")</f>
        <v>-4606.04</v>
      </c>
      <c r="F118" s="15">
        <f>IFERROR(E118/E444, "NA")</f>
        <v>-3.4999998100320555E-2</v>
      </c>
      <c r="G118" s="2"/>
      <c r="H118" s="14">
        <f t="shared" si="24"/>
        <v>-580.11000000000058</v>
      </c>
      <c r="I118" s="15">
        <f>IFERROR(H118/H444, "NA")</f>
        <v>1.5272865133263409E-2</v>
      </c>
      <c r="J118" s="2"/>
      <c r="K118" s="14">
        <f>IFERROR(K94+K95+K96+K97+K98+K99+K100+K101+K102+K103+K104+K105+K106+K107+K108+K109+K110+K111+K112+K113+K114+K115+K116+K117, "NA")</f>
        <v>-2795.1499999999996</v>
      </c>
      <c r="L118" s="15">
        <f>IFERROR(K118/K444, "NA")</f>
        <v>-2.5699863039493464E-2</v>
      </c>
      <c r="M118" s="2"/>
      <c r="N118" s="14">
        <f t="shared" si="25"/>
        <v>-2391.0000000000009</v>
      </c>
      <c r="O118" s="15">
        <f>IFERROR(N118/N444, "NA")</f>
        <v>0.15789286002015443</v>
      </c>
      <c r="P118" s="2"/>
      <c r="Q118" s="14">
        <f>IFERROR(Q94+Q95+Q96+Q97+Q98+Q99+Q100+Q101+Q102+Q103+Q104+Q105+Q106+Q107+Q108+Q109+Q110+Q111+Q112+Q113+Q114+Q115+Q116+Q117, "NA")</f>
        <v>-19205.849999999999</v>
      </c>
      <c r="R118" s="15">
        <f>IFERROR(Q118/Q444, "NA")</f>
        <v>-5.3333792086393078E-2</v>
      </c>
      <c r="S118" s="2"/>
      <c r="T118" s="14">
        <f>IFERROR(T94+T95+T96+T97+T98+T99+T100+T101+T102+T103+T104+T105+T106+T107+T108+T109+T110+T111+T112+T113+T114+T115+T116+T117, "NA")</f>
        <v>-12708.26</v>
      </c>
      <c r="U118" s="15">
        <f>IFERROR(T118/T444, "NA")</f>
        <v>-3.4999995455712071E-2</v>
      </c>
      <c r="V118" s="2"/>
      <c r="W118" s="14">
        <f t="shared" si="26"/>
        <v>-6497.5899999999983</v>
      </c>
      <c r="X118" s="15">
        <f>IFERROR(W118/W444, "NA")</f>
        <v>2.1755809281457341</v>
      </c>
      <c r="Y118" s="2"/>
      <c r="Z118" s="14">
        <f>IFERROR(Z94+Z95+Z96+Z97+Z98+Z99+Z100+Z101+Z102+Z103+Z104+Z105+Z106+Z107+Z108+Z109+Z110+Z111+Z112+Z113+Z114+Z115+Z116+Z117, "NA")</f>
        <v>-14772.11</v>
      </c>
      <c r="AA118" s="15">
        <f>IFERROR(Z118/Z444, "NA")</f>
        <v>-4.7360424606833977E-2</v>
      </c>
      <c r="AB118" s="2"/>
      <c r="AC118" s="14">
        <f t="shared" si="27"/>
        <v>-4433.739999999998</v>
      </c>
      <c r="AD118" s="15">
        <f>IFERROR(AC118/AC444, "NA")</f>
        <v>-9.1989589670004729E-2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93618.10000000002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131601.15</v>
      </c>
      <c r="F122" s="15">
        <f>IFERROR(E122/E444, "NA")</f>
        <v>1</v>
      </c>
      <c r="G122" s="2"/>
      <c r="H122" s="14">
        <f t="shared" si="24"/>
        <v>-37983.049999999974</v>
      </c>
      <c r="I122" s="15">
        <f>IFERROR(H122/H444, "NA")</f>
        <v>0.99999999999999967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108761.28</v>
      </c>
      <c r="L122" s="15">
        <f>IFERROR(K122/K444, "NA")</f>
        <v>1</v>
      </c>
      <c r="M122" s="2"/>
      <c r="N122" s="14">
        <f t="shared" si="25"/>
        <v>-15143.179999999978</v>
      </c>
      <c r="O122" s="15">
        <f>IFERROR(N122/N444, "NA")</f>
        <v>0.999999999999999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360106.58999999997</v>
      </c>
      <c r="R122" s="15">
        <f>IFERROR(Q122/Q444, "NA")</f>
        <v>0.99999999999999989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363093.19</v>
      </c>
      <c r="U122" s="15">
        <f>IFERROR(T122/T444, "NA")</f>
        <v>1</v>
      </c>
      <c r="V122" s="2"/>
      <c r="W122" s="14">
        <f t="shared" si="26"/>
        <v>-2986.6000000000349</v>
      </c>
      <c r="X122" s="15">
        <f>IFERROR(W122/W444, "NA")</f>
        <v>1.0000000000000195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311908.31</v>
      </c>
      <c r="AA122" s="15">
        <f>IFERROR(Z122/Z444, "NA")</f>
        <v>1</v>
      </c>
      <c r="AB122" s="2"/>
      <c r="AC122" s="14">
        <f t="shared" si="27"/>
        <v>48198.27999999997</v>
      </c>
      <c r="AD122" s="15">
        <f>IFERROR(AC122/AC444, "NA")</f>
        <v>0.99999999999999878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93618.10000000002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131601.15</v>
      </c>
      <c r="F124" s="15">
        <f>IFERROR(E124/E444, "NA")</f>
        <v>1</v>
      </c>
      <c r="G124" s="2"/>
      <c r="H124" s="14">
        <f t="shared" si="24"/>
        <v>-37983.049999999974</v>
      </c>
      <c r="I124" s="15">
        <f>IFERROR(H124/H444, "NA")</f>
        <v>0.99999999999999967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108761.28</v>
      </c>
      <c r="L124" s="15">
        <f>IFERROR(K124/K444, "NA")</f>
        <v>1</v>
      </c>
      <c r="M124" s="2"/>
      <c r="N124" s="14">
        <f t="shared" si="25"/>
        <v>-15143.179999999978</v>
      </c>
      <c r="O124" s="15">
        <f>IFERROR(N124/N444, "NA")</f>
        <v>0.999999999999999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360106.58999999997</v>
      </c>
      <c r="R124" s="15">
        <f>IFERROR(Q124/Q444, "NA")</f>
        <v>0.99999999999999989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363093.19</v>
      </c>
      <c r="U124" s="15">
        <f>IFERROR(T124/T444, "NA")</f>
        <v>1</v>
      </c>
      <c r="V124" s="2"/>
      <c r="W124" s="14">
        <f t="shared" si="26"/>
        <v>-2986.6000000000349</v>
      </c>
      <c r="X124" s="15">
        <f>IFERROR(W124/W444, "NA")</f>
        <v>1.0000000000000195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311908.31</v>
      </c>
      <c r="AA124" s="15">
        <f>IFERROR(Z124/Z444, "NA")</f>
        <v>1</v>
      </c>
      <c r="AB124" s="2"/>
      <c r="AC124" s="14">
        <f t="shared" si="27"/>
        <v>48198.27999999997</v>
      </c>
      <c r="AD124" s="15">
        <f>IFERROR(AC124/AC444, "NA")</f>
        <v>0.99999999999999878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29347.06</v>
      </c>
      <c r="F129" s="8">
        <f>IFERROR(E129/E444, "NA")</f>
        <v>0.22300002697544818</v>
      </c>
      <c r="G129" s="9"/>
      <c r="H129" s="10">
        <f t="shared" ref="H129:H141" si="28">IFERROR(-(B129-E129), "NA")</f>
        <v>29347.06</v>
      </c>
      <c r="I129" s="8">
        <f>IFERROR(H129/H444, "NA")</f>
        <v>-0.77263568881382649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83344.25</v>
      </c>
      <c r="U129" s="8">
        <f>IFERROR(T129/T444, "NA")</f>
        <v>0.22953955704870146</v>
      </c>
      <c r="V129" s="9"/>
      <c r="W129" s="10">
        <f t="shared" ref="W129:W141" si="30">IFERROR(-(Q129-T129), "NA")</f>
        <v>83344.25</v>
      </c>
      <c r="X129" s="8">
        <f>IFERROR(W129/W444, "NA")</f>
        <v>-27.90606375142324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5225.8900000000003</v>
      </c>
      <c r="C130" s="8">
        <f>IFERROR(B130/B444, "NA")</f>
        <v>5.5821363603833017E-2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-5225.8900000000003</v>
      </c>
      <c r="I130" s="8">
        <f>IFERROR(H130/H444, "NA")</f>
        <v>0.13758479111077182</v>
      </c>
      <c r="J130" s="9"/>
      <c r="K130" s="7">
        <v>5442.2</v>
      </c>
      <c r="L130" s="8">
        <f>IFERROR(K130/K444, "NA")</f>
        <v>5.0038028239461692E-2</v>
      </c>
      <c r="M130" s="9"/>
      <c r="N130" s="10">
        <f t="shared" si="29"/>
        <v>216.30999999999949</v>
      </c>
      <c r="O130" s="8">
        <f>IFERROR(N130/N444, "NA")</f>
        <v>-1.4284318089067131E-2</v>
      </c>
      <c r="P130" s="9"/>
      <c r="Q130" s="7">
        <v>19568.36</v>
      </c>
      <c r="R130" s="8">
        <f>IFERROR(Q130/Q444, "NA")</f>
        <v>5.4340466249173609E-2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-19568.36</v>
      </c>
      <c r="X130" s="8">
        <f>IFERROR(W130/W444, "NA")</f>
        <v>6.5520525011719526</v>
      </c>
      <c r="Y130" s="9"/>
      <c r="Z130" s="7">
        <v>17993.830000000002</v>
      </c>
      <c r="AA130" s="8">
        <f>IFERROR(Z130/Z444, "NA")</f>
        <v>5.768948573380428E-2</v>
      </c>
      <c r="AB130" s="9"/>
      <c r="AC130" s="10">
        <f t="shared" si="31"/>
        <v>-1574.5299999999988</v>
      </c>
      <c r="AD130" s="8">
        <f>IFERROR(AC130/AC444, "NA")</f>
        <v>-3.2667763247983081E-2</v>
      </c>
    </row>
    <row r="131" spans="1:30" ht="16.5" customHeight="1" x14ac:dyDescent="0.45">
      <c r="A131" s="12" t="s">
        <v>123</v>
      </c>
      <c r="B131" s="7">
        <v>2326.64</v>
      </c>
      <c r="C131" s="8">
        <f>IFERROR(B131/B444, "NA")</f>
        <v>2.485245908643734E-2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-2326.64</v>
      </c>
      <c r="I131" s="8">
        <f>IFERROR(H131/H444, "NA")</f>
        <v>6.1254691237275588E-2</v>
      </c>
      <c r="J131" s="9"/>
      <c r="K131" s="7">
        <v>3056.56</v>
      </c>
      <c r="L131" s="8">
        <f>IFERROR(K131/K444, "NA")</f>
        <v>2.8103383851311791E-2</v>
      </c>
      <c r="M131" s="9"/>
      <c r="N131" s="10">
        <f t="shared" si="29"/>
        <v>729.92000000000007</v>
      </c>
      <c r="O131" s="8">
        <f>IFERROR(N131/N444, "NA")</f>
        <v>-4.8201236464203712E-2</v>
      </c>
      <c r="P131" s="9"/>
      <c r="Q131" s="7">
        <v>10509.15</v>
      </c>
      <c r="R131" s="8">
        <f>IFERROR(Q131/Q444, "NA")</f>
        <v>2.9183442602369478E-2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-10509.15</v>
      </c>
      <c r="X131" s="8">
        <f>IFERROR(W131/W444, "NA")</f>
        <v>3.5187671599812771</v>
      </c>
      <c r="Y131" s="9"/>
      <c r="Z131" s="7">
        <v>9031.27</v>
      </c>
      <c r="AA131" s="8">
        <f>IFERROR(Z131/Z444, "NA")</f>
        <v>2.8954887415471555E-2</v>
      </c>
      <c r="AB131" s="9"/>
      <c r="AC131" s="10">
        <f t="shared" si="31"/>
        <v>-1477.8799999999992</v>
      </c>
      <c r="AD131" s="8">
        <f>IFERROR(AC131/AC444, "NA")</f>
        <v>-3.0662504969056953E-2</v>
      </c>
    </row>
    <row r="132" spans="1:30" ht="16.5" customHeight="1" x14ac:dyDescent="0.45">
      <c r="A132" s="12" t="s">
        <v>124</v>
      </c>
      <c r="B132" s="7">
        <v>3881.84</v>
      </c>
      <c r="C132" s="8">
        <f>IFERROR(B132/B444, "NA")</f>
        <v>4.1464631305271095E-2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-3881.84</v>
      </c>
      <c r="I132" s="8">
        <f>IFERROR(H132/H444, "NA")</f>
        <v>0.1021992704640623</v>
      </c>
      <c r="J132" s="9"/>
      <c r="K132" s="7">
        <v>3195.79</v>
      </c>
      <c r="L132" s="8">
        <f>IFERROR(K132/K444, "NA")</f>
        <v>2.9383526931643322E-2</v>
      </c>
      <c r="M132" s="9"/>
      <c r="N132" s="10">
        <f t="shared" si="29"/>
        <v>-686.05000000000018</v>
      </c>
      <c r="O132" s="8">
        <f>IFERROR(N132/N444, "NA")</f>
        <v>4.5304222759024231E-2</v>
      </c>
      <c r="P132" s="9"/>
      <c r="Q132" s="7">
        <v>13211.14</v>
      </c>
      <c r="R132" s="8">
        <f>IFERROR(Q132/Q444, "NA")</f>
        <v>3.6686748776244275E-2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-13211.14</v>
      </c>
      <c r="X132" s="8">
        <f>IFERROR(W132/W444, "NA")</f>
        <v>4.4234715060604373</v>
      </c>
      <c r="Y132" s="9"/>
      <c r="Z132" s="7">
        <v>9973.8700000000008</v>
      </c>
      <c r="AA132" s="8">
        <f>IFERROR(Z132/Z444, "NA")</f>
        <v>3.1976929373891967E-2</v>
      </c>
      <c r="AB132" s="9"/>
      <c r="AC132" s="10">
        <f t="shared" si="31"/>
        <v>-3237.2699999999986</v>
      </c>
      <c r="AD132" s="8">
        <f>IFERROR(AC132/AC444, "NA")</f>
        <v>-6.7165674791714494E-2</v>
      </c>
    </row>
    <row r="133" spans="1:30" ht="16.5" customHeight="1" x14ac:dyDescent="0.45">
      <c r="A133" s="12" t="s">
        <v>125</v>
      </c>
      <c r="B133" s="7">
        <v>2095.34</v>
      </c>
      <c r="C133" s="8">
        <f>IFERROR(B133/B444, "NA")</f>
        <v>2.2381783009909409E-2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-2095.34</v>
      </c>
      <c r="I133" s="8">
        <f>IFERROR(H133/H444, "NA")</f>
        <v>5.5165132868476879E-2</v>
      </c>
      <c r="J133" s="9"/>
      <c r="K133" s="7">
        <v>2451.38</v>
      </c>
      <c r="L133" s="8">
        <f>IFERROR(K133/K444, "NA")</f>
        <v>2.2539087439941864E-2</v>
      </c>
      <c r="M133" s="9"/>
      <c r="N133" s="10">
        <f t="shared" si="29"/>
        <v>356.03999999999996</v>
      </c>
      <c r="O133" s="8">
        <f>IFERROR(N133/N444, "NA")</f>
        <v>-2.3511574187191867E-2</v>
      </c>
      <c r="P133" s="9"/>
      <c r="Q133" s="7">
        <v>8380.18</v>
      </c>
      <c r="R133" s="8">
        <f>IFERROR(Q133/Q444, "NA")</f>
        <v>2.3271387507793177E-2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-8380.18</v>
      </c>
      <c r="X133" s="8">
        <f>IFERROR(W133/W444, "NA")</f>
        <v>2.8059264715730481</v>
      </c>
      <c r="Y133" s="9"/>
      <c r="Z133" s="7">
        <v>6370.87</v>
      </c>
      <c r="AA133" s="8">
        <f>IFERROR(Z133/Z444, "NA")</f>
        <v>2.0425457725060291E-2</v>
      </c>
      <c r="AB133" s="9"/>
      <c r="AC133" s="10">
        <f t="shared" si="31"/>
        <v>-2009.3100000000004</v>
      </c>
      <c r="AD133" s="8">
        <f>IFERROR(AC133/AC444, "NA")</f>
        <v>-4.1688417097041623E-2</v>
      </c>
    </row>
    <row r="134" spans="1:30" ht="16.5" customHeight="1" x14ac:dyDescent="0.45">
      <c r="A134" s="12" t="s">
        <v>126</v>
      </c>
      <c r="B134" s="7">
        <v>643.6</v>
      </c>
      <c r="C134" s="8">
        <f>IFERROR(B134/B444, "NA")</f>
        <v>6.8747389660760039E-3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-643.6</v>
      </c>
      <c r="I134" s="8">
        <f>IFERROR(H134/H444, "NA")</f>
        <v>1.6944400199562705E-2</v>
      </c>
      <c r="J134" s="9"/>
      <c r="K134" s="7">
        <v>1185.52</v>
      </c>
      <c r="L134" s="8">
        <f>IFERROR(K134/K444, "NA")</f>
        <v>1.0900202719203011E-2</v>
      </c>
      <c r="M134" s="9"/>
      <c r="N134" s="10">
        <f t="shared" si="29"/>
        <v>541.91999999999996</v>
      </c>
      <c r="O134" s="8">
        <f>IFERROR(N134/N444, "NA")</f>
        <v>-3.5786406818118795E-2</v>
      </c>
      <c r="P134" s="9"/>
      <c r="Q134" s="7">
        <v>2870.92</v>
      </c>
      <c r="R134" s="8">
        <f>IFERROR(Q134/Q444, "NA")</f>
        <v>7.972417277895414E-3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-2870.92</v>
      </c>
      <c r="X134" s="8">
        <f>IFERROR(W134/W444, "NA")</f>
        <v>0.96126699256680592</v>
      </c>
      <c r="Y134" s="9"/>
      <c r="Z134" s="7">
        <v>3707.9</v>
      </c>
      <c r="AA134" s="8">
        <f>IFERROR(Z134/Z444, "NA")</f>
        <v>1.1887788433722719E-2</v>
      </c>
      <c r="AB134" s="9"/>
      <c r="AC134" s="10">
        <f t="shared" si="31"/>
        <v>836.98</v>
      </c>
      <c r="AD134" s="8">
        <f>IFERROR(AC134/AC444, "NA")</f>
        <v>1.736534996684528E-2</v>
      </c>
    </row>
    <row r="135" spans="1:30" ht="16.5" customHeight="1" x14ac:dyDescent="0.45">
      <c r="A135" s="12" t="s">
        <v>127</v>
      </c>
      <c r="B135" s="7">
        <v>665.81</v>
      </c>
      <c r="C135" s="8">
        <f>IFERROR(B135/B444, "NA")</f>
        <v>7.1119794142372027E-3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-665.81</v>
      </c>
      <c r="I135" s="8">
        <f>IFERROR(H135/H444, "NA")</f>
        <v>1.7529134706138663E-2</v>
      </c>
      <c r="J135" s="9"/>
      <c r="K135" s="7">
        <v>929.38</v>
      </c>
      <c r="L135" s="8">
        <f>IFERROR(K135/K444, "NA")</f>
        <v>8.5451366515730594E-3</v>
      </c>
      <c r="M135" s="9"/>
      <c r="N135" s="10">
        <f t="shared" si="29"/>
        <v>263.57000000000005</v>
      </c>
      <c r="O135" s="8">
        <f>IFERROR(N135/N444, "NA")</f>
        <v>-1.7405194945843618E-2</v>
      </c>
      <c r="P135" s="9"/>
      <c r="Q135" s="7">
        <v>3106.34</v>
      </c>
      <c r="R135" s="8">
        <f>IFERROR(Q135/Q444, "NA")</f>
        <v>8.6261681576002263E-3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-3106.34</v>
      </c>
      <c r="X135" s="8">
        <f>IFERROR(W135/W444, "NA")</f>
        <v>1.040092412777079</v>
      </c>
      <c r="Y135" s="9"/>
      <c r="Z135" s="7">
        <v>2957.64</v>
      </c>
      <c r="AA135" s="8">
        <f>IFERROR(Z135/Z444, "NA")</f>
        <v>9.4824020559118802E-3</v>
      </c>
      <c r="AB135" s="9"/>
      <c r="AC135" s="10">
        <f t="shared" si="31"/>
        <v>-148.70000000000027</v>
      </c>
      <c r="AD135" s="8">
        <f>IFERROR(AC135/AC444, "NA")</f>
        <v>-3.0851723339505098E-3</v>
      </c>
    </row>
    <row r="136" spans="1:30" ht="16.5" customHeight="1" x14ac:dyDescent="0.45">
      <c r="A136" s="12" t="s">
        <v>128</v>
      </c>
      <c r="B136" s="7">
        <v>1100.3499999999999</v>
      </c>
      <c r="C136" s="8">
        <f>IFERROR(B136/B444, "NA")</f>
        <v>1.1753603202799457E-2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-1100.3499999999999</v>
      </c>
      <c r="I136" s="8">
        <f>IFERROR(H136/H444, "NA")</f>
        <v>2.8969500869466782E-2</v>
      </c>
      <c r="J136" s="9"/>
      <c r="K136" s="7">
        <v>940.46</v>
      </c>
      <c r="L136" s="8">
        <f>IFERROR(K136/K444, "NA")</f>
        <v>8.6470111422006068E-3</v>
      </c>
      <c r="M136" s="9"/>
      <c r="N136" s="10">
        <f t="shared" si="29"/>
        <v>-159.88999999999987</v>
      </c>
      <c r="O136" s="8">
        <f>IFERROR(N136/N444, "NA")</f>
        <v>1.0558548468683589E-2</v>
      </c>
      <c r="P136" s="9"/>
      <c r="Q136" s="7">
        <v>3377.73</v>
      </c>
      <c r="R136" s="8">
        <f>IFERROR(Q136/Q444, "NA")</f>
        <v>9.3798061290686179E-3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-3377.73</v>
      </c>
      <c r="X136" s="8">
        <f>IFERROR(W136/W444, "NA")</f>
        <v>1.1309616286077901</v>
      </c>
      <c r="Y136" s="9"/>
      <c r="Z136" s="7">
        <v>2762.02</v>
      </c>
      <c r="AA136" s="8">
        <f>IFERROR(Z136/Z444, "NA")</f>
        <v>8.8552305643924654E-3</v>
      </c>
      <c r="AB136" s="9"/>
      <c r="AC136" s="10">
        <f t="shared" si="31"/>
        <v>-615.71</v>
      </c>
      <c r="AD136" s="8">
        <f>IFERROR(AC136/AC444, "NA")</f>
        <v>-1.277452224436224E-2</v>
      </c>
    </row>
    <row r="137" spans="1:30" ht="16.5" customHeight="1" x14ac:dyDescent="0.45">
      <c r="A137" s="12" t="s">
        <v>129</v>
      </c>
      <c r="B137" s="7">
        <v>869.36</v>
      </c>
      <c r="C137" s="8">
        <f>IFERROR(B137/B444, "NA")</f>
        <v>9.2862384517523842E-3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-869.36</v>
      </c>
      <c r="I137" s="8">
        <f>IFERROR(H137/H444, "NA")</f>
        <v>2.2888104035879171E-2</v>
      </c>
      <c r="J137" s="9"/>
      <c r="K137" s="7">
        <v>365.17</v>
      </c>
      <c r="L137" s="8">
        <f>IFERROR(K137/K444, "NA")</f>
        <v>3.3575367998611274E-3</v>
      </c>
      <c r="M137" s="9"/>
      <c r="N137" s="10">
        <f t="shared" si="29"/>
        <v>-504.19</v>
      </c>
      <c r="O137" s="8">
        <f>IFERROR(N137/N444, "NA")</f>
        <v>3.3294856166274207E-2</v>
      </c>
      <c r="P137" s="9"/>
      <c r="Q137" s="7">
        <v>1854.24</v>
      </c>
      <c r="R137" s="8">
        <f>IFERROR(Q137/Q444, "NA")</f>
        <v>5.1491420915124042E-3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-1854.24</v>
      </c>
      <c r="X137" s="8">
        <f>IFERROR(W137/W444, "NA")</f>
        <v>0.62085314404339864</v>
      </c>
      <c r="Y137" s="9"/>
      <c r="Z137" s="7">
        <v>1442.85</v>
      </c>
      <c r="AA137" s="8">
        <f>IFERROR(Z137/Z444, "NA")</f>
        <v>4.6258786756915833E-3</v>
      </c>
      <c r="AB137" s="9"/>
      <c r="AC137" s="10">
        <f t="shared" si="31"/>
        <v>-411.3900000000001</v>
      </c>
      <c r="AD137" s="8">
        <f>IFERROR(AC137/AC444, "NA")</f>
        <v>-8.5353668222185493E-3</v>
      </c>
    </row>
    <row r="138" spans="1:30" ht="16.5" customHeight="1" x14ac:dyDescent="0.45">
      <c r="A138" s="12" t="s">
        <v>130</v>
      </c>
      <c r="B138" s="7">
        <v>5780.15</v>
      </c>
      <c r="C138" s="8">
        <f>IFERROR(B138/B444, "NA")</f>
        <v>6.1741799929714437E-2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-5780.15</v>
      </c>
      <c r="I138" s="8">
        <f>IFERROR(H138/H444, "NA")</f>
        <v>0.15217708951756115</v>
      </c>
      <c r="J138" s="9"/>
      <c r="K138" s="7">
        <v>4003.66</v>
      </c>
      <c r="L138" s="8">
        <f>IFERROR(K138/K444, "NA")</f>
        <v>3.6811446132300023E-2</v>
      </c>
      <c r="M138" s="9"/>
      <c r="N138" s="10">
        <f t="shared" si="29"/>
        <v>-1776.4899999999998</v>
      </c>
      <c r="O138" s="8">
        <f>IFERROR(N138/N444, "NA")</f>
        <v>0.11731287615943287</v>
      </c>
      <c r="P138" s="9"/>
      <c r="Q138" s="7">
        <v>20162.55</v>
      </c>
      <c r="R138" s="8">
        <f>IFERROR(Q138/Q444, "NA")</f>
        <v>5.5990505477836433E-2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-20162.55</v>
      </c>
      <c r="X138" s="8">
        <f>IFERROR(W138/W444, "NA")</f>
        <v>6.7510044867073447</v>
      </c>
      <c r="Y138" s="9"/>
      <c r="Z138" s="7">
        <v>14291.29</v>
      </c>
      <c r="AA138" s="8">
        <f>IFERROR(Z138/Z444, "NA")</f>
        <v>4.5818881837422033E-2</v>
      </c>
      <c r="AB138" s="9"/>
      <c r="AC138" s="10">
        <f t="shared" si="31"/>
        <v>-5871.2599999999984</v>
      </c>
      <c r="AD138" s="8">
        <f>IFERROR(AC138/AC444, "NA")</f>
        <v>-0.12181472035931562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29.7</v>
      </c>
      <c r="C140" s="8">
        <f>IFERROR(B140/B444, "NA")</f>
        <v>3.1724634445689452E-4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-29.7</v>
      </c>
      <c r="I140" s="8">
        <f>IFERROR(H140/H444, "NA")</f>
        <v>7.8192772828932931E-4</v>
      </c>
      <c r="J140" s="9"/>
      <c r="K140" s="7">
        <v>9.9</v>
      </c>
      <c r="L140" s="8">
        <f>IFERROR(K140/K444, "NA")</f>
        <v>9.1025041264685384E-5</v>
      </c>
      <c r="M140" s="9"/>
      <c r="N140" s="10">
        <f t="shared" si="29"/>
        <v>-19.799999999999997</v>
      </c>
      <c r="O140" s="8">
        <f>IFERROR(N140/N444, "NA")</f>
        <v>1.3075192925131977E-3</v>
      </c>
      <c r="P140" s="9"/>
      <c r="Q140" s="7">
        <v>71.56</v>
      </c>
      <c r="R140" s="8">
        <f>IFERROR(Q140/Q444, "NA")</f>
        <v>1.9871894041150427E-4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-71.56</v>
      </c>
      <c r="X140" s="8">
        <f>IFERROR(W140/W444, "NA")</f>
        <v>2.3960356257952373E-2</v>
      </c>
      <c r="Y140" s="9"/>
      <c r="Z140" s="7">
        <v>66.33</v>
      </c>
      <c r="AA140" s="8">
        <f>IFERROR(Z140/Z444, "NA")</f>
        <v>2.1265864958839987E-4</v>
      </c>
      <c r="AB140" s="9"/>
      <c r="AC140" s="10">
        <f t="shared" si="31"/>
        <v>-5.230000000000004</v>
      </c>
      <c r="AD140" s="8">
        <f>IFERROR(AC140/AC444, "NA")</f>
        <v>-1.0851009621090215E-4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22618.680000000004</v>
      </c>
      <c r="C141" s="15">
        <f>IFERROR(B141/B444, "NA")</f>
        <v>0.24160584331448728</v>
      </c>
      <c r="D141" s="2"/>
      <c r="E141" s="14">
        <f>IFERROR(E129+E130+E131+E132+E133+E134+E135+E136+E137+E138+E139+E140, "NA")</f>
        <v>29347.06</v>
      </c>
      <c r="F141" s="15">
        <f>IFERROR(E141/E444, "NA")</f>
        <v>0.22300002697544818</v>
      </c>
      <c r="G141" s="2"/>
      <c r="H141" s="14">
        <f t="shared" si="28"/>
        <v>6728.3799999999974</v>
      </c>
      <c r="I141" s="15">
        <f>IFERROR(H141/H444, "NA")</f>
        <v>-0.17714164607634192</v>
      </c>
      <c r="J141" s="2"/>
      <c r="K141" s="14">
        <f>IFERROR(K129+K130+K131+K132+K133+K134+K135+K136+K137+K138+K139+K140, "NA")</f>
        <v>21580.02</v>
      </c>
      <c r="L141" s="15">
        <f>IFERROR(K141/K444, "NA")</f>
        <v>0.19841638494876118</v>
      </c>
      <c r="M141" s="2"/>
      <c r="N141" s="14">
        <f t="shared" si="29"/>
        <v>-1038.6600000000035</v>
      </c>
      <c r="O141" s="15">
        <f>IFERROR(N141/N444, "NA")</f>
        <v>6.8589292341503169E-2</v>
      </c>
      <c r="P141" s="2"/>
      <c r="Q141" s="14">
        <f>IFERROR(Q129+Q130+Q131+Q132+Q133+Q134+Q135+Q136+Q137+Q138+Q139+Q140, "NA")</f>
        <v>83112.17</v>
      </c>
      <c r="R141" s="15">
        <f>IFERROR(Q141/Q444, "NA")</f>
        <v>0.23079880320990515</v>
      </c>
      <c r="S141" s="2"/>
      <c r="T141" s="14">
        <f>IFERROR(T129+T130+T131+T132+T133+T134+T135+T136+T137+T138+T139+T140, "NA")</f>
        <v>83344.25</v>
      </c>
      <c r="U141" s="15">
        <f>IFERROR(T141/T444, "NA")</f>
        <v>0.22953955704870146</v>
      </c>
      <c r="V141" s="2"/>
      <c r="W141" s="14">
        <f t="shared" si="30"/>
        <v>232.08000000000175</v>
      </c>
      <c r="X141" s="15">
        <f>IFERROR(W141/W444, "NA")</f>
        <v>-7.770709167615468E-2</v>
      </c>
      <c r="Y141" s="2"/>
      <c r="Z141" s="14">
        <f>IFERROR(Z129+Z130+Z131+Z132+Z133+Z134+Z135+Z136+Z137+Z138+Z139+Z140, "NA")</f>
        <v>68597.87000000001</v>
      </c>
      <c r="AA141" s="15">
        <f>IFERROR(Z141/Z444, "NA")</f>
        <v>0.21992960046495719</v>
      </c>
      <c r="AB141" s="2"/>
      <c r="AC141" s="14">
        <f t="shared" si="31"/>
        <v>-14514.299999999988</v>
      </c>
      <c r="AD141" s="15">
        <f>IFERROR(AC141/AC444, "NA")</f>
        <v>-0.30113730199500854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1171.94</v>
      </c>
      <c r="C144" s="8">
        <f>IFERROR(B144/B444, "NA")</f>
        <v>1.2518305754976868E-2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-1171.94</v>
      </c>
      <c r="I144" s="8">
        <f>IFERROR(H144/H444, "NA")</f>
        <v>3.0854288952572275E-2</v>
      </c>
      <c r="J144" s="9"/>
      <c r="K144" s="7">
        <v>1268.3499999999999</v>
      </c>
      <c r="L144" s="8">
        <f>IFERROR(K144/K444, "NA")</f>
        <v>1.1661778897784211E-2</v>
      </c>
      <c r="M144" s="9"/>
      <c r="N144" s="10">
        <f t="shared" si="33"/>
        <v>96.409999999999854</v>
      </c>
      <c r="O144" s="8">
        <f>IFERROR(N144/N444, "NA")</f>
        <v>-6.3665623732927891E-3</v>
      </c>
      <c r="P144" s="9"/>
      <c r="Q144" s="7">
        <v>5062.72</v>
      </c>
      <c r="R144" s="8">
        <f>IFERROR(Q144/Q444, "NA")</f>
        <v>1.4058948490778799E-2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-5062.72</v>
      </c>
      <c r="X144" s="8">
        <f>IFERROR(W144/W444, "NA")</f>
        <v>1.6951449809147658</v>
      </c>
      <c r="Y144" s="9"/>
      <c r="Z144" s="7">
        <v>3721.15</v>
      </c>
      <c r="AA144" s="8">
        <f>IFERROR(Z144/Z444, "NA")</f>
        <v>1.1930268866514009E-2</v>
      </c>
      <c r="AB144" s="9"/>
      <c r="AC144" s="10">
        <f t="shared" si="35"/>
        <v>-1341.5700000000002</v>
      </c>
      <c r="AD144" s="8">
        <f>IFERROR(AC144/AC444, "NA")</f>
        <v>-2.7834395750221778E-2</v>
      </c>
    </row>
    <row r="145" spans="1:30" ht="16.5" customHeight="1" x14ac:dyDescent="0.45">
      <c r="A145" s="12" t="s">
        <v>136</v>
      </c>
      <c r="B145" s="7">
        <v>-52.89</v>
      </c>
      <c r="C145" s="8">
        <f>IFERROR(B145/B444, "NA")</f>
        <v>-5.6495485381566173E-4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52.89</v>
      </c>
      <c r="I145" s="8">
        <f>IFERROR(H145/H444, "NA")</f>
        <v>-1.3924632171455429E-3</v>
      </c>
      <c r="J145" s="9"/>
      <c r="K145" s="7">
        <v>50.98</v>
      </c>
      <c r="L145" s="8">
        <f>IFERROR(K145/K444, "NA")</f>
        <v>4.6873299027006666E-4</v>
      </c>
      <c r="M145" s="9"/>
      <c r="N145" s="10">
        <f t="shared" si="33"/>
        <v>103.87</v>
      </c>
      <c r="O145" s="8">
        <f>IFERROR(N145/N444, "NA")</f>
        <v>-6.8591933794619128E-3</v>
      </c>
      <c r="P145" s="9"/>
      <c r="Q145" s="7">
        <v>189.5</v>
      </c>
      <c r="R145" s="8">
        <f>IFERROR(Q145/Q444, "NA")</f>
        <v>5.2623308004443904E-4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-189.5</v>
      </c>
      <c r="X145" s="8">
        <f>IFERROR(W145/W444, "NA")</f>
        <v>6.3450077010648059E-2</v>
      </c>
      <c r="Y145" s="9"/>
      <c r="Z145" s="7">
        <v>112.25</v>
      </c>
      <c r="AA145" s="8">
        <f>IFERROR(Z145/Z444, "NA")</f>
        <v>3.5988140232621568E-4</v>
      </c>
      <c r="AB145" s="9"/>
      <c r="AC145" s="10">
        <f t="shared" si="35"/>
        <v>-77.25</v>
      </c>
      <c r="AD145" s="8">
        <f>IFERROR(AC145/AC444, "NA")</f>
        <v>-1.6027542891572054E-3</v>
      </c>
    </row>
    <row r="146" spans="1:30" ht="16.5" customHeight="1" x14ac:dyDescent="0.45">
      <c r="A146" s="12" t="s">
        <v>137</v>
      </c>
      <c r="B146" s="7">
        <v>598.15</v>
      </c>
      <c r="C146" s="8">
        <f>IFERROR(B146/B444, "NA")</f>
        <v>6.389255923801059E-3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-598.15</v>
      </c>
      <c r="I146" s="8">
        <f>IFERROR(H146/H444, "NA")</f>
        <v>1.5747813827483578E-2</v>
      </c>
      <c r="J146" s="9"/>
      <c r="K146" s="7">
        <v>451.88</v>
      </c>
      <c r="L146" s="8">
        <f>IFERROR(K146/K444, "NA")</f>
        <v>4.1547874390591944E-3</v>
      </c>
      <c r="M146" s="9"/>
      <c r="N146" s="10">
        <f t="shared" si="33"/>
        <v>-146.26999999999998</v>
      </c>
      <c r="O146" s="8">
        <f>IFERROR(N146/N444, "NA")</f>
        <v>9.6591336826214874E-3</v>
      </c>
      <c r="P146" s="9"/>
      <c r="Q146" s="7">
        <v>-273.42</v>
      </c>
      <c r="R146" s="8">
        <f>IFERROR(Q146/Q444, "NA")</f>
        <v>-7.5927519127045131E-4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273.42</v>
      </c>
      <c r="X146" s="8">
        <f>IFERROR(W146/W444, "NA")</f>
        <v>-9.1548918502645862E-2</v>
      </c>
      <c r="Y146" s="9"/>
      <c r="Z146" s="7">
        <v>1434.51</v>
      </c>
      <c r="AA146" s="8">
        <f>IFERROR(Z146/Z444, "NA")</f>
        <v>4.5991400485610656E-3</v>
      </c>
      <c r="AB146" s="9"/>
      <c r="AC146" s="10">
        <f t="shared" si="35"/>
        <v>1707.93</v>
      </c>
      <c r="AD146" s="8">
        <f>IFERROR(AC146/AC444, "NA")</f>
        <v>3.5435496868352963E-2</v>
      </c>
    </row>
    <row r="147" spans="1:30" ht="16.5" customHeight="1" x14ac:dyDescent="0.45">
      <c r="A147" s="12" t="s">
        <v>138</v>
      </c>
      <c r="B147" s="7">
        <v>18.38</v>
      </c>
      <c r="C147" s="8">
        <f>IFERROR(B147/B444, "NA")</f>
        <v>1.963295559298896E-4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-18.38</v>
      </c>
      <c r="I147" s="8">
        <f>IFERROR(H147/H444, "NA")</f>
        <v>4.8390005541945695E-4</v>
      </c>
      <c r="J147" s="9"/>
      <c r="K147" s="7">
        <v>3.5</v>
      </c>
      <c r="L147" s="8">
        <f>IFERROR(K147/K444, "NA")</f>
        <v>3.218057014408069E-5</v>
      </c>
      <c r="M147" s="9"/>
      <c r="N147" s="10">
        <f t="shared" si="33"/>
        <v>-14.879999999999999</v>
      </c>
      <c r="O147" s="8">
        <f>IFERROR(N147/N444, "NA")</f>
        <v>9.8262055922203957E-4</v>
      </c>
      <c r="P147" s="9"/>
      <c r="Q147" s="7">
        <v>40.590000000000003</v>
      </c>
      <c r="R147" s="8">
        <f>IFERROR(Q147/Q444, "NA")</f>
        <v>1.1271662648550808E-4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-40.590000000000003</v>
      </c>
      <c r="X147" s="8">
        <f>IFERROR(W147/W444, "NA")</f>
        <v>1.3590705149668626E-2</v>
      </c>
      <c r="Y147" s="9"/>
      <c r="Z147" s="7">
        <v>-209.26</v>
      </c>
      <c r="AA147" s="8">
        <f>IFERROR(Z147/Z444, "NA")</f>
        <v>-6.7090229176644891E-4</v>
      </c>
      <c r="AB147" s="9"/>
      <c r="AC147" s="10">
        <f t="shared" si="35"/>
        <v>-249.85</v>
      </c>
      <c r="AD147" s="8">
        <f>IFERROR(AC147/AC444, "NA")</f>
        <v>-5.1837949404003594E-3</v>
      </c>
    </row>
    <row r="148" spans="1:30" ht="16.5" customHeight="1" x14ac:dyDescent="0.45">
      <c r="A148" s="13" t="s">
        <v>139</v>
      </c>
      <c r="B148" s="14">
        <f>IFERROR(B143+B144+B145+B146+B147, "NA")</f>
        <v>1735.58</v>
      </c>
      <c r="C148" s="15">
        <f>IFERROR(B148/B444, "NA")</f>
        <v>1.8538936380892154E-2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-1735.58</v>
      </c>
      <c r="I148" s="15">
        <f>IFERROR(H148/H444, "NA")</f>
        <v>4.5693539618329768E-2</v>
      </c>
      <c r="J148" s="2"/>
      <c r="K148" s="14">
        <f>IFERROR(K143+K144+K145+K146+K147, "NA")</f>
        <v>1774.71</v>
      </c>
      <c r="L148" s="15">
        <f>IFERROR(K148/K444, "NA")</f>
        <v>1.6317479897257552E-2</v>
      </c>
      <c r="M148" s="2"/>
      <c r="N148" s="14">
        <f t="shared" si="33"/>
        <v>39.130000000000109</v>
      </c>
      <c r="O148" s="15">
        <f>IFERROR(N148/N444, "NA")</f>
        <v>-2.5840015109111908E-3</v>
      </c>
      <c r="P148" s="2"/>
      <c r="Q148" s="14">
        <f>IFERROR(Q143+Q144+Q145+Q146+Q147, "NA")</f>
        <v>5019.3900000000003</v>
      </c>
      <c r="R148" s="15">
        <f>IFERROR(Q148/Q444, "NA")</f>
        <v>1.3938623006038296E-2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-5019.3900000000003</v>
      </c>
      <c r="X148" s="15">
        <f>IFERROR(W148/W444, "NA")</f>
        <v>1.6806368445724367</v>
      </c>
      <c r="Y148" s="2"/>
      <c r="Z148" s="14">
        <f>IFERROR(Z143+Z144+Z145+Z146+Z147, "NA")</f>
        <v>5058.6499999999996</v>
      </c>
      <c r="AA148" s="15">
        <f>IFERROR(Z148/Z444, "NA")</f>
        <v>1.6218388025634842E-2</v>
      </c>
      <c r="AB148" s="2"/>
      <c r="AC148" s="14">
        <f t="shared" si="35"/>
        <v>39.259999999999309</v>
      </c>
      <c r="AD148" s="15">
        <f>IFERROR(AC148/AC444, "NA")</f>
        <v>8.1455188857360234E-4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24354.260000000006</v>
      </c>
      <c r="C149" s="15">
        <f>IFERROR(B149/B444, "NA")</f>
        <v>0.26014477969537947</v>
      </c>
      <c r="D149" s="2"/>
      <c r="E149" s="14">
        <f>IFERROR(E127+E129+E130+E131+E132+E133+E134+E135+E136+E137+E138+E139+E140+E143+E144+E145+E146+E147, "NA")</f>
        <v>29347.06</v>
      </c>
      <c r="F149" s="15">
        <f>IFERROR(E149/E444, "NA")</f>
        <v>0.22300002697544818</v>
      </c>
      <c r="G149" s="2"/>
      <c r="H149" s="14">
        <f t="shared" si="32"/>
        <v>4992.7999999999956</v>
      </c>
      <c r="I149" s="15">
        <f>IFERROR(H149/H444, "NA")</f>
        <v>-0.13144810645801211</v>
      </c>
      <c r="J149" s="2"/>
      <c r="K149" s="14">
        <f>IFERROR(K127+K129+K130+K131+K132+K133+K134+K135+K136+K137+K138+K139+K140+K143+K144+K145+K146+K147, "NA")</f>
        <v>23354.73</v>
      </c>
      <c r="L149" s="15">
        <f>IFERROR(K149/K444, "NA")</f>
        <v>0.21473386484601872</v>
      </c>
      <c r="M149" s="2"/>
      <c r="N149" s="14">
        <f t="shared" si="33"/>
        <v>-999.53000000000611</v>
      </c>
      <c r="O149" s="15">
        <f>IFERROR(N149/N444, "NA")</f>
        <v>6.6005290830592159E-2</v>
      </c>
      <c r="P149" s="2"/>
      <c r="Q149" s="14">
        <f>IFERROR(Q127+Q129+Q130+Q131+Q132+Q133+Q134+Q135+Q136+Q137+Q138+Q139+Q140+Q143+Q144+Q145+Q146+Q147, "NA")</f>
        <v>88131.56</v>
      </c>
      <c r="R149" s="15">
        <f>IFERROR(Q149/Q444, "NA")</f>
        <v>0.24473742621594344</v>
      </c>
      <c r="S149" s="2"/>
      <c r="T149" s="14">
        <f>IFERROR(T127+T129+T130+T131+T132+T133+T134+T135+T136+T137+T138+T139+T140+T143+T144+T145+T146+T147, "NA")</f>
        <v>83344.25</v>
      </c>
      <c r="U149" s="15">
        <f>IFERROR(T149/T444, "NA")</f>
        <v>0.22953955704870146</v>
      </c>
      <c r="V149" s="2"/>
      <c r="W149" s="14">
        <f t="shared" si="34"/>
        <v>-4787.3099999999977</v>
      </c>
      <c r="X149" s="15">
        <f>IFERROR(W149/W444, "NA")</f>
        <v>1.6029297528962818</v>
      </c>
      <c r="Y149" s="2"/>
      <c r="Z149" s="14">
        <f>IFERROR(Z127+Z129+Z130+Z131+Z132+Z133+Z134+Z135+Z136+Z137+Z138+Z139+Z140+Z143+Z144+Z145+Z146+Z147, "NA")</f>
        <v>73656.52</v>
      </c>
      <c r="AA149" s="15">
        <f>IFERROR(Z149/Z444, "NA")</f>
        <v>0.23614798849059201</v>
      </c>
      <c r="AB149" s="2"/>
      <c r="AC149" s="14">
        <f t="shared" si="35"/>
        <v>-14475.039999999994</v>
      </c>
      <c r="AD149" s="15">
        <f>IFERROR(AC149/AC444, "NA")</f>
        <v>-0.300322750106435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2368.8200000000002</v>
      </c>
      <c r="F153" s="8">
        <f>IFERROR(E153/E444, "NA")</f>
        <v>1.7999994680897548E-2</v>
      </c>
      <c r="G153" s="9"/>
      <c r="H153" s="10">
        <f t="shared" ref="H153:H158" si="36">IFERROR(-(B153-E153), "NA")</f>
        <v>2368.8200000000002</v>
      </c>
      <c r="I153" s="8">
        <f>IFERROR(H153/H444, "NA")</f>
        <v>-6.2365186576644076E-2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7684.42</v>
      </c>
      <c r="U153" s="8">
        <f>IFERROR(T153/T444, "NA")</f>
        <v>2.1163767902119011E-2</v>
      </c>
      <c r="V153" s="9"/>
      <c r="W153" s="10">
        <f t="shared" ref="W153:W158" si="38">IFERROR(-(Q153-T153), "NA")</f>
        <v>7684.42</v>
      </c>
      <c r="X153" s="8">
        <f>IFERROR(W153/W444, "NA")</f>
        <v>-2.5729659144177526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3003.86</v>
      </c>
      <c r="C154" s="8">
        <f>IFERROR(B154/B444, "NA")</f>
        <v>3.2086316641760516E-2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-3003.86</v>
      </c>
      <c r="I154" s="8">
        <f>IFERROR(H154/H444, "NA")</f>
        <v>7.9084223094248646E-2</v>
      </c>
      <c r="J154" s="9"/>
      <c r="K154" s="7">
        <v>3321.9</v>
      </c>
      <c r="L154" s="8">
        <f>IFERROR(K154/K444, "NA")</f>
        <v>3.0543038846177612E-2</v>
      </c>
      <c r="M154" s="9"/>
      <c r="N154" s="10">
        <f t="shared" si="37"/>
        <v>318.03999999999996</v>
      </c>
      <c r="O154" s="8">
        <f>IFERROR(N154/N444, "NA")</f>
        <v>-2.1002193726813001E-2</v>
      </c>
      <c r="P154" s="9"/>
      <c r="Q154" s="7">
        <v>12523.96</v>
      </c>
      <c r="R154" s="8">
        <f>IFERROR(Q154/Q444, "NA")</f>
        <v>3.4778480449358058E-2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-12523.96</v>
      </c>
      <c r="X154" s="8">
        <f>IFERROR(W154/W444, "NA")</f>
        <v>4.1933837808879986</v>
      </c>
      <c r="Y154" s="9"/>
      <c r="Z154" s="7">
        <v>11625.34</v>
      </c>
      <c r="AA154" s="8">
        <f>IFERROR(Z154/Z444, "NA")</f>
        <v>3.7271658456294418E-2</v>
      </c>
      <c r="AB154" s="9"/>
      <c r="AC154" s="10">
        <f t="shared" si="39"/>
        <v>-898.61999999999898</v>
      </c>
      <c r="AD154" s="8">
        <f>IFERROR(AC154/AC444, "NA")</f>
        <v>-1.8644233777636847E-2</v>
      </c>
    </row>
    <row r="155" spans="1:30" ht="16.5" customHeight="1" x14ac:dyDescent="0.45">
      <c r="A155" s="12" t="s">
        <v>144</v>
      </c>
      <c r="B155" s="7">
        <v>1106.67</v>
      </c>
      <c r="C155" s="8">
        <f>IFERROR(B155/B444, "NA")</f>
        <v>1.182111151582867E-2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-1106.67</v>
      </c>
      <c r="I155" s="8">
        <f>IFERROR(H155/H444, "NA")</f>
        <v>2.9135890877641485E-2</v>
      </c>
      <c r="J155" s="9"/>
      <c r="K155" s="7">
        <v>1687.7</v>
      </c>
      <c r="L155" s="8">
        <f>IFERROR(K155/K444, "NA")</f>
        <v>1.5517470923475708E-2</v>
      </c>
      <c r="M155" s="9"/>
      <c r="N155" s="10">
        <f t="shared" si="37"/>
        <v>581.03</v>
      </c>
      <c r="O155" s="8">
        <f>IFERROR(N155/N444, "NA")</f>
        <v>-3.8369087602471888E-2</v>
      </c>
      <c r="P155" s="9"/>
      <c r="Q155" s="7">
        <v>3017.49</v>
      </c>
      <c r="R155" s="8">
        <f>IFERROR(Q155/Q444, "NA")</f>
        <v>8.3794356554263549E-3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-3017.49</v>
      </c>
      <c r="X155" s="8">
        <f>IFERROR(W155/W444, "NA")</f>
        <v>1.010342864796097</v>
      </c>
      <c r="Y155" s="9"/>
      <c r="Z155" s="7">
        <v>3045.59</v>
      </c>
      <c r="AA155" s="8">
        <f>IFERROR(Z155/Z444, "NA")</f>
        <v>9.7643759475340691E-3</v>
      </c>
      <c r="AB155" s="9"/>
      <c r="AC155" s="10">
        <f t="shared" si="39"/>
        <v>28.100000000000364</v>
      </c>
      <c r="AD155" s="8">
        <f>IFERROR(AC155/AC444, "NA")</f>
        <v>5.8300835631479688E-4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131.03</v>
      </c>
      <c r="AA156" s="8">
        <f>IFERROR(Z156/Z444, "NA")</f>
        <v>4.200914044258712E-4</v>
      </c>
      <c r="AB156" s="9"/>
      <c r="AC156" s="10">
        <f t="shared" si="39"/>
        <v>131.03</v>
      </c>
      <c r="AD156" s="8">
        <f>IFERROR(AC156/AC444, "NA")</f>
        <v>2.7185617412073611E-3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4110.5300000000007</v>
      </c>
      <c r="C158" s="15">
        <f>IFERROR(B158/B444, "NA")</f>
        <v>4.390742815758919E-2</v>
      </c>
      <c r="D158" s="2"/>
      <c r="E158" s="14">
        <f>IFERROR(E153+E154+E155+E156+E157, "NA")</f>
        <v>2368.8200000000002</v>
      </c>
      <c r="F158" s="15">
        <f>IFERROR(E158/E444, "NA")</f>
        <v>1.7999994680897548E-2</v>
      </c>
      <c r="G158" s="2"/>
      <c r="H158" s="14">
        <f t="shared" si="36"/>
        <v>-1741.7100000000005</v>
      </c>
      <c r="I158" s="15">
        <f>IFERROR(H158/H444, "NA")</f>
        <v>4.5854927395246062E-2</v>
      </c>
      <c r="J158" s="2"/>
      <c r="K158" s="14">
        <f>IFERROR(K153+K154+K155+K156+K157, "NA")</f>
        <v>5009.6000000000004</v>
      </c>
      <c r="L158" s="15">
        <f>IFERROR(K158/K444, "NA")</f>
        <v>4.606050976965332E-2</v>
      </c>
      <c r="M158" s="2"/>
      <c r="N158" s="14">
        <f t="shared" si="37"/>
        <v>899.06999999999971</v>
      </c>
      <c r="O158" s="15">
        <f>IFERROR(N158/N444, "NA")</f>
        <v>-5.9371281329284875E-2</v>
      </c>
      <c r="P158" s="2"/>
      <c r="Q158" s="14">
        <f>IFERROR(Q153+Q154+Q155+Q156+Q157, "NA")</f>
        <v>15541.449999999999</v>
      </c>
      <c r="R158" s="15">
        <f>IFERROR(Q158/Q444, "NA")</f>
        <v>4.3157916104784415E-2</v>
      </c>
      <c r="S158" s="2"/>
      <c r="T158" s="14">
        <f>IFERROR(T153+T154+T155+T156+T157, "NA")</f>
        <v>7684.42</v>
      </c>
      <c r="U158" s="15">
        <f>IFERROR(T158/T444, "NA")</f>
        <v>2.1163767902119011E-2</v>
      </c>
      <c r="V158" s="2"/>
      <c r="W158" s="14">
        <f t="shared" si="38"/>
        <v>-7857.0299999999988</v>
      </c>
      <c r="X158" s="15">
        <f>IFERROR(W158/W444, "NA")</f>
        <v>2.630760731266343</v>
      </c>
      <c r="Y158" s="2"/>
      <c r="Z158" s="14">
        <f>IFERROR(Z153+Z154+Z155+Z156+Z157, "NA")</f>
        <v>14801.960000000001</v>
      </c>
      <c r="AA158" s="15">
        <f>IFERROR(Z158/Z444, "NA")</f>
        <v>4.7456125808254361E-2</v>
      </c>
      <c r="AB158" s="2"/>
      <c r="AC158" s="14">
        <f t="shared" si="39"/>
        <v>-739.48999999999796</v>
      </c>
      <c r="AD158" s="15">
        <f>IFERROR(AC158/AC444, "NA")</f>
        <v>-1.5342663680114674E-2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200.68</v>
      </c>
      <c r="C161" s="8">
        <f>IFERROR(B161/B444, "NA")</f>
        <v>2.1436025725794479E-3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-200.68</v>
      </c>
      <c r="I161" s="8">
        <f>IFERROR(H161/H444, "NA")</f>
        <v>5.2834093102054752E-3</v>
      </c>
      <c r="J161" s="9"/>
      <c r="K161" s="7">
        <v>407.5</v>
      </c>
      <c r="L161" s="8">
        <f>IFERROR(K161/K444, "NA")</f>
        <v>3.7467378096322514E-3</v>
      </c>
      <c r="M161" s="9"/>
      <c r="N161" s="10">
        <f t="shared" si="41"/>
        <v>206.82</v>
      </c>
      <c r="O161" s="8">
        <f>IFERROR(N161/N444, "NA")</f>
        <v>-1.3657633337251495E-2</v>
      </c>
      <c r="P161" s="9"/>
      <c r="Q161" s="7">
        <v>1041.69</v>
      </c>
      <c r="R161" s="8">
        <f>IFERROR(Q161/Q444, "NA")</f>
        <v>2.8927268451266054E-3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-1041.69</v>
      </c>
      <c r="X161" s="8">
        <f>IFERROR(W161/W444, "NA")</f>
        <v>0.34878791937320303</v>
      </c>
      <c r="Y161" s="9"/>
      <c r="Z161" s="7">
        <v>1571.63</v>
      </c>
      <c r="AA161" s="8">
        <f>IFERROR(Z161/Z444, "NA")</f>
        <v>5.0387564217189342E-3</v>
      </c>
      <c r="AB161" s="9"/>
      <c r="AC161" s="10">
        <f t="shared" si="43"/>
        <v>529.94000000000005</v>
      </c>
      <c r="AD161" s="8">
        <f>IFERROR(AC161/AC444, "NA")</f>
        <v>1.0994998161760123E-2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200.68</v>
      </c>
      <c r="C166" s="15">
        <f>IFERROR(B166/B444, "NA")</f>
        <v>2.1436025725794479E-3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-200.68</v>
      </c>
      <c r="I166" s="15">
        <f>IFERROR(H166/H444, "NA")</f>
        <v>5.2834093102054752E-3</v>
      </c>
      <c r="J166" s="2"/>
      <c r="K166" s="14">
        <f>IFERROR(K160+K161+K162+K163+K164+K165, "NA")</f>
        <v>407.5</v>
      </c>
      <c r="L166" s="15">
        <f>IFERROR(K166/K444, "NA")</f>
        <v>3.7467378096322514E-3</v>
      </c>
      <c r="M166" s="2"/>
      <c r="N166" s="14">
        <f t="shared" si="41"/>
        <v>206.82</v>
      </c>
      <c r="O166" s="15">
        <f>IFERROR(N166/N444, "NA")</f>
        <v>-1.3657633337251495E-2</v>
      </c>
      <c r="P166" s="2"/>
      <c r="Q166" s="14">
        <f>IFERROR(Q160+Q161+Q162+Q163+Q164+Q165, "NA")</f>
        <v>1041.69</v>
      </c>
      <c r="R166" s="15">
        <f>IFERROR(Q166/Q444, "NA")</f>
        <v>2.8927268451266054E-3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-1041.69</v>
      </c>
      <c r="X166" s="15">
        <f>IFERROR(W166/W444, "NA")</f>
        <v>0.34878791937320303</v>
      </c>
      <c r="Y166" s="2"/>
      <c r="Z166" s="14">
        <f>IFERROR(Z160+Z161+Z162+Z163+Z164+Z165, "NA")</f>
        <v>1571.63</v>
      </c>
      <c r="AA166" s="15">
        <f>IFERROR(Z166/Z444, "NA")</f>
        <v>5.0387564217189342E-3</v>
      </c>
      <c r="AB166" s="2"/>
      <c r="AC166" s="14">
        <f t="shared" si="43"/>
        <v>529.94000000000005</v>
      </c>
      <c r="AD166" s="15">
        <f>IFERROR(AC166/AC444, "NA")</f>
        <v>1.0994998161760123E-2</v>
      </c>
    </row>
    <row r="167" spans="1:30" ht="16.5" customHeight="1" x14ac:dyDescent="0.45">
      <c r="A167" s="6" t="s">
        <v>155</v>
      </c>
      <c r="B167" s="7">
        <v>411.5</v>
      </c>
      <c r="C167" s="8">
        <f>IFERROR(B167/B444, "NA")</f>
        <v>4.3955175334684212E-3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-411.5</v>
      </c>
      <c r="I167" s="8">
        <f>IFERROR(H167/H444, "NA")</f>
        <v>1.083377980441276E-2</v>
      </c>
      <c r="J167" s="9"/>
      <c r="K167" s="7">
        <v>366.37</v>
      </c>
      <c r="L167" s="8">
        <f>IFERROR(K167/K444, "NA")</f>
        <v>3.3685701381962405E-3</v>
      </c>
      <c r="M167" s="9"/>
      <c r="N167" s="10">
        <f t="shared" si="41"/>
        <v>-45.129999999999995</v>
      </c>
      <c r="O167" s="8">
        <f>IFERROR(N167/N444, "NA")</f>
        <v>2.980219478339425E-3</v>
      </c>
      <c r="P167" s="9"/>
      <c r="Q167" s="7">
        <v>1313</v>
      </c>
      <c r="R167" s="8">
        <f>IFERROR(Q167/Q444, "NA")</f>
        <v>3.6461426601495958E-3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-1313</v>
      </c>
      <c r="X167" s="8">
        <f>IFERROR(W167/W444, "NA")</f>
        <v>0.43963034889171976</v>
      </c>
      <c r="Y167" s="9"/>
      <c r="Z167" s="7">
        <v>1358.92</v>
      </c>
      <c r="AA167" s="8">
        <f>IFERROR(Z167/Z444, "NA")</f>
        <v>4.3567931870747527E-3</v>
      </c>
      <c r="AB167" s="9"/>
      <c r="AC167" s="10">
        <f t="shared" si="43"/>
        <v>45.920000000000073</v>
      </c>
      <c r="AD167" s="8">
        <f>IFERROR(AC167/AC444, "NA")</f>
        <v>9.5273109330872485E-4</v>
      </c>
    </row>
    <row r="168" spans="1:30" ht="16.5" customHeight="1" x14ac:dyDescent="0.45">
      <c r="A168" s="6" t="s">
        <v>156</v>
      </c>
      <c r="B168" s="7">
        <v>38.6</v>
      </c>
      <c r="C168" s="8">
        <f>IFERROR(B168/B444, "NA")</f>
        <v>4.1231343084296729E-4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-38.6</v>
      </c>
      <c r="I168" s="8">
        <f>IFERROR(H168/H444, "NA")</f>
        <v>1.0162427714467378E-3</v>
      </c>
      <c r="J168" s="9"/>
      <c r="K168" s="7">
        <v>41.6</v>
      </c>
      <c r="L168" s="8">
        <f>IFERROR(K168/K444, "NA")</f>
        <v>3.8248906228393047E-4</v>
      </c>
      <c r="M168" s="9"/>
      <c r="N168" s="10">
        <f t="shared" si="41"/>
        <v>3</v>
      </c>
      <c r="O168" s="8">
        <f>IFERROR(N168/N444, "NA")</f>
        <v>-1.9810898371412091E-4</v>
      </c>
      <c r="P168" s="9"/>
      <c r="Q168" s="7">
        <v>139.80000000000001</v>
      </c>
      <c r="R168" s="8">
        <f>IFERROR(Q168/Q444, "NA")</f>
        <v>3.8821838833885268E-4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-139.80000000000001</v>
      </c>
      <c r="X168" s="8">
        <f>IFERROR(W168/W444, "NA")</f>
        <v>4.6809080559834293E-2</v>
      </c>
      <c r="Y168" s="9"/>
      <c r="Z168" s="7">
        <v>150.19999999999999</v>
      </c>
      <c r="AA168" s="8">
        <f>IFERROR(Z168/Z444, "NA")</f>
        <v>4.8155177398127028E-4</v>
      </c>
      <c r="AB168" s="9"/>
      <c r="AC168" s="10">
        <f t="shared" si="43"/>
        <v>10.399999999999977</v>
      </c>
      <c r="AD168" s="8">
        <f>IFERROR(AC168/AC444, "NA")</f>
        <v>2.157753347214874E-4</v>
      </c>
    </row>
    <row r="169" spans="1:30" ht="16.5" customHeight="1" x14ac:dyDescent="0.45">
      <c r="A169" s="6" t="s">
        <v>157</v>
      </c>
      <c r="B169" s="7">
        <v>-1258.97</v>
      </c>
      <c r="C169" s="8">
        <f>IFERROR(B169/B444, "NA")</f>
        <v>-1.3447933679491465E-2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1258.97</v>
      </c>
      <c r="I169" s="8">
        <f>IFERROR(H169/H444, "NA")</f>
        <v>-3.3145574144256465E-2</v>
      </c>
      <c r="J169" s="9"/>
      <c r="K169" s="7">
        <v>-1273.08</v>
      </c>
      <c r="L169" s="8">
        <f>IFERROR(K169/K444, "NA")</f>
        <v>-1.1705268639721782E-2</v>
      </c>
      <c r="M169" s="9"/>
      <c r="N169" s="10">
        <f t="shared" si="41"/>
        <v>-14.1099999999999</v>
      </c>
      <c r="O169" s="8">
        <f>IFERROR(N169/N444, "NA")</f>
        <v>9.3177258673540872E-4</v>
      </c>
      <c r="P169" s="9"/>
      <c r="Q169" s="7">
        <v>-7261</v>
      </c>
      <c r="R169" s="8">
        <f>IFERROR(Q169/Q444, "NA")</f>
        <v>-2.0163474375739694E-2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7261</v>
      </c>
      <c r="X169" s="8">
        <f>IFERROR(W169/W444, "NA")</f>
        <v>-2.4311926605504777</v>
      </c>
      <c r="Y169" s="9"/>
      <c r="Z169" s="7">
        <v>-6466.87</v>
      </c>
      <c r="AA169" s="8">
        <f>IFERROR(Z169/Z444, "NA")</f>
        <v>-2.0733240483397187E-2</v>
      </c>
      <c r="AB169" s="9"/>
      <c r="AC169" s="10">
        <f t="shared" si="43"/>
        <v>794.13000000000011</v>
      </c>
      <c r="AD169" s="8">
        <f>IFERROR(AC169/AC444, "NA")</f>
        <v>1.6476314092536075E-2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3502.3400000000011</v>
      </c>
      <c r="C170" s="15">
        <f>IFERROR(B170/B444, "NA")</f>
        <v>3.7410928014988562E-2</v>
      </c>
      <c r="D170" s="2"/>
      <c r="E170" s="14">
        <f>IFERROR(E151+E153+E154+E155+E156+E157+E160+E161+E162+E163+E164+E165+E167+E168+E169, "NA")</f>
        <v>2368.8200000000002</v>
      </c>
      <c r="F170" s="15">
        <f>IFERROR(E170/E444, "NA")</f>
        <v>1.7999994680897548E-2</v>
      </c>
      <c r="G170" s="2"/>
      <c r="H170" s="14">
        <f t="shared" si="40"/>
        <v>-1133.5200000000009</v>
      </c>
      <c r="I170" s="15">
        <f>IFERROR(H170/H444, "NA")</f>
        <v>2.9842785137054587E-2</v>
      </c>
      <c r="J170" s="2"/>
      <c r="K170" s="14">
        <f>IFERROR(K151+K153+K154+K155+K156+K157+K160+K161+K162+K163+K164+K165+K167+K168+K169, "NA")</f>
        <v>4551.9900000000007</v>
      </c>
      <c r="L170" s="15">
        <f>IFERROR(K170/K444, "NA")</f>
        <v>4.1853038140043965E-2</v>
      </c>
      <c r="M170" s="2"/>
      <c r="N170" s="14">
        <f t="shared" si="41"/>
        <v>1049.6499999999996</v>
      </c>
      <c r="O170" s="15">
        <f>IFERROR(N170/N444, "NA")</f>
        <v>-6.9315031585175643E-2</v>
      </c>
      <c r="P170" s="2"/>
      <c r="Q170" s="14">
        <f>IFERROR(Q151+Q153+Q154+Q155+Q156+Q157+Q160+Q161+Q162+Q163+Q164+Q165+Q167+Q168+Q169, "NA")</f>
        <v>10774.939999999999</v>
      </c>
      <c r="R170" s="15">
        <f>IFERROR(Q170/Q444, "NA")</f>
        <v>2.9921529622659773E-2</v>
      </c>
      <c r="S170" s="2"/>
      <c r="T170" s="14">
        <f>IFERROR(T151+T153+T154+T155+T156+T157+T160+T161+T162+T163+T164+T165+T167+T168+T169, "NA")</f>
        <v>7684.42</v>
      </c>
      <c r="U170" s="15">
        <f>IFERROR(T170/T444, "NA")</f>
        <v>2.1163767902119011E-2</v>
      </c>
      <c r="V170" s="2"/>
      <c r="W170" s="14">
        <f t="shared" si="42"/>
        <v>-3090.5199999999986</v>
      </c>
      <c r="X170" s="15">
        <f>IFERROR(W170/W444, "NA")</f>
        <v>1.0347954195406224</v>
      </c>
      <c r="Y170" s="2"/>
      <c r="Z170" s="14">
        <f>IFERROR(Z151+Z153+Z154+Z155+Z156+Z157+Z160+Z161+Z162+Z163+Z164+Z165+Z167+Z168+Z169, "NA")</f>
        <v>11415.840000000004</v>
      </c>
      <c r="AA170" s="15">
        <f>IFERROR(Z170/Z444, "NA")</f>
        <v>3.6599986707632134E-2</v>
      </c>
      <c r="AB170" s="2"/>
      <c r="AC170" s="14">
        <f t="shared" si="43"/>
        <v>640.90000000000509</v>
      </c>
      <c r="AD170" s="15">
        <f>IFERROR(AC170/AC444, "NA")</f>
        <v>1.3297155002211795E-2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27856.600000000006</v>
      </c>
      <c r="C171" s="15">
        <f>IFERROR(B171/B444, "NA")</f>
        <v>0.29755570771036804</v>
      </c>
      <c r="D171" s="2"/>
      <c r="E171" s="14">
        <f>IFERROR(E127+E129+E130+E131+E132+E133+E134+E135+E136+E137+E138+E139+E140+E143+E144+E145+E146+E147+E151+E153+E154+E155+E156+E157+E160+E161+E162+E163+E164+E165+E167+E168+E169, "NA")</f>
        <v>31715.88</v>
      </c>
      <c r="F171" s="15">
        <f>IFERROR(E171/E444, "NA")</f>
        <v>0.24100002165634574</v>
      </c>
      <c r="G171" s="2"/>
      <c r="H171" s="14">
        <f t="shared" si="40"/>
        <v>3859.2799999999952</v>
      </c>
      <c r="I171" s="15">
        <f>IFERROR(H171/H444, "NA")</f>
        <v>-0.10160532132095754</v>
      </c>
      <c r="J171" s="2"/>
      <c r="K171" s="14">
        <f>IFERROR(K127+K129+K130+K131+K132+K133+K134+K135+K136+K137+K138+K139+K140+K143+K144+K145+K146+K147+K151+K153+K154+K155+K156+K157+K160+K161+K162+K163+K164+K165+K167+K168+K169, "NA")</f>
        <v>27906.720000000001</v>
      </c>
      <c r="L171" s="15">
        <f>IFERROR(K171/K444, "NA")</f>
        <v>0.25658690298606268</v>
      </c>
      <c r="M171" s="2"/>
      <c r="N171" s="14">
        <f t="shared" si="41"/>
        <v>50.119999999995343</v>
      </c>
      <c r="O171" s="15">
        <f>IFERROR(N171/N444, "NA")</f>
        <v>-3.3097407545836059E-3</v>
      </c>
      <c r="P171" s="2"/>
      <c r="Q171" s="14">
        <f>IFERROR(Q127+Q129+Q130+Q131+Q132+Q133+Q134+Q135+Q136+Q137+Q138+Q139+Q140+Q143+Q144+Q145+Q146+Q147+Q151+Q153+Q154+Q155+Q156+Q157+Q160+Q161+Q162+Q163+Q164+Q165+Q167+Q168+Q169, "NA")</f>
        <v>98906.5</v>
      </c>
      <c r="R171" s="15">
        <f>IFERROR(Q171/Q444, "NA")</f>
        <v>0.27465895583860322</v>
      </c>
      <c r="S171" s="2"/>
      <c r="T171" s="14">
        <f>IFERROR(T127+T129+T130+T131+T132+T133+T134+T135+T136+T137+T138+T139+T140+T143+T144+T145+T146+T147+T151+T153+T154+T155+T156+T157+T160+T161+T162+T163+T164+T165+T167+T168+T169, "NA")</f>
        <v>91028.67</v>
      </c>
      <c r="U171" s="15">
        <f>IFERROR(T171/T444, "NA")</f>
        <v>0.25070332495082048</v>
      </c>
      <c r="V171" s="2"/>
      <c r="W171" s="14">
        <f t="shared" si="42"/>
        <v>-7877.8300000000017</v>
      </c>
      <c r="X171" s="15">
        <f>IFERROR(W171/W444, "NA")</f>
        <v>2.6377251724369057</v>
      </c>
      <c r="Y171" s="2"/>
      <c r="Z171" s="14">
        <f>IFERROR(Z127+Z129+Z130+Z131+Z132+Z133+Z134+Z135+Z136+Z137+Z138+Z139+Z140+Z143+Z144+Z145+Z146+Z147+Z151+Z153+Z154+Z155+Z156+Z157+Z160+Z161+Z162+Z163+Z164+Z165+Z167+Z168+Z169, "NA")</f>
        <v>85072.36</v>
      </c>
      <c r="AA171" s="15">
        <f>IFERROR(Z171/Z444, "NA")</f>
        <v>0.27274797519822414</v>
      </c>
      <c r="AB171" s="2"/>
      <c r="AC171" s="14">
        <f t="shared" si="43"/>
        <v>-13834.14</v>
      </c>
      <c r="AD171" s="15">
        <f>IFERROR(AC171/AC444, "NA")</f>
        <v>-0.28702559510422349</v>
      </c>
    </row>
    <row r="172" spans="1:30" ht="16.5" customHeight="1" x14ac:dyDescent="0.45">
      <c r="A172" s="22" t="s">
        <v>160</v>
      </c>
      <c r="B172" s="23">
        <f>IFERROR(B124-B171, "NA")</f>
        <v>65761.500000000015</v>
      </c>
      <c r="C172" s="24">
        <f>IFERROR(B172/B444, "NA")</f>
        <v>0.70244429228963212</v>
      </c>
      <c r="D172" s="25"/>
      <c r="E172" s="23">
        <f>IFERROR(E124-E171, "NA")</f>
        <v>99885.26999999999</v>
      </c>
      <c r="F172" s="24">
        <f>IFERROR(E172/E444, "NA")</f>
        <v>0.75899997834365429</v>
      </c>
      <c r="G172" s="25"/>
      <c r="H172" s="23">
        <f>IFERROR(B172-E172, "NA")</f>
        <v>-34123.769999999975</v>
      </c>
      <c r="I172" s="24">
        <f>IFERROR(H172/H444, "NA")</f>
        <v>0.89839467867904199</v>
      </c>
      <c r="J172" s="25"/>
      <c r="K172" s="23">
        <f>IFERROR(K124-K171, "NA")</f>
        <v>80854.559999999998</v>
      </c>
      <c r="L172" s="24">
        <f>IFERROR(K172/K444, "NA")</f>
        <v>0.74341309701393732</v>
      </c>
      <c r="M172" s="25"/>
      <c r="N172" s="23">
        <f>IFERROR(B172-K172, "NA")</f>
        <v>-15093.059999999983</v>
      </c>
      <c r="O172" s="24">
        <f>IFERROR(N172/N444, "NA")</f>
        <v>0.99669025924541543</v>
      </c>
      <c r="P172" s="25"/>
      <c r="Q172" s="23">
        <f>IFERROR(Q124-Q171, "NA")</f>
        <v>261200.08999999997</v>
      </c>
      <c r="R172" s="24">
        <f>IFERROR(Q172/Q444, "NA")</f>
        <v>0.72534104416139666</v>
      </c>
      <c r="S172" s="25"/>
      <c r="T172" s="23">
        <f>IFERROR(T124-T171, "NA")</f>
        <v>272064.52</v>
      </c>
      <c r="U172" s="24">
        <f>IFERROR(T172/T444, "NA")</f>
        <v>0.74929667504917952</v>
      </c>
      <c r="V172" s="25"/>
      <c r="W172" s="23">
        <f>IFERROR(Q172-T172, "NA")</f>
        <v>-10864.430000000051</v>
      </c>
      <c r="X172" s="24">
        <f>IFERROR(W172/W444, "NA")</f>
        <v>3.6377251724369302</v>
      </c>
      <c r="Y172" s="25"/>
      <c r="Z172" s="23">
        <f>IFERROR(Z124-Z171, "NA")</f>
        <v>226835.95</v>
      </c>
      <c r="AA172" s="24">
        <f>IFERROR(Z172/Z444, "NA")</f>
        <v>0.72725202480177598</v>
      </c>
      <c r="AB172" s="25"/>
      <c r="AC172" s="23">
        <f>IFERROR(Q172-Z172, "NA")</f>
        <v>34364.139999999956</v>
      </c>
      <c r="AD172" s="24">
        <f>IFERROR(AC172/AC444, "NA")</f>
        <v>0.71297440489577502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5640</v>
      </c>
      <c r="C178" s="8">
        <f>IFERROR(B178/B444, "NA")</f>
        <v>6.0244760361511288E-2</v>
      </c>
      <c r="D178" s="9"/>
      <c r="E178" s="7">
        <v>5576.92</v>
      </c>
      <c r="F178" s="8">
        <f>IFERROR(E178/E444, "NA")</f>
        <v>4.2377441230566755E-2</v>
      </c>
      <c r="G178" s="9"/>
      <c r="H178" s="10">
        <f t="shared" si="44"/>
        <v>-63.079999999999927</v>
      </c>
      <c r="I178" s="8">
        <f>IFERROR(H178/H444, "NA")</f>
        <v>1.6607407777943042E-3</v>
      </c>
      <c r="J178" s="9"/>
      <c r="K178" s="7">
        <v>5423.08</v>
      </c>
      <c r="L178" s="8">
        <f>IFERROR(K178/K444, "NA")</f>
        <v>4.9862230381988885E-2</v>
      </c>
      <c r="M178" s="9"/>
      <c r="N178" s="10">
        <f t="shared" si="45"/>
        <v>-216.92000000000007</v>
      </c>
      <c r="O178" s="8">
        <f>IFERROR(N178/N444, "NA")</f>
        <v>1.4324600249089041E-2</v>
      </c>
      <c r="P178" s="9"/>
      <c r="Q178" s="7">
        <v>23970</v>
      </c>
      <c r="R178" s="8">
        <f>IFERROR(Q178/Q444, "NA")</f>
        <v>6.6563624953378378E-2</v>
      </c>
      <c r="S178" s="9"/>
      <c r="T178" s="7">
        <v>23701.91</v>
      </c>
      <c r="U178" s="8">
        <f>IFERROR(T178/T444, "NA")</f>
        <v>6.5277759684779543E-2</v>
      </c>
      <c r="V178" s="9"/>
      <c r="W178" s="10">
        <f t="shared" si="46"/>
        <v>-268.09000000000015</v>
      </c>
      <c r="X178" s="8">
        <f>IFERROR(W178/W444, "NA")</f>
        <v>8.9764280452689429E-2</v>
      </c>
      <c r="Y178" s="9"/>
      <c r="Z178" s="7">
        <v>23048.09</v>
      </c>
      <c r="AA178" s="8">
        <f>IFERROR(Z178/Z444, "NA")</f>
        <v>7.3893799110386002E-2</v>
      </c>
      <c r="AB178" s="9"/>
      <c r="AC178" s="10">
        <f t="shared" si="47"/>
        <v>-921.90999999999985</v>
      </c>
      <c r="AD178" s="8">
        <f>IFERROR(AC178/AC444, "NA")</f>
        <v>-1.9127446041642966E-2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21994.17</v>
      </c>
      <c r="C180" s="8">
        <f>IFERROR(B180/B444, "NA")</f>
        <v>0.23493501790786181</v>
      </c>
      <c r="D180" s="9"/>
      <c r="E180" s="7">
        <v>25004.22</v>
      </c>
      <c r="F180" s="8">
        <f>IFERROR(E180/E444, "NA")</f>
        <v>0.19000001139807671</v>
      </c>
      <c r="G180" s="9"/>
      <c r="H180" s="10">
        <f t="shared" si="44"/>
        <v>3010.0500000000029</v>
      </c>
      <c r="I180" s="8">
        <f>IFERROR(H180/H444, "NA")</f>
        <v>-7.9247190523141345E-2</v>
      </c>
      <c r="J180" s="9"/>
      <c r="K180" s="7">
        <v>19200.849999999999</v>
      </c>
      <c r="L180" s="8">
        <f>IFERROR(K180/K444, "NA")</f>
        <v>0.17654122864313476</v>
      </c>
      <c r="M180" s="9"/>
      <c r="N180" s="10">
        <f t="shared" si="45"/>
        <v>-2793.3199999999997</v>
      </c>
      <c r="O180" s="8">
        <f>IFERROR(N180/N444, "NA")</f>
        <v>0.18446059546277604</v>
      </c>
      <c r="P180" s="9"/>
      <c r="Q180" s="7">
        <v>75161.09</v>
      </c>
      <c r="R180" s="8">
        <f>IFERROR(Q180/Q444, "NA")</f>
        <v>0.20871900733613341</v>
      </c>
      <c r="S180" s="9"/>
      <c r="T180" s="7">
        <v>74711.23</v>
      </c>
      <c r="U180" s="8">
        <f>IFERROR(T180/T444, "NA")</f>
        <v>0.20576323670515548</v>
      </c>
      <c r="V180" s="9"/>
      <c r="W180" s="10">
        <f t="shared" si="46"/>
        <v>-449.86000000000058</v>
      </c>
      <c r="X180" s="8">
        <f>IFERROR(W180/W444, "NA")</f>
        <v>0.15062613004754707</v>
      </c>
      <c r="Y180" s="9"/>
      <c r="Z180" s="7">
        <v>66828.97</v>
      </c>
      <c r="AA180" s="8">
        <f>IFERROR(Z180/Z444, "NA")</f>
        <v>0.2142583825355599</v>
      </c>
      <c r="AB180" s="9"/>
      <c r="AC180" s="10">
        <f t="shared" si="47"/>
        <v>-8332.1199999999953</v>
      </c>
      <c r="AD180" s="8">
        <f>IFERROR(AC180/AC444, "NA")</f>
        <v>-0.17287172903265408</v>
      </c>
    </row>
    <row r="181" spans="1:30" ht="16.5" customHeight="1" x14ac:dyDescent="0.45">
      <c r="A181" s="12" t="s">
        <v>166</v>
      </c>
      <c r="B181" s="7">
        <v>1055.81</v>
      </c>
      <c r="C181" s="8">
        <f>IFERROR(B181/B444, "NA")</f>
        <v>1.1277840503065111E-2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-1055.81</v>
      </c>
      <c r="I181" s="8">
        <f>IFERROR(H181/H444, "NA")</f>
        <v>2.7796872552362181E-2</v>
      </c>
      <c r="J181" s="9"/>
      <c r="K181" s="7">
        <v>65.599999999999994</v>
      </c>
      <c r="L181" s="8">
        <f>IFERROR(K181/K444, "NA")</f>
        <v>6.0315582898619801E-4</v>
      </c>
      <c r="M181" s="9"/>
      <c r="N181" s="10">
        <f t="shared" si="45"/>
        <v>-990.20999999999992</v>
      </c>
      <c r="O181" s="8">
        <f>IFERROR(N181/N444, "NA")</f>
        <v>6.5389832254519886E-2</v>
      </c>
      <c r="P181" s="9"/>
      <c r="Q181" s="7">
        <v>1055.81</v>
      </c>
      <c r="R181" s="8">
        <f>IFERROR(Q181/Q444, "NA")</f>
        <v>2.9319374577399426E-3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-1055.81</v>
      </c>
      <c r="X181" s="8">
        <f>IFERROR(W181/W444, "NA")</f>
        <v>0.35351570347552674</v>
      </c>
      <c r="Y181" s="9"/>
      <c r="Z181" s="7">
        <v>218.07</v>
      </c>
      <c r="AA181" s="8">
        <f>IFERROR(Z181/Z444, "NA")</f>
        <v>6.9914777198465795E-4</v>
      </c>
      <c r="AB181" s="9"/>
      <c r="AC181" s="10">
        <f t="shared" si="47"/>
        <v>-837.74</v>
      </c>
      <c r="AD181" s="8">
        <f>IFERROR(AC181/AC444, "NA")</f>
        <v>-1.738111816438262E-2</v>
      </c>
    </row>
    <row r="182" spans="1:30" ht="16.5" customHeight="1" x14ac:dyDescent="0.45">
      <c r="A182" s="13" t="s">
        <v>167</v>
      </c>
      <c r="B182" s="14">
        <f>IFERROR(B177+B178+B179+B180+B181, "NA")</f>
        <v>28689.98</v>
      </c>
      <c r="C182" s="15">
        <f>IFERROR(B182/B444, "NA")</f>
        <v>0.30645761877243821</v>
      </c>
      <c r="D182" s="2"/>
      <c r="E182" s="14">
        <f>IFERROR(E177+E178+E179+E180+E181, "NA")</f>
        <v>30581.14</v>
      </c>
      <c r="F182" s="15">
        <f>IFERROR(E182/E444, "NA")</f>
        <v>0.23237745262864345</v>
      </c>
      <c r="G182" s="2"/>
      <c r="H182" s="14">
        <f t="shared" si="44"/>
        <v>1891.1599999999999</v>
      </c>
      <c r="I182" s="15">
        <f>IFERROR(H182/H444, "NA")</f>
        <v>-4.9789577192984776E-2</v>
      </c>
      <c r="J182" s="2"/>
      <c r="K182" s="14">
        <f>IFERROR(K177+K178+K179+K180+K181, "NA")</f>
        <v>24689.53</v>
      </c>
      <c r="L182" s="15">
        <f>IFERROR(K182/K444, "NA")</f>
        <v>0.22700661485410983</v>
      </c>
      <c r="M182" s="2"/>
      <c r="N182" s="14">
        <f t="shared" si="45"/>
        <v>-4000.4500000000007</v>
      </c>
      <c r="O182" s="15">
        <f>IFERROR(N182/N444, "NA")</f>
        <v>0.26417502796638503</v>
      </c>
      <c r="P182" s="2"/>
      <c r="Q182" s="14">
        <f>IFERROR(Q177+Q178+Q179+Q180+Q181, "NA")</f>
        <v>100186.9</v>
      </c>
      <c r="R182" s="15">
        <f>IFERROR(Q182/Q444, "NA")</f>
        <v>0.27821456974725173</v>
      </c>
      <c r="S182" s="2"/>
      <c r="T182" s="14">
        <f>IFERROR(T177+T178+T179+T180+T181, "NA")</f>
        <v>98413.14</v>
      </c>
      <c r="U182" s="15">
        <f>IFERROR(T182/T444, "NA")</f>
        <v>0.27104099638993506</v>
      </c>
      <c r="V182" s="2"/>
      <c r="W182" s="14">
        <f t="shared" si="46"/>
        <v>-1773.7599999999948</v>
      </c>
      <c r="X182" s="15">
        <f>IFERROR(W182/W444, "NA")</f>
        <v>0.59390611397576132</v>
      </c>
      <c r="Y182" s="2"/>
      <c r="Z182" s="14">
        <f>IFERROR(Z177+Z178+Z179+Z180+Z181, "NA")</f>
        <v>90095.13</v>
      </c>
      <c r="AA182" s="15">
        <f>IFERROR(Z182/Z444, "NA")</f>
        <v>0.28885132941793057</v>
      </c>
      <c r="AB182" s="2"/>
      <c r="AC182" s="14">
        <f t="shared" si="47"/>
        <v>-10091.76999999999</v>
      </c>
      <c r="AD182" s="15">
        <f>IFERROR(AC182/AC444, "NA")</f>
        <v>-0.20938029323867954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5.3408475497793689E-3</v>
      </c>
      <c r="D184" s="9"/>
      <c r="E184" s="7">
        <v>500</v>
      </c>
      <c r="F184" s="8">
        <f>IFERROR(E184/E444, "NA")</f>
        <v>3.7993588961798587E-3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-150</v>
      </c>
      <c r="L184" s="8">
        <f>IFERROR(K184/K444, "NA")</f>
        <v>-1.3791672918891723E-3</v>
      </c>
      <c r="M184" s="9"/>
      <c r="N184" s="10">
        <f t="shared" si="45"/>
        <v>-650</v>
      </c>
      <c r="O184" s="8">
        <f>IFERROR(N184/N444, "NA")</f>
        <v>4.2923613138059528E-2</v>
      </c>
      <c r="P184" s="9"/>
      <c r="Q184" s="7">
        <v>2000</v>
      </c>
      <c r="R184" s="8">
        <f>IFERROR(Q184/Q444, "NA")</f>
        <v>5.5539111350336569E-3</v>
      </c>
      <c r="S184" s="9"/>
      <c r="T184" s="7">
        <v>2000</v>
      </c>
      <c r="U184" s="8">
        <f>IFERROR(T184/T444, "NA")</f>
        <v>5.5082277913281715E-3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750</v>
      </c>
      <c r="AA184" s="8">
        <f>IFERROR(Z184/Z444, "NA")</f>
        <v>2.4045527995070091E-3</v>
      </c>
      <c r="AB184" s="9"/>
      <c r="AC184" s="10">
        <f t="shared" si="47"/>
        <v>-1250</v>
      </c>
      <c r="AD184" s="8">
        <f>IFERROR(AC184/AC444, "NA")</f>
        <v>-2.5934535423255752E-2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2520</v>
      </c>
      <c r="C186" s="8">
        <f>IFERROR(B186/B444, "NA")</f>
        <v>2.691787165088802E-2</v>
      </c>
      <c r="D186" s="9"/>
      <c r="E186" s="7">
        <v>3418.11</v>
      </c>
      <c r="F186" s="8">
        <f>IFERROR(E186/E444, "NA")</f>
        <v>2.5973253273242677E-2</v>
      </c>
      <c r="G186" s="9"/>
      <c r="H186" s="10">
        <f t="shared" ref="H186:H197" si="48">IFERROR(-(B186-E186), "NA")</f>
        <v>898.11000000000013</v>
      </c>
      <c r="I186" s="8">
        <f>IFERROR(H186/H444, "NA")</f>
        <v>-2.3645020607876419E-2</v>
      </c>
      <c r="J186" s="9"/>
      <c r="K186" s="7">
        <v>2234.06</v>
      </c>
      <c r="L186" s="8">
        <f>IFERROR(K186/K444, "NA")</f>
        <v>2.0540949867452828E-2</v>
      </c>
      <c r="M186" s="9"/>
      <c r="N186" s="10">
        <f t="shared" ref="N186:N197" si="49">IFERROR(-(B186-K186), "NA")</f>
        <v>-285.94000000000005</v>
      </c>
      <c r="O186" s="8">
        <f>IFERROR(N186/N444, "NA")</f>
        <v>1.8882427601071915E-2</v>
      </c>
      <c r="P186" s="9"/>
      <c r="Q186" s="7">
        <v>9212.19</v>
      </c>
      <c r="R186" s="8">
        <f>IFERROR(Q186/Q444, "NA")</f>
        <v>2.5581842309522856E-2</v>
      </c>
      <c r="S186" s="9"/>
      <c r="T186" s="7">
        <v>12020.88</v>
      </c>
      <c r="U186" s="8">
        <f>IFERROR(T186/T444, "NA")</f>
        <v>3.3106872646110494E-2</v>
      </c>
      <c r="V186" s="9"/>
      <c r="W186" s="10">
        <f t="shared" ref="W186:W197" si="50">IFERROR(-(Q186-T186), "NA")</f>
        <v>2808.6899999999987</v>
      </c>
      <c r="X186" s="8">
        <f>IFERROR(W186/W444, "NA")</f>
        <v>-0.94043058996853302</v>
      </c>
      <c r="Y186" s="9"/>
      <c r="Z186" s="7">
        <v>8381.57</v>
      </c>
      <c r="AA186" s="8">
        <f>IFERROR(Z186/Z444, "NA")</f>
        <v>2.6871903477018615E-2</v>
      </c>
      <c r="AB186" s="9"/>
      <c r="AC186" s="10">
        <f t="shared" ref="AC186:AC197" si="51">IFERROR(-(Q186-Z186), "NA")</f>
        <v>-830.6200000000008</v>
      </c>
      <c r="AD186" s="8">
        <f>IFERROR(AC186/AC444, "NA")</f>
        <v>-1.723339505061177E-2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0.02</v>
      </c>
      <c r="AA187" s="8">
        <f>IFERROR(Z187/Z444, "NA")</f>
        <v>6.4121407986853579E-8</v>
      </c>
      <c r="AB187" s="9"/>
      <c r="AC187" s="10">
        <f t="shared" si="51"/>
        <v>0.02</v>
      </c>
      <c r="AD187" s="8">
        <f>IFERROR(AC187/AC444, "NA")</f>
        <v>4.1495256677209206E-7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2520</v>
      </c>
      <c r="C193" s="15">
        <f>IFERROR(B193/B444, "NA")</f>
        <v>2.691787165088802E-2</v>
      </c>
      <c r="D193" s="2"/>
      <c r="E193" s="14">
        <f>IFERROR(E186+E187+E188+E189+E190+E191+E192, "NA")</f>
        <v>3418.11</v>
      </c>
      <c r="F193" s="15">
        <f>IFERROR(E193/E444, "NA")</f>
        <v>2.5973253273242677E-2</v>
      </c>
      <c r="G193" s="2"/>
      <c r="H193" s="14">
        <f t="shared" si="48"/>
        <v>898.11000000000013</v>
      </c>
      <c r="I193" s="15">
        <f>IFERROR(H193/H444, "NA")</f>
        <v>-2.3645020607876419E-2</v>
      </c>
      <c r="J193" s="2"/>
      <c r="K193" s="14">
        <f>IFERROR(K186+K187+K188+K189+K190+K191+K192, "NA")</f>
        <v>2234.06</v>
      </c>
      <c r="L193" s="15">
        <f>IFERROR(K193/K444, "NA")</f>
        <v>2.0540949867452828E-2</v>
      </c>
      <c r="M193" s="2"/>
      <c r="N193" s="14">
        <f t="shared" si="49"/>
        <v>-285.94000000000005</v>
      </c>
      <c r="O193" s="15">
        <f>IFERROR(N193/N444, "NA")</f>
        <v>1.8882427601071915E-2</v>
      </c>
      <c r="P193" s="2"/>
      <c r="Q193" s="14">
        <f>IFERROR(Q186+Q187+Q188+Q189+Q190+Q191+Q192, "NA")</f>
        <v>9212.19</v>
      </c>
      <c r="R193" s="15">
        <f>IFERROR(Q193/Q444, "NA")</f>
        <v>2.5581842309522856E-2</v>
      </c>
      <c r="S193" s="2"/>
      <c r="T193" s="14">
        <f>IFERROR(T186+T187+T188+T189+T190+T191+T192, "NA")</f>
        <v>12020.88</v>
      </c>
      <c r="U193" s="15">
        <f>IFERROR(T193/T444, "NA")</f>
        <v>3.3106872646110494E-2</v>
      </c>
      <c r="V193" s="2"/>
      <c r="W193" s="14">
        <f t="shared" si="50"/>
        <v>2808.6899999999987</v>
      </c>
      <c r="X193" s="15">
        <f>IFERROR(W193/W444, "NA")</f>
        <v>-0.94043058996853302</v>
      </c>
      <c r="Y193" s="2"/>
      <c r="Z193" s="14">
        <f>IFERROR(Z186+Z187+Z188+Z189+Z190+Z191+Z192, "NA")</f>
        <v>8381.59</v>
      </c>
      <c r="AA193" s="15">
        <f>IFERROR(Z193/Z444, "NA")</f>
        <v>2.6871967598426603E-2</v>
      </c>
      <c r="AB193" s="2"/>
      <c r="AC193" s="14">
        <f t="shared" si="51"/>
        <v>-830.60000000000036</v>
      </c>
      <c r="AD193" s="15">
        <f>IFERROR(AC193/AC444, "NA")</f>
        <v>-1.7232980098044991E-2</v>
      </c>
    </row>
    <row r="194" spans="1:30" ht="16.5" customHeight="1" x14ac:dyDescent="0.45">
      <c r="A194" s="6" t="s">
        <v>178</v>
      </c>
      <c r="B194" s="7">
        <v>236</v>
      </c>
      <c r="C194" s="8">
        <f>IFERROR(B194/B444, "NA")</f>
        <v>2.5208800434958624E-3</v>
      </c>
      <c r="D194" s="9"/>
      <c r="E194" s="7">
        <v>248.65</v>
      </c>
      <c r="F194" s="8">
        <f>IFERROR(E194/E444, "NA")</f>
        <v>1.8894211790702437E-3</v>
      </c>
      <c r="G194" s="9"/>
      <c r="H194" s="10">
        <f t="shared" si="48"/>
        <v>12.650000000000006</v>
      </c>
      <c r="I194" s="8">
        <f>IFERROR(H194/H444, "NA")</f>
        <v>-3.3304329167878853E-4</v>
      </c>
      <c r="J194" s="9"/>
      <c r="K194" s="7">
        <v>0</v>
      </c>
      <c r="L194" s="8">
        <f>IFERROR(K194/K444, "NA")</f>
        <v>0</v>
      </c>
      <c r="M194" s="9"/>
      <c r="N194" s="10">
        <f t="shared" si="49"/>
        <v>-236</v>
      </c>
      <c r="O194" s="8">
        <f>IFERROR(N194/N444, "NA")</f>
        <v>1.5584573385510845E-2</v>
      </c>
      <c r="P194" s="9"/>
      <c r="Q194" s="7">
        <v>1090</v>
      </c>
      <c r="R194" s="8">
        <f>IFERROR(Q194/Q444, "NA")</f>
        <v>3.0268815685933433E-3</v>
      </c>
      <c r="S194" s="9"/>
      <c r="T194" s="7">
        <v>803.31</v>
      </c>
      <c r="U194" s="8">
        <f>IFERROR(T194/T444, "NA")</f>
        <v>2.2124072335259165E-3</v>
      </c>
      <c r="V194" s="9"/>
      <c r="W194" s="10">
        <f t="shared" si="50"/>
        <v>-286.69000000000005</v>
      </c>
      <c r="X194" s="8">
        <f>IFERROR(W194/W444, "NA")</f>
        <v>9.5992098037903401E-2</v>
      </c>
      <c r="Y194" s="9"/>
      <c r="Z194" s="7">
        <v>657</v>
      </c>
      <c r="AA194" s="8">
        <f>IFERROR(Z194/Z444, "NA")</f>
        <v>2.1063882523681397E-3</v>
      </c>
      <c r="AB194" s="9"/>
      <c r="AC194" s="10">
        <f t="shared" si="51"/>
        <v>-433</v>
      </c>
      <c r="AD194" s="8">
        <f>IFERROR(AC194/AC444, "NA")</f>
        <v>-8.9837230706157935E-3</v>
      </c>
    </row>
    <row r="195" spans="1:30" ht="16.5" hidden="1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0</v>
      </c>
      <c r="I195" s="8">
        <f>IFERROR(H195/H444, "NA")</f>
        <v>0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0</v>
      </c>
      <c r="O195" s="8">
        <f>IFERROR(N195/N444, "NA")</f>
        <v>0</v>
      </c>
      <c r="P195" s="9"/>
      <c r="Q195" s="7">
        <v>0</v>
      </c>
      <c r="R195" s="8">
        <f>IFERROR(Q195/Q444, "NA")</f>
        <v>0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0</v>
      </c>
      <c r="X195" s="8">
        <f>IFERROR(W195/W444, "NA")</f>
        <v>0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0</v>
      </c>
      <c r="AD195" s="8">
        <f>IFERROR(AC195/AC444, "NA")</f>
        <v>0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31945.98</v>
      </c>
      <c r="C196" s="15">
        <f>IFERROR(B196/B444, "NA")</f>
        <v>0.34123721801660145</v>
      </c>
      <c r="D196" s="2"/>
      <c r="E196" s="14">
        <f>IFERROR(E175+E177+E178+E179+E180+E181+E183+E184+E186+E187+E188+E189+E190+E191+E192+E194+E195, "NA")</f>
        <v>34747.9</v>
      </c>
      <c r="F196" s="15">
        <f>IFERROR(E196/E444, "NA")</f>
        <v>0.26403948597713622</v>
      </c>
      <c r="G196" s="2"/>
      <c r="H196" s="14">
        <f t="shared" si="48"/>
        <v>2801.9200000000019</v>
      </c>
      <c r="I196" s="15">
        <f>IFERROR(H196/H444, "NA")</f>
        <v>-7.376764109254004E-2</v>
      </c>
      <c r="J196" s="2"/>
      <c r="K196" s="14">
        <f>IFERROR(K175+K177+K178+K179+K180+K181+K183+K184+K186+K187+K188+K189+K190+K191+K192+K194+K195, "NA")</f>
        <v>26773.59</v>
      </c>
      <c r="L196" s="15">
        <f>IFERROR(K196/K444, "NA")</f>
        <v>0.2461683974296735</v>
      </c>
      <c r="M196" s="2"/>
      <c r="N196" s="14">
        <f t="shared" si="49"/>
        <v>-5172.3899999999994</v>
      </c>
      <c r="O196" s="15">
        <f>IFERROR(N196/N444, "NA")</f>
        <v>0.34156564209102724</v>
      </c>
      <c r="P196" s="2"/>
      <c r="Q196" s="14">
        <f>IFERROR(Q175+Q177+Q178+Q179+Q180+Q181+Q183+Q184+Q186+Q187+Q188+Q189+Q190+Q191+Q192+Q194+Q195, "NA")</f>
        <v>112489.09</v>
      </c>
      <c r="R196" s="15">
        <f>IFERROR(Q196/Q444, "NA")</f>
        <v>0.31237720476040159</v>
      </c>
      <c r="S196" s="2"/>
      <c r="T196" s="14">
        <f>IFERROR(T175+T177+T178+T179+T180+T181+T183+T184+T186+T187+T188+T189+T190+T191+T192+T194+T195, "NA")</f>
        <v>113237.33</v>
      </c>
      <c r="U196" s="15">
        <f>IFERROR(T196/T444, "NA")</f>
        <v>0.31186850406089961</v>
      </c>
      <c r="V196" s="2"/>
      <c r="W196" s="14">
        <f t="shared" si="50"/>
        <v>748.24000000000524</v>
      </c>
      <c r="X196" s="15">
        <f>IFERROR(W196/W444, "NA")</f>
        <v>-0.25053237795486877</v>
      </c>
      <c r="Y196" s="2"/>
      <c r="Z196" s="14">
        <f>IFERROR(Z175+Z177+Z178+Z179+Z180+Z181+Z183+Z184+Z186+Z187+Z188+Z189+Z190+Z191+Z192+Z194+Z195, "NA")</f>
        <v>99883.720000000016</v>
      </c>
      <c r="AA196" s="15">
        <f>IFERROR(Z196/Z444, "NA")</f>
        <v>0.32023423806823237</v>
      </c>
      <c r="AB196" s="2"/>
      <c r="AC196" s="14">
        <f t="shared" si="51"/>
        <v>-12605.369999999981</v>
      </c>
      <c r="AD196" s="15">
        <f>IFERROR(AC196/AC444, "NA")</f>
        <v>-0.26153153183059591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31945.98</v>
      </c>
      <c r="C197" s="15">
        <f>IFERROR(B197/B444, "NA")</f>
        <v>0.34123721801660145</v>
      </c>
      <c r="D197" s="2"/>
      <c r="E197" s="14">
        <f>IFERROR(E175+E177+E178+E179+E180+E181+E183+E184+E186+E187+E188+E189+E190+E191+E192+E194+E195, "NA")</f>
        <v>34747.9</v>
      </c>
      <c r="F197" s="15">
        <f>IFERROR(E197/E444, "NA")</f>
        <v>0.26403948597713622</v>
      </c>
      <c r="G197" s="2"/>
      <c r="H197" s="14">
        <f t="shared" si="48"/>
        <v>2801.9200000000019</v>
      </c>
      <c r="I197" s="15">
        <f>IFERROR(H197/H444, "NA")</f>
        <v>-7.376764109254004E-2</v>
      </c>
      <c r="J197" s="2"/>
      <c r="K197" s="14">
        <f>IFERROR(K175+K177+K178+K179+K180+K181+K183+K184+K186+K187+K188+K189+K190+K191+K192+K194+K195, "NA")</f>
        <v>26773.59</v>
      </c>
      <c r="L197" s="15">
        <f>IFERROR(K197/K444, "NA")</f>
        <v>0.2461683974296735</v>
      </c>
      <c r="M197" s="2"/>
      <c r="N197" s="14">
        <f t="shared" si="49"/>
        <v>-5172.3899999999994</v>
      </c>
      <c r="O197" s="15">
        <f>IFERROR(N197/N444, "NA")</f>
        <v>0.34156564209102724</v>
      </c>
      <c r="P197" s="2"/>
      <c r="Q197" s="14">
        <f>IFERROR(Q175+Q177+Q178+Q179+Q180+Q181+Q183+Q184+Q186+Q187+Q188+Q189+Q190+Q191+Q192+Q194+Q195, "NA")</f>
        <v>112489.09</v>
      </c>
      <c r="R197" s="15">
        <f>IFERROR(Q197/Q444, "NA")</f>
        <v>0.31237720476040159</v>
      </c>
      <c r="S197" s="2"/>
      <c r="T197" s="14">
        <f>IFERROR(T175+T177+T178+T179+T180+T181+T183+T184+T186+T187+T188+T189+T190+T191+T192+T194+T195, "NA")</f>
        <v>113237.33</v>
      </c>
      <c r="U197" s="15">
        <f>IFERROR(T197/T444, "NA")</f>
        <v>0.31186850406089961</v>
      </c>
      <c r="V197" s="2"/>
      <c r="W197" s="14">
        <f t="shared" si="50"/>
        <v>748.24000000000524</v>
      </c>
      <c r="X197" s="15">
        <f>IFERROR(W197/W444, "NA")</f>
        <v>-0.25053237795486877</v>
      </c>
      <c r="Y197" s="2"/>
      <c r="Z197" s="14">
        <f>IFERROR(Z175+Z177+Z178+Z179+Z180+Z181+Z183+Z184+Z186+Z187+Z188+Z189+Z190+Z191+Z192+Z194+Z195, "NA")</f>
        <v>99883.720000000016</v>
      </c>
      <c r="AA197" s="15">
        <f>IFERROR(Z197/Z444, "NA")</f>
        <v>0.32023423806823237</v>
      </c>
      <c r="AB197" s="2"/>
      <c r="AC197" s="14">
        <f t="shared" si="51"/>
        <v>-12605.369999999981</v>
      </c>
      <c r="AD197" s="15">
        <f>IFERROR(AC197/AC444, "NA")</f>
        <v>-0.26153153183059591</v>
      </c>
    </row>
    <row r="198" spans="1:30" ht="16.5" customHeight="1" x14ac:dyDescent="0.45">
      <c r="A198" s="22" t="s">
        <v>181</v>
      </c>
      <c r="B198" s="23">
        <f>IFERROR(B172-B197, "NA")</f>
        <v>33815.520000000019</v>
      </c>
      <c r="C198" s="24">
        <f>IFERROR(B198/B444, "NA")</f>
        <v>0.36120707427303073</v>
      </c>
      <c r="D198" s="25"/>
      <c r="E198" s="23">
        <f>IFERROR(E172-E197, "NA")</f>
        <v>65137.369999999988</v>
      </c>
      <c r="F198" s="24">
        <f>IFERROR(E198/E444, "NA")</f>
        <v>0.49496049236651801</v>
      </c>
      <c r="G198" s="25"/>
      <c r="H198" s="23">
        <f>IFERROR(B198-E198, "NA")</f>
        <v>-31321.849999999969</v>
      </c>
      <c r="I198" s="24">
        <f>IFERROR(H198/H444, "NA")</f>
        <v>0.8246270375865018</v>
      </c>
      <c r="J198" s="25"/>
      <c r="K198" s="23">
        <f>IFERROR(K172-K197, "NA")</f>
        <v>54080.97</v>
      </c>
      <c r="L198" s="24">
        <f>IFERROR(K198/K444, "NA")</f>
        <v>0.49724469958426382</v>
      </c>
      <c r="M198" s="25"/>
      <c r="N198" s="23">
        <f>IFERROR(B198-K198, "NA")</f>
        <v>-20265.449999999983</v>
      </c>
      <c r="O198" s="24">
        <f>IFERROR(N198/N444, "NA")</f>
        <v>1.3382559013364426</v>
      </c>
      <c r="P198" s="25"/>
      <c r="Q198" s="23">
        <f>IFERROR(Q172-Q197, "NA")</f>
        <v>148710.99999999997</v>
      </c>
      <c r="R198" s="24">
        <f>IFERROR(Q198/Q444, "NA")</f>
        <v>0.41296383940099501</v>
      </c>
      <c r="S198" s="25"/>
      <c r="T198" s="23">
        <f>IFERROR(T172-T197, "NA")</f>
        <v>158827.19</v>
      </c>
      <c r="U198" s="24">
        <f>IFERROR(T198/T444, "NA")</f>
        <v>0.43742817098827991</v>
      </c>
      <c r="V198" s="25"/>
      <c r="W198" s="23">
        <f>IFERROR(Q198-T198, "NA")</f>
        <v>-10116.190000000031</v>
      </c>
      <c r="X198" s="24">
        <f>IFERROR(W198/W444, "NA")</f>
        <v>3.3871927944820568</v>
      </c>
      <c r="Y198" s="25"/>
      <c r="Z198" s="23">
        <f>IFERROR(Z172-Z197, "NA")</f>
        <v>126952.23</v>
      </c>
      <c r="AA198" s="24">
        <f>IFERROR(Z198/Z444, "NA")</f>
        <v>0.40701778673354355</v>
      </c>
      <c r="AB198" s="25"/>
      <c r="AC198" s="23">
        <f>IFERROR(Q198-Z198, "NA")</f>
        <v>21758.769999999975</v>
      </c>
      <c r="AD198" s="24">
        <f>IFERROR(AC198/AC444, "NA")</f>
        <v>0.45144287306517916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2368.8200000000002</v>
      </c>
      <c r="F201" s="8">
        <f>IFERROR(E201/E444, "NA")</f>
        <v>1.7999994680897548E-2</v>
      </c>
      <c r="G201" s="9"/>
      <c r="H201" s="10">
        <f t="shared" ref="H201:H209" si="52">IFERROR(-(B201-E201), "NA")</f>
        <v>2368.8200000000002</v>
      </c>
      <c r="I201" s="8">
        <f>IFERROR(H201/H444, "NA")</f>
        <v>-6.2365186576644076E-2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6790.95</v>
      </c>
      <c r="U201" s="8">
        <f>IFERROR(T201/T444, "NA")</f>
        <v>1.8703049759760022E-2</v>
      </c>
      <c r="V201" s="9"/>
      <c r="W201" s="10">
        <f t="shared" ref="W201:W209" si="54">IFERROR(-(Q201-T201), "NA")</f>
        <v>6790.95</v>
      </c>
      <c r="X201" s="8">
        <f>IFERROR(W201/W444, "NA")</f>
        <v>-2.2738063349628517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770.48</v>
      </c>
      <c r="C202" s="8">
        <f>IFERROR(B202/B444, "NA")</f>
        <v>8.2300324403080174E-3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-770.48</v>
      </c>
      <c r="I202" s="8">
        <f>IFERROR(H202/H444, "NA")</f>
        <v>2.0284837578867423E-2</v>
      </c>
      <c r="J202" s="9"/>
      <c r="K202" s="7">
        <v>958.33</v>
      </c>
      <c r="L202" s="8">
        <f>IFERROR(K202/K444, "NA")</f>
        <v>8.8113159389076705E-3</v>
      </c>
      <c r="M202" s="9"/>
      <c r="N202" s="10">
        <f t="shared" si="53"/>
        <v>187.85000000000002</v>
      </c>
      <c r="O202" s="8">
        <f>IFERROR(N202/N444, "NA")</f>
        <v>-1.2404924196899205E-2</v>
      </c>
      <c r="P202" s="9"/>
      <c r="Q202" s="7">
        <v>3758.55</v>
      </c>
      <c r="R202" s="8">
        <f>IFERROR(Q202/Q444, "NA")</f>
        <v>1.0437326348290376E-2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-3758.55</v>
      </c>
      <c r="X202" s="8">
        <f>IFERROR(W202/W444, "NA")</f>
        <v>1.2584711712315106</v>
      </c>
      <c r="Y202" s="9"/>
      <c r="Z202" s="7">
        <v>3505.38</v>
      </c>
      <c r="AA202" s="8">
        <f>IFERROR(Z202/Z444, "NA")</f>
        <v>1.1238495056447839E-2</v>
      </c>
      <c r="AB202" s="9"/>
      <c r="AC202" s="10">
        <f t="shared" si="55"/>
        <v>-253.17000000000007</v>
      </c>
      <c r="AD202" s="8">
        <f>IFERROR(AC202/AC444, "NA")</f>
        <v>-5.2526770664845287E-3</v>
      </c>
    </row>
    <row r="203" spans="1:30" ht="16.5" customHeight="1" x14ac:dyDescent="0.45">
      <c r="A203" s="6" t="s">
        <v>185</v>
      </c>
      <c r="B203" s="7">
        <v>907.34</v>
      </c>
      <c r="C203" s="8">
        <f>IFERROR(B203/B444, "NA")</f>
        <v>9.6919292316336256E-3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-907.34</v>
      </c>
      <c r="I203" s="8">
        <f>IFERROR(H203/H444, "NA")</f>
        <v>2.3888023736903706E-2</v>
      </c>
      <c r="J203" s="9"/>
      <c r="K203" s="7">
        <v>452.78</v>
      </c>
      <c r="L203" s="8">
        <f>IFERROR(K203/K444, "NA")</f>
        <v>4.1630624428105291E-3</v>
      </c>
      <c r="M203" s="9"/>
      <c r="N203" s="10">
        <f t="shared" si="53"/>
        <v>-454.56000000000006</v>
      </c>
      <c r="O203" s="8">
        <f>IFERROR(N203/N444, "NA")</f>
        <v>3.0017473212363602E-2</v>
      </c>
      <c r="P203" s="9"/>
      <c r="Q203" s="7">
        <v>2949.44</v>
      </c>
      <c r="R203" s="8">
        <f>IFERROR(Q203/Q444, "NA")</f>
        <v>8.1904638290568356E-3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-2949.44</v>
      </c>
      <c r="X203" s="8">
        <f>IFERROR(W203/W444, "NA")</f>
        <v>0.98755775798567702</v>
      </c>
      <c r="Y203" s="9"/>
      <c r="Z203" s="7">
        <v>1524.73</v>
      </c>
      <c r="AA203" s="8">
        <f>IFERROR(Z203/Z444, "NA")</f>
        <v>4.8883917199897629E-3</v>
      </c>
      <c r="AB203" s="9"/>
      <c r="AC203" s="10">
        <f t="shared" si="55"/>
        <v>-1424.71</v>
      </c>
      <c r="AD203" s="8">
        <f>IFERROR(AC203/AC444, "NA")</f>
        <v>-2.9559353570293365E-2</v>
      </c>
    </row>
    <row r="204" spans="1:30" ht="16.5" customHeight="1" x14ac:dyDescent="0.45">
      <c r="A204" s="6" t="s">
        <v>186</v>
      </c>
      <c r="B204" s="7">
        <v>11.24</v>
      </c>
      <c r="C204" s="8">
        <f>IFERROR(B204/B444, "NA")</f>
        <v>1.2006225291904022E-4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-11.24</v>
      </c>
      <c r="I204" s="8">
        <f>IFERROR(H204/H444, "NA")</f>
        <v>2.9592147023474956E-4</v>
      </c>
      <c r="J204" s="9"/>
      <c r="K204" s="7">
        <v>281.7</v>
      </c>
      <c r="L204" s="8">
        <f>IFERROR(K204/K444, "NA")</f>
        <v>2.5900761741678656E-3</v>
      </c>
      <c r="M204" s="9"/>
      <c r="N204" s="10">
        <f t="shared" si="53"/>
        <v>270.45999999999998</v>
      </c>
      <c r="O204" s="8">
        <f>IFERROR(N204/N444, "NA")</f>
        <v>-1.7860185245107046E-2</v>
      </c>
      <c r="P204" s="9"/>
      <c r="Q204" s="7">
        <v>272.75</v>
      </c>
      <c r="R204" s="8">
        <f>IFERROR(Q204/Q444, "NA")</f>
        <v>7.5741463104021496E-4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-272.75</v>
      </c>
      <c r="X204" s="8">
        <f>IFERROR(W204/W444, "NA")</f>
        <v>9.1324583138017182E-2</v>
      </c>
      <c r="Y204" s="9"/>
      <c r="Z204" s="7">
        <v>324.77999999999997</v>
      </c>
      <c r="AA204" s="8">
        <f>IFERROR(Z204/Z444, "NA")</f>
        <v>1.0412675442985151E-3</v>
      </c>
      <c r="AB204" s="9"/>
      <c r="AC204" s="10">
        <f t="shared" si="55"/>
        <v>52.029999999999973</v>
      </c>
      <c r="AD204" s="8">
        <f>IFERROR(AC204/AC444, "NA")</f>
        <v>1.0794991024575969E-3</v>
      </c>
    </row>
    <row r="205" spans="1:30" ht="16.5" customHeight="1" x14ac:dyDescent="0.45">
      <c r="A205" s="6" t="s">
        <v>187</v>
      </c>
      <c r="B205" s="7">
        <v>348.96</v>
      </c>
      <c r="C205" s="8">
        <f>IFERROR(B205/B444, "NA")</f>
        <v>3.727484321942017E-3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-348.96</v>
      </c>
      <c r="I205" s="8">
        <f>IFERROR(H205/H444, "NA")</f>
        <v>9.1872558944055323E-3</v>
      </c>
      <c r="J205" s="9"/>
      <c r="K205" s="7">
        <v>239.13</v>
      </c>
      <c r="L205" s="8">
        <f>IFERROR(K205/K444, "NA")</f>
        <v>2.1986684967297185E-3</v>
      </c>
      <c r="M205" s="9"/>
      <c r="N205" s="10">
        <f t="shared" si="53"/>
        <v>-109.82999999999998</v>
      </c>
      <c r="O205" s="8">
        <f>IFERROR(N205/N444, "NA")</f>
        <v>7.2527698937739655E-3</v>
      </c>
      <c r="P205" s="9"/>
      <c r="Q205" s="7">
        <v>1390.9</v>
      </c>
      <c r="R205" s="8">
        <f>IFERROR(Q205/Q444, "NA")</f>
        <v>3.8624674988591572E-3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-1390.9</v>
      </c>
      <c r="X205" s="8">
        <f>IFERROR(W205/W444, "NA")</f>
        <v>0.46571352039108382</v>
      </c>
      <c r="Y205" s="9"/>
      <c r="Z205" s="7">
        <v>1216.3800000000001</v>
      </c>
      <c r="AA205" s="8">
        <f>IFERROR(Z205/Z444, "NA")</f>
        <v>3.8997999123524477E-3</v>
      </c>
      <c r="AB205" s="9"/>
      <c r="AC205" s="10">
        <f t="shared" si="55"/>
        <v>-174.51999999999998</v>
      </c>
      <c r="AD205" s="8">
        <f>IFERROR(AC205/AC444, "NA")</f>
        <v>-3.6208760976532747E-3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196.18</v>
      </c>
      <c r="L206" s="8">
        <f>IFERROR(K206/K444, "NA")</f>
        <v>1.8037669288187856E-3</v>
      </c>
      <c r="M206" s="9"/>
      <c r="N206" s="10">
        <f t="shared" si="53"/>
        <v>196.18</v>
      </c>
      <c r="O206" s="8">
        <f>IFERROR(N206/N444, "NA")</f>
        <v>-1.2955006808345413E-2</v>
      </c>
      <c r="P206" s="9"/>
      <c r="Q206" s="7">
        <v>10.8</v>
      </c>
      <c r="R206" s="8">
        <f>IFERROR(Q206/Q444, "NA")</f>
        <v>2.999112012918175E-5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-10.8</v>
      </c>
      <c r="X206" s="8">
        <f>IFERROR(W206/W444, "NA")</f>
        <v>3.616152146253293E-3</v>
      </c>
      <c r="Y206" s="9"/>
      <c r="Z206" s="7">
        <v>196.18</v>
      </c>
      <c r="AA206" s="8">
        <f>IFERROR(Z206/Z444, "NA")</f>
        <v>6.2896689094304667E-4</v>
      </c>
      <c r="AB206" s="9"/>
      <c r="AC206" s="10">
        <f t="shared" si="55"/>
        <v>185.38</v>
      </c>
      <c r="AD206" s="8">
        <f>IFERROR(AC206/AC444, "NA")</f>
        <v>3.8461953414105211E-3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154.15</v>
      </c>
      <c r="L207" s="8">
        <f>IFERROR(K207/K444, "NA")</f>
        <v>1.4173242536314394E-3</v>
      </c>
      <c r="M207" s="9"/>
      <c r="N207" s="10">
        <f t="shared" si="53"/>
        <v>154.15</v>
      </c>
      <c r="O207" s="8">
        <f>IFERROR(N207/N444, "NA")</f>
        <v>-1.017949994651058E-2</v>
      </c>
      <c r="P207" s="9"/>
      <c r="Q207" s="7">
        <v>99.6</v>
      </c>
      <c r="R207" s="8">
        <f>IFERROR(Q207/Q444, "NA")</f>
        <v>2.7658477452467613E-4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-99.6</v>
      </c>
      <c r="X207" s="8">
        <f>IFERROR(W207/W444, "NA")</f>
        <v>3.3348958682113697E-2</v>
      </c>
      <c r="Y207" s="9"/>
      <c r="Z207" s="7">
        <v>308.3</v>
      </c>
      <c r="AA207" s="8">
        <f>IFERROR(Z207/Z444, "NA")</f>
        <v>9.8843150411734781E-4</v>
      </c>
      <c r="AB207" s="9"/>
      <c r="AC207" s="10">
        <f t="shared" si="55"/>
        <v>208.70000000000002</v>
      </c>
      <c r="AD207" s="8">
        <f>IFERROR(AC207/AC444, "NA")</f>
        <v>4.3300300342667807E-3</v>
      </c>
    </row>
    <row r="208" spans="1:30" ht="16.5" customHeight="1" x14ac:dyDescent="0.45">
      <c r="A208" s="6" t="s">
        <v>190</v>
      </c>
      <c r="B208" s="7">
        <v>92.78</v>
      </c>
      <c r="C208" s="8">
        <f>IFERROR(B208/B444, "NA")</f>
        <v>9.9104767133705984E-4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-92.78</v>
      </c>
      <c r="I208" s="8">
        <f>IFERROR(H208/H444, "NA")</f>
        <v>2.4426685060836353E-3</v>
      </c>
      <c r="J208" s="9"/>
      <c r="K208" s="7">
        <v>123.74</v>
      </c>
      <c r="L208" s="8">
        <f>IFERROR(K208/K444, "NA")</f>
        <v>1.1377210713224412E-3</v>
      </c>
      <c r="M208" s="9"/>
      <c r="N208" s="10">
        <f t="shared" si="53"/>
        <v>30.959999999999994</v>
      </c>
      <c r="O208" s="8">
        <f>IFERROR(N208/N444, "NA")</f>
        <v>-2.0444847119297275E-3</v>
      </c>
      <c r="P208" s="9"/>
      <c r="Q208" s="7">
        <v>580.70000000000005</v>
      </c>
      <c r="R208" s="8">
        <f>IFERROR(Q208/Q444, "NA")</f>
        <v>1.6125780980570225E-3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-580.70000000000005</v>
      </c>
      <c r="X208" s="8">
        <f>IFERROR(W208/W444, "NA")</f>
        <v>0.19443514364160067</v>
      </c>
      <c r="Y208" s="9"/>
      <c r="Z208" s="7">
        <v>411.55</v>
      </c>
      <c r="AA208" s="8">
        <f>IFERROR(Z208/Z444, "NA")</f>
        <v>1.3194582728494795E-3</v>
      </c>
      <c r="AB208" s="9"/>
      <c r="AC208" s="10">
        <f t="shared" si="55"/>
        <v>-169.15000000000003</v>
      </c>
      <c r="AD208" s="8">
        <f>IFERROR(AC208/AC444, "NA")</f>
        <v>-3.5094613334749692E-3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2130.8000000000002</v>
      </c>
      <c r="C209" s="15">
        <f>IFERROR(B209/B444, "NA")</f>
        <v>2.276055591813976E-2</v>
      </c>
      <c r="D209" s="2"/>
      <c r="E209" s="14">
        <f>IFERROR(E201+E202+E203+E204+E205+E206+E207+E208, "NA")</f>
        <v>2368.8200000000002</v>
      </c>
      <c r="F209" s="15">
        <f>IFERROR(E209/E444, "NA")</f>
        <v>1.7999994680897548E-2</v>
      </c>
      <c r="G209" s="2"/>
      <c r="H209" s="14">
        <f t="shared" si="52"/>
        <v>238.01999999999998</v>
      </c>
      <c r="I209" s="15">
        <f>IFERROR(H209/H444, "NA")</f>
        <v>-6.2664793901490287E-3</v>
      </c>
      <c r="J209" s="2"/>
      <c r="K209" s="14">
        <f>IFERROR(K201+K202+K203+K204+K205+K206+K207+K208, "NA")</f>
        <v>2406.0099999999998</v>
      </c>
      <c r="L209" s="15">
        <f>IFERROR(K209/K444, "NA")</f>
        <v>2.2121935306388448E-2</v>
      </c>
      <c r="M209" s="2"/>
      <c r="N209" s="14">
        <f t="shared" si="53"/>
        <v>275.20999999999958</v>
      </c>
      <c r="O209" s="15">
        <f>IFERROR(N209/N444, "NA")</f>
        <v>-1.8173857802654379E-2</v>
      </c>
      <c r="P209" s="2"/>
      <c r="Q209" s="14">
        <f>IFERROR(Q201+Q202+Q203+Q204+Q205+Q206+Q207+Q208, "NA")</f>
        <v>9062.74</v>
      </c>
      <c r="R209" s="15">
        <f>IFERROR(Q209/Q444, "NA")</f>
        <v>2.5166826299957461E-2</v>
      </c>
      <c r="S209" s="2"/>
      <c r="T209" s="14">
        <f>IFERROR(T201+T202+T203+T204+T205+T206+T207+T208, "NA")</f>
        <v>6790.95</v>
      </c>
      <c r="U209" s="15">
        <f>IFERROR(T209/T444, "NA")</f>
        <v>1.8703049759760022E-2</v>
      </c>
      <c r="V209" s="2"/>
      <c r="W209" s="14">
        <f t="shared" si="54"/>
        <v>-2271.79</v>
      </c>
      <c r="X209" s="15">
        <f>IFERROR(W209/W444, "NA")</f>
        <v>0.76066095225340447</v>
      </c>
      <c r="Y209" s="2"/>
      <c r="Z209" s="14">
        <f>IFERROR(Z201+Z202+Z203+Z204+Z205+Z206+Z207+Z208, "NA")</f>
        <v>7487.3000000000011</v>
      </c>
      <c r="AA209" s="15">
        <f>IFERROR(Z209/Z444, "NA")</f>
        <v>2.400481090099844E-2</v>
      </c>
      <c r="AB209" s="2"/>
      <c r="AC209" s="14">
        <f t="shared" si="55"/>
        <v>-1575.4399999999987</v>
      </c>
      <c r="AD209" s="15">
        <f>IFERROR(AC209/AC444, "NA")</f>
        <v>-3.2686643589771205E-2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4848.72</v>
      </c>
      <c r="F213" s="8">
        <f>IFERROR(E213/E444, "NA")</f>
        <v>3.6844054934170409E-2</v>
      </c>
      <c r="G213" s="9"/>
      <c r="H213" s="10">
        <f t="shared" ref="H213:H227" si="56">IFERROR(-(B213-E213), "NA")</f>
        <v>4848.72</v>
      </c>
      <c r="I213" s="8">
        <f>IFERROR(H213/H444, "NA")</f>
        <v>-0.12765483551215612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13905.29</v>
      </c>
      <c r="U213" s="8">
        <f>IFERROR(T213/T444, "NA")</f>
        <v>3.8296752412238858E-2</v>
      </c>
      <c r="V213" s="9"/>
      <c r="W213" s="10">
        <f t="shared" ref="W213:W227" si="58">IFERROR(-(Q213-T213), "NA")</f>
        <v>13905.29</v>
      </c>
      <c r="X213" s="8">
        <f>IFERROR(W213/W444, "NA")</f>
        <v>-4.6558929886828198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2576.52</v>
      </c>
      <c r="C214" s="8">
        <f>IFERROR(B214/B444, "NA")</f>
        <v>2.7521601057915082E-2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-2576.52</v>
      </c>
      <c r="I214" s="8">
        <f>IFERROR(H214/H444, "NA")</f>
        <v>6.7833415168081571E-2</v>
      </c>
      <c r="J214" s="9"/>
      <c r="K214" s="7">
        <v>470</v>
      </c>
      <c r="L214" s="8">
        <f>IFERROR(K214/K444, "NA")</f>
        <v>4.321390847919407E-3</v>
      </c>
      <c r="M214" s="9"/>
      <c r="N214" s="10">
        <f t="shared" si="57"/>
        <v>-2106.52</v>
      </c>
      <c r="O214" s="8">
        <f>IFERROR(N214/N444, "NA")</f>
        <v>0.13910684545782331</v>
      </c>
      <c r="P214" s="9"/>
      <c r="Q214" s="7">
        <v>12935.91</v>
      </c>
      <c r="R214" s="8">
        <f>IFERROR(Q214/Q444, "NA")</f>
        <v>3.592244729539662E-2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-12935.91</v>
      </c>
      <c r="X214" s="8">
        <f>IFERROR(W214/W444, "NA")</f>
        <v>4.3313165472443922</v>
      </c>
      <c r="Y214" s="9"/>
      <c r="Z214" s="7">
        <v>1610</v>
      </c>
      <c r="AA214" s="8">
        <f>IFERROR(Z214/Z444, "NA")</f>
        <v>5.1617733429417129E-3</v>
      </c>
      <c r="AB214" s="9"/>
      <c r="AC214" s="10">
        <f t="shared" si="59"/>
        <v>-11325.91</v>
      </c>
      <c r="AD214" s="8">
        <f>IFERROR(AC214/AC444, "NA")</f>
        <v>-0.23498577127648523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5.73</v>
      </c>
      <c r="R216" s="8">
        <f>IFERROR(Q216/Q444, "NA")</f>
        <v>1.5911955401871431E-5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-5.73</v>
      </c>
      <c r="X216" s="8">
        <f>IFERROR(W216/W444, "NA")</f>
        <v>1.9185696109288305E-3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-5.73</v>
      </c>
      <c r="AD216" s="8">
        <f>IFERROR(AC216/AC444, "NA")</f>
        <v>-1.1888391038020437E-4</v>
      </c>
    </row>
    <row r="217" spans="1:30" ht="16.5" customHeight="1" x14ac:dyDescent="0.45">
      <c r="A217" s="12" t="s">
        <v>197</v>
      </c>
      <c r="B217" s="7">
        <v>2122.9899999999998</v>
      </c>
      <c r="C217" s="8">
        <f>IFERROR(B217/B444, "NA")</f>
        <v>2.2677131879412202E-2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-2122.9899999999998</v>
      </c>
      <c r="I217" s="8">
        <f>IFERROR(H217/H444, "NA")</f>
        <v>5.5893089154241182E-2</v>
      </c>
      <c r="J217" s="9"/>
      <c r="K217" s="7">
        <v>156.5</v>
      </c>
      <c r="L217" s="8">
        <f>IFERROR(K217/K444, "NA")</f>
        <v>1.4389312078710364E-3</v>
      </c>
      <c r="M217" s="9"/>
      <c r="N217" s="10">
        <f t="shared" si="57"/>
        <v>-1966.4899999999998</v>
      </c>
      <c r="O217" s="8">
        <f>IFERROR(N217/N444, "NA")</f>
        <v>0.12985977846132718</v>
      </c>
      <c r="P217" s="9"/>
      <c r="Q217" s="7">
        <v>13388.21</v>
      </c>
      <c r="R217" s="8">
        <f>IFERROR(Q217/Q444, "NA")</f>
        <v>3.7178464298584478E-2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-13388.21</v>
      </c>
      <c r="X217" s="8">
        <f>IFERROR(W217/W444, "NA")</f>
        <v>4.4827596598138699</v>
      </c>
      <c r="Y217" s="9"/>
      <c r="Z217" s="7">
        <v>911.47</v>
      </c>
      <c r="AA217" s="8">
        <f>IFERROR(Z217/Z444, "NA")</f>
        <v>2.9222369868888713E-3</v>
      </c>
      <c r="AB217" s="9"/>
      <c r="AC217" s="10">
        <f t="shared" si="59"/>
        <v>-12476.74</v>
      </c>
      <c r="AD217" s="8">
        <f>IFERROR(AC217/AC444, "NA")</f>
        <v>-0.25886276439740158</v>
      </c>
    </row>
    <row r="218" spans="1:30" ht="16.5" customHeight="1" x14ac:dyDescent="0.45">
      <c r="A218" s="13" t="s">
        <v>198</v>
      </c>
      <c r="B218" s="14">
        <f>IFERROR(B213+B214+B215+B216+B217, "NA")</f>
        <v>4699.51</v>
      </c>
      <c r="C218" s="15">
        <f>IFERROR(B218/B444, "NA")</f>
        <v>5.0198732937327288E-2</v>
      </c>
      <c r="D218" s="2"/>
      <c r="E218" s="14">
        <f>IFERROR(E213+E214+E215+E216+E217, "NA")</f>
        <v>4848.72</v>
      </c>
      <c r="F218" s="15">
        <f>IFERROR(E218/E444, "NA")</f>
        <v>3.6844054934170409E-2</v>
      </c>
      <c r="G218" s="2"/>
      <c r="H218" s="14">
        <f t="shared" si="56"/>
        <v>149.21000000000004</v>
      </c>
      <c r="I218" s="15">
        <f>IFERROR(H218/H444, "NA")</f>
        <v>-3.9283311898333619E-3</v>
      </c>
      <c r="J218" s="2"/>
      <c r="K218" s="14">
        <f>IFERROR(K213+K214+K215+K216+K217, "NA")</f>
        <v>626.5</v>
      </c>
      <c r="L218" s="15">
        <f>IFERROR(K218/K444, "NA")</f>
        <v>5.7603220557904435E-3</v>
      </c>
      <c r="M218" s="2"/>
      <c r="N218" s="14">
        <f t="shared" si="57"/>
        <v>-4073.01</v>
      </c>
      <c r="O218" s="15">
        <f>IFERROR(N218/N444, "NA")</f>
        <v>0.26896662391915055</v>
      </c>
      <c r="P218" s="2"/>
      <c r="Q218" s="14">
        <f>IFERROR(Q213+Q214+Q215+Q216+Q217, "NA")</f>
        <v>26329.85</v>
      </c>
      <c r="R218" s="15">
        <f>IFERROR(Q218/Q444, "NA")</f>
        <v>7.3116823549382967E-2</v>
      </c>
      <c r="S218" s="2"/>
      <c r="T218" s="14">
        <f>IFERROR(T213+T214+T215+T216+T217, "NA")</f>
        <v>13905.29</v>
      </c>
      <c r="U218" s="15">
        <f>IFERROR(T218/T444, "NA")</f>
        <v>3.8296752412238858E-2</v>
      </c>
      <c r="V218" s="2"/>
      <c r="W218" s="14">
        <f t="shared" si="58"/>
        <v>-12424.559999999998</v>
      </c>
      <c r="X218" s="15">
        <f>IFERROR(W218/W444, "NA")</f>
        <v>4.1601017879863704</v>
      </c>
      <c r="Y218" s="2"/>
      <c r="Z218" s="14">
        <f>IFERROR(Z213+Z214+Z215+Z216+Z217, "NA")</f>
        <v>2521.4700000000003</v>
      </c>
      <c r="AA218" s="15">
        <f>IFERROR(Z218/Z444, "NA")</f>
        <v>8.0840103298305856E-3</v>
      </c>
      <c r="AB218" s="2"/>
      <c r="AC218" s="14">
        <f t="shared" si="59"/>
        <v>-23808.379999999997</v>
      </c>
      <c r="AD218" s="15">
        <f>IFERROR(AC218/AC444, "NA")</f>
        <v>-0.49396741958426699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146.83000000000001</v>
      </c>
      <c r="C222" s="8">
        <f>IFERROR(B222/B444, "NA")</f>
        <v>1.5683932914682098E-3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-146.83000000000001</v>
      </c>
      <c r="I222" s="8">
        <f>IFERROR(H222/H444, "NA")</f>
        <v>3.8656716614384589E-3</v>
      </c>
      <c r="J222" s="9"/>
      <c r="K222" s="7">
        <v>0</v>
      </c>
      <c r="L222" s="8">
        <f>IFERROR(K222/K444, "NA")</f>
        <v>0</v>
      </c>
      <c r="M222" s="9"/>
      <c r="N222" s="10">
        <f t="shared" si="57"/>
        <v>-146.83000000000001</v>
      </c>
      <c r="O222" s="8">
        <f>IFERROR(N222/N444, "NA")</f>
        <v>9.6961140262481257E-3</v>
      </c>
      <c r="P222" s="9"/>
      <c r="Q222" s="7">
        <v>758.74</v>
      </c>
      <c r="R222" s="8">
        <f>IFERROR(Q222/Q444, "NA")</f>
        <v>2.1069872672977185E-3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-758.74</v>
      </c>
      <c r="X222" s="8">
        <f>IFERROR(W222/W444, "NA")</f>
        <v>0.25404808143039104</v>
      </c>
      <c r="Y222" s="9"/>
      <c r="Z222" s="7">
        <v>0</v>
      </c>
      <c r="AA222" s="8">
        <f>IFERROR(Z222/Z444, "NA")</f>
        <v>0</v>
      </c>
      <c r="AB222" s="9"/>
      <c r="AC222" s="10">
        <f t="shared" si="59"/>
        <v>-758.74</v>
      </c>
      <c r="AD222" s="8">
        <f>IFERROR(AC222/AC444, "NA")</f>
        <v>-1.5742055525632855E-2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131.6</v>
      </c>
      <c r="F226" s="8">
        <f>IFERROR(E226/E444, "NA")</f>
        <v>9.9999126147453884E-4</v>
      </c>
      <c r="G226" s="9"/>
      <c r="H226" s="10">
        <f t="shared" si="56"/>
        <v>131.6</v>
      </c>
      <c r="I226" s="8">
        <f>IFERROR(H226/H444, "NA")</f>
        <v>-3.4647033347769605E-3</v>
      </c>
      <c r="J226" s="9"/>
      <c r="K226" s="7">
        <v>115.91</v>
      </c>
      <c r="L226" s="8">
        <f>IFERROR(K226/K444, "NA")</f>
        <v>1.0657285386858264E-3</v>
      </c>
      <c r="M226" s="9"/>
      <c r="N226" s="10">
        <f t="shared" si="57"/>
        <v>115.91</v>
      </c>
      <c r="O226" s="8">
        <f>IFERROR(N226/N444, "NA")</f>
        <v>-7.6542707674345841E-3</v>
      </c>
      <c r="P226" s="9"/>
      <c r="Q226" s="7">
        <v>0</v>
      </c>
      <c r="R226" s="8">
        <f>IFERROR(Q226/Q444, "NA")</f>
        <v>0</v>
      </c>
      <c r="S226" s="9"/>
      <c r="T226" s="7">
        <v>363.09</v>
      </c>
      <c r="U226" s="8">
        <f>IFERROR(T226/T444, "NA")</f>
        <v>9.9999121437667265E-4</v>
      </c>
      <c r="V226" s="9"/>
      <c r="W226" s="10">
        <f t="shared" si="58"/>
        <v>363.09</v>
      </c>
      <c r="X226" s="8">
        <f>IFERROR(W226/W444, "NA")</f>
        <v>-0.12157302618362111</v>
      </c>
      <c r="Y226" s="9"/>
      <c r="Z226" s="7">
        <v>1334.74</v>
      </c>
      <c r="AA226" s="8">
        <f>IFERROR(Z226/Z444, "NA")</f>
        <v>4.2792704048186473E-3</v>
      </c>
      <c r="AB226" s="9"/>
      <c r="AC226" s="10">
        <f t="shared" si="59"/>
        <v>1334.74</v>
      </c>
      <c r="AD226" s="8">
        <f>IFERROR(AC226/AC444, "NA")</f>
        <v>2.7692689448669108E-2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4846.34</v>
      </c>
      <c r="C227" s="15">
        <f>IFERROR(B227/B444, "NA")</f>
        <v>5.17671262287955E-2</v>
      </c>
      <c r="D227" s="2"/>
      <c r="E227" s="14">
        <f>IFERROR(E211+E213+E214+E215+E216+E217+E219+E220+E221+E222+E223+E224+E225+E226, "NA")</f>
        <v>4980.3200000000006</v>
      </c>
      <c r="F227" s="15">
        <f>IFERROR(E227/E444, "NA")</f>
        <v>3.7844046195644951E-2</v>
      </c>
      <c r="G227" s="2"/>
      <c r="H227" s="14">
        <f t="shared" si="56"/>
        <v>133.98000000000047</v>
      </c>
      <c r="I227" s="15">
        <f>IFERROR(H227/H444, "NA")</f>
        <v>-3.5273628631718756E-3</v>
      </c>
      <c r="J227" s="2"/>
      <c r="K227" s="14">
        <f>IFERROR(K211+K213+K214+K215+K216+K217+K219+K220+K221+K222+K223+K224+K225+K226, "NA")</f>
        <v>742.41</v>
      </c>
      <c r="L227" s="15">
        <f>IFERROR(K227/K444, "NA")</f>
        <v>6.8260505944762696E-3</v>
      </c>
      <c r="M227" s="2"/>
      <c r="N227" s="14">
        <f t="shared" si="57"/>
        <v>-4103.93</v>
      </c>
      <c r="O227" s="15">
        <f>IFERROR(N227/N444, "NA")</f>
        <v>0.27100846717796406</v>
      </c>
      <c r="P227" s="2"/>
      <c r="Q227" s="14">
        <f>IFERROR(Q211+Q213+Q214+Q215+Q216+Q217+Q219+Q220+Q221+Q222+Q223+Q224+Q225+Q226, "NA")</f>
        <v>27088.59</v>
      </c>
      <c r="R227" s="15">
        <f>IFERROR(Q227/Q444, "NA")</f>
        <v>7.5223810816680683E-2</v>
      </c>
      <c r="S227" s="2"/>
      <c r="T227" s="14">
        <f>IFERROR(T211+T213+T214+T215+T216+T217+T219+T220+T221+T222+T223+T224+T225+T226, "NA")</f>
        <v>14268.380000000001</v>
      </c>
      <c r="U227" s="15">
        <f>IFERROR(T227/T444, "NA")</f>
        <v>3.9296743626615525E-2</v>
      </c>
      <c r="V227" s="2"/>
      <c r="W227" s="14">
        <f t="shared" si="58"/>
        <v>-12820.21</v>
      </c>
      <c r="X227" s="15">
        <f>IFERROR(W227/W444, "NA")</f>
        <v>4.2925768432331415</v>
      </c>
      <c r="Y227" s="2"/>
      <c r="Z227" s="14">
        <f>IFERROR(Z211+Z213+Z214+Z215+Z216+Z217+Z219+Z220+Z221+Z222+Z223+Z224+Z225+Z226, "NA")</f>
        <v>3856.21</v>
      </c>
      <c r="AA227" s="15">
        <f>IFERROR(Z227/Z444, "NA")</f>
        <v>1.2363280734649231E-2</v>
      </c>
      <c r="AB227" s="2"/>
      <c r="AC227" s="14">
        <f t="shared" si="59"/>
        <v>-23232.38</v>
      </c>
      <c r="AD227" s="15">
        <f>IFERROR(AC227/AC444, "NA")</f>
        <v>-0.4820167856612308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1737.14</v>
      </c>
      <c r="F229" s="8">
        <f>IFERROR(E229/E444, "NA")</f>
        <v>1.3200036625819761E-2</v>
      </c>
      <c r="G229" s="9"/>
      <c r="H229" s="10">
        <f t="shared" ref="H229:H236" si="60">IFERROR(-(B229-E229), "NA")</f>
        <v>1737.14</v>
      </c>
      <c r="I229" s="8">
        <f>IFERROR(H229/H444, "NA")</f>
        <v>-4.5734610569714666E-2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4792.84</v>
      </c>
      <c r="U229" s="8">
        <f>IFERROR(T229/T444, "NA")</f>
        <v>1.3200027243694656E-2</v>
      </c>
      <c r="V229" s="9"/>
      <c r="W229" s="10">
        <f t="shared" ref="W229:W236" si="62">IFERROR(-(Q229-T229), "NA")</f>
        <v>4792.84</v>
      </c>
      <c r="X229" s="8">
        <f>IFERROR(W229/W444, "NA")</f>
        <v>-1.6047813567267253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-45</v>
      </c>
      <c r="AA230" s="8">
        <f>IFERROR(Z230/Z444, "NA")</f>
        <v>-1.4427316797042055E-4</v>
      </c>
      <c r="AB230" s="9"/>
      <c r="AC230" s="10">
        <f t="shared" si="63"/>
        <v>-45</v>
      </c>
      <c r="AD230" s="8">
        <f>IFERROR(AC230/AC444, "NA")</f>
        <v>-9.3364327523720711E-4</v>
      </c>
    </row>
    <row r="231" spans="1:30" ht="16.5" customHeight="1" x14ac:dyDescent="0.45">
      <c r="A231" s="6" t="s">
        <v>210</v>
      </c>
      <c r="B231" s="7">
        <v>322</v>
      </c>
      <c r="C231" s="8">
        <f>IFERROR(B231/B444, "NA")</f>
        <v>3.4395058220579137E-3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-322</v>
      </c>
      <c r="I231" s="8">
        <f>IFERROR(H231/H444, "NA")</f>
        <v>8.4774656063691597E-3</v>
      </c>
      <c r="J231" s="9"/>
      <c r="K231" s="7">
        <v>306.44</v>
      </c>
      <c r="L231" s="8">
        <f>IFERROR(K231/K444, "NA")</f>
        <v>2.8175468328434533E-3</v>
      </c>
      <c r="M231" s="9"/>
      <c r="N231" s="10">
        <f t="shared" si="61"/>
        <v>-15.560000000000002</v>
      </c>
      <c r="O231" s="8">
        <f>IFERROR(N231/N444, "NA")</f>
        <v>1.0275252621972405E-3</v>
      </c>
      <c r="P231" s="9"/>
      <c r="Q231" s="7">
        <v>1039.1300000000001</v>
      </c>
      <c r="R231" s="8">
        <f>IFERROR(Q231/Q444, "NA")</f>
        <v>2.8856178388737626E-3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-1039.1300000000001</v>
      </c>
      <c r="X231" s="8">
        <f>IFERROR(W231/W444, "NA")</f>
        <v>0.34793075738298007</v>
      </c>
      <c r="Y231" s="9"/>
      <c r="Z231" s="7">
        <v>1150.5</v>
      </c>
      <c r="AA231" s="8">
        <f>IFERROR(Z231/Z444, "NA")</f>
        <v>3.6885839944437518E-3</v>
      </c>
      <c r="AB231" s="9"/>
      <c r="AC231" s="10">
        <f t="shared" si="63"/>
        <v>111.36999999999989</v>
      </c>
      <c r="AD231" s="8">
        <f>IFERROR(AC231/AC444, "NA")</f>
        <v>2.3106633680703924E-3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1187.07</v>
      </c>
      <c r="C234" s="8">
        <f>IFERROR(B234/B444, "NA")</f>
        <v>1.2679919801833191E-2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-1187.07</v>
      </c>
      <c r="I234" s="8">
        <f>IFERROR(H234/H444, "NA")</f>
        <v>3.1252624525939868E-2</v>
      </c>
      <c r="J234" s="9"/>
      <c r="K234" s="7">
        <v>3541.07</v>
      </c>
      <c r="L234" s="8">
        <f>IFERROR(K234/K444, "NA")</f>
        <v>3.2558186148599948E-2</v>
      </c>
      <c r="M234" s="9"/>
      <c r="N234" s="10">
        <f t="shared" si="61"/>
        <v>2354</v>
      </c>
      <c r="O234" s="8">
        <f>IFERROR(N234/N444, "NA")</f>
        <v>-0.15544951588768019</v>
      </c>
      <c r="P234" s="9"/>
      <c r="Q234" s="7">
        <v>4182.66</v>
      </c>
      <c r="R234" s="8">
        <f>IFERROR(Q234/Q444, "NA")</f>
        <v>1.1615060974029938E-2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-4182.66</v>
      </c>
      <c r="X234" s="8">
        <f>IFERROR(W234/W444, "NA")</f>
        <v>1.4004754570414626</v>
      </c>
      <c r="Y234" s="9"/>
      <c r="Z234" s="7">
        <v>4909.57</v>
      </c>
      <c r="AA234" s="8">
        <f>IFERROR(Z234/Z444, "NA")</f>
        <v>1.5740427050500834E-2</v>
      </c>
      <c r="AB234" s="9"/>
      <c r="AC234" s="10">
        <f t="shared" si="63"/>
        <v>726.90999999999985</v>
      </c>
      <c r="AD234" s="8">
        <f>IFERROR(AC234/AC444, "NA")</f>
        <v>1.5081658515615068E-2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1509.07</v>
      </c>
      <c r="C236" s="15">
        <f>IFERROR(B236/B444, "NA")</f>
        <v>1.6119425623891105E-2</v>
      </c>
      <c r="D236" s="2"/>
      <c r="E236" s="14">
        <f>IFERROR(E229+E230+E231+E232+E233+E234+E235, "NA")</f>
        <v>1737.14</v>
      </c>
      <c r="F236" s="15">
        <f>IFERROR(E236/E444, "NA")</f>
        <v>1.3200036625819761E-2</v>
      </c>
      <c r="G236" s="2"/>
      <c r="H236" s="14">
        <f t="shared" si="60"/>
        <v>228.07000000000016</v>
      </c>
      <c r="I236" s="15">
        <f>IFERROR(H236/H444, "NA")</f>
        <v>-6.0045204374056388E-3</v>
      </c>
      <c r="J236" s="2"/>
      <c r="K236" s="14">
        <f>IFERROR(K229+K230+K231+K232+K233+K234+K235, "NA")</f>
        <v>3847.51</v>
      </c>
      <c r="L236" s="15">
        <f>IFERROR(K236/K444, "NA")</f>
        <v>3.5375732981443399E-2</v>
      </c>
      <c r="M236" s="2"/>
      <c r="N236" s="14">
        <f t="shared" si="61"/>
        <v>2338.4400000000005</v>
      </c>
      <c r="O236" s="15">
        <f>IFERROR(N236/N444, "NA")</f>
        <v>-0.15442199062548301</v>
      </c>
      <c r="P236" s="2"/>
      <c r="Q236" s="14">
        <f>IFERROR(Q229+Q230+Q231+Q232+Q233+Q234+Q235, "NA")</f>
        <v>5221.79</v>
      </c>
      <c r="R236" s="15">
        <f>IFERROR(Q236/Q444, "NA")</f>
        <v>1.45006788129037E-2</v>
      </c>
      <c r="S236" s="2"/>
      <c r="T236" s="14">
        <f>IFERROR(T229+T230+T231+T232+T233+T234+T235, "NA")</f>
        <v>4792.84</v>
      </c>
      <c r="U236" s="15">
        <f>IFERROR(T236/T444, "NA")</f>
        <v>1.3200027243694656E-2</v>
      </c>
      <c r="V236" s="2"/>
      <c r="W236" s="14">
        <f t="shared" si="62"/>
        <v>-428.94999999999982</v>
      </c>
      <c r="X236" s="15">
        <f>IFERROR(W236/W444, "NA")</f>
        <v>0.14362485769771752</v>
      </c>
      <c r="Y236" s="2"/>
      <c r="Z236" s="14">
        <f>IFERROR(Z229+Z230+Z231+Z232+Z233+Z234+Z235, "NA")</f>
        <v>6015.07</v>
      </c>
      <c r="AA236" s="15">
        <f>IFERROR(Z236/Z444, "NA")</f>
        <v>1.9284737876974167E-2</v>
      </c>
      <c r="AB236" s="2"/>
      <c r="AC236" s="14">
        <f t="shared" si="63"/>
        <v>793.27999999999975</v>
      </c>
      <c r="AD236" s="15">
        <f>IFERROR(AC236/AC444, "NA")</f>
        <v>1.6458678608448254E-2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8060.31</v>
      </c>
      <c r="F240" s="8">
        <f>IFERROR(E240/E444, "NA")</f>
        <v>6.1248021008934957E-2</v>
      </c>
      <c r="G240" s="9"/>
      <c r="H240" s="10">
        <f t="shared" ref="H240:H263" si="64">IFERROR(-(B240-E240), "NA")</f>
        <v>8060.31</v>
      </c>
      <c r="I240" s="8">
        <f>IFERROR(H240/H444, "NA")</f>
        <v>-0.21220807702383043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22475.52</v>
      </c>
      <c r="U240" s="8">
        <f>IFERROR(T240/T444, "NA")</f>
        <v>6.1900141944276073E-2</v>
      </c>
      <c r="V240" s="9"/>
      <c r="W240" s="10">
        <f t="shared" ref="W240:W263" si="66">IFERROR(-(Q240-T240), "NA")</f>
        <v>22475.52</v>
      </c>
      <c r="X240" s="8">
        <f>IFERROR(W240/W444, "NA")</f>
        <v>-7.5254536931628531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1440.99</v>
      </c>
      <c r="C242" s="8">
        <f>IFERROR(B242/B444, "NA")</f>
        <v>1.5392215821513146E-2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-1440.99</v>
      </c>
      <c r="I242" s="8">
        <f>IFERROR(H242/H444, "NA")</f>
        <v>3.7937711689819548E-2</v>
      </c>
      <c r="J242" s="9"/>
      <c r="K242" s="7">
        <v>984.11</v>
      </c>
      <c r="L242" s="8">
        <f>IFERROR(K242/K444, "NA")</f>
        <v>9.0483488241403561E-3</v>
      </c>
      <c r="M242" s="9"/>
      <c r="N242" s="10">
        <f t="shared" si="65"/>
        <v>-456.88</v>
      </c>
      <c r="O242" s="8">
        <f>IFERROR(N242/N444, "NA")</f>
        <v>3.0170677493102521E-2</v>
      </c>
      <c r="P242" s="9"/>
      <c r="Q242" s="7">
        <v>5515.71</v>
      </c>
      <c r="R242" s="8">
        <f>IFERROR(Q242/Q444, "NA")</f>
        <v>1.5316881593308247E-2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-5515.71</v>
      </c>
      <c r="X242" s="8">
        <f>IFERROR(W242/W444, "NA")</f>
        <v>1.8468191254269213</v>
      </c>
      <c r="Y242" s="9"/>
      <c r="Z242" s="7">
        <v>3903.42</v>
      </c>
      <c r="AA242" s="8">
        <f>IFERROR(Z242/Z444, "NA")</f>
        <v>1.2514639318202198E-2</v>
      </c>
      <c r="AB242" s="9"/>
      <c r="AC242" s="10">
        <f t="shared" si="67"/>
        <v>-1612.29</v>
      </c>
      <c r="AD242" s="8">
        <f>IFERROR(AC242/AC444, "NA")</f>
        <v>-3.3451193694048816E-2</v>
      </c>
    </row>
    <row r="243" spans="1:30" ht="16.5" customHeight="1" x14ac:dyDescent="0.45">
      <c r="A243" s="12" t="s">
        <v>220</v>
      </c>
      <c r="B243" s="7">
        <v>1402.77</v>
      </c>
      <c r="C243" s="8">
        <f>IFERROR(B243/B444, "NA")</f>
        <v>1.4983961434808011E-2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-1402.77</v>
      </c>
      <c r="I243" s="8">
        <f>IFERROR(H243/H444, "NA")</f>
        <v>3.6931473380889646E-2</v>
      </c>
      <c r="J243" s="9"/>
      <c r="K243" s="7">
        <v>6131.43</v>
      </c>
      <c r="L243" s="8">
        <f>IFERROR(K243/K444, "NA")</f>
        <v>5.6375118056720186E-2</v>
      </c>
      <c r="M243" s="9"/>
      <c r="N243" s="10">
        <f t="shared" si="65"/>
        <v>4728.66</v>
      </c>
      <c r="O243" s="8">
        <f>IFERROR(N243/N444, "NA")</f>
        <v>-0.31226334230987163</v>
      </c>
      <c r="P243" s="9"/>
      <c r="Q243" s="7">
        <v>5246.49</v>
      </c>
      <c r="R243" s="8">
        <f>IFERROR(Q243/Q444, "NA")</f>
        <v>1.4569269615421366E-2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-5246.49</v>
      </c>
      <c r="X243" s="8">
        <f>IFERROR(W243/W444, "NA")</f>
        <v>1.756676488314485</v>
      </c>
      <c r="Y243" s="9"/>
      <c r="Z243" s="7">
        <v>7393.67</v>
      </c>
      <c r="AA243" s="8">
        <f>IFERROR(Z243/Z444, "NA")</f>
        <v>2.3704626529507982E-2</v>
      </c>
      <c r="AB243" s="9"/>
      <c r="AC243" s="10">
        <f t="shared" si="67"/>
        <v>2147.1800000000003</v>
      </c>
      <c r="AD243" s="8">
        <f>IFERROR(AC243/AC444, "NA")</f>
        <v>4.4548892616085037E-2</v>
      </c>
    </row>
    <row r="244" spans="1:30" ht="16.5" customHeight="1" x14ac:dyDescent="0.45">
      <c r="A244" s="12" t="s">
        <v>221</v>
      </c>
      <c r="B244" s="7">
        <v>567.6</v>
      </c>
      <c r="C244" s="8">
        <f>IFERROR(B244/B444, "NA")</f>
        <v>6.06293013850954E-3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-567.6</v>
      </c>
      <c r="I244" s="8">
        <f>IFERROR(H244/H444, "NA")</f>
        <v>1.4943507696196071E-2</v>
      </c>
      <c r="J244" s="9"/>
      <c r="K244" s="7">
        <v>90.78</v>
      </c>
      <c r="L244" s="8">
        <f>IFERROR(K244/K444, "NA")</f>
        <v>8.346720450513271E-4</v>
      </c>
      <c r="M244" s="9"/>
      <c r="N244" s="10">
        <f t="shared" si="65"/>
        <v>-476.82000000000005</v>
      </c>
      <c r="O244" s="8">
        <f>IFERROR(N244/N444, "NA")</f>
        <v>3.148744187152238E-2</v>
      </c>
      <c r="P244" s="9"/>
      <c r="Q244" s="7">
        <v>1864.43</v>
      </c>
      <c r="R244" s="8">
        <f>IFERROR(Q244/Q444, "NA")</f>
        <v>5.1774392687454008E-3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-1864.43</v>
      </c>
      <c r="X244" s="8">
        <f>IFERROR(W244/W444, "NA")</f>
        <v>0.62426505055916914</v>
      </c>
      <c r="Y244" s="9"/>
      <c r="Z244" s="7">
        <v>90.78</v>
      </c>
      <c r="AA244" s="8">
        <f>IFERROR(Z244/Z444, "NA")</f>
        <v>2.9104707085232835E-4</v>
      </c>
      <c r="AB244" s="9"/>
      <c r="AC244" s="10">
        <f t="shared" si="67"/>
        <v>-1773.65</v>
      </c>
      <c r="AD244" s="8">
        <f>IFERROR(AC244/AC444, "NA")</f>
        <v>-3.6799031002766054E-2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390.97</v>
      </c>
      <c r="C246" s="8">
        <f>IFERROR(B246/B444, "NA")</f>
        <v>4.1762223330744806E-3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-390.97</v>
      </c>
      <c r="I246" s="8">
        <f>IFERROR(H246/H444, "NA")</f>
        <v>1.0293275553174381E-2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-390.97</v>
      </c>
      <c r="O246" s="8">
        <f>IFERROR(N246/N444, "NA")</f>
        <v>2.5818223120903285E-2</v>
      </c>
      <c r="P246" s="9"/>
      <c r="Q246" s="7">
        <v>1610.03</v>
      </c>
      <c r="R246" s="8">
        <f>IFERROR(Q246/Q444, "NA")</f>
        <v>4.4709817723691198E-3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-1610.03</v>
      </c>
      <c r="X246" s="8">
        <f>IFERROR(W246/W444, "NA")</f>
        <v>0.53908457778075825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-1610.03</v>
      </c>
      <c r="AD246" s="8">
        <f>IFERROR(AC246/AC444, "NA")</f>
        <v>-3.3404304054003568E-2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48.83</v>
      </c>
      <c r="L247" s="8">
        <f>IFERROR(K247/K444, "NA")</f>
        <v>4.4896492575298853E-4</v>
      </c>
      <c r="M247" s="9"/>
      <c r="N247" s="10">
        <f t="shared" si="65"/>
        <v>48.83</v>
      </c>
      <c r="O247" s="8">
        <f>IFERROR(N247/N444, "NA")</f>
        <v>-3.224553891586841E-3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110.78</v>
      </c>
      <c r="AA247" s="8">
        <f>IFERROR(Z247/Z444, "NA")</f>
        <v>3.5516847883918195E-4</v>
      </c>
      <c r="AB247" s="9"/>
      <c r="AC247" s="10">
        <f t="shared" si="67"/>
        <v>110.78</v>
      </c>
      <c r="AD247" s="8">
        <f>IFERROR(AC247/AC444, "NA")</f>
        <v>2.2984222673506178E-3</v>
      </c>
    </row>
    <row r="248" spans="1:30" ht="16.5" customHeight="1" x14ac:dyDescent="0.45">
      <c r="A248" s="12" t="s">
        <v>225</v>
      </c>
      <c r="B248" s="7">
        <v>263.13</v>
      </c>
      <c r="C248" s="8">
        <f>IFERROR(B248/B444, "NA")</f>
        <v>2.8106744315468907E-3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-263.13</v>
      </c>
      <c r="I248" s="8">
        <f>IFERROR(H248/H444, "NA")</f>
        <v>6.9275637422481894E-3</v>
      </c>
      <c r="J248" s="9"/>
      <c r="K248" s="7">
        <v>266.70999999999998</v>
      </c>
      <c r="L248" s="8">
        <f>IFERROR(K248/K444, "NA")</f>
        <v>2.4522513894650743E-3</v>
      </c>
      <c r="M248" s="9"/>
      <c r="N248" s="10">
        <f t="shared" si="65"/>
        <v>3.5799999999999841</v>
      </c>
      <c r="O248" s="8">
        <f>IFERROR(N248/N444, "NA")</f>
        <v>-2.364100538988499E-4</v>
      </c>
      <c r="P248" s="9"/>
      <c r="Q248" s="7">
        <v>1059.6099999999999</v>
      </c>
      <c r="R248" s="8">
        <f>IFERROR(Q248/Q444, "NA")</f>
        <v>2.9424898888965067E-3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-1059.6099999999999</v>
      </c>
      <c r="X248" s="8">
        <f>IFERROR(W248/W444, "NA")</f>
        <v>0.35478805330476398</v>
      </c>
      <c r="Y248" s="9"/>
      <c r="Z248" s="7">
        <v>900.5</v>
      </c>
      <c r="AA248" s="8">
        <f>IFERROR(Z248/Z444, "NA")</f>
        <v>2.8870663946080821E-3</v>
      </c>
      <c r="AB248" s="9"/>
      <c r="AC248" s="10">
        <f t="shared" si="67"/>
        <v>-159.1099999999999</v>
      </c>
      <c r="AD248" s="8">
        <f>IFERROR(AC248/AC444, "NA")</f>
        <v>-3.3011551449553763E-3</v>
      </c>
    </row>
    <row r="249" spans="1:30" ht="16.5" customHeight="1" x14ac:dyDescent="0.45">
      <c r="A249" s="12" t="s">
        <v>226</v>
      </c>
      <c r="B249" s="7">
        <v>1725.76</v>
      </c>
      <c r="C249" s="8">
        <f>IFERROR(B249/B444, "NA")</f>
        <v>1.8434042135014487E-2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-1725.76</v>
      </c>
      <c r="I249" s="8">
        <f>IFERROR(H249/H444, "NA")</f>
        <v>4.5435003244868447E-2</v>
      </c>
      <c r="J249" s="9"/>
      <c r="K249" s="7">
        <v>1289.8</v>
      </c>
      <c r="L249" s="8">
        <f>IFERROR(K249/K444, "NA")</f>
        <v>1.1858999820524362E-2</v>
      </c>
      <c r="M249" s="9"/>
      <c r="N249" s="10">
        <f t="shared" si="65"/>
        <v>-435.96000000000004</v>
      </c>
      <c r="O249" s="8">
        <f>IFERROR(N249/N444, "NA")</f>
        <v>2.8789197513336053E-2</v>
      </c>
      <c r="P249" s="9"/>
      <c r="Q249" s="7">
        <v>8341.52</v>
      </c>
      <c r="R249" s="8">
        <f>IFERROR(Q249/Q444, "NA")</f>
        <v>2.3164030405552979E-2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-8341.52</v>
      </c>
      <c r="X249" s="8">
        <f>IFERROR(W249/W444, "NA")</f>
        <v>2.7929819862050711</v>
      </c>
      <c r="Y249" s="9"/>
      <c r="Z249" s="7">
        <v>5048.88</v>
      </c>
      <c r="AA249" s="8">
        <f>IFERROR(Z249/Z444, "NA")</f>
        <v>1.6187064717833263E-2</v>
      </c>
      <c r="AB249" s="9"/>
      <c r="AC249" s="10">
        <f t="shared" si="67"/>
        <v>-3292.6400000000003</v>
      </c>
      <c r="AD249" s="8">
        <f>IFERROR(AC249/AC444, "NA")</f>
        <v>-6.831447097282306E-2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0.6</v>
      </c>
      <c r="AA250" s="8">
        <f>IFERROR(Z250/Z444, "NA")</f>
        <v>1.9236422396056071E-6</v>
      </c>
      <c r="AB250" s="9"/>
      <c r="AC250" s="10">
        <f t="shared" si="67"/>
        <v>0.6</v>
      </c>
      <c r="AD250" s="8">
        <f>IFERROR(AC250/AC444, "NA")</f>
        <v>1.244857700316276E-5</v>
      </c>
    </row>
    <row r="251" spans="1:30" ht="16.5" customHeight="1" x14ac:dyDescent="0.45">
      <c r="A251" s="12" t="s">
        <v>228</v>
      </c>
      <c r="B251" s="7">
        <v>99.08</v>
      </c>
      <c r="C251" s="8">
        <f>IFERROR(B251/B444, "NA")</f>
        <v>1.0583423504642799E-3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-99.08</v>
      </c>
      <c r="I251" s="8">
        <f>IFERROR(H251/H444, "NA")</f>
        <v>2.6085319635995538E-3</v>
      </c>
      <c r="J251" s="9"/>
      <c r="K251" s="7">
        <v>94.69</v>
      </c>
      <c r="L251" s="8">
        <f>IFERROR(K251/K444, "NA")</f>
        <v>8.7062233912657148E-4</v>
      </c>
      <c r="M251" s="9"/>
      <c r="N251" s="10">
        <f t="shared" si="65"/>
        <v>-4.3900000000000006</v>
      </c>
      <c r="O251" s="8">
        <f>IFERROR(N251/N444, "NA")</f>
        <v>2.8989947950166362E-4</v>
      </c>
      <c r="P251" s="9"/>
      <c r="Q251" s="7">
        <v>236.54</v>
      </c>
      <c r="R251" s="8">
        <f>IFERROR(Q251/Q444, "NA")</f>
        <v>6.5686106994043063E-4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-236.54</v>
      </c>
      <c r="X251" s="8">
        <f>IFERROR(W251/W444, "NA")</f>
        <v>7.9200428580995727E-2</v>
      </c>
      <c r="Y251" s="9"/>
      <c r="Z251" s="7">
        <v>164.22</v>
      </c>
      <c r="AA251" s="8">
        <f>IFERROR(Z251/Z444, "NA")</f>
        <v>5.265008809800547E-4</v>
      </c>
      <c r="AB251" s="9"/>
      <c r="AC251" s="10">
        <f t="shared" si="67"/>
        <v>-72.319999999999993</v>
      </c>
      <c r="AD251" s="8">
        <f>IFERROR(AC251/AC444, "NA")</f>
        <v>-1.5004684814478846E-3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49.02</v>
      </c>
      <c r="L255" s="8">
        <f>IFERROR(K255/K444, "NA")</f>
        <v>4.5071187098938155E-4</v>
      </c>
      <c r="M255" s="9"/>
      <c r="N255" s="10">
        <f t="shared" si="65"/>
        <v>49.02</v>
      </c>
      <c r="O255" s="8">
        <f>IFERROR(N255/N444, "NA")</f>
        <v>-3.2371007938887357E-3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117.05</v>
      </c>
      <c r="AA255" s="8">
        <f>IFERROR(Z255/Z444, "NA")</f>
        <v>3.7527054024306055E-4</v>
      </c>
      <c r="AB255" s="9"/>
      <c r="AC255" s="10">
        <f t="shared" si="67"/>
        <v>117.05</v>
      </c>
      <c r="AD255" s="8">
        <f>IFERROR(AC255/AC444, "NA")</f>
        <v>2.4285098970336684E-3</v>
      </c>
    </row>
    <row r="256" spans="1:30" ht="16.5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6.17</v>
      </c>
      <c r="L256" s="8">
        <f>IFERROR(K256/K444, "NA")</f>
        <v>5.6729747939707956E-5</v>
      </c>
      <c r="M256" s="9"/>
      <c r="N256" s="10">
        <f t="shared" si="65"/>
        <v>6.17</v>
      </c>
      <c r="O256" s="8">
        <f>IFERROR(N256/N444, "NA")</f>
        <v>-4.0744414317204201E-4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37.549999999999997</v>
      </c>
      <c r="AA256" s="8">
        <f>IFERROR(Z256/Z444, "NA")</f>
        <v>1.2038794349531757E-4</v>
      </c>
      <c r="AB256" s="9"/>
      <c r="AC256" s="10">
        <f t="shared" si="67"/>
        <v>37.549999999999997</v>
      </c>
      <c r="AD256" s="8">
        <f>IFERROR(AC256/AC444, "NA")</f>
        <v>7.7907344411460276E-4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5890.3</v>
      </c>
      <c r="C262" s="15">
        <f>IFERROR(B262/B444, "NA")</f>
        <v>6.2918388644930837E-2</v>
      </c>
      <c r="D262" s="2"/>
      <c r="E262" s="14">
        <f>IFERROR(E240+E241+E242+E243+E244+E245+E246+E247+E248+E249+E250+E251+E252+E253+E254+E255+E256+E257+E258+E259+E260+E261, "NA")</f>
        <v>8060.31</v>
      </c>
      <c r="F262" s="15">
        <f>IFERROR(E262/E444, "NA")</f>
        <v>6.1248021008934957E-2</v>
      </c>
      <c r="G262" s="2"/>
      <c r="H262" s="14">
        <f t="shared" si="64"/>
        <v>2170.0100000000002</v>
      </c>
      <c r="I262" s="15">
        <f>IFERROR(H262/H444, "NA")</f>
        <v>-5.7131009753034603E-2</v>
      </c>
      <c r="J262" s="2"/>
      <c r="K262" s="14">
        <f>IFERROR(K240+K241+K242+K243+K244+K245+K246+K247+K248+K249+K250+K251+K252+K253+K254+K255+K256+K257+K258+K259+K260+K261, "NA")</f>
        <v>8961.5400000000009</v>
      </c>
      <c r="L262" s="15">
        <f>IFERROR(K262/K444, "NA")</f>
        <v>8.2396419019709968E-2</v>
      </c>
      <c r="M262" s="2"/>
      <c r="N262" s="14">
        <f t="shared" si="65"/>
        <v>3071.2400000000007</v>
      </c>
      <c r="O262" s="15">
        <f>IFERROR(N262/N444, "NA")</f>
        <v>-0.20281341171405226</v>
      </c>
      <c r="P262" s="2"/>
      <c r="Q262" s="14">
        <f>IFERROR(Q240+Q241+Q242+Q243+Q244+Q245+Q246+Q247+Q248+Q249+Q250+Q251+Q252+Q253+Q254+Q255+Q256+Q257+Q258+Q259+Q260+Q261, "NA")</f>
        <v>23874.33</v>
      </c>
      <c r="R262" s="15">
        <f>IFERROR(Q262/Q444, "NA")</f>
        <v>6.6297953614234059E-2</v>
      </c>
      <c r="S262" s="2"/>
      <c r="T262" s="14">
        <f>IFERROR(T240+T241+T242+T243+T244+T245+T246+T247+T248+T249+T250+T251+T252+T253+T254+T255+T256+T257+T258+T259+T260+T261, "NA")</f>
        <v>22475.52</v>
      </c>
      <c r="U262" s="15">
        <f>IFERROR(T262/T444, "NA")</f>
        <v>6.1900141944276073E-2</v>
      </c>
      <c r="V262" s="2"/>
      <c r="W262" s="14">
        <f t="shared" si="66"/>
        <v>-1398.8100000000013</v>
      </c>
      <c r="X262" s="15">
        <f>IFERROR(W262/W444, "NA")</f>
        <v>0.46836201700931235</v>
      </c>
      <c r="Y262" s="2"/>
      <c r="Z262" s="14">
        <f>IFERROR(Z240+Z241+Z242+Z243+Z244+Z245+Z246+Z247+Z248+Z249+Z250+Z251+Z252+Z253+Z254+Z255+Z256+Z257+Z258+Z259+Z260+Z261, "NA")</f>
        <v>17767.45</v>
      </c>
      <c r="AA262" s="15">
        <f>IFERROR(Z262/Z444, "NA")</f>
        <v>5.6963695516801076E-2</v>
      </c>
      <c r="AB262" s="2"/>
      <c r="AC262" s="14">
        <f t="shared" si="67"/>
        <v>-6106.880000000001</v>
      </c>
      <c r="AD262" s="15">
        <f>IFERROR(AC262/AC444, "NA")</f>
        <v>-0.1267032765484577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5890.3</v>
      </c>
      <c r="C263" s="15">
        <f>IFERROR(B263/B444, "NA")</f>
        <v>6.2918388644930837E-2</v>
      </c>
      <c r="D263" s="2"/>
      <c r="E263" s="14">
        <f>IFERROR(E238+E240+E241+E242+E243+E244+E245+E246+E247+E248+E249+E250+E251+E252+E253+E254+E255+E256+E257+E258+E259+E260+E261, "NA")</f>
        <v>8060.31</v>
      </c>
      <c r="F263" s="15">
        <f>IFERROR(E263/E444, "NA")</f>
        <v>6.1248021008934957E-2</v>
      </c>
      <c r="G263" s="2"/>
      <c r="H263" s="14">
        <f t="shared" si="64"/>
        <v>2170.0100000000002</v>
      </c>
      <c r="I263" s="15">
        <f>IFERROR(H263/H444, "NA")</f>
        <v>-5.7131009753034603E-2</v>
      </c>
      <c r="J263" s="2"/>
      <c r="K263" s="14">
        <f>IFERROR(K238+K240+K241+K242+K243+K244+K245+K246+K247+K248+K249+K250+K251+K252+K253+K254+K255+K256+K257+K258+K259+K260+K261, "NA")</f>
        <v>8961.5400000000009</v>
      </c>
      <c r="L263" s="15">
        <f>IFERROR(K263/K444, "NA")</f>
        <v>8.2396419019709968E-2</v>
      </c>
      <c r="M263" s="2"/>
      <c r="N263" s="14">
        <f t="shared" si="65"/>
        <v>3071.2400000000007</v>
      </c>
      <c r="O263" s="15">
        <f>IFERROR(N263/N444, "NA")</f>
        <v>-0.20281341171405226</v>
      </c>
      <c r="P263" s="2"/>
      <c r="Q263" s="14">
        <f>IFERROR(Q238+Q240+Q241+Q242+Q243+Q244+Q245+Q246+Q247+Q248+Q249+Q250+Q251+Q252+Q253+Q254+Q255+Q256+Q257+Q258+Q259+Q260+Q261, "NA")</f>
        <v>23874.33</v>
      </c>
      <c r="R263" s="15">
        <f>IFERROR(Q263/Q444, "NA")</f>
        <v>6.6297953614234059E-2</v>
      </c>
      <c r="S263" s="2"/>
      <c r="T263" s="14">
        <f>IFERROR(T238+T240+T241+T242+T243+T244+T245+T246+T247+T248+T249+T250+T251+T252+T253+T254+T255+T256+T257+T258+T259+T260+T261, "NA")</f>
        <v>22475.52</v>
      </c>
      <c r="U263" s="15">
        <f>IFERROR(T263/T444, "NA")</f>
        <v>6.1900141944276073E-2</v>
      </c>
      <c r="V263" s="2"/>
      <c r="W263" s="14">
        <f t="shared" si="66"/>
        <v>-1398.8100000000013</v>
      </c>
      <c r="X263" s="15">
        <f>IFERROR(W263/W444, "NA")</f>
        <v>0.46836201700931235</v>
      </c>
      <c r="Y263" s="2"/>
      <c r="Z263" s="14">
        <f>IFERROR(Z238+Z240+Z241+Z242+Z243+Z244+Z245+Z246+Z247+Z248+Z249+Z250+Z251+Z252+Z253+Z254+Z255+Z256+Z257+Z258+Z259+Z260+Z261, "NA")</f>
        <v>17767.45</v>
      </c>
      <c r="AA263" s="15">
        <f>IFERROR(Z263/Z444, "NA")</f>
        <v>5.6963695516801076E-2</v>
      </c>
      <c r="AB263" s="2"/>
      <c r="AC263" s="14">
        <f t="shared" si="67"/>
        <v>-6106.880000000001</v>
      </c>
      <c r="AD263" s="15">
        <f>IFERROR(AC263/AC444, "NA")</f>
        <v>-0.1267032765484577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2349.67</v>
      </c>
      <c r="C265" s="8">
        <f>IFERROR(B265/B444, "NA")</f>
        <v>2.5098458524580182E-2</v>
      </c>
      <c r="D265" s="9"/>
      <c r="E265" s="7">
        <v>3421.63</v>
      </c>
      <c r="F265" s="8">
        <f>IFERROR(E265/E444, "NA")</f>
        <v>2.6000000759871782E-2</v>
      </c>
      <c r="G265" s="9"/>
      <c r="H265" s="10">
        <f>IFERROR(-(B265-E265), "NA")</f>
        <v>1071.96</v>
      </c>
      <c r="I265" s="8">
        <f>IFERROR(H265/H444, "NA")</f>
        <v>-2.8222062209327593E-2</v>
      </c>
      <c r="J265" s="9"/>
      <c r="K265" s="7">
        <v>3101.02</v>
      </c>
      <c r="L265" s="8">
        <f>IFERROR(K265/K444, "NA")</f>
        <v>2.8512169036627743E-2</v>
      </c>
      <c r="M265" s="9"/>
      <c r="N265" s="10">
        <f>IFERROR(-(B265-K265), "NA")</f>
        <v>751.34999999999991</v>
      </c>
      <c r="O265" s="8">
        <f>IFERROR(N265/N444, "NA")</f>
        <v>-4.9616394971201572E-2</v>
      </c>
      <c r="P265" s="9"/>
      <c r="Q265" s="7">
        <v>8327.01</v>
      </c>
      <c r="R265" s="8">
        <f>IFERROR(Q265/Q444, "NA")</f>
        <v>2.3123736780268307E-2</v>
      </c>
      <c r="S265" s="9"/>
      <c r="T265" s="7">
        <v>9568.06</v>
      </c>
      <c r="U265" s="8">
        <f>IFERROR(T265/T444, "NA")</f>
        <v>2.6351527000547711E-2</v>
      </c>
      <c r="V265" s="9"/>
      <c r="W265" s="10">
        <f>IFERROR(-(Q265-T265), "NA")</f>
        <v>1241.0499999999993</v>
      </c>
      <c r="X265" s="8">
        <f>IFERROR(W265/W444, "NA")</f>
        <v>-0.4155394093618191</v>
      </c>
      <c r="Y265" s="9"/>
      <c r="Z265" s="7">
        <v>8270.51</v>
      </c>
      <c r="AA265" s="8">
        <f>IFERROR(Z265/Z444, "NA")</f>
        <v>2.6515837298467619E-2</v>
      </c>
      <c r="AB265" s="9"/>
      <c r="AC265" s="10">
        <f>IFERROR(-(Q265-Z265), "NA")</f>
        <v>-56.5</v>
      </c>
      <c r="AD265" s="8">
        <f>IFERROR(AC265/AC444, "NA")</f>
        <v>-1.1722410011311599E-3</v>
      </c>
    </row>
    <row r="266" spans="1:30" ht="16.5" hidden="1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0</v>
      </c>
      <c r="AD266" s="8">
        <f>IFERROR(AC266/AC444, "NA")</f>
        <v>0</v>
      </c>
    </row>
    <row r="267" spans="1:30" ht="16.5" customHeight="1" x14ac:dyDescent="0.45">
      <c r="A267" s="19" t="s">
        <v>243</v>
      </c>
      <c r="B267" s="14">
        <f>IFERROR(B265+B266, "NA")</f>
        <v>2349.67</v>
      </c>
      <c r="C267" s="15">
        <f>IFERROR(B267/B444, "NA")</f>
        <v>2.5098458524580182E-2</v>
      </c>
      <c r="D267" s="2"/>
      <c r="E267" s="14">
        <f>IFERROR(E265+E266, "NA")</f>
        <v>3421.63</v>
      </c>
      <c r="F267" s="15">
        <f>IFERROR(E267/E444, "NA")</f>
        <v>2.6000000759871782E-2</v>
      </c>
      <c r="G267" s="2"/>
      <c r="H267" s="14">
        <f>IFERROR(-(B267-E267), "NA")</f>
        <v>1071.96</v>
      </c>
      <c r="I267" s="15">
        <f>IFERROR(H267/H444, "NA")</f>
        <v>-2.8222062209327593E-2</v>
      </c>
      <c r="J267" s="2"/>
      <c r="K267" s="14">
        <f>IFERROR(K265+K266, "NA")</f>
        <v>3101.02</v>
      </c>
      <c r="L267" s="15">
        <f>IFERROR(K267/K444, "NA")</f>
        <v>2.8512169036627743E-2</v>
      </c>
      <c r="M267" s="2"/>
      <c r="N267" s="14">
        <f>IFERROR(-(B267-K267), "NA")</f>
        <v>751.34999999999991</v>
      </c>
      <c r="O267" s="15">
        <f>IFERROR(N267/N444, "NA")</f>
        <v>-4.9616394971201572E-2</v>
      </c>
      <c r="P267" s="2"/>
      <c r="Q267" s="14">
        <f>IFERROR(Q265+Q266, "NA")</f>
        <v>8327.01</v>
      </c>
      <c r="R267" s="15">
        <f>IFERROR(Q267/Q444, "NA")</f>
        <v>2.3123736780268307E-2</v>
      </c>
      <c r="S267" s="2"/>
      <c r="T267" s="14">
        <f>IFERROR(T265+T266, "NA")</f>
        <v>9568.06</v>
      </c>
      <c r="U267" s="15">
        <f>IFERROR(T267/T444, "NA")</f>
        <v>2.6351527000547711E-2</v>
      </c>
      <c r="V267" s="2"/>
      <c r="W267" s="14">
        <f>IFERROR(-(Q267-T267), "NA")</f>
        <v>1241.0499999999993</v>
      </c>
      <c r="X267" s="15">
        <f>IFERROR(W267/W444, "NA")</f>
        <v>-0.4155394093618191</v>
      </c>
      <c r="Y267" s="2"/>
      <c r="Z267" s="14">
        <f>IFERROR(Z265+Z266, "NA")</f>
        <v>8270.51</v>
      </c>
      <c r="AA267" s="15">
        <f>IFERROR(Z267/Z444, "NA")</f>
        <v>2.6515837298467619E-2</v>
      </c>
      <c r="AB267" s="2"/>
      <c r="AC267" s="14">
        <f>IFERROR(-(Q267-Z267), "NA")</f>
        <v>-56.5</v>
      </c>
      <c r="AD267" s="15">
        <f>IFERROR(AC267/AC444, "NA")</f>
        <v>-1.1722410011311599E-3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429.37</v>
      </c>
      <c r="C270" s="8">
        <f>IFERROR(B270/B444, "NA")</f>
        <v>4.5863994248975352E-3</v>
      </c>
      <c r="D270" s="9"/>
      <c r="E270" s="7">
        <v>186.49</v>
      </c>
      <c r="F270" s="8">
        <f>IFERROR(E270/E444, "NA")</f>
        <v>1.4170848810971639E-3</v>
      </c>
      <c r="G270" s="9"/>
      <c r="H270" s="10">
        <f>IFERROR(-(B270-E270), "NA")</f>
        <v>-242.88</v>
      </c>
      <c r="I270" s="8">
        <f>IFERROR(H270/H444, "NA")</f>
        <v>6.3944312002327374E-3</v>
      </c>
      <c r="J270" s="9"/>
      <c r="K270" s="7">
        <v>296.5</v>
      </c>
      <c r="L270" s="8">
        <f>IFERROR(K270/K444, "NA")</f>
        <v>2.726154013634264E-3</v>
      </c>
      <c r="M270" s="9"/>
      <c r="N270" s="10">
        <f>IFERROR(-(B270-K270), "NA")</f>
        <v>-132.87</v>
      </c>
      <c r="O270" s="8">
        <f>IFERROR(N270/N444, "NA")</f>
        <v>8.7742468886984146E-3</v>
      </c>
      <c r="P270" s="9"/>
      <c r="Q270" s="7">
        <v>1543.24</v>
      </c>
      <c r="R270" s="8">
        <f>IFERROR(Q270/Q444, "NA")</f>
        <v>4.2855089100146708E-3</v>
      </c>
      <c r="S270" s="9"/>
      <c r="T270" s="7">
        <v>741.15</v>
      </c>
      <c r="U270" s="8">
        <f>IFERROR(T270/T444, "NA")</f>
        <v>2.0412115137714371E-3</v>
      </c>
      <c r="V270" s="9"/>
      <c r="W270" s="10">
        <f>IFERROR(-(Q270-T270), "NA")</f>
        <v>-802.09</v>
      </c>
      <c r="X270" s="8">
        <f>IFERROR(W270/W444, "NA")</f>
        <v>0.26856291435076884</v>
      </c>
      <c r="Y270" s="9"/>
      <c r="Z270" s="7">
        <v>1186</v>
      </c>
      <c r="AA270" s="8">
        <f>IFERROR(Z270/Z444, "NA")</f>
        <v>3.8023994936204168E-3</v>
      </c>
      <c r="AB270" s="9"/>
      <c r="AC270" s="10">
        <f>IFERROR(-(Q270-Z270), "NA")</f>
        <v>-357.24</v>
      </c>
      <c r="AD270" s="8">
        <f>IFERROR(AC270/AC444, "NA")</f>
        <v>-7.411882747683108E-3</v>
      </c>
    </row>
    <row r="271" spans="1:30" ht="16.5" customHeight="1" x14ac:dyDescent="0.45">
      <c r="A271" s="6" t="s">
        <v>246</v>
      </c>
      <c r="B271" s="7">
        <v>952.74</v>
      </c>
      <c r="C271" s="8">
        <f>IFERROR(B271/B444, "NA")</f>
        <v>1.0176878189153592E-2</v>
      </c>
      <c r="D271" s="9"/>
      <c r="E271" s="7">
        <v>789.61</v>
      </c>
      <c r="F271" s="8">
        <f>IFERROR(E271/E444, "NA")</f>
        <v>6.0000235560251566E-3</v>
      </c>
      <c r="G271" s="9"/>
      <c r="H271" s="10">
        <f>IFERROR(-(B271-E271), "NA")</f>
        <v>-163.13</v>
      </c>
      <c r="I271" s="8">
        <f>IFERROR(H271/H444, "NA")</f>
        <v>4.2948104483447238E-3</v>
      </c>
      <c r="J271" s="9"/>
      <c r="K271" s="7">
        <v>762.02</v>
      </c>
      <c r="L271" s="8">
        <f>IFERROR(K271/K444, "NA")</f>
        <v>7.0063537317692475E-3</v>
      </c>
      <c r="M271" s="9"/>
      <c r="N271" s="10">
        <f>IFERROR(-(B271-K271), "NA")</f>
        <v>-190.72000000000003</v>
      </c>
      <c r="O271" s="8">
        <f>IFERROR(N271/N444, "NA")</f>
        <v>1.2594448457985715E-2</v>
      </c>
      <c r="P271" s="9"/>
      <c r="Q271" s="7">
        <v>3810.96</v>
      </c>
      <c r="R271" s="8">
        <f>IFERROR(Q271/Q444, "NA")</f>
        <v>1.0582866589583934E-2</v>
      </c>
      <c r="S271" s="9"/>
      <c r="T271" s="7">
        <v>2178.56</v>
      </c>
      <c r="U271" s="8">
        <f>IFERROR(T271/T444, "NA")</f>
        <v>6.0000023685379501E-3</v>
      </c>
      <c r="V271" s="9"/>
      <c r="W271" s="10">
        <f>IFERROR(-(Q271-T271), "NA")</f>
        <v>-1632.4</v>
      </c>
      <c r="X271" s="8">
        <f>IFERROR(W271/W444, "NA")</f>
        <v>0.5465747003281366</v>
      </c>
      <c r="Y271" s="9"/>
      <c r="Z271" s="7">
        <v>3048.08</v>
      </c>
      <c r="AA271" s="8">
        <f>IFERROR(Z271/Z444, "NA")</f>
        <v>9.7723590628284313E-3</v>
      </c>
      <c r="AB271" s="9"/>
      <c r="AC271" s="10">
        <f>IFERROR(-(Q271-Z271), "NA")</f>
        <v>-762.88000000000011</v>
      </c>
      <c r="AD271" s="8">
        <f>IFERROR(AC271/AC444, "NA")</f>
        <v>-1.5827950706954683E-2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1382.1100000000001</v>
      </c>
      <c r="C273" s="15">
        <f>IFERROR(B273/B444, "NA")</f>
        <v>1.4763277614051129E-2</v>
      </c>
      <c r="D273" s="2"/>
      <c r="E273" s="14">
        <f>IFERROR(E269+E270+E271+E272, "NA")</f>
        <v>976.1</v>
      </c>
      <c r="F273" s="15">
        <f>IFERROR(E273/E444, "NA")</f>
        <v>7.4171084371223205E-3</v>
      </c>
      <c r="G273" s="2"/>
      <c r="H273" s="14">
        <f>IFERROR(-(B273-E273), "NA")</f>
        <v>-406.0100000000001</v>
      </c>
      <c r="I273" s="15">
        <f>IFERROR(H273/H444, "NA")</f>
        <v>1.0689241648577463E-2</v>
      </c>
      <c r="J273" s="2"/>
      <c r="K273" s="14">
        <f>IFERROR(K269+K270+K271+K272, "NA")</f>
        <v>1058.52</v>
      </c>
      <c r="L273" s="15">
        <f>IFERROR(K273/K444, "NA")</f>
        <v>9.7325077454035111E-3</v>
      </c>
      <c r="M273" s="2"/>
      <c r="N273" s="14">
        <f>IFERROR(-(B273-K273), "NA")</f>
        <v>-323.59000000000015</v>
      </c>
      <c r="O273" s="15">
        <f>IFERROR(N273/N444, "NA")</f>
        <v>2.1368695346684136E-2</v>
      </c>
      <c r="P273" s="2"/>
      <c r="Q273" s="14">
        <f>IFERROR(Q269+Q270+Q271+Q272, "NA")</f>
        <v>5354.2</v>
      </c>
      <c r="R273" s="15">
        <f>IFERROR(Q273/Q444, "NA")</f>
        <v>1.4868375499598603E-2</v>
      </c>
      <c r="S273" s="2"/>
      <c r="T273" s="14">
        <f>IFERROR(T269+T270+T271+T272, "NA")</f>
        <v>2919.71</v>
      </c>
      <c r="U273" s="15">
        <f>IFERROR(T273/T444, "NA")</f>
        <v>8.0412138823093872E-3</v>
      </c>
      <c r="V273" s="2"/>
      <c r="W273" s="14">
        <f>IFERROR(-(Q273-T273), "NA")</f>
        <v>-2434.4899999999998</v>
      </c>
      <c r="X273" s="15">
        <f>IFERROR(W273/W444, "NA")</f>
        <v>0.81513761467890533</v>
      </c>
      <c r="Y273" s="2"/>
      <c r="Z273" s="14">
        <f>IFERROR(Z269+Z270+Z271+Z272, "NA")</f>
        <v>4234.08</v>
      </c>
      <c r="AA273" s="15">
        <f>IFERROR(Z273/Z444, "NA")</f>
        <v>1.3574758556448848E-2</v>
      </c>
      <c r="AB273" s="2"/>
      <c r="AC273" s="14">
        <f>IFERROR(-(Q273-Z273), "NA")</f>
        <v>-1120.1199999999999</v>
      </c>
      <c r="AD273" s="15">
        <f>IFERROR(AC273/AC444, "NA")</f>
        <v>-2.3239833454637784E-2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331</v>
      </c>
      <c r="F287" s="8">
        <f>IFERROR(E287/E444, "NA")</f>
        <v>2.5151755892710665E-3</v>
      </c>
      <c r="G287" s="9"/>
      <c r="H287" s="10">
        <f t="shared" si="72"/>
        <v>331</v>
      </c>
      <c r="I287" s="8">
        <f>IFERROR(H287/H444, "NA")</f>
        <v>-8.7144134028204721E-3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1324</v>
      </c>
      <c r="U287" s="8">
        <f>IFERROR(T287/T444, "NA")</f>
        <v>3.6464467978592494E-3</v>
      </c>
      <c r="V287" s="9"/>
      <c r="W287" s="10">
        <f t="shared" si="74"/>
        <v>1324</v>
      </c>
      <c r="X287" s="8">
        <f>IFERROR(W287/W444, "NA")</f>
        <v>-0.44331346681845923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1.4687330761893266E-3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3.6200357791172652E-3</v>
      </c>
      <c r="J288" s="9"/>
      <c r="K288" s="7">
        <v>114</v>
      </c>
      <c r="L288" s="8">
        <f>IFERROR(K288/K444, "NA")</f>
        <v>1.048167141835771E-3</v>
      </c>
      <c r="M288" s="9"/>
      <c r="N288" s="10">
        <f t="shared" si="73"/>
        <v>-23.5</v>
      </c>
      <c r="O288" s="8">
        <f>IFERROR(N288/N444, "NA")</f>
        <v>1.5518537057606138E-3</v>
      </c>
      <c r="P288" s="9"/>
      <c r="Q288" s="7">
        <v>550</v>
      </c>
      <c r="R288" s="8">
        <f>IFERROR(Q288/Q444, "NA")</f>
        <v>1.5273255621342558E-3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-550</v>
      </c>
      <c r="X288" s="8">
        <f>IFERROR(W288/W444, "NA")</f>
        <v>0.18415589633697324</v>
      </c>
      <c r="Y288" s="9"/>
      <c r="Z288" s="7">
        <v>526.5</v>
      </c>
      <c r="AA288" s="8">
        <f>IFERROR(Z288/Z444, "NA")</f>
        <v>1.6879960652539203E-3</v>
      </c>
      <c r="AB288" s="9"/>
      <c r="AC288" s="10">
        <f t="shared" si="75"/>
        <v>-23.5</v>
      </c>
      <c r="AD288" s="8">
        <f>IFERROR(AC288/AC444, "NA")</f>
        <v>-4.8756926595720817E-4</v>
      </c>
    </row>
    <row r="289" spans="1:30" ht="16.5" customHeight="1" x14ac:dyDescent="0.45">
      <c r="A289" s="6" t="s">
        <v>262</v>
      </c>
      <c r="B289" s="7">
        <v>217.97</v>
      </c>
      <c r="C289" s="8">
        <f>IFERROR(B289/B444, "NA")</f>
        <v>2.3282890808508181E-3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-217.97</v>
      </c>
      <c r="I289" s="8">
        <f>IFERROR(H289/H444, "NA")</f>
        <v>5.7386123547213839E-3</v>
      </c>
      <c r="J289" s="9"/>
      <c r="K289" s="7">
        <v>198.58</v>
      </c>
      <c r="L289" s="8">
        <f>IFERROR(K289/K444, "NA")</f>
        <v>1.8258336054890125E-3</v>
      </c>
      <c r="M289" s="9"/>
      <c r="N289" s="10">
        <f t="shared" si="73"/>
        <v>-19.389999999999986</v>
      </c>
      <c r="O289" s="8">
        <f>IFERROR(N289/N444, "NA")</f>
        <v>1.2804443980722671E-3</v>
      </c>
      <c r="P289" s="9"/>
      <c r="Q289" s="7">
        <v>877.7</v>
      </c>
      <c r="R289" s="8">
        <f>IFERROR(Q289/Q444, "NA")</f>
        <v>2.4373339016095204E-3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-877.7</v>
      </c>
      <c r="X289" s="8">
        <f>IFERROR(W289/W444, "NA")</f>
        <v>0.29387932766356623</v>
      </c>
      <c r="Y289" s="9"/>
      <c r="Z289" s="7">
        <v>794.32</v>
      </c>
      <c r="AA289" s="8">
        <f>IFERROR(Z289/Z444, "NA")</f>
        <v>2.5466458396058767E-3</v>
      </c>
      <c r="AB289" s="9"/>
      <c r="AC289" s="10">
        <f t="shared" si="75"/>
        <v>-83.38</v>
      </c>
      <c r="AD289" s="8">
        <f>IFERROR(AC289/AC444, "NA")</f>
        <v>-1.7299372508728515E-3</v>
      </c>
    </row>
    <row r="290" spans="1:30" ht="16.5" customHeight="1" x14ac:dyDescent="0.45">
      <c r="A290" s="6" t="s">
        <v>263</v>
      </c>
      <c r="B290" s="7">
        <v>137.13</v>
      </c>
      <c r="C290" s="8">
        <f>IFERROR(B290/B444, "NA")</f>
        <v>1.4647808490024898E-3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-137.13</v>
      </c>
      <c r="I290" s="8">
        <f>IFERROR(H290/H444, "NA")</f>
        <v>3.6102945919298224E-3</v>
      </c>
      <c r="J290" s="9"/>
      <c r="K290" s="7">
        <v>204.96</v>
      </c>
      <c r="L290" s="8">
        <f>IFERROR(K290/K444, "NA")</f>
        <v>1.8844941876373651E-3</v>
      </c>
      <c r="M290" s="9"/>
      <c r="N290" s="10">
        <f t="shared" si="73"/>
        <v>67.830000000000013</v>
      </c>
      <c r="O290" s="8">
        <f>IFERROR(N290/N444, "NA")</f>
        <v>-4.4792441217762742E-3</v>
      </c>
      <c r="P290" s="9"/>
      <c r="Q290" s="7">
        <v>2552.4499999999998</v>
      </c>
      <c r="R290" s="8">
        <f>IFERROR(Q290/Q444, "NA")</f>
        <v>7.0880402383083291E-3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-2552.4499999999998</v>
      </c>
      <c r="X290" s="8">
        <f>IFERROR(W290/W444, "NA")</f>
        <v>0.85463403200964971</v>
      </c>
      <c r="Y290" s="9"/>
      <c r="Z290" s="7">
        <v>3788.86</v>
      </c>
      <c r="AA290" s="8">
        <f>IFERROR(Z290/Z444, "NA")</f>
        <v>1.2147351893253501E-2</v>
      </c>
      <c r="AB290" s="9"/>
      <c r="AC290" s="10">
        <f t="shared" si="75"/>
        <v>1236.4100000000003</v>
      </c>
      <c r="AD290" s="8">
        <f>IFERROR(AC290/AC444, "NA")</f>
        <v>2.5652575154134123E-2</v>
      </c>
    </row>
    <row r="291" spans="1:30" ht="16.5" customHeight="1" x14ac:dyDescent="0.45">
      <c r="A291" s="6" t="s">
        <v>264</v>
      </c>
      <c r="B291" s="7">
        <v>0</v>
      </c>
      <c r="C291" s="8">
        <f>IFERROR(B291/B444, "NA")</f>
        <v>0</v>
      </c>
      <c r="D291" s="9"/>
      <c r="E291" s="7">
        <v>1579.21</v>
      </c>
      <c r="F291" s="8">
        <f>IFERROR(E291/E444, "NA")</f>
        <v>1.199997112487239E-2</v>
      </c>
      <c r="G291" s="9"/>
      <c r="H291" s="10">
        <f t="shared" si="72"/>
        <v>1579.21</v>
      </c>
      <c r="I291" s="8">
        <f>IFERROR(H291/H444, "NA")</f>
        <v>-4.1576703292652922E-2</v>
      </c>
      <c r="J291" s="9"/>
      <c r="K291" s="7">
        <v>124.98</v>
      </c>
      <c r="L291" s="8">
        <f>IFERROR(K291/K444, "NA")</f>
        <v>1.1491221876020585E-3</v>
      </c>
      <c r="M291" s="9"/>
      <c r="N291" s="10">
        <f t="shared" si="73"/>
        <v>124.98</v>
      </c>
      <c r="O291" s="8">
        <f>IFERROR(N291/N444, "NA")</f>
        <v>-8.2532202615302769E-3</v>
      </c>
      <c r="P291" s="9"/>
      <c r="Q291" s="7">
        <v>6479.22</v>
      </c>
      <c r="R291" s="8">
        <f>IFERROR(Q291/Q444, "NA")</f>
        <v>1.7992506052166388E-2</v>
      </c>
      <c r="S291" s="9"/>
      <c r="T291" s="7">
        <v>4357.12</v>
      </c>
      <c r="U291" s="8">
        <f>IFERROR(T291/T444, "NA")</f>
        <v>1.20000047370759E-2</v>
      </c>
      <c r="V291" s="9"/>
      <c r="W291" s="10">
        <f t="shared" si="74"/>
        <v>-2122.1000000000004</v>
      </c>
      <c r="X291" s="8">
        <f>IFERROR(W291/W444, "NA")</f>
        <v>0.71054041384852906</v>
      </c>
      <c r="Y291" s="9"/>
      <c r="Z291" s="7">
        <v>1564.43</v>
      </c>
      <c r="AA291" s="8">
        <f>IFERROR(Z291/Z444, "NA")</f>
        <v>5.0156727148436666E-3</v>
      </c>
      <c r="AB291" s="9"/>
      <c r="AC291" s="10">
        <f t="shared" si="75"/>
        <v>-4914.79</v>
      </c>
      <c r="AD291" s="8">
        <f>IFERROR(AC291/AC444, "NA")</f>
        <v>-0.10197023628229052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1038.82</v>
      </c>
      <c r="R292" s="8">
        <f>IFERROR(Q292/Q444, "NA")</f>
        <v>2.8847569826478316E-3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-1038.82</v>
      </c>
      <c r="X292" s="8">
        <f>IFERROR(W292/W444, "NA")</f>
        <v>0.34782696042322642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-1038.82</v>
      </c>
      <c r="AD292" s="8">
        <f>IFERROR(AC292/AC444, "NA")</f>
        <v>-2.1553051270709233E-2</v>
      </c>
    </row>
    <row r="293" spans="1:30" ht="16.5" hidden="1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0</v>
      </c>
      <c r="X293" s="8">
        <f>IFERROR(W293/W444, "NA")</f>
        <v>0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312.49</v>
      </c>
      <c r="C294" s="8">
        <f>IFERROR(B294/B444, "NA")</f>
        <v>3.3379229016611105E-3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-312.49</v>
      </c>
      <c r="I294" s="8">
        <f>IFERROR(H294/H444, "NA")</f>
        <v>8.2270907681189394E-3</v>
      </c>
      <c r="J294" s="9"/>
      <c r="K294" s="7">
        <v>345</v>
      </c>
      <c r="L294" s="8">
        <f>IFERROR(K294/K444, "NA")</f>
        <v>3.1720847713450962E-3</v>
      </c>
      <c r="M294" s="9"/>
      <c r="N294" s="10">
        <f t="shared" si="73"/>
        <v>32.509999999999991</v>
      </c>
      <c r="O294" s="8">
        <f>IFERROR(N294/N444, "NA")</f>
        <v>-2.1468410201820227E-3</v>
      </c>
      <c r="P294" s="9"/>
      <c r="Q294" s="7">
        <v>1685.45</v>
      </c>
      <c r="R294" s="8">
        <f>IFERROR(Q294/Q444, "NA")</f>
        <v>4.6804197612712387E-3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-1685.45</v>
      </c>
      <c r="X294" s="8">
        <f>IFERROR(W294/W444, "NA")</f>
        <v>0.56433737360209379</v>
      </c>
      <c r="Y294" s="9"/>
      <c r="Z294" s="7">
        <v>1380</v>
      </c>
      <c r="AA294" s="8">
        <f>IFERROR(Z294/Z444, "NA")</f>
        <v>4.4243771510928962E-3</v>
      </c>
      <c r="AB294" s="9"/>
      <c r="AC294" s="10">
        <f t="shared" si="75"/>
        <v>-305.45000000000005</v>
      </c>
      <c r="AD294" s="8">
        <f>IFERROR(AC294/AC444, "NA")</f>
        <v>-6.3373630760267764E-3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805.09</v>
      </c>
      <c r="C295" s="15">
        <f>IFERROR(B295/B444, "NA")</f>
        <v>8.5997259077037445E-3</v>
      </c>
      <c r="D295" s="2"/>
      <c r="E295" s="14">
        <f>IFERROR(E286+E287+E288+E289+E290+E291+E292+E293+E294, "NA")</f>
        <v>1910.21</v>
      </c>
      <c r="F295" s="15">
        <f>IFERROR(E295/E444, "NA")</f>
        <v>1.4515146714143456E-2</v>
      </c>
      <c r="G295" s="2"/>
      <c r="H295" s="14">
        <f t="shared" si="72"/>
        <v>1105.1199999999999</v>
      </c>
      <c r="I295" s="15">
        <f>IFERROR(H295/H444, "NA")</f>
        <v>-2.9095083201585978E-2</v>
      </c>
      <c r="J295" s="2"/>
      <c r="K295" s="14">
        <f>IFERROR(K286+K287+K288+K289+K290+K291+K292+K293+K294, "NA")</f>
        <v>987.5200000000001</v>
      </c>
      <c r="L295" s="15">
        <f>IFERROR(K295/K444, "NA")</f>
        <v>9.0797018939093033E-3</v>
      </c>
      <c r="M295" s="2"/>
      <c r="N295" s="14">
        <f t="shared" si="73"/>
        <v>182.43000000000006</v>
      </c>
      <c r="O295" s="15">
        <f>IFERROR(N295/N444, "NA")</f>
        <v>-1.2047007299655696E-2</v>
      </c>
      <c r="P295" s="2"/>
      <c r="Q295" s="14">
        <f>IFERROR(Q286+Q287+Q288+Q289+Q290+Q291+Q292+Q293+Q294, "NA")</f>
        <v>13183.64</v>
      </c>
      <c r="R295" s="15">
        <f>IFERROR(Q295/Q444, "NA")</f>
        <v>3.6610382498137563E-2</v>
      </c>
      <c r="S295" s="2"/>
      <c r="T295" s="14">
        <f>IFERROR(T286+T287+T288+T289+T290+T291+T292+T293+T294, "NA")</f>
        <v>5681.12</v>
      </c>
      <c r="U295" s="15">
        <f>IFERROR(T295/T444, "NA")</f>
        <v>1.564645153493515E-2</v>
      </c>
      <c r="V295" s="2"/>
      <c r="W295" s="14">
        <f t="shared" si="74"/>
        <v>-7502.5199999999995</v>
      </c>
      <c r="X295" s="15">
        <f>IFERROR(W295/W444, "NA")</f>
        <v>2.5120605370655791</v>
      </c>
      <c r="Y295" s="2"/>
      <c r="Z295" s="14">
        <f>IFERROR(Z286+Z287+Z288+Z289+Z290+Z291+Z292+Z293+Z294, "NA")</f>
        <v>8054.1100000000006</v>
      </c>
      <c r="AA295" s="15">
        <f>IFERROR(Z295/Z444, "NA")</f>
        <v>2.5822043664049863E-2</v>
      </c>
      <c r="AB295" s="2"/>
      <c r="AC295" s="14">
        <f t="shared" si="75"/>
        <v>-5129.5299999999988</v>
      </c>
      <c r="AD295" s="15">
        <f>IFERROR(AC295/AC444, "NA")</f>
        <v>-0.10642558199172245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1710.81</v>
      </c>
      <c r="F297" s="8">
        <f>IFERROR(E297/E444, "NA")</f>
        <v>1.2999962386346929E-2</v>
      </c>
      <c r="G297" s="9"/>
      <c r="H297" s="10">
        <f t="shared" ref="H297:H325" si="76">IFERROR(-(B297-E297), "NA")</f>
        <v>1710.81</v>
      </c>
      <c r="I297" s="8">
        <f>IFERROR(H297/H444, "NA")</f>
        <v>-4.5041406627429878E-2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4720.21</v>
      </c>
      <c r="U297" s="8">
        <f>IFERROR(T297/T444, "NA")</f>
        <v>1.2999995951452573E-2</v>
      </c>
      <c r="V297" s="9"/>
      <c r="W297" s="10">
        <f t="shared" ref="W297:W325" si="78">IFERROR(-(Q297-T297), "NA")</f>
        <v>4720.21</v>
      </c>
      <c r="X297" s="8">
        <f>IFERROR(W297/W444, "NA")</f>
        <v>-1.5804627335431718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411.65</v>
      </c>
      <c r="C299" s="8">
        <f>IFERROR(B299/B444, "NA")</f>
        <v>4.3971197877333548E-3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-411.65</v>
      </c>
      <c r="I299" s="8">
        <f>IFERROR(H299/H444, "NA")</f>
        <v>1.0837728934353615E-2</v>
      </c>
      <c r="J299" s="9"/>
      <c r="K299" s="7">
        <v>0</v>
      </c>
      <c r="L299" s="8">
        <f>IFERROR(K299/K444, "NA")</f>
        <v>0</v>
      </c>
      <c r="M299" s="9"/>
      <c r="N299" s="10">
        <f t="shared" si="77"/>
        <v>-411.65</v>
      </c>
      <c r="O299" s="8">
        <f>IFERROR(N299/N444, "NA")</f>
        <v>2.7183854381972621E-2</v>
      </c>
      <c r="P299" s="9"/>
      <c r="Q299" s="7">
        <v>411.65</v>
      </c>
      <c r="R299" s="8">
        <f>IFERROR(Q299/Q444, "NA")</f>
        <v>1.1431337593683023E-3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-411.65</v>
      </c>
      <c r="X299" s="8">
        <f>IFERROR(W299/W444, "NA")</f>
        <v>0.1378323176856637</v>
      </c>
      <c r="Y299" s="9"/>
      <c r="Z299" s="7">
        <v>0</v>
      </c>
      <c r="AA299" s="8">
        <f>IFERROR(Z299/Z444, "NA")</f>
        <v>0</v>
      </c>
      <c r="AB299" s="9"/>
      <c r="AC299" s="10">
        <f t="shared" si="79"/>
        <v>-411.65</v>
      </c>
      <c r="AD299" s="8">
        <f>IFERROR(AC299/AC444, "NA")</f>
        <v>-8.5407612055865834E-3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268.25</v>
      </c>
      <c r="C304" s="8">
        <f>IFERROR(B304/B444, "NA")</f>
        <v>2.8653647104566315E-3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-268.25</v>
      </c>
      <c r="I304" s="8">
        <f>IFERROR(H304/H444, "NA")</f>
        <v>7.0623607108960462E-3</v>
      </c>
      <c r="J304" s="9"/>
      <c r="K304" s="7">
        <v>74.680000000000007</v>
      </c>
      <c r="L304" s="8">
        <f>IFERROR(K304/K444, "NA")</f>
        <v>6.8664142238855598E-4</v>
      </c>
      <c r="M304" s="9"/>
      <c r="N304" s="10">
        <f t="shared" si="77"/>
        <v>-193.57</v>
      </c>
      <c r="O304" s="8">
        <f>IFERROR(N304/N444, "NA")</f>
        <v>1.2782651992514127E-2</v>
      </c>
      <c r="P304" s="9"/>
      <c r="Q304" s="7">
        <v>268.25</v>
      </c>
      <c r="R304" s="8">
        <f>IFERROR(Q304/Q444, "NA")</f>
        <v>7.4491833098638924E-4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-268.25</v>
      </c>
      <c r="X304" s="8">
        <f>IFERROR(W304/W444, "NA")</f>
        <v>8.9817853077078319E-2</v>
      </c>
      <c r="Y304" s="9"/>
      <c r="Z304" s="7">
        <v>74.680000000000007</v>
      </c>
      <c r="AA304" s="8">
        <f>IFERROR(Z304/Z444, "NA")</f>
        <v>2.3942933742291127E-4</v>
      </c>
      <c r="AB304" s="9"/>
      <c r="AC304" s="10">
        <f t="shared" si="79"/>
        <v>-193.57</v>
      </c>
      <c r="AD304" s="8">
        <f>IFERROR(AC304/AC444, "NA")</f>
        <v>-4.016118417503693E-3</v>
      </c>
    </row>
    <row r="305" spans="1:30" ht="16.5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5.59</v>
      </c>
      <c r="R305" s="8">
        <f>IFERROR(Q305/Q444, "NA")</f>
        <v>1.5523181622419073E-5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-5.59</v>
      </c>
      <c r="X305" s="8">
        <f>IFERROR(W305/W444, "NA")</f>
        <v>1.8716935645885099E-3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-5.59</v>
      </c>
      <c r="AD305" s="8">
        <f>IFERROR(AC305/AC444, "NA")</f>
        <v>-1.1597924241279972E-4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52.79</v>
      </c>
      <c r="C310" s="8">
        <f>IFERROR(B310/B444, "NA")</f>
        <v>5.6388668430570584E-4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-52.79</v>
      </c>
      <c r="I310" s="8">
        <f>IFERROR(H310/H444, "NA")</f>
        <v>1.3898304638516395E-3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-52.79</v>
      </c>
      <c r="O310" s="8">
        <f>IFERROR(N310/N444, "NA")</f>
        <v>3.4860577500894809E-3</v>
      </c>
      <c r="P310" s="9"/>
      <c r="Q310" s="7">
        <v>52.79</v>
      </c>
      <c r="R310" s="8">
        <f>IFERROR(Q310/Q444, "NA")</f>
        <v>1.4659548440921339E-4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-52.79</v>
      </c>
      <c r="X310" s="8">
        <f>IFERROR(W310/W444, "NA")</f>
        <v>1.7675617759325121E-2</v>
      </c>
      <c r="Y310" s="9"/>
      <c r="Z310" s="7">
        <v>40.119999999999997</v>
      </c>
      <c r="AA310" s="8">
        <f>IFERROR(Z310/Z444, "NA")</f>
        <v>1.2862754442162825E-4</v>
      </c>
      <c r="AB310" s="9"/>
      <c r="AC310" s="10">
        <f t="shared" si="79"/>
        <v>-12.670000000000002</v>
      </c>
      <c r="AD310" s="8">
        <f>IFERROR(AC310/AC444, "NA")</f>
        <v>-2.6287245105012036E-4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60.62</v>
      </c>
      <c r="R311" s="8">
        <f>IFERROR(Q311/Q444, "NA")</f>
        <v>1.6833904650287015E-4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-60.62</v>
      </c>
      <c r="X311" s="8">
        <f>IFERROR(W311/W444, "NA")</f>
        <v>2.029732806535876E-2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-60.62</v>
      </c>
      <c r="AD311" s="8">
        <f>IFERROR(AC311/AC444, "NA")</f>
        <v>-1.2577212298862108E-3</v>
      </c>
    </row>
    <row r="312" spans="1:30" ht="16.5" customHeight="1" x14ac:dyDescent="0.45">
      <c r="A312" s="6" t="s">
        <v>284</v>
      </c>
      <c r="B312" s="7">
        <v>38.380000000000003</v>
      </c>
      <c r="C312" s="8">
        <f>IFERROR(B312/B444, "NA")</f>
        <v>4.0996345792106441E-4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-38.380000000000003</v>
      </c>
      <c r="I312" s="8">
        <f>IFERROR(H312/H444, "NA")</f>
        <v>1.0104507142001502E-3</v>
      </c>
      <c r="J312" s="9"/>
      <c r="K312" s="7">
        <v>11</v>
      </c>
      <c r="L312" s="8">
        <f>IFERROR(K312/K444, "NA")</f>
        <v>1.011389347385393E-4</v>
      </c>
      <c r="M312" s="9"/>
      <c r="N312" s="10">
        <f t="shared" si="77"/>
        <v>-27.380000000000003</v>
      </c>
      <c r="O312" s="8">
        <f>IFERROR(N312/N444, "NA")</f>
        <v>1.808074658030877E-3</v>
      </c>
      <c r="P312" s="9"/>
      <c r="Q312" s="7">
        <v>38.380000000000003</v>
      </c>
      <c r="R312" s="8">
        <f>IFERROR(Q312/Q444, "NA")</f>
        <v>1.0657955468129589E-4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-38.380000000000003</v>
      </c>
      <c r="X312" s="8">
        <f>IFERROR(W312/W444, "NA")</f>
        <v>1.2850733275296424E-2</v>
      </c>
      <c r="Y312" s="9"/>
      <c r="Z312" s="7">
        <v>57</v>
      </c>
      <c r="AA312" s="8">
        <f>IFERROR(Z312/Z444, "NA")</f>
        <v>1.8274601276253269E-4</v>
      </c>
      <c r="AB312" s="9"/>
      <c r="AC312" s="10">
        <f t="shared" si="79"/>
        <v>18.619999999999997</v>
      </c>
      <c r="AD312" s="8">
        <f>IFERROR(AC312/AC444, "NA")</f>
        <v>3.8632083966481766E-4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24</v>
      </c>
      <c r="R313" s="8">
        <f>IFERROR(Q313/Q444, "NA")</f>
        <v>6.6646933620403886E-5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-24</v>
      </c>
      <c r="X313" s="8">
        <f>IFERROR(W313/W444, "NA")</f>
        <v>8.0358936583406499E-3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-24</v>
      </c>
      <c r="AD313" s="8">
        <f>IFERROR(AC313/AC444, "NA")</f>
        <v>-4.979430801265105E-4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455.52</v>
      </c>
      <c r="C315" s="8">
        <f>IFERROR(B315/B444, "NA")</f>
        <v>4.8657257517509961E-3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-455.52</v>
      </c>
      <c r="I315" s="8">
        <f>IFERROR(H315/H444, "NA")</f>
        <v>1.1992717804389066E-2</v>
      </c>
      <c r="J315" s="9"/>
      <c r="K315" s="7">
        <v>605.44000000000005</v>
      </c>
      <c r="L315" s="8">
        <f>IFERROR(K315/K444, "NA")</f>
        <v>5.5666869680092036E-3</v>
      </c>
      <c r="M315" s="9"/>
      <c r="N315" s="10">
        <f t="shared" si="77"/>
        <v>149.92000000000007</v>
      </c>
      <c r="O315" s="8">
        <f>IFERROR(N315/N444, "NA")</f>
        <v>-9.9001662794736735E-3</v>
      </c>
      <c r="P315" s="9"/>
      <c r="Q315" s="7">
        <v>1822.08</v>
      </c>
      <c r="R315" s="8">
        <f>IFERROR(Q315/Q444, "NA")</f>
        <v>5.0598352004610631E-3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-1822.08</v>
      </c>
      <c r="X315" s="8">
        <f>IFERROR(W315/W444, "NA")</f>
        <v>0.6100850465412222</v>
      </c>
      <c r="Y315" s="9"/>
      <c r="Z315" s="7">
        <v>2421.7600000000002</v>
      </c>
      <c r="AA315" s="8">
        <f>IFERROR(Z315/Z444, "NA")</f>
        <v>7.764333050312126E-3</v>
      </c>
      <c r="AB315" s="9"/>
      <c r="AC315" s="10">
        <f t="shared" si="79"/>
        <v>599.68000000000029</v>
      </c>
      <c r="AD315" s="8">
        <f>IFERROR(AC315/AC444, "NA")</f>
        <v>1.2441937762094414E-2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414.58</v>
      </c>
      <c r="C318" s="8">
        <f>IFERROR(B318/B444, "NA")</f>
        <v>4.4284171543750618E-3</v>
      </c>
      <c r="D318" s="9"/>
      <c r="E318" s="7">
        <v>415</v>
      </c>
      <c r="F318" s="8">
        <f>IFERROR(E318/E444, "NA")</f>
        <v>3.1534678838292828E-3</v>
      </c>
      <c r="G318" s="9"/>
      <c r="H318" s="10">
        <f t="shared" si="76"/>
        <v>0.42000000000001592</v>
      </c>
      <c r="I318" s="8">
        <f>IFERROR(H318/H444, "NA")</f>
        <v>-1.1057563834394975E-5</v>
      </c>
      <c r="J318" s="9"/>
      <c r="K318" s="7">
        <v>414.58</v>
      </c>
      <c r="L318" s="8">
        <f>IFERROR(K318/K444, "NA")</f>
        <v>3.8118345058094204E-3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1658.32</v>
      </c>
      <c r="R318" s="8">
        <f>IFERROR(Q318/Q444, "NA")</f>
        <v>4.605080956724507E-3</v>
      </c>
      <c r="S318" s="9"/>
      <c r="T318" s="7">
        <v>1660</v>
      </c>
      <c r="U318" s="8">
        <f>IFERROR(T318/T444, "NA")</f>
        <v>4.5718290668023817E-3</v>
      </c>
      <c r="V318" s="9"/>
      <c r="W318" s="10">
        <f t="shared" si="78"/>
        <v>1.6800000000000637</v>
      </c>
      <c r="X318" s="8">
        <f>IFERROR(W318/W444, "NA")</f>
        <v>-5.6251255608386682E-4</v>
      </c>
      <c r="Y318" s="9"/>
      <c r="Z318" s="7">
        <v>1658.32</v>
      </c>
      <c r="AA318" s="8">
        <f>IFERROR(Z318/Z444, "NA")</f>
        <v>5.3166906646379504E-3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268.01</v>
      </c>
      <c r="C319" s="8">
        <f>IFERROR(B319/B444, "NA")</f>
        <v>2.8628011036327373E-3</v>
      </c>
      <c r="D319" s="9"/>
      <c r="E319" s="7">
        <v>249</v>
      </c>
      <c r="F319" s="8">
        <f>IFERROR(E319/E444, "NA")</f>
        <v>1.8920807302975696E-3</v>
      </c>
      <c r="G319" s="9"/>
      <c r="H319" s="10">
        <f t="shared" si="76"/>
        <v>-19.009999999999991</v>
      </c>
      <c r="I319" s="8">
        <f>IFERROR(H319/H444, "NA")</f>
        <v>5.004864011710486E-4</v>
      </c>
      <c r="J319" s="9"/>
      <c r="K319" s="7">
        <v>218.5</v>
      </c>
      <c r="L319" s="8">
        <f>IFERROR(K319/K444, "NA")</f>
        <v>2.0089870218518943E-3</v>
      </c>
      <c r="M319" s="9"/>
      <c r="N319" s="10">
        <f t="shared" si="77"/>
        <v>-49.509999999999991</v>
      </c>
      <c r="O319" s="8">
        <f>IFERROR(N319/N444, "NA")</f>
        <v>3.2694585945620414E-3</v>
      </c>
      <c r="P319" s="9"/>
      <c r="Q319" s="7">
        <v>1053.1600000000001</v>
      </c>
      <c r="R319" s="8">
        <f>IFERROR(Q319/Q444, "NA")</f>
        <v>2.9245785254860233E-3</v>
      </c>
      <c r="S319" s="9"/>
      <c r="T319" s="7">
        <v>996</v>
      </c>
      <c r="U319" s="8">
        <f>IFERROR(T319/T444, "NA")</f>
        <v>2.7430974400814291E-3</v>
      </c>
      <c r="V319" s="9"/>
      <c r="W319" s="10">
        <f t="shared" si="78"/>
        <v>-57.160000000000082</v>
      </c>
      <c r="X319" s="8">
        <f>IFERROR(W319/W444, "NA")</f>
        <v>1.9138820062948009E-2</v>
      </c>
      <c r="Y319" s="9"/>
      <c r="Z319" s="7">
        <v>881.59</v>
      </c>
      <c r="AA319" s="8">
        <f>IFERROR(Z319/Z444, "NA")</f>
        <v>2.8264396033565124E-3</v>
      </c>
      <c r="AB319" s="9"/>
      <c r="AC319" s="10">
        <f t="shared" si="79"/>
        <v>-171.57000000000005</v>
      </c>
      <c r="AD319" s="8">
        <f>IFERROR(AC319/AC444, "NA")</f>
        <v>-3.5596705940543925E-3</v>
      </c>
    </row>
    <row r="320" spans="1:30" ht="16.5" customHeight="1" x14ac:dyDescent="0.45">
      <c r="A320" s="6" t="s">
        <v>292</v>
      </c>
      <c r="B320" s="7">
        <v>1279.6400000000001</v>
      </c>
      <c r="C320" s="8">
        <f>IFERROR(B320/B444, "NA")</f>
        <v>1.3668724317199345E-2</v>
      </c>
      <c r="D320" s="9"/>
      <c r="E320" s="7">
        <v>878</v>
      </c>
      <c r="F320" s="8">
        <f>IFERROR(E320/E444, "NA")</f>
        <v>6.6716742216918323E-3</v>
      </c>
      <c r="G320" s="9"/>
      <c r="H320" s="10">
        <f t="shared" si="76"/>
        <v>-401.6400000000001</v>
      </c>
      <c r="I320" s="8">
        <f>IFERROR(H320/H444, "NA")</f>
        <v>1.0574190329633882E-2</v>
      </c>
      <c r="J320" s="9"/>
      <c r="K320" s="7">
        <v>894.4</v>
      </c>
      <c r="L320" s="8">
        <f>IFERROR(K320/K444, "NA")</f>
        <v>8.2235148391045041E-3</v>
      </c>
      <c r="M320" s="9"/>
      <c r="N320" s="10">
        <f t="shared" si="77"/>
        <v>-385.24000000000012</v>
      </c>
      <c r="O320" s="8">
        <f>IFERROR(N320/N444, "NA")</f>
        <v>2.5439834962009321E-2</v>
      </c>
      <c r="P320" s="9"/>
      <c r="Q320" s="7">
        <v>4771.25</v>
      </c>
      <c r="R320" s="8">
        <f>IFERROR(Q320/Q444, "NA")</f>
        <v>1.3249549251514668E-2</v>
      </c>
      <c r="S320" s="9"/>
      <c r="T320" s="7">
        <v>3512</v>
      </c>
      <c r="U320" s="8">
        <f>IFERROR(T320/T444, "NA")</f>
        <v>9.6724480015722685E-3</v>
      </c>
      <c r="V320" s="9"/>
      <c r="W320" s="10">
        <f t="shared" si="78"/>
        <v>-1259.25</v>
      </c>
      <c r="X320" s="8">
        <f>IFERROR(W320/W444, "NA")</f>
        <v>0.42163329538606104</v>
      </c>
      <c r="Y320" s="9"/>
      <c r="Z320" s="7">
        <v>3577.6</v>
      </c>
      <c r="AA320" s="8">
        <f>IFERROR(Z320/Z444, "NA")</f>
        <v>1.1470037460688367E-2</v>
      </c>
      <c r="AB320" s="9"/>
      <c r="AC320" s="10">
        <f t="shared" si="79"/>
        <v>-1193.6500000000001</v>
      </c>
      <c r="AD320" s="8">
        <f>IFERROR(AC320/AC444, "NA")</f>
        <v>-2.4765406566375384E-2</v>
      </c>
    </row>
    <row r="321" spans="1:30" ht="16.5" customHeight="1" x14ac:dyDescent="0.45">
      <c r="A321" s="6" t="s">
        <v>293</v>
      </c>
      <c r="B321" s="7">
        <v>1258.97</v>
      </c>
      <c r="C321" s="8">
        <f>IFERROR(B321/B444, "NA")</f>
        <v>1.3447933679491465E-2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-1258.97</v>
      </c>
      <c r="I321" s="8">
        <f>IFERROR(H321/H444, "NA")</f>
        <v>3.3145574144256465E-2</v>
      </c>
      <c r="J321" s="9"/>
      <c r="K321" s="7">
        <v>1273.08</v>
      </c>
      <c r="L321" s="8">
        <f>IFERROR(K321/K444, "NA")</f>
        <v>1.1705268639721782E-2</v>
      </c>
      <c r="M321" s="9"/>
      <c r="N321" s="10">
        <f t="shared" si="77"/>
        <v>14.1099999999999</v>
      </c>
      <c r="O321" s="8">
        <f>IFERROR(N321/N444, "NA")</f>
        <v>-9.3177258673540872E-4</v>
      </c>
      <c r="P321" s="9"/>
      <c r="Q321" s="7">
        <v>7261</v>
      </c>
      <c r="R321" s="8">
        <f>IFERROR(Q321/Q444, "NA")</f>
        <v>2.0163474375739694E-2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-7261</v>
      </c>
      <c r="X321" s="8">
        <f>IFERROR(W321/W444, "NA")</f>
        <v>2.4311926605504777</v>
      </c>
      <c r="Y321" s="9"/>
      <c r="Z321" s="7">
        <v>6466.87</v>
      </c>
      <c r="AA321" s="8">
        <f>IFERROR(Z321/Z444, "NA")</f>
        <v>2.0733240483397187E-2</v>
      </c>
      <c r="AB321" s="9"/>
      <c r="AC321" s="10">
        <f t="shared" si="79"/>
        <v>-794.13000000000011</v>
      </c>
      <c r="AD321" s="8">
        <f>IFERROR(AC321/AC444, "NA")</f>
        <v>-1.6476314092536075E-2</v>
      </c>
    </row>
    <row r="322" spans="1:30" ht="16.5" customHeight="1" x14ac:dyDescent="0.45">
      <c r="A322" s="6" t="s">
        <v>294</v>
      </c>
      <c r="B322" s="7">
        <v>331.33</v>
      </c>
      <c r="C322" s="8">
        <f>IFERROR(B322/B444, "NA")</f>
        <v>3.5391660373367967E-3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-331.33</v>
      </c>
      <c r="I322" s="8">
        <f>IFERROR(H322/H444, "NA")</f>
        <v>8.7231014886903525E-3</v>
      </c>
      <c r="J322" s="9"/>
      <c r="K322" s="7">
        <v>366.8</v>
      </c>
      <c r="L322" s="8">
        <f>IFERROR(K322/K444, "NA")</f>
        <v>3.3725237510996561E-3</v>
      </c>
      <c r="M322" s="9"/>
      <c r="N322" s="10">
        <f t="shared" si="77"/>
        <v>35.470000000000027</v>
      </c>
      <c r="O322" s="8">
        <f>IFERROR(N322/N444, "NA")</f>
        <v>-2.3423085507799581E-3</v>
      </c>
      <c r="P322" s="9"/>
      <c r="Q322" s="7">
        <v>1499.3</v>
      </c>
      <c r="R322" s="8">
        <f>IFERROR(Q322/Q444, "NA")</f>
        <v>4.1634894823779807E-3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-1499.3</v>
      </c>
      <c r="X322" s="8">
        <f>IFERROR(W322/W444, "NA")</f>
        <v>0.50200897341458905</v>
      </c>
      <c r="Y322" s="9"/>
      <c r="Z322" s="7">
        <v>1738.27</v>
      </c>
      <c r="AA322" s="8">
        <f>IFERROR(Z322/Z444, "NA")</f>
        <v>5.5730159930653979E-3</v>
      </c>
      <c r="AB322" s="9"/>
      <c r="AC322" s="10">
        <f t="shared" si="79"/>
        <v>238.97000000000003</v>
      </c>
      <c r="AD322" s="8">
        <f>IFERROR(AC322/AC444, "NA")</f>
        <v>4.9580607440763425E-3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4779.12</v>
      </c>
      <c r="C324" s="15">
        <f>IFERROR(B324/B444, "NA")</f>
        <v>5.1049102684203158E-2</v>
      </c>
      <c r="D324" s="2"/>
      <c r="E324" s="14">
        <f>IFERROR(E297+E298+E299+E300+E301+E302+E303+E304+E305+E306+E307+E308+E309+E310+E311+E312+E313+E314+E315+E316+E317+E318+E319+E320+E321+E322+E323, "NA")</f>
        <v>3252.81</v>
      </c>
      <c r="F324" s="15">
        <f>IFERROR(E324/E444, "NA")</f>
        <v>2.4717185222165611E-2</v>
      </c>
      <c r="G324" s="2"/>
      <c r="H324" s="14">
        <f t="shared" si="76"/>
        <v>-1526.31</v>
      </c>
      <c r="I324" s="15">
        <f>IFERROR(H324/H444, "NA")</f>
        <v>4.0183976800177983E-2</v>
      </c>
      <c r="J324" s="2"/>
      <c r="K324" s="14">
        <f>IFERROR(K297+K298+K299+K300+K301+K302+K303+K304+K305+K306+K307+K308+K309+K310+K311+K312+K313+K314+K315+K316+K317+K318+K319+K320+K321+K322+K323, "NA")</f>
        <v>3858.48</v>
      </c>
      <c r="L324" s="15">
        <f>IFERROR(K324/K444, "NA")</f>
        <v>3.5476596082723556E-2</v>
      </c>
      <c r="M324" s="2"/>
      <c r="N324" s="14">
        <f t="shared" si="77"/>
        <v>-920.63999999999987</v>
      </c>
      <c r="O324" s="15">
        <f>IFERROR(N324/N444, "NA")</f>
        <v>6.0795684922189418E-2</v>
      </c>
      <c r="P324" s="2"/>
      <c r="Q324" s="14">
        <f>IFERROR(Q297+Q298+Q299+Q300+Q301+Q302+Q303+Q304+Q305+Q306+Q307+Q308+Q309+Q310+Q311+Q312+Q313+Q314+Q315+Q316+Q317+Q318+Q319+Q320+Q321+Q322+Q323, "NA")</f>
        <v>18926.39</v>
      </c>
      <c r="R324" s="15">
        <f>IFERROR(Q324/Q444, "NA")</f>
        <v>5.2557744083494826E-2</v>
      </c>
      <c r="S324" s="2"/>
      <c r="T324" s="14">
        <f>IFERROR(T297+T298+T299+T300+T301+T302+T303+T304+T305+T306+T307+T308+T309+T310+T311+T312+T313+T314+T315+T316+T317+T318+T319+T320+T321+T322+T323, "NA")</f>
        <v>10888.21</v>
      </c>
      <c r="U324" s="15">
        <f>IFERROR(T324/T444, "NA")</f>
        <v>2.9987370459908652E-2</v>
      </c>
      <c r="V324" s="2"/>
      <c r="W324" s="14">
        <f t="shared" si="78"/>
        <v>-8038.18</v>
      </c>
      <c r="X324" s="15">
        <f>IFERROR(W324/W444, "NA")</f>
        <v>2.6914149869416937</v>
      </c>
      <c r="Y324" s="2"/>
      <c r="Z324" s="14">
        <f>IFERROR(Z297+Z298+Z299+Z300+Z301+Z302+Z303+Z304+Z305+Z306+Z307+Z308+Z309+Z310+Z311+Z312+Z313+Z314+Z315+Z316+Z317+Z318+Z319+Z320+Z321+Z322+Z323, "NA")</f>
        <v>16916.21</v>
      </c>
      <c r="AA324" s="15">
        <f>IFERROR(Z324/Z444, "NA")</f>
        <v>5.4234560150064615E-2</v>
      </c>
      <c r="AB324" s="2"/>
      <c r="AC324" s="14">
        <f t="shared" si="79"/>
        <v>-2010.1800000000003</v>
      </c>
      <c r="AD324" s="15">
        <f>IFERROR(AC324/AC444, "NA")</f>
        <v>-4.1706467533696202E-2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23692.500000000011</v>
      </c>
      <c r="C325" s="15">
        <f>IFERROR(B325/B444, "NA")</f>
        <v>0.25307606114629555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26707.340000000004</v>
      </c>
      <c r="F325" s="15">
        <f>IFERROR(E325/E444, "NA")</f>
        <v>0.2029415396446004</v>
      </c>
      <c r="G325" s="2"/>
      <c r="H325" s="14">
        <f t="shared" si="76"/>
        <v>3014.8399999999929</v>
      </c>
      <c r="I325" s="15">
        <f>IFERROR(H325/H444, "NA")</f>
        <v>-7.9373299405919057E-2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24963.010000000006</v>
      </c>
      <c r="L325" s="15">
        <f>IFERROR(K325/K444, "NA")</f>
        <v>0.22952111266068223</v>
      </c>
      <c r="M325" s="2"/>
      <c r="N325" s="14">
        <f t="shared" si="77"/>
        <v>1270.5099999999948</v>
      </c>
      <c r="O325" s="15">
        <f>IFERROR(N325/N444, "NA")</f>
        <v>-8.3899814966208908E-2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111038.69</v>
      </c>
      <c r="R325" s="15">
        <f>IFERROR(Q325/Q444, "NA")</f>
        <v>0.3083495084052752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77384.790000000008</v>
      </c>
      <c r="U325" s="15">
        <f>IFERROR(T325/T444, "NA")</f>
        <v>0.21312652545204719</v>
      </c>
      <c r="V325" s="2"/>
      <c r="W325" s="14">
        <f t="shared" si="78"/>
        <v>-33653.899999999994</v>
      </c>
      <c r="X325" s="15">
        <f>IFERROR(W325/W444, "NA")</f>
        <v>11.268298399517933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72600.94</v>
      </c>
      <c r="AA325" s="15">
        <f>IFERROR(Z325/Z444, "NA")</f>
        <v>0.23276372469845386</v>
      </c>
      <c r="AB325" s="2"/>
      <c r="AC325" s="14">
        <f t="shared" si="79"/>
        <v>-38437.75</v>
      </c>
      <c r="AD325" s="15">
        <f>IFERROR(AC325/AC444, "NA")</f>
        <v>-0.79749215117219907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11108.66</v>
      </c>
      <c r="C329" s="8">
        <f>IFERROR(B329/B444, "NA")</f>
        <v>0.11865931908466418</v>
      </c>
      <c r="D329" s="9"/>
      <c r="E329" s="7">
        <v>10253</v>
      </c>
      <c r="F329" s="8">
        <f>IFERROR(E329/E444, "NA")</f>
        <v>7.7909653525064182E-2</v>
      </c>
      <c r="G329" s="9"/>
      <c r="H329" s="10">
        <f t="shared" si="80"/>
        <v>-855.65999999999985</v>
      </c>
      <c r="I329" s="8">
        <f>IFERROR(H329/H444, "NA")</f>
        <v>2.252741683461439E-2</v>
      </c>
      <c r="J329" s="9"/>
      <c r="K329" s="7">
        <v>4125.3</v>
      </c>
      <c r="L329" s="8">
        <f>IFERROR(K329/K444, "NA")</f>
        <v>3.792985886153602E-2</v>
      </c>
      <c r="M329" s="9"/>
      <c r="N329" s="10">
        <f t="shared" si="81"/>
        <v>-6983.36</v>
      </c>
      <c r="O329" s="8">
        <f>IFERROR(N329/N444, "NA")</f>
        <v>0.46115545083661441</v>
      </c>
      <c r="P329" s="9"/>
      <c r="Q329" s="7">
        <v>27288.05</v>
      </c>
      <c r="R329" s="8">
        <f>IFERROR(Q329/Q444, "NA")</f>
        <v>7.5777702374177594E-2</v>
      </c>
      <c r="S329" s="9"/>
      <c r="T329" s="7">
        <v>26430</v>
      </c>
      <c r="U329" s="8">
        <f>IFERROR(T329/T444, "NA")</f>
        <v>7.2791230262401779E-2</v>
      </c>
      <c r="V329" s="9"/>
      <c r="W329" s="10">
        <f t="shared" si="82"/>
        <v>-858.04999999999927</v>
      </c>
      <c r="X329" s="8">
        <f>IFERROR(W329/W444, "NA")</f>
        <v>0.28729993973079954</v>
      </c>
      <c r="Y329" s="9"/>
      <c r="Z329" s="7">
        <v>16501.2</v>
      </c>
      <c r="AA329" s="8">
        <f>IFERROR(Z329/Z444, "NA")</f>
        <v>5.2904008873633411E-2</v>
      </c>
      <c r="AB329" s="9"/>
      <c r="AC329" s="10">
        <f t="shared" si="83"/>
        <v>-10786.849999999999</v>
      </c>
      <c r="AD329" s="8">
        <f>IFERROR(AC329/AC444, "NA")</f>
        <v>-0.22380155474427701</v>
      </c>
    </row>
    <row r="330" spans="1:30" ht="16.5" customHeight="1" x14ac:dyDescent="0.45">
      <c r="A330" s="6" t="s">
        <v>301</v>
      </c>
      <c r="B330" s="7">
        <v>1026.43</v>
      </c>
      <c r="C330" s="8">
        <f>IFERROR(B330/B444, "NA")</f>
        <v>1.0964012301040077E-2</v>
      </c>
      <c r="D330" s="9"/>
      <c r="E330" s="7">
        <v>1117</v>
      </c>
      <c r="F330" s="8">
        <f>IFERROR(E330/E444, "NA")</f>
        <v>8.4877677740658047E-3</v>
      </c>
      <c r="G330" s="9"/>
      <c r="H330" s="10">
        <f t="shared" si="80"/>
        <v>90.569999999999936</v>
      </c>
      <c r="I330" s="8">
        <f>IFERROR(H330/H444, "NA")</f>
        <v>-2.384484658288367E-3</v>
      </c>
      <c r="J330" s="9"/>
      <c r="K330" s="7">
        <v>1117.48</v>
      </c>
      <c r="L330" s="8">
        <f>IFERROR(K330/K444, "NA")</f>
        <v>1.0274612435602083E-2</v>
      </c>
      <c r="M330" s="9"/>
      <c r="N330" s="10">
        <f t="shared" si="81"/>
        <v>91.049999999999955</v>
      </c>
      <c r="O330" s="8">
        <f>IFERROR(N330/N444, "NA")</f>
        <v>-6.0126076557235663E-3</v>
      </c>
      <c r="P330" s="9"/>
      <c r="Q330" s="7">
        <v>1896.02</v>
      </c>
      <c r="R330" s="8">
        <f>IFERROR(Q330/Q444, "NA")</f>
        <v>5.2651632951232572E-3</v>
      </c>
      <c r="S330" s="9"/>
      <c r="T330" s="7">
        <v>4468</v>
      </c>
      <c r="U330" s="8">
        <f>IFERROR(T330/T444, "NA")</f>
        <v>1.2305380885827135E-2</v>
      </c>
      <c r="V330" s="9"/>
      <c r="W330" s="10">
        <f t="shared" si="82"/>
        <v>2571.98</v>
      </c>
      <c r="X330" s="8">
        <f>IFERROR(W330/W444, "NA")</f>
        <v>-0.86117324047412447</v>
      </c>
      <c r="Y330" s="9"/>
      <c r="Z330" s="7">
        <v>3497.2</v>
      </c>
      <c r="AA330" s="8">
        <f>IFERROR(Z330/Z444, "NA")</f>
        <v>1.1212269400581214E-2</v>
      </c>
      <c r="AB330" s="9"/>
      <c r="AC330" s="10">
        <f t="shared" si="83"/>
        <v>1601.1799999999998</v>
      </c>
      <c r="AD330" s="8">
        <f>IFERROR(AC330/AC444, "NA")</f>
        <v>3.3220687543206916E-2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860.16</v>
      </c>
      <c r="C333" s="8">
        <f>IFERROR(B333/B444, "NA")</f>
        <v>9.1879668568364443E-3</v>
      </c>
      <c r="D333" s="9"/>
      <c r="E333" s="7">
        <v>726</v>
      </c>
      <c r="F333" s="8">
        <f>IFERROR(E333/E444, "NA")</f>
        <v>5.5166691172531552E-3</v>
      </c>
      <c r="G333" s="9"/>
      <c r="H333" s="10">
        <f t="shared" si="80"/>
        <v>-134.15999999999997</v>
      </c>
      <c r="I333" s="8">
        <f>IFERROR(H333/H444, "NA")</f>
        <v>3.5321018191008888E-3</v>
      </c>
      <c r="J333" s="9"/>
      <c r="K333" s="7">
        <v>726.35</v>
      </c>
      <c r="L333" s="8">
        <f>IFERROR(K333/K444, "NA")</f>
        <v>6.6783877497580022E-3</v>
      </c>
      <c r="M333" s="9"/>
      <c r="N333" s="10">
        <f t="shared" si="81"/>
        <v>-133.80999999999995</v>
      </c>
      <c r="O333" s="8">
        <f>IFERROR(N333/N444, "NA")</f>
        <v>8.8363210369288361E-3</v>
      </c>
      <c r="P333" s="9"/>
      <c r="Q333" s="7">
        <v>4729.67</v>
      </c>
      <c r="R333" s="8">
        <f>IFERROR(Q333/Q444, "NA")</f>
        <v>1.3134083439017319E-2</v>
      </c>
      <c r="S333" s="9"/>
      <c r="T333" s="7">
        <v>2904</v>
      </c>
      <c r="U333" s="8">
        <f>IFERROR(T333/T444, "NA")</f>
        <v>7.9979467530085051E-3</v>
      </c>
      <c r="V333" s="9"/>
      <c r="W333" s="10">
        <f t="shared" si="82"/>
        <v>-1825.67</v>
      </c>
      <c r="X333" s="8">
        <f>IFERROR(W333/W444, "NA")</f>
        <v>0.61128708230094897</v>
      </c>
      <c r="Y333" s="9"/>
      <c r="Z333" s="7">
        <v>2696.07</v>
      </c>
      <c r="AA333" s="8">
        <f>IFERROR(Z333/Z444, "NA")</f>
        <v>8.6437902215558155E-3</v>
      </c>
      <c r="AB333" s="9"/>
      <c r="AC333" s="10">
        <f t="shared" si="83"/>
        <v>-2033.6</v>
      </c>
      <c r="AD333" s="8">
        <f>IFERROR(AC333/AC444, "NA")</f>
        <v>-4.219237698938632E-2</v>
      </c>
    </row>
    <row r="334" spans="1:30" ht="16.5" customHeight="1" x14ac:dyDescent="0.45">
      <c r="A334" s="6" t="s">
        <v>305</v>
      </c>
      <c r="B334" s="7">
        <v>-855.37</v>
      </c>
      <c r="C334" s="8">
        <f>IFERROR(B334/B444, "NA")</f>
        <v>-9.1368015373095579E-3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855.37</v>
      </c>
      <c r="I334" s="8">
        <f>IFERROR(H334/H444, "NA")</f>
        <v>-2.2519781850062075E-2</v>
      </c>
      <c r="J334" s="9"/>
      <c r="K334" s="7">
        <v>-317.64999999999998</v>
      </c>
      <c r="L334" s="8">
        <f>IFERROR(K334/K444, "NA")</f>
        <v>-2.9206166017906369E-3</v>
      </c>
      <c r="M334" s="9"/>
      <c r="N334" s="10">
        <f t="shared" si="81"/>
        <v>537.72</v>
      </c>
      <c r="O334" s="8">
        <f>IFERROR(N334/N444, "NA")</f>
        <v>-3.5509054240919033E-2</v>
      </c>
      <c r="P334" s="9"/>
      <c r="Q334" s="7">
        <v>-855.37</v>
      </c>
      <c r="R334" s="8">
        <f>IFERROR(Q334/Q444, "NA")</f>
        <v>-2.3753244837868698E-3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855.37</v>
      </c>
      <c r="X334" s="8">
        <f>IFERROR(W334/W444, "NA")</f>
        <v>-0.28640259827228509</v>
      </c>
      <c r="Y334" s="9"/>
      <c r="Z334" s="7">
        <v>-317.64999999999998</v>
      </c>
      <c r="AA334" s="8">
        <f>IFERROR(Z334/Z444, "NA")</f>
        <v>-1.0184082623512019E-3</v>
      </c>
      <c r="AB334" s="9"/>
      <c r="AC334" s="10">
        <f t="shared" si="83"/>
        <v>537.72</v>
      </c>
      <c r="AD334" s="8">
        <f>IFERROR(AC334/AC444, "NA")</f>
        <v>1.1156414710234467E-2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1903.02</v>
      </c>
      <c r="F337" s="8">
        <f>IFERROR(E337/E444, "NA")</f>
        <v>1.446051193321639E-2</v>
      </c>
      <c r="G337" s="9"/>
      <c r="H337" s="10">
        <f t="shared" ref="H337:H344" si="84">IFERROR(-(B337-E337), "NA")</f>
        <v>1903.02</v>
      </c>
      <c r="I337" s="8">
        <f>IFERROR(H337/H444, "NA")</f>
        <v>-5.0101821733641728E-2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6749.66</v>
      </c>
      <c r="U337" s="8">
        <f>IFERROR(T337/T444, "NA")</f>
        <v>1.8589332397008052E-2</v>
      </c>
      <c r="V337" s="9"/>
      <c r="W337" s="10">
        <f t="shared" ref="W337:W344" si="86">IFERROR(-(Q337-T337), "NA")</f>
        <v>6749.66</v>
      </c>
      <c r="X337" s="8">
        <f>IFERROR(W337/W444, "NA")</f>
        <v>-2.2599812495814815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1036.51</v>
      </c>
      <c r="C338" s="8">
        <f>IFERROR(B338/B444, "NA")</f>
        <v>1.1071683787643628E-2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-1036.51</v>
      </c>
      <c r="I338" s="8">
        <f>IFERROR(H338/H444, "NA")</f>
        <v>2.728875116663881E-2</v>
      </c>
      <c r="J338" s="9"/>
      <c r="K338" s="7">
        <v>955.88</v>
      </c>
      <c r="L338" s="8">
        <f>IFERROR(K338/K444, "NA")</f>
        <v>8.7887895398068138E-3</v>
      </c>
      <c r="M338" s="9"/>
      <c r="N338" s="10">
        <f t="shared" si="85"/>
        <v>-80.63</v>
      </c>
      <c r="O338" s="8">
        <f>IFERROR(N338/N444, "NA")</f>
        <v>5.3245091189565224E-3</v>
      </c>
      <c r="P338" s="9"/>
      <c r="Q338" s="7">
        <v>3688.38</v>
      </c>
      <c r="R338" s="8">
        <f>IFERROR(Q338/Q444, "NA")</f>
        <v>1.024246737611772E-2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-3688.38</v>
      </c>
      <c r="X338" s="8">
        <f>IFERROR(W338/W444, "NA")</f>
        <v>1.234976227147937</v>
      </c>
      <c r="Y338" s="9"/>
      <c r="Z338" s="7">
        <v>3327.46</v>
      </c>
      <c r="AA338" s="8">
        <f>IFERROR(Z338/Z444, "NA")</f>
        <v>1.066807101099679E-2</v>
      </c>
      <c r="AB338" s="9"/>
      <c r="AC338" s="10">
        <f t="shared" si="87"/>
        <v>-360.92000000000007</v>
      </c>
      <c r="AD338" s="8">
        <f>IFERROR(AC338/AC444, "NA")</f>
        <v>-7.4882340199691746E-3</v>
      </c>
    </row>
    <row r="339" spans="1:30" ht="16.5" customHeight="1" x14ac:dyDescent="0.45">
      <c r="A339" s="12" t="s">
        <v>309</v>
      </c>
      <c r="B339" s="7">
        <v>395.46</v>
      </c>
      <c r="C339" s="8">
        <f>IFERROR(B339/B444, "NA")</f>
        <v>4.2241831440714989E-3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-395.46</v>
      </c>
      <c r="I339" s="8">
        <f>IFERROR(H339/H444, "NA")</f>
        <v>1.0411486176070645E-2</v>
      </c>
      <c r="J339" s="9"/>
      <c r="K339" s="7">
        <v>420.89</v>
      </c>
      <c r="L339" s="8">
        <f>IFERROR(K339/K444, "NA")</f>
        <v>3.8698514765548916E-3</v>
      </c>
      <c r="M339" s="9"/>
      <c r="N339" s="10">
        <f t="shared" si="85"/>
        <v>25.430000000000007</v>
      </c>
      <c r="O339" s="8">
        <f>IFERROR(N339/N444, "NA")</f>
        <v>-1.6793038186166986E-3</v>
      </c>
      <c r="P339" s="9"/>
      <c r="Q339" s="7">
        <v>2436.5100000000002</v>
      </c>
      <c r="R339" s="8">
        <f>IFERROR(Q339/Q444, "NA")</f>
        <v>6.7660800098104283E-3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-2436.5100000000002</v>
      </c>
      <c r="X339" s="8">
        <f>IFERROR(W339/W444, "NA")</f>
        <v>0.8158139690618158</v>
      </c>
      <c r="Y339" s="9"/>
      <c r="Z339" s="7">
        <v>1957.59</v>
      </c>
      <c r="AA339" s="8">
        <f>IFERROR(Z339/Z444, "NA")</f>
        <v>6.2761713530492336E-3</v>
      </c>
      <c r="AB339" s="9"/>
      <c r="AC339" s="10">
        <f t="shared" si="87"/>
        <v>-478.9200000000003</v>
      </c>
      <c r="AD339" s="8">
        <f>IFERROR(AC339/AC444, "NA")</f>
        <v>-9.9364541639245223E-3</v>
      </c>
    </row>
    <row r="340" spans="1:30" ht="16.5" customHeight="1" x14ac:dyDescent="0.45">
      <c r="A340" s="12" t="s">
        <v>310</v>
      </c>
      <c r="B340" s="7">
        <v>367.98</v>
      </c>
      <c r="C340" s="8">
        <f>IFERROR(B340/B444, "NA")</f>
        <v>3.9306501627356244E-3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-367.98</v>
      </c>
      <c r="I340" s="8">
        <f>IFERROR(H340/H444, "NA")</f>
        <v>9.6880055709059731E-3</v>
      </c>
      <c r="J340" s="9"/>
      <c r="K340" s="7">
        <v>193.29</v>
      </c>
      <c r="L340" s="8">
        <f>IFERROR(K340/K444, "NA")</f>
        <v>1.7771949723283875E-3</v>
      </c>
      <c r="M340" s="9"/>
      <c r="N340" s="10">
        <f t="shared" si="85"/>
        <v>-174.69000000000003</v>
      </c>
      <c r="O340" s="8">
        <f>IFERROR(N340/N444, "NA")</f>
        <v>1.1535886121673262E-2</v>
      </c>
      <c r="P340" s="9"/>
      <c r="Q340" s="7">
        <v>1436.8</v>
      </c>
      <c r="R340" s="8">
        <f>IFERROR(Q340/Q444, "NA")</f>
        <v>3.9899297594081793E-3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-1436.8</v>
      </c>
      <c r="X340" s="8">
        <f>IFERROR(W340/W444, "NA")</f>
        <v>0.48108216701266027</v>
      </c>
      <c r="Y340" s="9"/>
      <c r="Z340" s="7">
        <v>1175.79</v>
      </c>
      <c r="AA340" s="8">
        <f>IFERROR(Z340/Z444, "NA")</f>
        <v>3.7696655148431279E-3</v>
      </c>
      <c r="AB340" s="9"/>
      <c r="AC340" s="10">
        <f t="shared" si="87"/>
        <v>-261.01</v>
      </c>
      <c r="AD340" s="8">
        <f>IFERROR(AC340/AC444, "NA")</f>
        <v>-5.4153384726591874E-3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1799.95</v>
      </c>
      <c r="C342" s="15">
        <f>IFERROR(B342/B444, "NA")</f>
        <v>1.9226517094450751E-2</v>
      </c>
      <c r="D342" s="2"/>
      <c r="E342" s="14">
        <f>IFERROR(E337+E338+E339+E340+E341, "NA")</f>
        <v>1903.02</v>
      </c>
      <c r="F342" s="15">
        <f>IFERROR(E342/E444, "NA")</f>
        <v>1.446051193321639E-2</v>
      </c>
      <c r="G342" s="2"/>
      <c r="H342" s="14">
        <f t="shared" si="84"/>
        <v>103.06999999999994</v>
      </c>
      <c r="I342" s="15">
        <f>IFERROR(H342/H444, "NA")</f>
        <v>-2.7135788200263002E-3</v>
      </c>
      <c r="J342" s="2"/>
      <c r="K342" s="14">
        <f>IFERROR(K337+K338+K339+K340+K341, "NA")</f>
        <v>1570.06</v>
      </c>
      <c r="L342" s="15">
        <f>IFERROR(K342/K444, "NA")</f>
        <v>1.4435835988690093E-2</v>
      </c>
      <c r="M342" s="2"/>
      <c r="N342" s="14">
        <f t="shared" si="85"/>
        <v>-229.8900000000001</v>
      </c>
      <c r="O342" s="15">
        <f>IFERROR(N342/N444, "NA")</f>
        <v>1.5181091422013092E-2</v>
      </c>
      <c r="P342" s="2"/>
      <c r="Q342" s="14">
        <f>IFERROR(Q337+Q338+Q339+Q340+Q341, "NA")</f>
        <v>7561.6900000000005</v>
      </c>
      <c r="R342" s="15">
        <f>IFERROR(Q342/Q444, "NA")</f>
        <v>2.0998477145336328E-2</v>
      </c>
      <c r="S342" s="2"/>
      <c r="T342" s="14">
        <f>IFERROR(T337+T338+T339+T340+T341, "NA")</f>
        <v>6749.66</v>
      </c>
      <c r="U342" s="15">
        <f>IFERROR(T342/T444, "NA")</f>
        <v>1.8589332397008052E-2</v>
      </c>
      <c r="V342" s="2"/>
      <c r="W342" s="14">
        <f t="shared" si="86"/>
        <v>-812.03000000000065</v>
      </c>
      <c r="X342" s="15">
        <f>IFERROR(W342/W444, "NA")</f>
        <v>0.27189111364093183</v>
      </c>
      <c r="Y342" s="2"/>
      <c r="Z342" s="14">
        <f>IFERROR(Z337+Z338+Z339+Z340+Z341, "NA")</f>
        <v>6460.84</v>
      </c>
      <c r="AA342" s="15">
        <f>IFERROR(Z342/Z444, "NA")</f>
        <v>2.0713907878889153E-2</v>
      </c>
      <c r="AB342" s="2"/>
      <c r="AC342" s="14">
        <f t="shared" si="87"/>
        <v>-1100.8500000000004</v>
      </c>
      <c r="AD342" s="15">
        <f>IFERROR(AC342/AC444, "NA")</f>
        <v>-2.2840026656552884E-2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13939.829999999998</v>
      </c>
      <c r="C343" s="15">
        <f>IFERROR(B343/B444, "NA")</f>
        <v>0.14890101379968188</v>
      </c>
      <c r="D343" s="2"/>
      <c r="E343" s="14">
        <f>IFERROR(E328+E329+E330+E331+E332+E333+E334+E335+E337+E338+E339+E340+E341, "NA")</f>
        <v>13999.02</v>
      </c>
      <c r="F343" s="15">
        <f>IFERROR(E343/E444, "NA")</f>
        <v>0.10637460234959954</v>
      </c>
      <c r="G343" s="2"/>
      <c r="H343" s="14">
        <f t="shared" si="84"/>
        <v>59.190000000002328</v>
      </c>
      <c r="I343" s="15">
        <f>IFERROR(H343/H444, "NA")</f>
        <v>-1.5583266746615227E-3</v>
      </c>
      <c r="J343" s="2"/>
      <c r="K343" s="14">
        <f>IFERROR(K328+K329+K330+K331+K332+K333+K334+K335+K337+K338+K339+K340+K341, "NA")</f>
        <v>7221.5400000000018</v>
      </c>
      <c r="L343" s="15">
        <f>IFERROR(K343/K444, "NA")</f>
        <v>6.6398078433795568E-2</v>
      </c>
      <c r="M343" s="2"/>
      <c r="N343" s="14">
        <f t="shared" si="85"/>
        <v>-6718.2899999999963</v>
      </c>
      <c r="O343" s="15">
        <f>IFERROR(N343/N444, "NA")</f>
        <v>0.44365120139891351</v>
      </c>
      <c r="P343" s="2"/>
      <c r="Q343" s="14">
        <f>IFERROR(Q328+Q329+Q330+Q331+Q332+Q333+Q334+Q335+Q337+Q338+Q339+Q340+Q341, "NA")</f>
        <v>40620.06</v>
      </c>
      <c r="R343" s="15">
        <f>IFERROR(Q343/Q444, "NA")</f>
        <v>0.11280010176986763</v>
      </c>
      <c r="S343" s="2"/>
      <c r="T343" s="14">
        <f>IFERROR(T328+T329+T330+T331+T332+T333+T334+T335+T337+T338+T339+T340+T341, "NA")</f>
        <v>40551.660000000003</v>
      </c>
      <c r="U343" s="15">
        <f>IFERROR(T343/T444, "NA")</f>
        <v>0.11168389029824548</v>
      </c>
      <c r="V343" s="2"/>
      <c r="W343" s="14">
        <f t="shared" si="86"/>
        <v>-68.399999999994179</v>
      </c>
      <c r="X343" s="15">
        <f>IFERROR(W343/W444, "NA")</f>
        <v>2.2902296926268904E-2</v>
      </c>
      <c r="Y343" s="2"/>
      <c r="Z343" s="14">
        <f>IFERROR(Z328+Z329+Z330+Z331+Z332+Z333+Z334+Z335+Z337+Z338+Z339+Z340+Z341, "NA")</f>
        <v>28837.66</v>
      </c>
      <c r="AA343" s="15">
        <f>IFERROR(Z343/Z444, "NA")</f>
        <v>9.2455568112308387E-2</v>
      </c>
      <c r="AB343" s="2"/>
      <c r="AC343" s="14">
        <f t="shared" si="87"/>
        <v>-11782.399999999998</v>
      </c>
      <c r="AD343" s="15">
        <f>IFERROR(AC343/AC444, "NA")</f>
        <v>-0.24445685613677481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13939.829999999998</v>
      </c>
      <c r="C344" s="15">
        <f>IFERROR(B344/B444, "NA")</f>
        <v>0.14890101379968188</v>
      </c>
      <c r="D344" s="2"/>
      <c r="E344" s="14">
        <f>IFERROR(E328+E329+E330+E331+E332+E333+E334+E335+E337+E338+E339+E340+E341, "NA")</f>
        <v>13999.02</v>
      </c>
      <c r="F344" s="15">
        <f>IFERROR(E344/E444, "NA")</f>
        <v>0.10637460234959954</v>
      </c>
      <c r="G344" s="2"/>
      <c r="H344" s="14">
        <f t="shared" si="84"/>
        <v>59.190000000002328</v>
      </c>
      <c r="I344" s="15">
        <f>IFERROR(H344/H444, "NA")</f>
        <v>-1.5583266746615227E-3</v>
      </c>
      <c r="J344" s="2"/>
      <c r="K344" s="14">
        <f>IFERROR(K328+K329+K330+K331+K332+K333+K334+K335+K337+K338+K339+K340+K341, "NA")</f>
        <v>7221.5400000000018</v>
      </c>
      <c r="L344" s="15">
        <f>IFERROR(K344/K444, "NA")</f>
        <v>6.6398078433795568E-2</v>
      </c>
      <c r="M344" s="2"/>
      <c r="N344" s="14">
        <f t="shared" si="85"/>
        <v>-6718.2899999999963</v>
      </c>
      <c r="O344" s="15">
        <f>IFERROR(N344/N444, "NA")</f>
        <v>0.44365120139891351</v>
      </c>
      <c r="P344" s="2"/>
      <c r="Q344" s="14">
        <f>IFERROR(Q328+Q329+Q330+Q331+Q332+Q333+Q334+Q335+Q337+Q338+Q339+Q340+Q341, "NA")</f>
        <v>40620.06</v>
      </c>
      <c r="R344" s="15">
        <f>IFERROR(Q344/Q444, "NA")</f>
        <v>0.11280010176986763</v>
      </c>
      <c r="S344" s="2"/>
      <c r="T344" s="14">
        <f>IFERROR(T328+T329+T330+T331+T332+T333+T334+T335+T337+T338+T339+T340+T341, "NA")</f>
        <v>40551.660000000003</v>
      </c>
      <c r="U344" s="15">
        <f>IFERROR(T344/T444, "NA")</f>
        <v>0.11168389029824548</v>
      </c>
      <c r="V344" s="2"/>
      <c r="W344" s="14">
        <f t="shared" si="86"/>
        <v>-68.399999999994179</v>
      </c>
      <c r="X344" s="15">
        <f>IFERROR(W344/W444, "NA")</f>
        <v>2.2902296926268904E-2</v>
      </c>
      <c r="Y344" s="2"/>
      <c r="Z344" s="14">
        <f>IFERROR(Z328+Z329+Z330+Z331+Z332+Z333+Z334+Z335+Z337+Z338+Z339+Z340+Z341, "NA")</f>
        <v>28837.66</v>
      </c>
      <c r="AA344" s="15">
        <f>IFERROR(Z344/Z444, "NA")</f>
        <v>9.2455568112308387E-2</v>
      </c>
      <c r="AB344" s="2"/>
      <c r="AC344" s="14">
        <f t="shared" si="87"/>
        <v>-11782.399999999998</v>
      </c>
      <c r="AD344" s="15">
        <f>IFERROR(AC344/AC444, "NA")</f>
        <v>-0.24445685613677481</v>
      </c>
    </row>
    <row r="345" spans="1:30" ht="16.5" customHeight="1" x14ac:dyDescent="0.45">
      <c r="A345" s="22" t="s">
        <v>315</v>
      </c>
      <c r="B345" s="23">
        <f>IFERROR(B198-B325-B344, "NA")</f>
        <v>-3816.8099999999904</v>
      </c>
      <c r="C345" s="24">
        <f>IFERROR(B345/B444, "NA")</f>
        <v>-4.0770000672946685E-2</v>
      </c>
      <c r="D345" s="25"/>
      <c r="E345" s="23">
        <f>IFERROR(E198-E325-E344, "NA")</f>
        <v>24431.009999999984</v>
      </c>
      <c r="F345" s="24">
        <f>IFERROR(E345/E444, "NA")</f>
        <v>0.18564435037231805</v>
      </c>
      <c r="G345" s="25"/>
      <c r="H345" s="23">
        <f>IFERROR(B345-E345, "NA")</f>
        <v>-28247.819999999974</v>
      </c>
      <c r="I345" s="24">
        <f>IFERROR(H345/H444, "NA")</f>
        <v>0.74369541150592122</v>
      </c>
      <c r="J345" s="25"/>
      <c r="K345" s="23">
        <f>IFERROR(K198-K325-K344, "NA")</f>
        <v>21896.419999999995</v>
      </c>
      <c r="L345" s="24">
        <f>IFERROR(K345/K444, "NA")</f>
        <v>0.20132550848978603</v>
      </c>
      <c r="M345" s="25"/>
      <c r="N345" s="23">
        <f>IFERROR(B345-K345, "NA")</f>
        <v>-25713.229999999985</v>
      </c>
      <c r="O345" s="24">
        <f>IFERROR(N345/N444, "NA")</f>
        <v>1.6980072877691474</v>
      </c>
      <c r="P345" s="25"/>
      <c r="Q345" s="23">
        <f>IFERROR(Q198-Q325-Q344, "NA")</f>
        <v>-2947.7500000000291</v>
      </c>
      <c r="R345" s="24">
        <f>IFERROR(Q345/Q444, "NA")</f>
        <v>-8.185770774147812E-3</v>
      </c>
      <c r="S345" s="25"/>
      <c r="T345" s="23">
        <f>IFERROR(T198-T325-T344, "NA")</f>
        <v>40890.739999999991</v>
      </c>
      <c r="U345" s="24">
        <f>IFERROR(T345/T444, "NA")</f>
        <v>0.11261775523798723</v>
      </c>
      <c r="V345" s="25"/>
      <c r="W345" s="23">
        <f>IFERROR(Q345-T345, "NA")</f>
        <v>-43838.49000000002</v>
      </c>
      <c r="X345" s="24">
        <f>IFERROR(W345/W444, "NA")</f>
        <v>14.678393490926258</v>
      </c>
      <c r="Y345" s="25"/>
      <c r="Z345" s="23">
        <f>IFERROR(Z198-Z325-Z344, "NA")</f>
        <v>25513.629999999994</v>
      </c>
      <c r="AA345" s="24">
        <f>IFERROR(Z345/Z444, "NA")</f>
        <v>8.1798493922781323E-2</v>
      </c>
      <c r="AB345" s="25"/>
      <c r="AC345" s="23">
        <f>IFERROR(Q345-Z345, "NA")</f>
        <v>-28461.380000000023</v>
      </c>
      <c r="AD345" s="24">
        <f>IFERROR(AC345/AC444, "NA")</f>
        <v>-0.59050613424379472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-3816.8099999999904</v>
      </c>
      <c r="C404" s="24">
        <f>IFERROR(B404/B444, "NA")</f>
        <v>-4.0770000672946685E-2</v>
      </c>
      <c r="D404" s="25"/>
      <c r="E404" s="23">
        <f>IFERROR(E345-E403, "NA")</f>
        <v>24431.009999999984</v>
      </c>
      <c r="F404" s="24">
        <f>IFERROR(E404/E444, "NA")</f>
        <v>0.18564435037231805</v>
      </c>
      <c r="G404" s="25"/>
      <c r="H404" s="23">
        <f>IFERROR(B404-E404, "NA")</f>
        <v>-28247.819999999974</v>
      </c>
      <c r="I404" s="24">
        <f>IFERROR(H404/H444, "NA")</f>
        <v>0.74369541150592122</v>
      </c>
      <c r="J404" s="25"/>
      <c r="K404" s="23">
        <f>IFERROR(K345-K403, "NA")</f>
        <v>21896.419999999995</v>
      </c>
      <c r="L404" s="24">
        <f>IFERROR(K404/K444, "NA")</f>
        <v>0.20132550848978603</v>
      </c>
      <c r="M404" s="25"/>
      <c r="N404" s="23">
        <f>IFERROR(B404-K404, "NA")</f>
        <v>-25713.229999999985</v>
      </c>
      <c r="O404" s="24">
        <f>IFERROR(N404/N444, "NA")</f>
        <v>1.6980072877691474</v>
      </c>
      <c r="P404" s="25"/>
      <c r="Q404" s="23">
        <f>IFERROR(Q345-Q403, "NA")</f>
        <v>-2947.7500000000291</v>
      </c>
      <c r="R404" s="24">
        <f>IFERROR(Q404/Q444, "NA")</f>
        <v>-8.185770774147812E-3</v>
      </c>
      <c r="S404" s="25"/>
      <c r="T404" s="23">
        <f>IFERROR(T345-T403, "NA")</f>
        <v>40890.739999999991</v>
      </c>
      <c r="U404" s="24">
        <f>IFERROR(T404/T444, "NA")</f>
        <v>0.11261775523798723</v>
      </c>
      <c r="V404" s="25"/>
      <c r="W404" s="23">
        <f>IFERROR(Q404-T404, "NA")</f>
        <v>-43838.49000000002</v>
      </c>
      <c r="X404" s="24">
        <f>IFERROR(W404/W444, "NA")</f>
        <v>14.678393490926258</v>
      </c>
      <c r="Y404" s="25"/>
      <c r="Z404" s="23">
        <f>IFERROR(Z345-Z403, "NA")</f>
        <v>25513.629999999994</v>
      </c>
      <c r="AA404" s="24">
        <f>IFERROR(Z404/Z444, "NA")</f>
        <v>8.1798493922781323E-2</v>
      </c>
      <c r="AB404" s="25"/>
      <c r="AC404" s="23">
        <f>IFERROR(Q404-Z404, "NA")</f>
        <v>-28461.380000000023</v>
      </c>
      <c r="AD404" s="24">
        <f>IFERROR(AC404/AC444, "NA")</f>
        <v>-0.59050613424379472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648</v>
      </c>
      <c r="L408" s="8">
        <f>IFERROR(K408/K444, "NA")</f>
        <v>5.9580027009612244E-3</v>
      </c>
      <c r="M408" s="9"/>
      <c r="N408" s="10">
        <f t="shared" si="101"/>
        <v>648</v>
      </c>
      <c r="O408" s="8">
        <f>IFERROR(N408/N444, "NA")</f>
        <v>-4.2791540482250118E-2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648</v>
      </c>
      <c r="AA408" s="8">
        <f>IFERROR(Z408/Z444, "NA")</f>
        <v>2.0775336187740558E-3</v>
      </c>
      <c r="AB408" s="9"/>
      <c r="AC408" s="10">
        <f t="shared" si="103"/>
        <v>648</v>
      </c>
      <c r="AD408" s="8">
        <f>IFERROR(AC408/AC444, "NA")</f>
        <v>1.3444463163415783E-2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2891.92</v>
      </c>
      <c r="C410" s="8">
        <f>IFERROR(B410/B444, "NA")</f>
        <v>3.0890607692315906E-2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-2891.92</v>
      </c>
      <c r="I410" s="8">
        <f>IFERROR(H410/H444, "NA")</f>
        <v>7.6137119057053101E-2</v>
      </c>
      <c r="J410" s="9"/>
      <c r="K410" s="7">
        <v>7805.75</v>
      </c>
      <c r="L410" s="8">
        <f>IFERROR(K410/K444, "NA")</f>
        <v>7.1769567257759376E-2</v>
      </c>
      <c r="M410" s="9"/>
      <c r="N410" s="10">
        <f t="shared" si="101"/>
        <v>4913.83</v>
      </c>
      <c r="O410" s="8">
        <f>IFERROR(N410/N444, "NA")</f>
        <v>-0.32449128914798625</v>
      </c>
      <c r="P410" s="9"/>
      <c r="Q410" s="7">
        <v>12010.26</v>
      </c>
      <c r="R410" s="8">
        <f>IFERROR(Q410/Q444, "NA")</f>
        <v>3.3351958374324669E-2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-12010.26</v>
      </c>
      <c r="X410" s="8">
        <f>IFERROR(W410/W444, "NA")</f>
        <v>4.0213821737092657</v>
      </c>
      <c r="Y410" s="9"/>
      <c r="Z410" s="7">
        <v>31223.48</v>
      </c>
      <c r="AA410" s="8">
        <f>IFERROR(Z410/Z444, "NA")</f>
        <v>0.10010467499246814</v>
      </c>
      <c r="AB410" s="9"/>
      <c r="AC410" s="10">
        <f t="shared" si="103"/>
        <v>19213.22</v>
      </c>
      <c r="AD410" s="8">
        <f>IFERROR(AC410/AC444, "NA")</f>
        <v>0.39862874774784474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-29.81</v>
      </c>
      <c r="C416" s="8">
        <f>IFERROR(B416/B444, "NA")</f>
        <v>-3.1842133091784596E-4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29.81</v>
      </c>
      <c r="I416" s="8">
        <f>IFERROR(H416/H444, "NA")</f>
        <v>-7.848237569126231E-4</v>
      </c>
      <c r="J416" s="9"/>
      <c r="K416" s="7">
        <v>-27.63</v>
      </c>
      <c r="L416" s="8">
        <f>IFERROR(K416/K444, "NA")</f>
        <v>-2.5404261516598554E-4</v>
      </c>
      <c r="M416" s="9"/>
      <c r="N416" s="10">
        <f t="shared" si="101"/>
        <v>2.1799999999999997</v>
      </c>
      <c r="O416" s="8">
        <f>IFERROR(N416/N444, "NA")</f>
        <v>-1.4395919483226117E-4</v>
      </c>
      <c r="P416" s="9"/>
      <c r="Q416" s="7">
        <v>-112.63</v>
      </c>
      <c r="R416" s="8">
        <f>IFERROR(Q416/Q444, "NA")</f>
        <v>-3.1276850556942042E-4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112.63</v>
      </c>
      <c r="X416" s="8">
        <f>IFERROR(W416/W444, "NA")</f>
        <v>-3.771177928078781E-2</v>
      </c>
      <c r="Y416" s="9"/>
      <c r="Z416" s="7">
        <v>-98.52</v>
      </c>
      <c r="AA416" s="8">
        <f>IFERROR(Z416/Z444, "NA")</f>
        <v>-3.1586205574324068E-4</v>
      </c>
      <c r="AB416" s="9"/>
      <c r="AC416" s="10">
        <f t="shared" si="103"/>
        <v>14.11</v>
      </c>
      <c r="AD416" s="8">
        <f>IFERROR(AC416/AC444, "NA")</f>
        <v>2.9274903585771092E-4</v>
      </c>
    </row>
    <row r="417" spans="1:30" ht="16.5" customHeight="1" x14ac:dyDescent="0.45">
      <c r="A417" s="6" t="s">
        <v>382</v>
      </c>
      <c r="B417" s="7">
        <v>40.200000000000003</v>
      </c>
      <c r="C417" s="8">
        <f>IFERROR(B417/B444, "NA")</f>
        <v>4.2940414300226133E-4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-40.200000000000003</v>
      </c>
      <c r="I417" s="8">
        <f>IFERROR(H417/H444, "NA")</f>
        <v>1.0583668241491932E-3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-40.200000000000003</v>
      </c>
      <c r="O417" s="8">
        <f>IFERROR(N417/N444, "NA")</f>
        <v>2.6546603817692205E-3</v>
      </c>
      <c r="P417" s="9"/>
      <c r="Q417" s="7">
        <v>71.930000000000007</v>
      </c>
      <c r="R417" s="8">
        <f>IFERROR(Q417/Q444, "NA")</f>
        <v>1.997464139714855E-4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-71.930000000000007</v>
      </c>
      <c r="X417" s="8">
        <f>IFERROR(W417/W444, "NA")</f>
        <v>2.4084242951851794E-2</v>
      </c>
      <c r="Y417" s="9"/>
      <c r="Z417" s="7">
        <v>17.27</v>
      </c>
      <c r="AA417" s="8">
        <f>IFERROR(Z417/Z444, "NA")</f>
        <v>5.536883579664806E-5</v>
      </c>
      <c r="AB417" s="9"/>
      <c r="AC417" s="10">
        <f t="shared" si="103"/>
        <v>-54.660000000000011</v>
      </c>
      <c r="AD417" s="8">
        <f>IFERROR(AC417/AC444, "NA")</f>
        <v>-1.1340653649881277E-3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2902.31</v>
      </c>
      <c r="C428" s="15">
        <f>IFERROR(B428/B444, "NA")</f>
        <v>3.1001590504400323E-2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-2902.31</v>
      </c>
      <c r="I428" s="15">
        <f>IFERROR(H428/H444, "NA")</f>
        <v>7.6410662124289666E-2</v>
      </c>
      <c r="J428" s="2"/>
      <c r="K428" s="14">
        <f>IFERROR(K407+K408+K409+K410+K411+K412+K413+K414+K415+K416+K417+K418+K419+K420+K421+K422+K423+K424+K425+K426+K427, "NA")</f>
        <v>8426.1200000000008</v>
      </c>
      <c r="L428" s="15">
        <f>IFERROR(K428/K444, "NA")</f>
        <v>7.747352734355463E-2</v>
      </c>
      <c r="M428" s="2"/>
      <c r="N428" s="14">
        <f t="shared" si="101"/>
        <v>5523.8100000000013</v>
      </c>
      <c r="O428" s="15">
        <f>IFERROR(N428/N444, "NA")</f>
        <v>-0.36477212844329948</v>
      </c>
      <c r="P428" s="2"/>
      <c r="Q428" s="14">
        <f>IFERROR(Q407+Q408+Q409+Q410+Q411+Q412+Q413+Q414+Q415+Q416+Q417+Q418+Q419+Q420+Q421+Q422+Q423+Q424+Q425+Q426+Q427, "NA")</f>
        <v>11969.560000000001</v>
      </c>
      <c r="R428" s="15">
        <f>IFERROR(Q428/Q444, "NA")</f>
        <v>3.3238936282726735E-2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-11969.560000000001</v>
      </c>
      <c r="X428" s="15">
        <f>IFERROR(W428/W444, "NA")</f>
        <v>4.0077546373803301</v>
      </c>
      <c r="Y428" s="2"/>
      <c r="Z428" s="14">
        <f>IFERROR(Z407+Z408+Z409+Z410+Z411+Z412+Z413+Z414+Z415+Z416+Z417+Z418+Z419+Z420+Z421+Z422+Z423+Z424+Z425+Z426+Z427, "NA")</f>
        <v>31790.23</v>
      </c>
      <c r="AA428" s="15">
        <f>IFERROR(Z428/Z444, "NA")</f>
        <v>0.1019217153912956</v>
      </c>
      <c r="AB428" s="2"/>
      <c r="AC428" s="14">
        <f t="shared" si="103"/>
        <v>19820.669999999998</v>
      </c>
      <c r="AD428" s="15">
        <f>IFERROR(AC428/AC444, "NA")</f>
        <v>0.41123189458213005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2902.31</v>
      </c>
      <c r="C429" s="15">
        <f>IFERROR(B429/B444, "NA")</f>
        <v>3.1001590504400323E-2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-2902.31</v>
      </c>
      <c r="I429" s="15">
        <f>IFERROR(H429/H444, "NA")</f>
        <v>7.6410662124289666E-2</v>
      </c>
      <c r="J429" s="2"/>
      <c r="K429" s="14">
        <f>IFERROR(K407+K408+K409+K410+K411+K412+K413+K414+K415+K416+K417+K418+K419+K420+K421+K422+K423+K424+K425+K426+K427, "NA")</f>
        <v>8426.1200000000008</v>
      </c>
      <c r="L429" s="15">
        <f>IFERROR(K429/K444, "NA")</f>
        <v>7.747352734355463E-2</v>
      </c>
      <c r="M429" s="2"/>
      <c r="N429" s="14">
        <f t="shared" si="101"/>
        <v>5523.8100000000013</v>
      </c>
      <c r="O429" s="15">
        <f>IFERROR(N429/N444, "NA")</f>
        <v>-0.36477212844329948</v>
      </c>
      <c r="P429" s="2"/>
      <c r="Q429" s="14">
        <f>IFERROR(Q407+Q408+Q409+Q410+Q411+Q412+Q413+Q414+Q415+Q416+Q417+Q418+Q419+Q420+Q421+Q422+Q423+Q424+Q425+Q426+Q427, "NA")</f>
        <v>11969.560000000001</v>
      </c>
      <c r="R429" s="15">
        <f>IFERROR(Q429/Q444, "NA")</f>
        <v>3.3238936282726735E-2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-11969.560000000001</v>
      </c>
      <c r="X429" s="15">
        <f>IFERROR(W429/W444, "NA")</f>
        <v>4.0077546373803301</v>
      </c>
      <c r="Y429" s="2"/>
      <c r="Z429" s="14">
        <f>IFERROR(Z407+Z408+Z409+Z410+Z411+Z412+Z413+Z414+Z415+Z416+Z417+Z418+Z419+Z420+Z421+Z422+Z423+Z424+Z425+Z426+Z427, "NA")</f>
        <v>31790.23</v>
      </c>
      <c r="AA429" s="15">
        <f>IFERROR(Z429/Z444, "NA")</f>
        <v>0.1019217153912956</v>
      </c>
      <c r="AB429" s="2"/>
      <c r="AC429" s="14">
        <f t="shared" si="103"/>
        <v>19820.669999999998</v>
      </c>
      <c r="AD429" s="15">
        <f>IFERROR(AC429/AC444, "NA")</f>
        <v>0.41123189458213005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-6719.1199999999899</v>
      </c>
      <c r="C443" s="24">
        <f>IFERROR(B443/B444, "NA")</f>
        <v>-7.1771591177347008E-2</v>
      </c>
      <c r="D443" s="25"/>
      <c r="E443" s="23">
        <f>IFERROR(E404-E429-E442, "NA")</f>
        <v>24431.009999999984</v>
      </c>
      <c r="F443" s="24">
        <f>IFERROR(E443/E444, "NA")</f>
        <v>0.18564435037231805</v>
      </c>
      <c r="G443" s="25"/>
      <c r="H443" s="23">
        <f>IFERROR(B443-E443, "NA")</f>
        <v>-31150.129999999976</v>
      </c>
      <c r="I443" s="24">
        <f>IFERROR(H443/H444, "NA")</f>
        <v>0.82010607363021093</v>
      </c>
      <c r="J443" s="25"/>
      <c r="K443" s="23">
        <f>IFERROR(K404-K429-K442, "NA")</f>
        <v>13470.299999999994</v>
      </c>
      <c r="L443" s="24">
        <f>IFERROR(K443/K444, "NA")</f>
        <v>0.1238519811462314</v>
      </c>
      <c r="M443" s="25"/>
      <c r="N443" s="23">
        <f>IFERROR(B443-K443, "NA")</f>
        <v>-20189.419999999984</v>
      </c>
      <c r="O443" s="24">
        <f>IFERROR(N443/N444, "NA")</f>
        <v>1.3332351593258478</v>
      </c>
      <c r="P443" s="25"/>
      <c r="Q443" s="23">
        <f>IFERROR(Q404-Q429-Q442, "NA")</f>
        <v>-14917.31000000003</v>
      </c>
      <c r="R443" s="24">
        <f>IFERROR(Q443/Q444, "NA")</f>
        <v>-4.1424707056874545E-2</v>
      </c>
      <c r="S443" s="25"/>
      <c r="T443" s="23">
        <f>IFERROR(T404-T429-T442, "NA")</f>
        <v>40890.739999999991</v>
      </c>
      <c r="U443" s="24">
        <f>IFERROR(T443/T444, "NA")</f>
        <v>0.11261775523798723</v>
      </c>
      <c r="V443" s="25"/>
      <c r="W443" s="23">
        <f>IFERROR(Q443-T443, "NA")</f>
        <v>-55808.050000000017</v>
      </c>
      <c r="X443" s="24">
        <f>IFERROR(W443/W444, "NA")</f>
        <v>18.686148128306588</v>
      </c>
      <c r="Y443" s="25"/>
      <c r="Z443" s="23">
        <f>IFERROR(Z404-Z429-Z442, "NA")</f>
        <v>-6276.6000000000058</v>
      </c>
      <c r="AA443" s="24">
        <f>IFERROR(Z443/Z444, "NA")</f>
        <v>-2.0123221468514276E-2</v>
      </c>
      <c r="AB443" s="25"/>
      <c r="AC443" s="23">
        <f>IFERROR(Q443-Z443, "NA")</f>
        <v>-8640.7100000000246</v>
      </c>
      <c r="AD443" s="24">
        <f>IFERROR(AC443/AC444, "NA")</f>
        <v>-0.17927423966166467</v>
      </c>
    </row>
    <row r="444" spans="1:30" ht="15.75" hidden="1" x14ac:dyDescent="0.45">
      <c r="A444" s="26" t="s">
        <v>117</v>
      </c>
      <c r="B444" s="7">
        <v>93618.1</v>
      </c>
      <c r="C444" s="27"/>
      <c r="D444" s="9"/>
      <c r="E444" s="7">
        <v>131601.15</v>
      </c>
      <c r="F444" s="27"/>
      <c r="G444" s="9"/>
      <c r="H444" s="10">
        <f>IFERROR(B444-E444, "NA")</f>
        <v>-37983.049999999988</v>
      </c>
      <c r="I444" s="27"/>
      <c r="J444" s="9"/>
      <c r="K444" s="7">
        <v>108761.28</v>
      </c>
      <c r="L444" s="27"/>
      <c r="M444" s="9"/>
      <c r="N444" s="10">
        <f>IFERROR(B444-K444, "NA")</f>
        <v>-15143.179999999993</v>
      </c>
      <c r="O444" s="27"/>
      <c r="P444" s="9"/>
      <c r="Q444" s="7">
        <v>360106.59</v>
      </c>
      <c r="R444" s="27"/>
      <c r="S444" s="9"/>
      <c r="T444" s="7">
        <v>363093.19</v>
      </c>
      <c r="U444" s="27"/>
      <c r="V444" s="9"/>
      <c r="W444" s="10">
        <f>IFERROR(Q444-T444, "NA")</f>
        <v>-2986.5999999999767</v>
      </c>
      <c r="X444" s="27"/>
      <c r="Y444" s="9"/>
      <c r="Z444" s="7">
        <v>311908.31</v>
      </c>
      <c r="AA444" s="27"/>
      <c r="AB444" s="9"/>
      <c r="AC444" s="10">
        <f>IFERROR(Q444-Z444, "NA")</f>
        <v>48198.280000000028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415</v>
      </c>
      <c r="B3" s="31" t="s">
        <v>415</v>
      </c>
      <c r="C3" s="31" t="s">
        <v>415</v>
      </c>
      <c r="D3" s="31" t="s">
        <v>415</v>
      </c>
      <c r="E3" s="31" t="s">
        <v>415</v>
      </c>
      <c r="F3" s="31" t="s">
        <v>415</v>
      </c>
      <c r="G3" s="31" t="s">
        <v>415</v>
      </c>
      <c r="H3" s="31" t="s">
        <v>415</v>
      </c>
      <c r="I3" s="31" t="s">
        <v>415</v>
      </c>
      <c r="J3" s="31" t="s">
        <v>415</v>
      </c>
      <c r="K3" s="31" t="s">
        <v>415</v>
      </c>
      <c r="L3" s="31" t="s">
        <v>415</v>
      </c>
      <c r="M3" s="31" t="s">
        <v>415</v>
      </c>
      <c r="N3" s="31" t="s">
        <v>415</v>
      </c>
      <c r="O3" s="31" t="s">
        <v>415</v>
      </c>
      <c r="P3" s="31" t="s">
        <v>415</v>
      </c>
      <c r="Q3" s="31" t="s">
        <v>415</v>
      </c>
      <c r="R3" s="31" t="s">
        <v>415</v>
      </c>
      <c r="S3" s="31" t="s">
        <v>415</v>
      </c>
      <c r="T3" s="31" t="s">
        <v>415</v>
      </c>
      <c r="U3" s="31" t="s">
        <v>415</v>
      </c>
      <c r="V3" s="31" t="s">
        <v>415</v>
      </c>
      <c r="W3" s="31" t="s">
        <v>415</v>
      </c>
      <c r="X3" s="31" t="s">
        <v>415</v>
      </c>
      <c r="Y3" s="31" t="s">
        <v>415</v>
      </c>
      <c r="Z3" s="31" t="s">
        <v>415</v>
      </c>
      <c r="AA3" s="31" t="s">
        <v>415</v>
      </c>
      <c r="AB3" s="31" t="s">
        <v>415</v>
      </c>
      <c r="AC3" s="31" t="s">
        <v>415</v>
      </c>
      <c r="AD3" s="31" t="s">
        <v>415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73704.45</v>
      </c>
      <c r="F10" s="8">
        <f>IFERROR(E10/E444, "NA")</f>
        <v>0.58899999832181094</v>
      </c>
      <c r="G10" s="9"/>
      <c r="H10" s="10">
        <f t="shared" ref="H10:H19" si="0">IFERROR(B10-E10, "NA")</f>
        <v>-73704.45</v>
      </c>
      <c r="I10" s="8">
        <f>IFERROR(H10/H444, "NA")</f>
        <v>13.992434669527007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250182.31</v>
      </c>
      <c r="U10" s="8">
        <f>IFERROR(T10/T444, "NA")</f>
        <v>0.58900000268388286</v>
      </c>
      <c r="V10" s="9"/>
      <c r="W10" s="10">
        <f t="shared" ref="W10:W19" si="2">IFERROR(Q10-T10, "NA")</f>
        <v>-250182.31</v>
      </c>
      <c r="X10" s="8">
        <f>IFERROR(W10/W444, "NA")</f>
        <v>65.7172565964878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67388.210000000006</v>
      </c>
      <c r="C11" s="8">
        <f>IFERROR(B11/B444, "NA")</f>
        <v>0.56218944861089892</v>
      </c>
      <c r="D11" s="9"/>
      <c r="E11" s="7">
        <v>0</v>
      </c>
      <c r="F11" s="8">
        <f>IFERROR(E11/E444, "NA")</f>
        <v>0</v>
      </c>
      <c r="G11" s="9"/>
      <c r="H11" s="10">
        <f t="shared" si="0"/>
        <v>67388.210000000006</v>
      </c>
      <c r="I11" s="8">
        <f>IFERROR(H11/H444, "NA")</f>
        <v>-12.793326941878906</v>
      </c>
      <c r="J11" s="9"/>
      <c r="K11" s="7">
        <v>61137.66</v>
      </c>
      <c r="L11" s="8">
        <f>IFERROR(K11/K444, "NA")</f>
        <v>0.57163162476192797</v>
      </c>
      <c r="M11" s="9"/>
      <c r="N11" s="10">
        <f t="shared" si="1"/>
        <v>6250.5500000000029</v>
      </c>
      <c r="O11" s="8">
        <f>IFERROR(N11/N444, "NA")</f>
        <v>0.4839932355314242</v>
      </c>
      <c r="P11" s="9"/>
      <c r="Q11" s="7">
        <v>218615.41</v>
      </c>
      <c r="R11" s="8">
        <f>IFERROR(Q11/Q444, "NA")</f>
        <v>0.51933721278917189</v>
      </c>
      <c r="S11" s="9"/>
      <c r="T11" s="7">
        <v>0</v>
      </c>
      <c r="U11" s="8">
        <f>IFERROR(T11/T444, "NA")</f>
        <v>0</v>
      </c>
      <c r="V11" s="9"/>
      <c r="W11" s="10">
        <f t="shared" si="2"/>
        <v>218615.41</v>
      </c>
      <c r="X11" s="8">
        <f>IFERROR(W11/W444, "NA")</f>
        <v>-57.425343122446925</v>
      </c>
      <c r="Y11" s="9"/>
      <c r="Z11" s="7">
        <v>202704.15</v>
      </c>
      <c r="AA11" s="8">
        <f>IFERROR(Z11/Z444, "NA")</f>
        <v>0.53601956582087662</v>
      </c>
      <c r="AB11" s="9"/>
      <c r="AC11" s="10">
        <f t="shared" si="3"/>
        <v>15911.260000000009</v>
      </c>
      <c r="AD11" s="8">
        <f>IFERROR(AC11/AC444, "NA")</f>
        <v>0.3718869207373301</v>
      </c>
    </row>
    <row r="12" spans="1:30" ht="16.5" customHeight="1" x14ac:dyDescent="0.45">
      <c r="A12" s="12" t="s">
        <v>14</v>
      </c>
      <c r="B12" s="7">
        <v>7669.7</v>
      </c>
      <c r="C12" s="8">
        <f>IFERROR(B12/B444, "NA")</f>
        <v>6.3984848596082472E-2</v>
      </c>
      <c r="D12" s="9"/>
      <c r="E12" s="7">
        <v>0</v>
      </c>
      <c r="F12" s="8">
        <f>IFERROR(E12/E444, "NA")</f>
        <v>0</v>
      </c>
      <c r="G12" s="9"/>
      <c r="H12" s="10">
        <f t="shared" si="0"/>
        <v>7669.7</v>
      </c>
      <c r="I12" s="8">
        <f>IFERROR(H12/H444, "NA")</f>
        <v>-1.4560555866690721</v>
      </c>
      <c r="J12" s="9"/>
      <c r="K12" s="7">
        <v>6296.85</v>
      </c>
      <c r="L12" s="8">
        <f>IFERROR(K12/K444, "NA")</f>
        <v>5.8874981417053683E-2</v>
      </c>
      <c r="M12" s="9"/>
      <c r="N12" s="10">
        <f t="shared" si="1"/>
        <v>1372.8499999999995</v>
      </c>
      <c r="O12" s="8">
        <f>IFERROR(N12/N444, "NA")</f>
        <v>0.10630266350950159</v>
      </c>
      <c r="P12" s="9"/>
      <c r="Q12" s="7">
        <v>24527.599999999999</v>
      </c>
      <c r="R12" s="8">
        <f>IFERROR(Q12/Q444, "NA")</f>
        <v>5.8267143292449933E-2</v>
      </c>
      <c r="S12" s="9"/>
      <c r="T12" s="7">
        <v>0</v>
      </c>
      <c r="U12" s="8">
        <f>IFERROR(T12/T444, "NA")</f>
        <v>0</v>
      </c>
      <c r="V12" s="9"/>
      <c r="W12" s="10">
        <f t="shared" si="2"/>
        <v>24527.599999999999</v>
      </c>
      <c r="X12" s="8">
        <f>IFERROR(W12/W444, "NA")</f>
        <v>-6.4428479491456212</v>
      </c>
      <c r="Y12" s="9"/>
      <c r="Z12" s="7">
        <v>21295.75</v>
      </c>
      <c r="AA12" s="8">
        <f>IFERROR(Z12/Z444, "NA")</f>
        <v>5.6313295355965499E-2</v>
      </c>
      <c r="AB12" s="9"/>
      <c r="AC12" s="10">
        <f t="shared" si="3"/>
        <v>3231.8499999999985</v>
      </c>
      <c r="AD12" s="8">
        <f>IFERROR(AC12/AC444, "NA")</f>
        <v>7.5536616508368223E-2</v>
      </c>
    </row>
    <row r="13" spans="1:30" ht="16.5" customHeight="1" x14ac:dyDescent="0.45">
      <c r="A13" s="12" t="s">
        <v>15</v>
      </c>
      <c r="B13" s="7">
        <v>1417</v>
      </c>
      <c r="C13" s="8">
        <f>IFERROR(B13/B444, "NA")</f>
        <v>1.1821392031063648E-2</v>
      </c>
      <c r="D13" s="9"/>
      <c r="E13" s="7">
        <v>0</v>
      </c>
      <c r="F13" s="8">
        <f>IFERROR(E13/E444, "NA")</f>
        <v>0</v>
      </c>
      <c r="G13" s="9"/>
      <c r="H13" s="10">
        <f t="shared" si="0"/>
        <v>1417</v>
      </c>
      <c r="I13" s="8">
        <f>IFERROR(H13/H444, "NA")</f>
        <v>-0.26901062183789137</v>
      </c>
      <c r="J13" s="9"/>
      <c r="K13" s="7">
        <v>193</v>
      </c>
      <c r="L13" s="8">
        <f>IFERROR(K13/K444, "NA")</f>
        <v>1.804532649418576E-3</v>
      </c>
      <c r="M13" s="9"/>
      <c r="N13" s="10">
        <f t="shared" si="1"/>
        <v>1224</v>
      </c>
      <c r="O13" s="8">
        <f>IFERROR(N13/N444, "NA")</f>
        <v>9.4776894879724655E-2</v>
      </c>
      <c r="P13" s="9"/>
      <c r="Q13" s="7">
        <v>1830</v>
      </c>
      <c r="R13" s="8">
        <f>IFERROR(Q13/Q444, "NA")</f>
        <v>4.3473014981157297E-3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1830</v>
      </c>
      <c r="X13" s="8">
        <f>IFERROR(W13/W444, "NA")</f>
        <v>-0.48069977278398573</v>
      </c>
      <c r="Y13" s="9"/>
      <c r="Z13" s="7">
        <v>631.49</v>
      </c>
      <c r="AA13" s="8">
        <f>IFERROR(Z13/Z444, "NA")</f>
        <v>1.6698769888047452E-3</v>
      </c>
      <c r="AB13" s="9"/>
      <c r="AC13" s="10">
        <f t="shared" si="3"/>
        <v>1198.51</v>
      </c>
      <c r="AD13" s="8">
        <f>IFERROR(AC13/AC444, "NA")</f>
        <v>2.8012250027521217E-2</v>
      </c>
    </row>
    <row r="14" spans="1:30" ht="16.5" customHeight="1" x14ac:dyDescent="0.45">
      <c r="A14" s="12" t="s">
        <v>16</v>
      </c>
      <c r="B14" s="7">
        <v>1445</v>
      </c>
      <c r="C14" s="8">
        <f>IFERROR(B14/B444, "NA")</f>
        <v>1.2054983405001392E-2</v>
      </c>
      <c r="D14" s="9"/>
      <c r="E14" s="7">
        <v>0</v>
      </c>
      <c r="F14" s="8">
        <f>IFERROR(E14/E444, "NA")</f>
        <v>0</v>
      </c>
      <c r="G14" s="9"/>
      <c r="H14" s="10">
        <f t="shared" si="0"/>
        <v>1445</v>
      </c>
      <c r="I14" s="8">
        <f>IFERROR(H14/H444, "NA")</f>
        <v>-0.27432628691302258</v>
      </c>
      <c r="J14" s="9"/>
      <c r="K14" s="7">
        <v>750</v>
      </c>
      <c r="L14" s="8">
        <f>IFERROR(K14/K444, "NA")</f>
        <v>7.0124325754607874E-3</v>
      </c>
      <c r="M14" s="9"/>
      <c r="N14" s="10">
        <f t="shared" si="1"/>
        <v>695</v>
      </c>
      <c r="O14" s="8">
        <f>IFERROR(N14/N444, "NA")</f>
        <v>5.3815312043634503E-2</v>
      </c>
      <c r="P14" s="9"/>
      <c r="Q14" s="7">
        <v>2440</v>
      </c>
      <c r="R14" s="8">
        <f>IFERROR(Q14/Q444, "NA")</f>
        <v>5.7964019974876399E-3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2440</v>
      </c>
      <c r="X14" s="8">
        <f>IFERROR(W14/W444, "NA")</f>
        <v>-0.64093303037864757</v>
      </c>
      <c r="Y14" s="9"/>
      <c r="Z14" s="7">
        <v>2000</v>
      </c>
      <c r="AA14" s="8">
        <f>IFERROR(Z14/Z444, "NA")</f>
        <v>5.2886886215292254E-3</v>
      </c>
      <c r="AB14" s="9"/>
      <c r="AC14" s="10">
        <f t="shared" si="3"/>
        <v>440</v>
      </c>
      <c r="AD14" s="8">
        <f>IFERROR(AC14/AC444, "NA")</f>
        <v>1.0283927553470004E-2</v>
      </c>
    </row>
    <row r="15" spans="1:30" ht="16.5" customHeight="1" x14ac:dyDescent="0.45">
      <c r="A15" s="12" t="s">
        <v>17</v>
      </c>
      <c r="B15" s="7">
        <v>204</v>
      </c>
      <c r="C15" s="8">
        <f>IFERROR(B15/B444, "NA")</f>
        <v>1.7018800101178434E-3</v>
      </c>
      <c r="D15" s="9"/>
      <c r="E15" s="7">
        <v>0</v>
      </c>
      <c r="F15" s="8">
        <f>IFERROR(E15/E444, "NA")</f>
        <v>0</v>
      </c>
      <c r="G15" s="9"/>
      <c r="H15" s="10">
        <f t="shared" si="0"/>
        <v>204</v>
      </c>
      <c r="I15" s="8">
        <f>IFERROR(H15/H444, "NA")</f>
        <v>-3.872841697595613E-2</v>
      </c>
      <c r="J15" s="9"/>
      <c r="K15" s="7">
        <v>168</v>
      </c>
      <c r="L15" s="8">
        <f>IFERROR(K15/K444, "NA")</f>
        <v>1.5707848969032164E-3</v>
      </c>
      <c r="M15" s="9"/>
      <c r="N15" s="10">
        <f t="shared" si="1"/>
        <v>36</v>
      </c>
      <c r="O15" s="8">
        <f>IFERROR(N15/N444, "NA")</f>
        <v>2.7875557317566073E-3</v>
      </c>
      <c r="P15" s="9"/>
      <c r="Q15" s="7">
        <v>272</v>
      </c>
      <c r="R15" s="8">
        <f>IFERROR(Q15/Q444, "NA")</f>
        <v>6.4615628824452379E-4</v>
      </c>
      <c r="S15" s="9"/>
      <c r="T15" s="7">
        <v>0</v>
      </c>
      <c r="U15" s="8">
        <f>IFERROR(T15/T444, "NA")</f>
        <v>0</v>
      </c>
      <c r="V15" s="9"/>
      <c r="W15" s="10">
        <f t="shared" si="2"/>
        <v>272</v>
      </c>
      <c r="X15" s="8">
        <f>IFERROR(W15/W444, "NA")</f>
        <v>-7.1448272238931215E-2</v>
      </c>
      <c r="Y15" s="9"/>
      <c r="Z15" s="7">
        <v>240</v>
      </c>
      <c r="AA15" s="8">
        <f>IFERROR(Z15/Z444, "NA")</f>
        <v>6.3464263458350698E-4</v>
      </c>
      <c r="AB15" s="9"/>
      <c r="AC15" s="10">
        <f t="shared" si="3"/>
        <v>32</v>
      </c>
      <c r="AD15" s="8">
        <f>IFERROR(AC15/AC444, "NA")</f>
        <v>7.479220038887276E-4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78123.91</v>
      </c>
      <c r="C18" s="15">
        <f>IFERROR(B18/B444, "NA")</f>
        <v>0.65175255265316423</v>
      </c>
      <c r="D18" s="2"/>
      <c r="E18" s="14">
        <f>IFERROR(E10+E11+E12+E13+E14+E15+E16+E17, "NA")</f>
        <v>73704.45</v>
      </c>
      <c r="F18" s="15">
        <f>IFERROR(E18/E444, "NA")</f>
        <v>0.58899999832181094</v>
      </c>
      <c r="G18" s="2"/>
      <c r="H18" s="14">
        <f t="shared" si="0"/>
        <v>4419.4600000000064</v>
      </c>
      <c r="I18" s="15">
        <f>IFERROR(H18/H444, "NA")</f>
        <v>-0.83901318474783981</v>
      </c>
      <c r="J18" s="2"/>
      <c r="K18" s="14">
        <f>IFERROR(K10+K11+K12+K13+K14+K15+K16+K17, "NA")</f>
        <v>68545.510000000009</v>
      </c>
      <c r="L18" s="15">
        <f>IFERROR(K18/K444, "NA")</f>
        <v>0.6408943563007643</v>
      </c>
      <c r="M18" s="2"/>
      <c r="N18" s="14">
        <f t="shared" si="1"/>
        <v>9578.3999999999942</v>
      </c>
      <c r="O18" s="15">
        <f>IFERROR(N18/N444, "NA")</f>
        <v>0.74167566169604093</v>
      </c>
      <c r="P18" s="2"/>
      <c r="Q18" s="14">
        <f>IFERROR(Q10+Q11+Q12+Q13+Q14+Q15+Q16+Q17, "NA")</f>
        <v>247685.01</v>
      </c>
      <c r="R18" s="15">
        <f>IFERROR(Q18/Q444, "NA")</f>
        <v>0.58839421586546969</v>
      </c>
      <c r="S18" s="2"/>
      <c r="T18" s="14">
        <f>IFERROR(T10+T11+T12+T13+T14+T15+T16+T17, "NA")</f>
        <v>250182.31</v>
      </c>
      <c r="U18" s="15">
        <f>IFERROR(T18/T444, "NA")</f>
        <v>0.58900000268388286</v>
      </c>
      <c r="V18" s="2"/>
      <c r="W18" s="14">
        <f t="shared" si="2"/>
        <v>-2497.2999999999884</v>
      </c>
      <c r="X18" s="15">
        <f>IFERROR(W18/W444, "NA")</f>
        <v>0.65598444949368406</v>
      </c>
      <c r="Y18" s="2"/>
      <c r="Z18" s="14">
        <f>IFERROR(Z10+Z11+Z12+Z13+Z14+Z15+Z16+Z17, "NA")</f>
        <v>226871.38999999998</v>
      </c>
      <c r="AA18" s="15">
        <f>IFERROR(Z18/Z444, "NA")</f>
        <v>0.59992606942175952</v>
      </c>
      <c r="AB18" s="2"/>
      <c r="AC18" s="14">
        <f t="shared" si="3"/>
        <v>20813.620000000024</v>
      </c>
      <c r="AD18" s="15">
        <f>IFERROR(AC18/AC444, "NA")</f>
        <v>0.48646763683057864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10386.200000000001</v>
      </c>
      <c r="F21" s="8">
        <f>IFERROR(E21/E444, "NA")</f>
        <v>8.3000033004384313E-2</v>
      </c>
      <c r="G21" s="9"/>
      <c r="H21" s="10">
        <f t="shared" ref="H21:H29" si="4">IFERROR(B21-E21, "NA")</f>
        <v>-10386.200000000001</v>
      </c>
      <c r="I21" s="8">
        <f>IFERROR(H21/H444, "NA")</f>
        <v>1.9717700215474292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35254.9</v>
      </c>
      <c r="U21" s="8">
        <f>IFERROR(T21/T444, "NA")</f>
        <v>8.3000017845466456E-2</v>
      </c>
      <c r="V21" s="9"/>
      <c r="W21" s="10">
        <f t="shared" ref="W21:W29" si="6">IFERROR(Q21-T21, "NA")</f>
        <v>-35254.9</v>
      </c>
      <c r="X21" s="8">
        <f>IFERROR(W21/W444, "NA")</f>
        <v>9.2606679888099119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7747.1</v>
      </c>
      <c r="C22" s="8">
        <f>IFERROR(B22/B444, "NA")</f>
        <v>6.4630561894038957E-2</v>
      </c>
      <c r="D22" s="9"/>
      <c r="E22" s="7">
        <v>0</v>
      </c>
      <c r="F22" s="8">
        <f>IFERROR(E22/E444, "NA")</f>
        <v>0</v>
      </c>
      <c r="G22" s="9"/>
      <c r="H22" s="10">
        <f t="shared" si="4"/>
        <v>7747.1</v>
      </c>
      <c r="I22" s="8">
        <f>IFERROR(H22/H444, "NA")</f>
        <v>-1.4707496036981851</v>
      </c>
      <c r="J22" s="9"/>
      <c r="K22" s="7">
        <v>5898.44</v>
      </c>
      <c r="L22" s="8">
        <f>IFERROR(K22/K444, "NA")</f>
        <v>5.5149883733867901E-2</v>
      </c>
      <c r="M22" s="9"/>
      <c r="N22" s="10">
        <f t="shared" si="5"/>
        <v>1848.6600000000008</v>
      </c>
      <c r="O22" s="8">
        <f>IFERROR(N22/N444, "NA")</f>
        <v>0.14314563275192144</v>
      </c>
      <c r="P22" s="9"/>
      <c r="Q22" s="7">
        <v>28314.35</v>
      </c>
      <c r="R22" s="8">
        <f>IFERROR(Q22/Q444, "NA")</f>
        <v>6.7262850367854163E-2</v>
      </c>
      <c r="S22" s="9"/>
      <c r="T22" s="7">
        <v>0</v>
      </c>
      <c r="U22" s="8">
        <f>IFERROR(T22/T444, "NA")</f>
        <v>0</v>
      </c>
      <c r="V22" s="9"/>
      <c r="W22" s="10">
        <f t="shared" si="6"/>
        <v>28314.35</v>
      </c>
      <c r="X22" s="8">
        <f>IFERROR(W22/W444, "NA")</f>
        <v>-7.4375418642219921</v>
      </c>
      <c r="Y22" s="9"/>
      <c r="Z22" s="7">
        <v>26768.1</v>
      </c>
      <c r="AA22" s="8">
        <f>IFERROR(Z22/Z444, "NA")</f>
        <v>7.0784072944978224E-2</v>
      </c>
      <c r="AB22" s="9"/>
      <c r="AC22" s="10">
        <f t="shared" si="7"/>
        <v>1546.25</v>
      </c>
      <c r="AD22" s="8">
        <f>IFERROR(AC22/AC444, "NA")</f>
        <v>3.6139824953529534E-2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785.56</v>
      </c>
      <c r="C24" s="8">
        <f>IFERROR(B24/B444, "NA")</f>
        <v>6.5535728468047701E-3</v>
      </c>
      <c r="D24" s="9"/>
      <c r="E24" s="7">
        <v>0</v>
      </c>
      <c r="F24" s="8">
        <f>IFERROR(E24/E444, "NA")</f>
        <v>0</v>
      </c>
      <c r="G24" s="9"/>
      <c r="H24" s="10">
        <f t="shared" si="4"/>
        <v>785.56</v>
      </c>
      <c r="I24" s="8">
        <f>IFERROR(H24/H444, "NA")</f>
        <v>-0.14913478058643184</v>
      </c>
      <c r="J24" s="9"/>
      <c r="K24" s="7">
        <v>202.14</v>
      </c>
      <c r="L24" s="8">
        <f>IFERROR(K24/K444, "NA")</f>
        <v>1.8899908277381912E-3</v>
      </c>
      <c r="M24" s="9"/>
      <c r="N24" s="10">
        <f t="shared" si="5"/>
        <v>583.41999999999996</v>
      </c>
      <c r="O24" s="8">
        <f>IFERROR(N24/N444, "NA")</f>
        <v>4.5175437917262216E-2</v>
      </c>
      <c r="P24" s="9"/>
      <c r="Q24" s="7">
        <v>4550.6099999999997</v>
      </c>
      <c r="R24" s="8">
        <f>IFERROR(Q24/Q444, "NA")</f>
        <v>1.0810313481060339E-2</v>
      </c>
      <c r="S24" s="9"/>
      <c r="T24" s="7">
        <v>0</v>
      </c>
      <c r="U24" s="8">
        <f>IFERROR(T24/T444, "NA")</f>
        <v>0</v>
      </c>
      <c r="V24" s="9"/>
      <c r="W24" s="10">
        <f t="shared" si="6"/>
        <v>4550.6099999999997</v>
      </c>
      <c r="X24" s="8">
        <f>IFERROR(W24/W444, "NA")</f>
        <v>-1.1953427284308924</v>
      </c>
      <c r="Y24" s="9"/>
      <c r="Z24" s="7">
        <v>1155.25</v>
      </c>
      <c r="AA24" s="8">
        <f>IFERROR(Z24/Z444, "NA")</f>
        <v>3.0548787650108186E-3</v>
      </c>
      <c r="AB24" s="9"/>
      <c r="AC24" s="10">
        <f t="shared" si="7"/>
        <v>3395.3599999999997</v>
      </c>
      <c r="AD24" s="8">
        <f>IFERROR(AC24/AC444, "NA")</f>
        <v>7.9358264222613439E-2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898.5</v>
      </c>
      <c r="C28" s="8">
        <f>IFERROR(B28/B444, "NA")</f>
        <v>7.4957803386807957E-3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898.5</v>
      </c>
      <c r="I28" s="8">
        <f>IFERROR(H28/H444, "NA")</f>
        <v>-0.17057589535733619</v>
      </c>
      <c r="J28" s="9"/>
      <c r="K28" s="7">
        <v>891.95</v>
      </c>
      <c r="L28" s="8">
        <f>IFERROR(K28/K444, "NA")</f>
        <v>8.3396523142429992E-3</v>
      </c>
      <c r="M28" s="9"/>
      <c r="N28" s="10">
        <f t="shared" si="5"/>
        <v>6.5499999999999545</v>
      </c>
      <c r="O28" s="8">
        <f>IFERROR(N28/N444, "NA")</f>
        <v>5.0718027897237925E-4</v>
      </c>
      <c r="P28" s="9"/>
      <c r="Q28" s="7">
        <v>3510.14</v>
      </c>
      <c r="R28" s="8">
        <f>IFERROR(Q28/Q444, "NA")</f>
        <v>8.3385993883037975E-3</v>
      </c>
      <c r="S28" s="9"/>
      <c r="T28" s="7">
        <v>0</v>
      </c>
      <c r="U28" s="8">
        <f>IFERROR(T28/T444, "NA")</f>
        <v>0</v>
      </c>
      <c r="V28" s="9"/>
      <c r="W28" s="10">
        <f t="shared" si="6"/>
        <v>3510.14</v>
      </c>
      <c r="X28" s="8">
        <f>IFERROR(W28/W444, "NA")</f>
        <v>-0.92203469969397789</v>
      </c>
      <c r="Y28" s="9"/>
      <c r="Z28" s="7">
        <v>3349.25</v>
      </c>
      <c r="AA28" s="8">
        <f>IFERROR(Z28/Z444, "NA")</f>
        <v>8.8565701828283785E-3</v>
      </c>
      <c r="AB28" s="9"/>
      <c r="AC28" s="10">
        <f t="shared" si="7"/>
        <v>160.88999999999987</v>
      </c>
      <c r="AD28" s="8">
        <f>IFERROR(AC28/AC444, "NA")</f>
        <v>3.7604116001767902E-3</v>
      </c>
    </row>
    <row r="29" spans="1:30" ht="16.5" customHeight="1" x14ac:dyDescent="0.45">
      <c r="A29" s="13" t="s">
        <v>30</v>
      </c>
      <c r="B29" s="14">
        <f>IFERROR(B21+B22+B23+B24+B25+B26+B27+B28, "NA")</f>
        <v>9431.16</v>
      </c>
      <c r="C29" s="15">
        <f>IFERROR(B29/B444, "NA")</f>
        <v>7.8679915079524515E-2</v>
      </c>
      <c r="D29" s="2"/>
      <c r="E29" s="14">
        <f>IFERROR(E21+E22+E23+E24+E25+E26+E27+E28, "NA")</f>
        <v>10386.200000000001</v>
      </c>
      <c r="F29" s="15">
        <f>IFERROR(E29/E444, "NA")</f>
        <v>8.3000033004384313E-2</v>
      </c>
      <c r="G29" s="2"/>
      <c r="H29" s="14">
        <f t="shared" si="4"/>
        <v>-955.04000000000087</v>
      </c>
      <c r="I29" s="15">
        <f>IFERROR(H29/H444, "NA")</f>
        <v>0.18130974190547636</v>
      </c>
      <c r="J29" s="2"/>
      <c r="K29" s="14">
        <f>IFERROR(K21+K22+K23+K24+K25+K26+K27+K28, "NA")</f>
        <v>6992.53</v>
      </c>
      <c r="L29" s="15">
        <f>IFERROR(K29/K444, "NA")</f>
        <v>6.5379526875849095E-2</v>
      </c>
      <c r="M29" s="2"/>
      <c r="N29" s="14">
        <f t="shared" si="5"/>
        <v>2438.63</v>
      </c>
      <c r="O29" s="15">
        <f>IFERROR(N29/N444, "NA")</f>
        <v>0.188828250948156</v>
      </c>
      <c r="P29" s="2"/>
      <c r="Q29" s="14">
        <f>IFERROR(Q21+Q22+Q23+Q24+Q25+Q26+Q27+Q28, "NA")</f>
        <v>36375.1</v>
      </c>
      <c r="R29" s="15">
        <f>IFERROR(Q29/Q444, "NA")</f>
        <v>8.6411763237218303E-2</v>
      </c>
      <c r="S29" s="2"/>
      <c r="T29" s="14">
        <f>IFERROR(T21+T22+T23+T24+T25+T26+T27+T28, "NA")</f>
        <v>35254.9</v>
      </c>
      <c r="U29" s="15">
        <f>IFERROR(T29/T444, "NA")</f>
        <v>8.3000017845466456E-2</v>
      </c>
      <c r="V29" s="2"/>
      <c r="W29" s="14">
        <f t="shared" si="6"/>
        <v>1120.1999999999971</v>
      </c>
      <c r="X29" s="15">
        <f>IFERROR(W29/W444, "NA")</f>
        <v>-0.2942513035369505</v>
      </c>
      <c r="Y29" s="2"/>
      <c r="Z29" s="14">
        <f>IFERROR(Z21+Z22+Z23+Z24+Z25+Z26+Z27+Z28, "NA")</f>
        <v>31272.6</v>
      </c>
      <c r="AA29" s="15">
        <f>IFERROR(Z29/Z444, "NA")</f>
        <v>8.2695521892817425E-2</v>
      </c>
      <c r="AB29" s="2"/>
      <c r="AC29" s="14">
        <f t="shared" si="7"/>
        <v>5102.5</v>
      </c>
      <c r="AD29" s="15">
        <f>IFERROR(AC29/AC444, "NA")</f>
        <v>0.11925850077631978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18895.37</v>
      </c>
      <c r="F31" s="8">
        <f>IFERROR(E31/E444, "NA")</f>
        <v>0.15100001286611592</v>
      </c>
      <c r="G31" s="9"/>
      <c r="H31" s="10">
        <f t="shared" ref="H31:H40" si="8">IFERROR(B31-E31, "NA")</f>
        <v>-18895.37</v>
      </c>
      <c r="I31" s="8">
        <f>IFERROR(H31/H444, "NA")</f>
        <v>3.587194942524373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64138.42</v>
      </c>
      <c r="U31" s="8">
        <f>IFERROR(T31/T444, "NA")</f>
        <v>0.15100000296639679</v>
      </c>
      <c r="V31" s="9"/>
      <c r="W31" s="10">
        <f t="shared" ref="W31:W40" si="10">IFERROR(Q31-T31, "NA")</f>
        <v>-64138.42</v>
      </c>
      <c r="X31" s="8">
        <f>IFERROR(W31/W444, "NA")</f>
        <v>16.847717989466581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7666.45</v>
      </c>
      <c r="C33" s="8">
        <f>IFERROR(B33/B444, "NA")</f>
        <v>6.3957735311607547E-2</v>
      </c>
      <c r="D33" s="9"/>
      <c r="E33" s="7">
        <v>0</v>
      </c>
      <c r="F33" s="8">
        <f>IFERROR(E33/E444, "NA")</f>
        <v>0</v>
      </c>
      <c r="G33" s="9"/>
      <c r="H33" s="10">
        <f t="shared" si="8"/>
        <v>7666.45</v>
      </c>
      <c r="I33" s="8">
        <f>IFERROR(H33/H444, "NA")</f>
        <v>-1.4554385898299944</v>
      </c>
      <c r="J33" s="9"/>
      <c r="K33" s="7">
        <v>5848.6</v>
      </c>
      <c r="L33" s="8">
        <f>IFERROR(K33/K444, "NA")</f>
        <v>5.4683884214453284E-2</v>
      </c>
      <c r="M33" s="9"/>
      <c r="N33" s="10">
        <f t="shared" si="9"/>
        <v>1817.8499999999995</v>
      </c>
      <c r="O33" s="8">
        <f>IFERROR(N33/N444, "NA")</f>
        <v>0.14075994963815966</v>
      </c>
      <c r="P33" s="9"/>
      <c r="Q33" s="7">
        <v>35742.07</v>
      </c>
      <c r="R33" s="8">
        <f>IFERROR(Q33/Q444, "NA")</f>
        <v>8.4907953255058635E-2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35742.07</v>
      </c>
      <c r="X33" s="8">
        <f>IFERROR(W33/W444, "NA")</f>
        <v>-9.388636572584323</v>
      </c>
      <c r="Y33" s="9"/>
      <c r="Z33" s="7">
        <v>22671.06</v>
      </c>
      <c r="AA33" s="8">
        <f>IFERROR(Z33/Z444, "NA")</f>
        <v>5.9950088530003179E-2</v>
      </c>
      <c r="AB33" s="9"/>
      <c r="AC33" s="10">
        <f t="shared" si="11"/>
        <v>13071.009999999998</v>
      </c>
      <c r="AD33" s="8">
        <f>IFERROR(AC33/AC444, "NA")</f>
        <v>0.30550299975154988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1043.9000000000001</v>
      </c>
      <c r="C35" s="8">
        <f>IFERROR(B35/B444, "NA")</f>
        <v>8.7087869733432199E-3</v>
      </c>
      <c r="D35" s="9"/>
      <c r="E35" s="7">
        <v>0</v>
      </c>
      <c r="F35" s="8">
        <f>IFERROR(E35/E444, "NA")</f>
        <v>0</v>
      </c>
      <c r="G35" s="9"/>
      <c r="H35" s="10">
        <f t="shared" si="8"/>
        <v>1043.9000000000001</v>
      </c>
      <c r="I35" s="8">
        <f>IFERROR(H35/H444, "NA")</f>
        <v>-0.19817938471176769</v>
      </c>
      <c r="J35" s="9"/>
      <c r="K35" s="7">
        <v>0</v>
      </c>
      <c r="L35" s="8">
        <f>IFERROR(K35/K444, "NA")</f>
        <v>0</v>
      </c>
      <c r="M35" s="9"/>
      <c r="N35" s="10">
        <f t="shared" si="9"/>
        <v>1043.9000000000001</v>
      </c>
      <c r="O35" s="8">
        <f>IFERROR(N35/N444, "NA")</f>
        <v>8.0831373010575636E-2</v>
      </c>
      <c r="P35" s="9"/>
      <c r="Q35" s="7">
        <v>4415.99</v>
      </c>
      <c r="R35" s="8">
        <f>IFERROR(Q35/Q444, "NA")</f>
        <v>1.0490513629871082E-2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4415.99</v>
      </c>
      <c r="X35" s="8">
        <f>IFERROR(W35/W444, "NA")</f>
        <v>-1.1599810872220508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4415.99</v>
      </c>
      <c r="AD35" s="8">
        <f>IFERROR(AC35/AC444, "NA")</f>
        <v>0.1032130028110182</v>
      </c>
    </row>
    <row r="36" spans="1:30" ht="16.5" customHeight="1" x14ac:dyDescent="0.45">
      <c r="A36" s="12" t="s">
        <v>36</v>
      </c>
      <c r="B36" s="7">
        <v>9999.66</v>
      </c>
      <c r="C36" s="8">
        <f>IFERROR(B36/B444, "NA")</f>
        <v>8.3422654225367626E-2</v>
      </c>
      <c r="D36" s="9"/>
      <c r="E36" s="7">
        <v>0</v>
      </c>
      <c r="F36" s="8">
        <f>IFERROR(E36/E444, "NA")</f>
        <v>0</v>
      </c>
      <c r="G36" s="9"/>
      <c r="H36" s="10">
        <f t="shared" si="8"/>
        <v>9999.66</v>
      </c>
      <c r="I36" s="8">
        <f>IFERROR(H36/H444, "NA")</f>
        <v>-1.8983872651852425</v>
      </c>
      <c r="J36" s="9"/>
      <c r="K36" s="7">
        <v>4164.16</v>
      </c>
      <c r="L36" s="8">
        <f>IFERROR(K36/K444, "NA")</f>
        <v>3.8934521644574387E-2</v>
      </c>
      <c r="M36" s="9"/>
      <c r="N36" s="10">
        <f t="shared" si="9"/>
        <v>5835.5</v>
      </c>
      <c r="O36" s="8">
        <f>IFERROR(N36/N444, "NA")</f>
        <v>0.4518550409073801</v>
      </c>
      <c r="P36" s="9"/>
      <c r="Q36" s="7">
        <v>36669</v>
      </c>
      <c r="R36" s="8">
        <f>IFERROR(Q36/Q444, "NA")</f>
        <v>8.7109944608964873E-2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36669</v>
      </c>
      <c r="X36" s="8">
        <f>IFERROR(W36/W444, "NA")</f>
        <v>-9.6321202012109133</v>
      </c>
      <c r="Y36" s="9"/>
      <c r="Z36" s="7">
        <v>16231.53</v>
      </c>
      <c r="AA36" s="8">
        <f>IFERROR(Z36/Z444, "NA")</f>
        <v>4.2921754010505131E-2</v>
      </c>
      <c r="AB36" s="9"/>
      <c r="AC36" s="10">
        <f t="shared" si="11"/>
        <v>20437.47</v>
      </c>
      <c r="AD36" s="8">
        <f>IFERROR(AC36/AC444, "NA")</f>
        <v>0.47767604740049235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886.95</v>
      </c>
      <c r="C39" s="8">
        <f>IFERROR(B39/B444, "NA")</f>
        <v>7.3994238969314775E-3</v>
      </c>
      <c r="D39" s="9"/>
      <c r="E39" s="7">
        <v>0</v>
      </c>
      <c r="F39" s="8">
        <f>IFERROR(E39/E444, "NA")</f>
        <v>0</v>
      </c>
      <c r="G39" s="9"/>
      <c r="H39" s="10">
        <f t="shared" si="8"/>
        <v>886.95</v>
      </c>
      <c r="I39" s="8">
        <f>IFERROR(H39/H444, "NA")</f>
        <v>-0.16838318351384457</v>
      </c>
      <c r="J39" s="9"/>
      <c r="K39" s="7">
        <v>783.13</v>
      </c>
      <c r="L39" s="8">
        <f>IFERROR(K39/K444, "NA")</f>
        <v>7.3221950970941418E-3</v>
      </c>
      <c r="M39" s="9"/>
      <c r="N39" s="10">
        <f t="shared" si="9"/>
        <v>103.82000000000005</v>
      </c>
      <c r="O39" s="8">
        <f>IFERROR(N39/N444, "NA")</f>
        <v>8.03900100197142E-3</v>
      </c>
      <c r="P39" s="9"/>
      <c r="Q39" s="7">
        <v>3605.1</v>
      </c>
      <c r="R39" s="8">
        <f>IFERROR(Q39/Q444, "NA")</f>
        <v>8.5641839512879889E-3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3605.1</v>
      </c>
      <c r="X39" s="8">
        <f>IFERROR(W39/W444, "NA")</f>
        <v>-0.94697855238445183</v>
      </c>
      <c r="Y39" s="9"/>
      <c r="Z39" s="7">
        <v>4128.72</v>
      </c>
      <c r="AA39" s="8">
        <f>IFERROR(Z39/Z444, "NA")</f>
        <v>1.0917757242740071E-2</v>
      </c>
      <c r="AB39" s="9"/>
      <c r="AC39" s="10">
        <f t="shared" si="11"/>
        <v>-523.62000000000035</v>
      </c>
      <c r="AD39" s="8">
        <f>IFERROR(AC39/AC444, "NA")</f>
        <v>-1.2238341239881744E-2</v>
      </c>
    </row>
    <row r="40" spans="1:30" ht="16.5" customHeight="1" x14ac:dyDescent="0.45">
      <c r="A40" s="13" t="s">
        <v>40</v>
      </c>
      <c r="B40" s="14">
        <f>IFERROR(B31+B32+B33+B34+B35+B36+B37+B38+B39, "NA")</f>
        <v>19596.960000000003</v>
      </c>
      <c r="C40" s="15">
        <f>IFERROR(B40/B444, "NA")</f>
        <v>0.16348860040724988</v>
      </c>
      <c r="D40" s="2"/>
      <c r="E40" s="14">
        <f>IFERROR(E31+E32+E33+E34+E35+E36+E37+E38+E39, "NA")</f>
        <v>18895.37</v>
      </c>
      <c r="F40" s="15">
        <f>IFERROR(E40/E444, "NA")</f>
        <v>0.15100001286611592</v>
      </c>
      <c r="G40" s="2"/>
      <c r="H40" s="14">
        <f t="shared" si="8"/>
        <v>701.59000000000378</v>
      </c>
      <c r="I40" s="15">
        <f>IFERROR(H40/H444, "NA")</f>
        <v>-0.13319348071647649</v>
      </c>
      <c r="J40" s="2"/>
      <c r="K40" s="14">
        <f>IFERROR(K31+K32+K33+K34+K35+K36+K37+K38+K39, "NA")</f>
        <v>10795.89</v>
      </c>
      <c r="L40" s="15">
        <f>IFERROR(K40/K444, "NA")</f>
        <v>0.10094060095612181</v>
      </c>
      <c r="M40" s="2"/>
      <c r="N40" s="14">
        <f t="shared" si="9"/>
        <v>8801.0700000000033</v>
      </c>
      <c r="O40" s="15">
        <f>IFERROR(N40/N444, "NA")</f>
        <v>0.68148536455808706</v>
      </c>
      <c r="P40" s="2"/>
      <c r="Q40" s="14">
        <f>IFERROR(Q31+Q32+Q33+Q34+Q35+Q36+Q37+Q38+Q39, "NA")</f>
        <v>80432.160000000003</v>
      </c>
      <c r="R40" s="15">
        <f>IFERROR(Q40/Q444, "NA")</f>
        <v>0.19107259544518257</v>
      </c>
      <c r="S40" s="2"/>
      <c r="T40" s="14">
        <f>IFERROR(T31+T32+T33+T34+T35+T36+T37+T38+T39, "NA")</f>
        <v>64138.42</v>
      </c>
      <c r="U40" s="15">
        <f>IFERROR(T40/T444, "NA")</f>
        <v>0.15100000296639679</v>
      </c>
      <c r="V40" s="2"/>
      <c r="W40" s="14">
        <f t="shared" si="10"/>
        <v>16293.740000000005</v>
      </c>
      <c r="X40" s="15">
        <f>IFERROR(W40/W444, "NA")</f>
        <v>-4.2799984239351598</v>
      </c>
      <c r="Y40" s="2"/>
      <c r="Z40" s="14">
        <f>IFERROR(Z31+Z32+Z33+Z34+Z35+Z36+Z37+Z38+Z39, "NA")</f>
        <v>43031.310000000005</v>
      </c>
      <c r="AA40" s="15">
        <f>IFERROR(Z40/Z444, "NA")</f>
        <v>0.11378959978324839</v>
      </c>
      <c r="AB40" s="2"/>
      <c r="AC40" s="14">
        <f t="shared" si="11"/>
        <v>37400.85</v>
      </c>
      <c r="AD40" s="15">
        <f>IFERROR(AC40/AC444, "NA")</f>
        <v>0.87415370872317866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2003.65</v>
      </c>
      <c r="C43" s="8">
        <f>IFERROR(B43/B444, "NA")</f>
        <v>1.6715548442512829E-2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2003.65</v>
      </c>
      <c r="I43" s="8">
        <f>IFERROR(H43/H444, "NA")</f>
        <v>-0.38038329742095345</v>
      </c>
      <c r="J43" s="9"/>
      <c r="K43" s="7">
        <v>6720</v>
      </c>
      <c r="L43" s="8">
        <f>IFERROR(K43/K444, "NA")</f>
        <v>6.2831395876128654E-2</v>
      </c>
      <c r="M43" s="9"/>
      <c r="N43" s="10">
        <f>IFERROR(B43-K43, "NA")</f>
        <v>-4716.3500000000004</v>
      </c>
      <c r="O43" s="8">
        <f>IFERROR(N43/N444, "NA")</f>
        <v>-0.36519690209639655</v>
      </c>
      <c r="P43" s="9"/>
      <c r="Q43" s="7">
        <v>10308.42</v>
      </c>
      <c r="R43" s="8">
        <f>IFERROR(Q43/Q444, "NA")</f>
        <v>2.4488420606123582E-2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10308.42</v>
      </c>
      <c r="X43" s="8">
        <f>IFERROR(W43/W444, "NA")</f>
        <v>-2.7077897004163356</v>
      </c>
      <c r="Y43" s="9"/>
      <c r="Z43" s="7">
        <v>13536.25</v>
      </c>
      <c r="AA43" s="8">
        <f>IFERROR(Z43/Z444, "NA")</f>
        <v>3.5794505676587485E-2</v>
      </c>
      <c r="AB43" s="9"/>
      <c r="AC43" s="10">
        <f>IFERROR(Q43-Z43, "NA")</f>
        <v>-3227.83</v>
      </c>
      <c r="AD43" s="8">
        <f>IFERROR(AC43/AC444, "NA")</f>
        <v>-7.5442658806629745E-2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24901.84</v>
      </c>
      <c r="F46" s="8">
        <f>IFERROR(E46/E444, "NA")</f>
        <v>0.19899997514681958</v>
      </c>
      <c r="G46" s="9"/>
      <c r="H46" s="10">
        <f t="shared" ref="H46:H62" si="12">IFERROR(B46-E46, "NA")</f>
        <v>-24901.84</v>
      </c>
      <c r="I46" s="8">
        <f>IFERROR(H46/H444, "NA")</f>
        <v>4.7274943283752124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84526.79</v>
      </c>
      <c r="U46" s="8">
        <f>IFERROR(T46/T444, "NA")</f>
        <v>0.19899999938788637</v>
      </c>
      <c r="V46" s="9"/>
      <c r="W46" s="10">
        <f t="shared" ref="W46:W62" si="14">IFERROR(Q46-T46, "NA")</f>
        <v>-84526.79</v>
      </c>
      <c r="X46" s="8">
        <f>IFERROR(W46/W444, "NA")</f>
        <v>22.203283468393263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13640.29</v>
      </c>
      <c r="C48" s="8">
        <f>IFERROR(B48/B444, "NA")</f>
        <v>0.11379478864318784</v>
      </c>
      <c r="D48" s="9"/>
      <c r="E48" s="7">
        <v>0</v>
      </c>
      <c r="F48" s="8">
        <f>IFERROR(E48/E444, "NA")</f>
        <v>0</v>
      </c>
      <c r="G48" s="9"/>
      <c r="H48" s="10">
        <f t="shared" si="12"/>
        <v>13640.29</v>
      </c>
      <c r="I48" s="8">
        <f>IFERROR(H48/H444, "NA")</f>
        <v>-2.5895433274164934</v>
      </c>
      <c r="J48" s="9"/>
      <c r="K48" s="7">
        <v>16058.11</v>
      </c>
      <c r="L48" s="8">
        <f>IFERROR(K48/K444, "NA")</f>
        <v>0.15014188488577684</v>
      </c>
      <c r="M48" s="9"/>
      <c r="N48" s="10">
        <f t="shared" si="13"/>
        <v>-2417.8199999999997</v>
      </c>
      <c r="O48" s="8">
        <f>IFERROR(N48/N444, "NA")</f>
        <v>-0.18721688887099333</v>
      </c>
      <c r="P48" s="9"/>
      <c r="Q48" s="7">
        <v>63070.239999999998</v>
      </c>
      <c r="R48" s="8">
        <f>IFERROR(Q48/Q444, "NA")</f>
        <v>0.14982805947460034</v>
      </c>
      <c r="S48" s="9"/>
      <c r="T48" s="7">
        <v>0</v>
      </c>
      <c r="U48" s="8">
        <f>IFERROR(T48/T444, "NA")</f>
        <v>0</v>
      </c>
      <c r="V48" s="9"/>
      <c r="W48" s="10">
        <f t="shared" si="14"/>
        <v>63070.239999999998</v>
      </c>
      <c r="X48" s="8">
        <f>IFERROR(W48/W444, "NA")</f>
        <v>-16.567131167995324</v>
      </c>
      <c r="Y48" s="9"/>
      <c r="Z48" s="7">
        <v>69079.59</v>
      </c>
      <c r="AA48" s="8">
        <f>IFERROR(Z48/Z444, "NA")</f>
        <v>0.18267022080645201</v>
      </c>
      <c r="AB48" s="9"/>
      <c r="AC48" s="10">
        <f t="shared" si="15"/>
        <v>-6009.3499999999985</v>
      </c>
      <c r="AD48" s="8">
        <f>IFERROR(AC48/AC444, "NA")</f>
        <v>-0.14045390918964762</v>
      </c>
    </row>
    <row r="49" spans="1:30" ht="16.5" customHeight="1" x14ac:dyDescent="0.45">
      <c r="A49" s="17" t="s">
        <v>47</v>
      </c>
      <c r="B49" s="7">
        <v>18.45</v>
      </c>
      <c r="C49" s="8">
        <f>IFERROR(B49/B444, "NA")</f>
        <v>1.5392003032683438E-4</v>
      </c>
      <c r="D49" s="9"/>
      <c r="E49" s="7">
        <v>0</v>
      </c>
      <c r="F49" s="8">
        <f>IFERROR(E49/E444, "NA")</f>
        <v>0</v>
      </c>
      <c r="G49" s="9"/>
      <c r="H49" s="10">
        <f t="shared" si="12"/>
        <v>18.45</v>
      </c>
      <c r="I49" s="8">
        <f>IFERROR(H49/H444, "NA")</f>
        <v>-3.5026435941489732E-3</v>
      </c>
      <c r="J49" s="9"/>
      <c r="K49" s="7">
        <v>0</v>
      </c>
      <c r="L49" s="8">
        <f>IFERROR(K49/K444, "NA")</f>
        <v>0</v>
      </c>
      <c r="M49" s="9"/>
      <c r="N49" s="10">
        <f t="shared" si="13"/>
        <v>18.45</v>
      </c>
      <c r="O49" s="8">
        <f>IFERROR(N49/N444, "NA")</f>
        <v>1.4286223125252614E-3</v>
      </c>
      <c r="P49" s="9"/>
      <c r="Q49" s="7">
        <v>18.45</v>
      </c>
      <c r="R49" s="8">
        <f>IFERROR(Q49/Q444, "NA")</f>
        <v>4.3829351169527441E-5</v>
      </c>
      <c r="S49" s="9"/>
      <c r="T49" s="7">
        <v>0</v>
      </c>
      <c r="U49" s="8">
        <f>IFERROR(T49/T444, "NA")</f>
        <v>0</v>
      </c>
      <c r="V49" s="9"/>
      <c r="W49" s="10">
        <f t="shared" si="14"/>
        <v>18.45</v>
      </c>
      <c r="X49" s="8">
        <f>IFERROR(W49/W444, "NA")</f>
        <v>-4.8463993485598558E-3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18.45</v>
      </c>
      <c r="AD49" s="8">
        <f>IFERROR(AC49/AC444, "NA")</f>
        <v>4.3122378036709451E-4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11.65</v>
      </c>
      <c r="C54" s="8">
        <f>IFERROR(B54/B444, "NA")</f>
        <v>9.7190696656239596E-5</v>
      </c>
      <c r="D54" s="9"/>
      <c r="E54" s="7">
        <v>0</v>
      </c>
      <c r="F54" s="8">
        <f>IFERROR(E54/E444, "NA")</f>
        <v>0</v>
      </c>
      <c r="G54" s="9"/>
      <c r="H54" s="10">
        <f t="shared" si="12"/>
        <v>11.65</v>
      </c>
      <c r="I54" s="8">
        <f>IFERROR(H54/H444, "NA")</f>
        <v>-2.2116963616171026E-3</v>
      </c>
      <c r="J54" s="9"/>
      <c r="K54" s="7">
        <v>0</v>
      </c>
      <c r="L54" s="8">
        <f>IFERROR(K54/K444, "NA")</f>
        <v>0</v>
      </c>
      <c r="M54" s="9"/>
      <c r="N54" s="10">
        <f t="shared" si="13"/>
        <v>11.65</v>
      </c>
      <c r="O54" s="8">
        <f>IFERROR(N54/N444, "NA")</f>
        <v>9.0208400763790218E-4</v>
      </c>
      <c r="P54" s="9"/>
      <c r="Q54" s="7">
        <v>11.65</v>
      </c>
      <c r="R54" s="8">
        <f>IFERROR(Q54/Q444, "NA")</f>
        <v>2.767544396341435E-5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11.65</v>
      </c>
      <c r="X54" s="8">
        <f>IFERROR(W54/W444, "NA")</f>
        <v>-3.0601925425865757E-3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11.65</v>
      </c>
      <c r="AD54" s="8">
        <f>IFERROR(AC54/AC444, "NA")</f>
        <v>2.7229035454073993E-4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customHeight="1" x14ac:dyDescent="0.45">
      <c r="A56" s="17" t="s">
        <v>54</v>
      </c>
      <c r="B56" s="7">
        <v>32.799999999999997</v>
      </c>
      <c r="C56" s="8">
        <f>IFERROR(B56/B444, "NA")</f>
        <v>2.7363560946992775E-4</v>
      </c>
      <c r="D56" s="9"/>
      <c r="E56" s="7">
        <v>0</v>
      </c>
      <c r="F56" s="8">
        <f>IFERROR(E56/E444, "NA")</f>
        <v>0</v>
      </c>
      <c r="G56" s="9"/>
      <c r="H56" s="10">
        <f t="shared" si="12"/>
        <v>32.799999999999997</v>
      </c>
      <c r="I56" s="8">
        <f>IFERROR(H56/H444, "NA")</f>
        <v>-6.2269219451537303E-3</v>
      </c>
      <c r="J56" s="9"/>
      <c r="K56" s="7">
        <v>0</v>
      </c>
      <c r="L56" s="8">
        <f>IFERROR(K56/K444, "NA")</f>
        <v>0</v>
      </c>
      <c r="M56" s="9"/>
      <c r="N56" s="10">
        <f t="shared" si="13"/>
        <v>32.799999999999997</v>
      </c>
      <c r="O56" s="8">
        <f>IFERROR(N56/N444, "NA")</f>
        <v>2.5397730000449089E-3</v>
      </c>
      <c r="P56" s="9"/>
      <c r="Q56" s="7">
        <v>32.799999999999997</v>
      </c>
      <c r="R56" s="8">
        <f>IFERROR(Q56/Q444, "NA")</f>
        <v>7.7918846523604342E-5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32.799999999999997</v>
      </c>
      <c r="X56" s="8">
        <f>IFERROR(W56/W444, "NA")</f>
        <v>-8.6158210641064104E-3</v>
      </c>
      <c r="Y56" s="9"/>
      <c r="Z56" s="7">
        <v>887.25</v>
      </c>
      <c r="AA56" s="8">
        <f>IFERROR(Z56/Z444, "NA")</f>
        <v>2.3461944897259024E-3</v>
      </c>
      <c r="AB56" s="9"/>
      <c r="AC56" s="10">
        <f t="shared" si="15"/>
        <v>-854.45</v>
      </c>
      <c r="AD56" s="8">
        <f>IFERROR(AC56/AC444, "NA")</f>
        <v>-1.9970686131960104E-2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13703.19</v>
      </c>
      <c r="C61" s="15">
        <f>IFERROR(B61/B444, "NA")</f>
        <v>0.11431953497964084</v>
      </c>
      <c r="D61" s="2"/>
      <c r="E61" s="14">
        <f>IFERROR(E46+E47+E48+E49+E50+E51+E52+E53+E54+E55+E56+E57+E58+E59+E60, "NA")</f>
        <v>24901.84</v>
      </c>
      <c r="F61" s="15">
        <f>IFERROR(E61/E444, "NA")</f>
        <v>0.19899997514681958</v>
      </c>
      <c r="G61" s="2"/>
      <c r="H61" s="14">
        <f t="shared" si="12"/>
        <v>-11198.65</v>
      </c>
      <c r="I61" s="15">
        <f>IFERROR(H61/H444, "NA")</f>
        <v>2.1260097390577997</v>
      </c>
      <c r="J61" s="2"/>
      <c r="K61" s="14">
        <f>IFERROR(K46+K47+K48+K49+K50+K51+K52+K53+K54+K55+K56+K57+K58+K59+K60, "NA")</f>
        <v>16058.11</v>
      </c>
      <c r="L61" s="15">
        <f>IFERROR(K61/K444, "NA")</f>
        <v>0.15014188488577684</v>
      </c>
      <c r="M61" s="2"/>
      <c r="N61" s="14">
        <f t="shared" si="13"/>
        <v>-2354.92</v>
      </c>
      <c r="O61" s="15">
        <f>IFERROR(N61/N444, "NA")</f>
        <v>-0.18234640955078529</v>
      </c>
      <c r="P61" s="2"/>
      <c r="Q61" s="14">
        <f>IFERROR(Q46+Q47+Q48+Q49+Q50+Q51+Q52+Q53+Q54+Q55+Q56+Q57+Q58+Q59+Q60, "NA")</f>
        <v>63133.14</v>
      </c>
      <c r="R61" s="15">
        <f>IFERROR(Q61/Q444, "NA")</f>
        <v>0.14997748311625689</v>
      </c>
      <c r="S61" s="2"/>
      <c r="T61" s="14">
        <f>IFERROR(T46+T47+T48+T49+T50+T51+T52+T53+T54+T55+T56+T57+T58+T59+T60, "NA")</f>
        <v>84526.79</v>
      </c>
      <c r="U61" s="15">
        <f>IFERROR(T61/T444, "NA")</f>
        <v>0.19899999938788637</v>
      </c>
      <c r="V61" s="2"/>
      <c r="W61" s="14">
        <f t="shared" si="14"/>
        <v>-21393.649999999994</v>
      </c>
      <c r="X61" s="15">
        <f>IFERROR(W61/W444, "NA")</f>
        <v>5.6196298874426844</v>
      </c>
      <c r="Y61" s="2"/>
      <c r="Z61" s="14">
        <f>IFERROR(Z46+Z47+Z48+Z49+Z50+Z51+Z52+Z53+Z54+Z55+Z56+Z57+Z58+Z59+Z60, "NA")</f>
        <v>69966.84</v>
      </c>
      <c r="AA61" s="15">
        <f>IFERROR(Z61/Z444, "NA")</f>
        <v>0.18501641529617791</v>
      </c>
      <c r="AB61" s="2"/>
      <c r="AC61" s="14">
        <f t="shared" si="15"/>
        <v>-6833.6999999999971</v>
      </c>
      <c r="AD61" s="15">
        <f>IFERROR(AC61/AC444, "NA")</f>
        <v>-0.15972108118669986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15706.84</v>
      </c>
      <c r="C62" s="15">
        <f>IFERROR(B62/B444, "NA")</f>
        <v>0.13103508342215367</v>
      </c>
      <c r="D62" s="2"/>
      <c r="E62" s="14">
        <f>IFERROR(E42+E43+E44+E46+E47+E48+E49+E50+E51+E52+E53+E54+E55+E56+E57+E58+E59+E60, "NA")</f>
        <v>24901.84</v>
      </c>
      <c r="F62" s="15">
        <f>IFERROR(E62/E444, "NA")</f>
        <v>0.19899997514681958</v>
      </c>
      <c r="G62" s="2"/>
      <c r="H62" s="14">
        <f t="shared" si="12"/>
        <v>-9195</v>
      </c>
      <c r="I62" s="15">
        <f>IFERROR(H62/H444, "NA")</f>
        <v>1.7456264416368461</v>
      </c>
      <c r="J62" s="2"/>
      <c r="K62" s="14">
        <f>IFERROR(K42+K43+K44+K46+K47+K48+K49+K50+K51+K52+K53+K54+K55+K56+K57+K58+K59+K60, "NA")</f>
        <v>22778.11</v>
      </c>
      <c r="L62" s="15">
        <f>IFERROR(K62/K444, "NA")</f>
        <v>0.2129732807619055</v>
      </c>
      <c r="M62" s="2"/>
      <c r="N62" s="14">
        <f t="shared" si="13"/>
        <v>-7071.27</v>
      </c>
      <c r="O62" s="15">
        <f>IFERROR(N62/N444, "NA")</f>
        <v>-0.54754331164718184</v>
      </c>
      <c r="P62" s="2"/>
      <c r="Q62" s="14">
        <f>IFERROR(Q42+Q43+Q44+Q46+Q47+Q48+Q49+Q50+Q51+Q52+Q53+Q54+Q55+Q56+Q57+Q58+Q59+Q60, "NA")</f>
        <v>73441.56</v>
      </c>
      <c r="R62" s="15">
        <f>IFERROR(Q62/Q444, "NA")</f>
        <v>0.17446590372238047</v>
      </c>
      <c r="S62" s="2"/>
      <c r="T62" s="14">
        <f>IFERROR(T42+T43+T44+T46+T47+T48+T49+T50+T51+T52+T53+T54+T55+T56+T57+T58+T59+T60, "NA")</f>
        <v>84526.79</v>
      </c>
      <c r="U62" s="15">
        <f>IFERROR(T62/T444, "NA")</f>
        <v>0.19899999938788637</v>
      </c>
      <c r="V62" s="2"/>
      <c r="W62" s="14">
        <f t="shared" si="14"/>
        <v>-11085.229999999996</v>
      </c>
      <c r="X62" s="15">
        <f>IFERROR(W62/W444, "NA")</f>
        <v>2.9118401870263497</v>
      </c>
      <c r="Y62" s="2"/>
      <c r="Z62" s="14">
        <f>IFERROR(Z42+Z43+Z44+Z46+Z47+Z48+Z49+Z50+Z51+Z52+Z53+Z54+Z55+Z56+Z57+Z58+Z59+Z60, "NA")</f>
        <v>83503.09</v>
      </c>
      <c r="AA62" s="15">
        <f>IFERROR(Z62/Z444, "NA")</f>
        <v>0.22081092097276539</v>
      </c>
      <c r="AB62" s="2"/>
      <c r="AC62" s="14">
        <f t="shared" si="15"/>
        <v>-10061.529999999999</v>
      </c>
      <c r="AD62" s="15">
        <f>IFERROR(AC62/AC444, "NA")</f>
        <v>-0.23516373999332965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1634.65</v>
      </c>
      <c r="C65" s="8">
        <f>IFERROR(B65/B444, "NA")</f>
        <v>1.3637147835976143E-2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1634.65</v>
      </c>
      <c r="I65" s="8">
        <f>IFERROR(H65/H444, "NA")</f>
        <v>-0.31033042553797396</v>
      </c>
      <c r="J65" s="9"/>
      <c r="K65" s="7">
        <v>0</v>
      </c>
      <c r="L65" s="8">
        <f>IFERROR(K65/K444, "NA")</f>
        <v>0</v>
      </c>
      <c r="M65" s="9"/>
      <c r="N65" s="10">
        <f t="shared" si="17"/>
        <v>1634.65</v>
      </c>
      <c r="O65" s="8">
        <f>IFERROR(N65/N444, "NA")</f>
        <v>0.12657438824766495</v>
      </c>
      <c r="P65" s="9"/>
      <c r="Q65" s="7">
        <v>2601.56</v>
      </c>
      <c r="R65" s="8">
        <f>IFERROR(Q65/Q444, "NA")</f>
        <v>6.180199828108174E-3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2601.56</v>
      </c>
      <c r="X65" s="8">
        <f>IFERROR(W65/W444, "NA")</f>
        <v>-0.68337120266880103</v>
      </c>
      <c r="Y65" s="9"/>
      <c r="Z65" s="7">
        <v>468.24</v>
      </c>
      <c r="AA65" s="8">
        <f>IFERROR(Z65/Z444, "NA")</f>
        <v>1.2381877800724222E-3</v>
      </c>
      <c r="AB65" s="9"/>
      <c r="AC65" s="10">
        <f t="shared" si="19"/>
        <v>2133.3199999999997</v>
      </c>
      <c r="AD65" s="8">
        <f>IFERROR(AC65/AC444, "NA")</f>
        <v>4.9861155291746881E-2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0</v>
      </c>
      <c r="AD66" s="8">
        <f>IFERROR(AC66/AC444,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1634.65</v>
      </c>
      <c r="C73" s="15">
        <f>IFERROR(B73/B444, "NA")</f>
        <v>1.3637147835976143E-2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1634.65</v>
      </c>
      <c r="I73" s="15">
        <f>IFERROR(H73/H444, "NA")</f>
        <v>-0.31033042553797396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1634.65</v>
      </c>
      <c r="O73" s="15">
        <f>IFERROR(N73/N444, "NA")</f>
        <v>0.12657438824766495</v>
      </c>
      <c r="P73" s="2"/>
      <c r="Q73" s="14">
        <f>IFERROR(Q64+Q65+Q66+Q67+Q68+Q69+Q70+Q71+Q72, "NA")</f>
        <v>2601.56</v>
      </c>
      <c r="R73" s="15">
        <f>IFERROR(Q73/Q444, "NA")</f>
        <v>6.180199828108174E-3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2601.56</v>
      </c>
      <c r="X73" s="15">
        <f>IFERROR(W73/W444, "NA")</f>
        <v>-0.68337120266880103</v>
      </c>
      <c r="Y73" s="2"/>
      <c r="Z73" s="14">
        <f>IFERROR(Z64+Z65+Z66+Z67+Z68+Z69+Z70+Z71+Z72, "NA")</f>
        <v>468.24</v>
      </c>
      <c r="AA73" s="15">
        <f>IFERROR(Z73/Z444, "NA")</f>
        <v>1.2381877800724222E-3</v>
      </c>
      <c r="AB73" s="2"/>
      <c r="AC73" s="14">
        <f t="shared" si="19"/>
        <v>2133.3199999999997</v>
      </c>
      <c r="AD73" s="15">
        <f>IFERROR(AC73/AC444, "NA")</f>
        <v>4.9861155291746881E-2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1626.75</v>
      </c>
      <c r="F75" s="8">
        <f>IFERROR(E75/E444, "NA")</f>
        <v>1.2999971470786445E-2</v>
      </c>
      <c r="G75" s="9"/>
      <c r="H75" s="10">
        <f t="shared" ref="H75:H92" si="20">IFERROR(B75-E75, "NA")</f>
        <v>-1626.75</v>
      </c>
      <c r="I75" s="8">
        <f>IFERROR(H75/H444, "NA")</f>
        <v>0.30883064860606191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5521.84</v>
      </c>
      <c r="U75" s="8">
        <f>IFERROR(T75/T444, "NA")</f>
        <v>1.29999749975127E-2</v>
      </c>
      <c r="V75" s="9"/>
      <c r="W75" s="10">
        <f t="shared" ref="W75:W92" si="22">IFERROR(Q75-T75, "NA")</f>
        <v>-5521.84</v>
      </c>
      <c r="X75" s="8">
        <f>IFERROR(W75/W444, "NA")</f>
        <v>1.4504629690434556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268.74</v>
      </c>
      <c r="C77" s="8">
        <f>IFERROR(B77/B444, "NA")</f>
        <v>2.2419766368581826E-3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268.74</v>
      </c>
      <c r="I77" s="8">
        <f>IFERROR(H77/H444, "NA")</f>
        <v>-5.1018994010384559E-2</v>
      </c>
      <c r="J77" s="9"/>
      <c r="K77" s="7">
        <v>80.73</v>
      </c>
      <c r="L77" s="8">
        <f>IFERROR(K77/K444, "NA")</f>
        <v>7.5481824242259923E-4</v>
      </c>
      <c r="M77" s="9"/>
      <c r="N77" s="10">
        <f t="shared" si="21"/>
        <v>188.01</v>
      </c>
      <c r="O77" s="8">
        <f>IFERROR(N77/N444, "NA")</f>
        <v>1.4558009809098882E-2</v>
      </c>
      <c r="P77" s="9"/>
      <c r="Q77" s="7">
        <v>1177.27</v>
      </c>
      <c r="R77" s="8">
        <f>IFERROR(Q77/Q444, "NA")</f>
        <v>2.7966926965501122E-3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1177.27</v>
      </c>
      <c r="X77" s="8">
        <f>IFERROR(W77/W444, "NA")</f>
        <v>-0.30924230683355347</v>
      </c>
      <c r="Y77" s="9"/>
      <c r="Z77" s="7">
        <v>301.99</v>
      </c>
      <c r="AA77" s="8">
        <f>IFERROR(Z77/Z444, "NA")</f>
        <v>7.9856553840780542E-4</v>
      </c>
      <c r="AB77" s="9"/>
      <c r="AC77" s="10">
        <f t="shared" si="23"/>
        <v>875.28</v>
      </c>
      <c r="AD77" s="8">
        <f>IFERROR(AC77/AC444, "NA")</f>
        <v>2.0457536611366421E-2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2.99</v>
      </c>
      <c r="L79" s="8">
        <f>IFERROR(K79/K444, "NA")</f>
        <v>2.7956231200837007E-5</v>
      </c>
      <c r="M79" s="9"/>
      <c r="N79" s="10">
        <f t="shared" si="21"/>
        <v>-2.99</v>
      </c>
      <c r="O79" s="8">
        <f>IFERROR(N79/N444, "NA")</f>
        <v>-2.3152198994311825E-4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11.96</v>
      </c>
      <c r="AA79" s="8">
        <f>IFERROR(Z79/Z444, "NA")</f>
        <v>3.1626357956744769E-5</v>
      </c>
      <c r="AB79" s="9"/>
      <c r="AC79" s="10">
        <f t="shared" si="23"/>
        <v>-11.96</v>
      </c>
      <c r="AD79" s="8">
        <f>IFERROR(AC79/AC444, "NA")</f>
        <v>-2.7953584895341199E-4</v>
      </c>
    </row>
    <row r="80" spans="1:30" ht="16.5" customHeight="1" x14ac:dyDescent="0.45">
      <c r="A80" s="12" t="s">
        <v>76</v>
      </c>
      <c r="B80" s="7">
        <v>1413.65</v>
      </c>
      <c r="C80" s="8">
        <f>IFERROR(B80/B444, "NA")</f>
        <v>1.1793444491681812E-2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1413.65</v>
      </c>
      <c r="I80" s="8">
        <f>IFERROR(H80/H444, "NA")</f>
        <v>-0.26837464048068815</v>
      </c>
      <c r="J80" s="9"/>
      <c r="K80" s="7">
        <v>1495</v>
      </c>
      <c r="L80" s="8">
        <f>IFERROR(K80/K444, "NA")</f>
        <v>1.3978115600418502E-2</v>
      </c>
      <c r="M80" s="9"/>
      <c r="N80" s="10">
        <f t="shared" si="21"/>
        <v>-81.349999999999909</v>
      </c>
      <c r="O80" s="8">
        <f>IFERROR(N80/N444, "NA")</f>
        <v>-6.2991016327333263E-3</v>
      </c>
      <c r="P80" s="9"/>
      <c r="Q80" s="7">
        <v>5339.29</v>
      </c>
      <c r="R80" s="8">
        <f>IFERROR(Q80/Q444, "NA")</f>
        <v>1.2683881648018763E-2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5339.29</v>
      </c>
      <c r="X80" s="8">
        <f>IFERROR(W80/W444, "NA")</f>
        <v>-1.402511196627217</v>
      </c>
      <c r="Y80" s="9"/>
      <c r="Z80" s="7">
        <v>6025</v>
      </c>
      <c r="AA80" s="8">
        <f>IFERROR(Z80/Z444, "NA")</f>
        <v>1.5932174472356789E-2</v>
      </c>
      <c r="AB80" s="9"/>
      <c r="AC80" s="10">
        <f t="shared" si="23"/>
        <v>-685.71</v>
      </c>
      <c r="AD80" s="8">
        <f>IFERROR(AC80/AC444, "NA")</f>
        <v>-1.6026799915204358E-2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1682.39</v>
      </c>
      <c r="C88" s="15">
        <f>IFERROR(B88/B444, "NA")</f>
        <v>1.4035421128539994E-2</v>
      </c>
      <c r="D88" s="2"/>
      <c r="E88" s="14">
        <f>IFERROR(E75+E76+E77+E78+E79+E80+E81+E82+E83+E84+E85+E86+E87, "NA")</f>
        <v>1626.75</v>
      </c>
      <c r="F88" s="15">
        <f>IFERROR(E88/E444, "NA")</f>
        <v>1.2999971470786445E-2</v>
      </c>
      <c r="G88" s="2"/>
      <c r="H88" s="14">
        <f t="shared" si="20"/>
        <v>55.6400000000001</v>
      </c>
      <c r="I88" s="15">
        <f>IFERROR(H88/H444, "NA")</f>
        <v>-1.0562985885010798E-2</v>
      </c>
      <c r="J88" s="2"/>
      <c r="K88" s="14">
        <f>IFERROR(K75+K76+K77+K78+K79+K80+K81+K82+K83+K84+K85+K86+K87, "NA")</f>
        <v>1578.72</v>
      </c>
      <c r="L88" s="15">
        <f>IFERROR(K88/K444, "NA")</f>
        <v>1.476089007404194E-2</v>
      </c>
      <c r="M88" s="2"/>
      <c r="N88" s="14">
        <f t="shared" si="21"/>
        <v>103.67000000000007</v>
      </c>
      <c r="O88" s="15">
        <f>IFERROR(N88/N444, "NA")</f>
        <v>8.0273861864224357E-3</v>
      </c>
      <c r="P88" s="2"/>
      <c r="Q88" s="14">
        <f>IFERROR(Q75+Q76+Q77+Q78+Q79+Q80+Q81+Q82+Q83+Q84+Q85+Q86+Q87, "NA")</f>
        <v>6516.5599999999995</v>
      </c>
      <c r="R88" s="15">
        <f>IFERROR(Q88/Q444, "NA")</f>
        <v>1.5480574344568874E-2</v>
      </c>
      <c r="S88" s="2"/>
      <c r="T88" s="14">
        <f>IFERROR(T75+T76+T77+T78+T79+T80+T81+T82+T83+T84+T85+T86+T87, "NA")</f>
        <v>5521.84</v>
      </c>
      <c r="U88" s="15">
        <f>IFERROR(T88/T444, "NA")</f>
        <v>1.29999749975127E-2</v>
      </c>
      <c r="V88" s="2"/>
      <c r="W88" s="14">
        <f t="shared" si="22"/>
        <v>994.71999999999935</v>
      </c>
      <c r="X88" s="15">
        <f>IFERROR(W88/W444, "NA")</f>
        <v>-0.2612905344173147</v>
      </c>
      <c r="Y88" s="2"/>
      <c r="Z88" s="14">
        <f>IFERROR(Z75+Z76+Z77+Z78+Z79+Z80+Z81+Z82+Z83+Z84+Z85+Z86+Z87, "NA")</f>
        <v>6338.95</v>
      </c>
      <c r="AA88" s="15">
        <f>IFERROR(Z88/Z444, "NA")</f>
        <v>1.6762366368721339E-2</v>
      </c>
      <c r="AB88" s="2"/>
      <c r="AC88" s="14">
        <f t="shared" si="23"/>
        <v>177.60999999999967</v>
      </c>
      <c r="AD88" s="15">
        <f>IFERROR(AC88/AC444, "NA")</f>
        <v>4.151200847208646E-3</v>
      </c>
    </row>
    <row r="89" spans="1:30" ht="16.5" customHeight="1" x14ac:dyDescent="0.45">
      <c r="A89" s="6" t="s">
        <v>85</v>
      </c>
      <c r="B89" s="7">
        <v>219.95</v>
      </c>
      <c r="C89" s="8">
        <f>IFERROR(B89/B444, "NA")</f>
        <v>1.8349436677716649E-3</v>
      </c>
      <c r="D89" s="9"/>
      <c r="E89" s="7">
        <v>0</v>
      </c>
      <c r="F89" s="8">
        <f>IFERROR(E89/E444, "NA")</f>
        <v>0</v>
      </c>
      <c r="G89" s="9"/>
      <c r="H89" s="10">
        <f t="shared" si="20"/>
        <v>219.95</v>
      </c>
      <c r="I89" s="8">
        <f>IFERROR(H89/H444, "NA")</f>
        <v>-4.1756447616968381E-2</v>
      </c>
      <c r="J89" s="9"/>
      <c r="K89" s="7">
        <v>-333.64</v>
      </c>
      <c r="L89" s="8">
        <f>IFERROR(K89/K444, "NA")</f>
        <v>-3.1195040059689826E-3</v>
      </c>
      <c r="M89" s="9"/>
      <c r="N89" s="10">
        <f t="shared" si="21"/>
        <v>553.58999999999992</v>
      </c>
      <c r="O89" s="8">
        <f>IFERROR(N89/N444, "NA")</f>
        <v>4.2865638265087228E-2</v>
      </c>
      <c r="P89" s="9"/>
      <c r="Q89" s="7">
        <v>178.9</v>
      </c>
      <c r="R89" s="8">
        <f>IFERROR(Q89/Q444, "NA")</f>
        <v>4.2499029399612246E-4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178.9</v>
      </c>
      <c r="X89" s="8">
        <f>IFERROR(W89/W444, "NA")</f>
        <v>-4.6992999645385274E-2</v>
      </c>
      <c r="Y89" s="9"/>
      <c r="Z89" s="7">
        <v>1328.08</v>
      </c>
      <c r="AA89" s="8">
        <f>IFERROR(Z89/Z444, "NA")</f>
        <v>3.5119007922402665E-3</v>
      </c>
      <c r="AB89" s="9"/>
      <c r="AC89" s="10">
        <f t="shared" si="23"/>
        <v>-1149.1799999999998</v>
      </c>
      <c r="AD89" s="8">
        <f>IFERROR(AC89/AC444, "NA")</f>
        <v>-2.6859281513401497E-2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-4379.72</v>
      </c>
      <c r="F94" s="8">
        <f>IFERROR(E94/E444, "NA")</f>
        <v>-3.4999990809917204E-2</v>
      </c>
      <c r="G94" s="9"/>
      <c r="H94" s="10">
        <f t="shared" ref="H94:H124" si="24">IFERROR(B94-E94, "NA")</f>
        <v>4379.72</v>
      </c>
      <c r="I94" s="8">
        <f>IFERROR(H94/H444, "NA")</f>
        <v>-0.83146873724477743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-14866.52</v>
      </c>
      <c r="U94" s="8">
        <f>IFERROR(T94/T444, "NA")</f>
        <v>-3.4999997881145148E-2</v>
      </c>
      <c r="V94" s="9"/>
      <c r="W94" s="10">
        <f t="shared" ref="W94:W124" si="26">IFERROR(Q94-T94, "NA")</f>
        <v>14866.52</v>
      </c>
      <c r="X94" s="8">
        <f>IFERROR(W94/W444, "NA")</f>
        <v>-3.9050998831085133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-1558.65</v>
      </c>
      <c r="C96" s="8">
        <f>IFERROR(B96/B444, "NA")</f>
        <v>-1.3003114106716554E-2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-1558.65</v>
      </c>
      <c r="I96" s="8">
        <f>IFERROR(H96/H444, "NA")</f>
        <v>0.29590219176261778</v>
      </c>
      <c r="J96" s="9"/>
      <c r="K96" s="7">
        <v>-25.23</v>
      </c>
      <c r="L96" s="8">
        <f>IFERROR(K96/K444, "NA")</f>
        <v>-2.3589823183850088E-4</v>
      </c>
      <c r="M96" s="9"/>
      <c r="N96" s="10">
        <f t="shared" si="25"/>
        <v>-1533.42</v>
      </c>
      <c r="O96" s="8">
        <f>IFERROR(N96/N444, "NA")</f>
        <v>-0.11873593639417269</v>
      </c>
      <c r="P96" s="9"/>
      <c r="Q96" s="7">
        <v>-5680.57</v>
      </c>
      <c r="R96" s="8">
        <f>IFERROR(Q96/Q444, "NA")</f>
        <v>-1.3494617743798509E-2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-5680.57</v>
      </c>
      <c r="X96" s="8">
        <f>IFERROR(W96/W444, "NA")</f>
        <v>1.4921577640893582</v>
      </c>
      <c r="Y96" s="9"/>
      <c r="Z96" s="7">
        <v>-393.6</v>
      </c>
      <c r="AA96" s="8">
        <f>IFERROR(Z96/Z444, "NA")</f>
        <v>-1.0408139207169515E-3</v>
      </c>
      <c r="AB96" s="9"/>
      <c r="AC96" s="10">
        <f t="shared" si="27"/>
        <v>-5286.9699999999993</v>
      </c>
      <c r="AD96" s="8">
        <f>IFERROR(AC96/AC444, "NA")</f>
        <v>-0.12357003740311205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-2096.58</v>
      </c>
      <c r="C98" s="8">
        <f>IFERROR(B98/B444, "NA")</f>
        <v>-1.749082152751406E-2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-2096.58</v>
      </c>
      <c r="I98" s="8">
        <f>IFERROR(H98/H444, "NA")</f>
        <v>0.39802561011495147</v>
      </c>
      <c r="J98" s="9"/>
      <c r="K98" s="7">
        <v>-1758.36</v>
      </c>
      <c r="L98" s="8">
        <f>IFERROR(K98/K444, "NA")</f>
        <v>-1.6440507924516307E-2</v>
      </c>
      <c r="M98" s="9"/>
      <c r="N98" s="10">
        <f t="shared" si="25"/>
        <v>-338.22</v>
      </c>
      <c r="O98" s="8">
        <f>IFERROR(N98/N444, "NA")</f>
        <v>-2.6189086099853331E-2</v>
      </c>
      <c r="P98" s="9"/>
      <c r="Q98" s="7">
        <v>-8114.82</v>
      </c>
      <c r="R98" s="8">
        <f>IFERROR(Q98/Q444, "NA")</f>
        <v>-1.9277360187398628E-2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-8114.82</v>
      </c>
      <c r="X98" s="8">
        <f>IFERROR(W98/W444, "NA")</f>
        <v>2.1315803990070727</v>
      </c>
      <c r="Y98" s="9"/>
      <c r="Z98" s="7">
        <v>-6809.22</v>
      </c>
      <c r="AA98" s="8">
        <f>IFERROR(Z98/Z444, "NA")</f>
        <v>-1.8005922167744617E-2</v>
      </c>
      <c r="AB98" s="9"/>
      <c r="AC98" s="10">
        <f t="shared" si="27"/>
        <v>-1305.5999999999995</v>
      </c>
      <c r="AD98" s="8">
        <f>IFERROR(AC98/AC444, "NA")</f>
        <v>-3.0515217758660073E-2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-6.77</v>
      </c>
      <c r="C100" s="8">
        <f>IFERROR(B100/B444, "NA")</f>
        <v>-5.6479057198518626E-5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-6.77</v>
      </c>
      <c r="I100" s="8">
        <f>IFERROR(H100/H444, "NA")</f>
        <v>1.2852518770942302E-3</v>
      </c>
      <c r="J100" s="9"/>
      <c r="K100" s="7">
        <v>-404.84</v>
      </c>
      <c r="L100" s="8">
        <f>IFERROR(K100/K444, "NA")</f>
        <v>-3.7852176051327265E-3</v>
      </c>
      <c r="M100" s="9"/>
      <c r="N100" s="10">
        <f t="shared" si="25"/>
        <v>398.07</v>
      </c>
      <c r="O100" s="8">
        <f>IFERROR(N100/N444, "NA")</f>
        <v>3.0823397503898686E-2</v>
      </c>
      <c r="P100" s="9"/>
      <c r="Q100" s="7">
        <v>-592.38</v>
      </c>
      <c r="R100" s="8">
        <f>IFERROR(Q100/Q444, "NA")</f>
        <v>-1.407242875111364E-3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-592.38</v>
      </c>
      <c r="X100" s="8">
        <f>IFERROR(W100/W444, "NA")</f>
        <v>0.15560488054741936</v>
      </c>
      <c r="Y100" s="9"/>
      <c r="Z100" s="7">
        <v>-2657.16</v>
      </c>
      <c r="AA100" s="8">
        <f>IFERROR(Z100/Z444, "NA")</f>
        <v>-7.0264459287912974E-3</v>
      </c>
      <c r="AB100" s="9"/>
      <c r="AC100" s="10">
        <f t="shared" si="27"/>
        <v>2064.7799999999997</v>
      </c>
      <c r="AD100" s="8">
        <f>IFERROR(AC100/AC444, "NA")</f>
        <v>4.8259199849667714E-2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-1415.22</v>
      </c>
      <c r="C102" s="8">
        <f>IFERROR(B102/B444, "NA")</f>
        <v>-1.1806542293720463E-2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-1415.22</v>
      </c>
      <c r="I102" s="8">
        <f>IFERROR(H102/H444, "NA")</f>
        <v>0.26867269741525801</v>
      </c>
      <c r="J102" s="9"/>
      <c r="K102" s="7">
        <v>-680.8</v>
      </c>
      <c r="L102" s="8">
        <f>IFERROR(K102/K444, "NA")</f>
        <v>-6.3654187964982713E-3</v>
      </c>
      <c r="M102" s="9"/>
      <c r="N102" s="10">
        <f t="shared" si="25"/>
        <v>-734.42000000000007</v>
      </c>
      <c r="O102" s="8">
        <f>IFERROR(N102/N444, "NA")</f>
        <v>-5.6867685569907997E-2</v>
      </c>
      <c r="P102" s="9"/>
      <c r="Q102" s="7">
        <v>-6716.38</v>
      </c>
      <c r="R102" s="8">
        <f>IFERROR(Q102/Q444, "NA")</f>
        <v>-1.5955261658969686E-2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-6716.38</v>
      </c>
      <c r="X102" s="8">
        <f>IFERROR(W102/W444, "NA")</f>
        <v>1.7642417158092383</v>
      </c>
      <c r="Y102" s="9"/>
      <c r="Z102" s="7">
        <v>-1678.21</v>
      </c>
      <c r="AA102" s="8">
        <f>IFERROR(Z102/Z444, "NA")</f>
        <v>-4.4377650657682803E-3</v>
      </c>
      <c r="AB102" s="9"/>
      <c r="AC102" s="10">
        <f t="shared" si="27"/>
        <v>-5038.17</v>
      </c>
      <c r="AD102" s="8">
        <f>IFERROR(AC102/AC444, "NA")</f>
        <v>-0.11775494382287721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-1451.2</v>
      </c>
      <c r="C104" s="8">
        <f>IFERROR(B104/B444, "NA")</f>
        <v>-1.2106707209230464E-2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-1451.2</v>
      </c>
      <c r="I104" s="8">
        <f>IFERROR(H104/H444, "NA")</f>
        <v>0.27550332703680164</v>
      </c>
      <c r="J104" s="9"/>
      <c r="K104" s="7">
        <v>-534.99</v>
      </c>
      <c r="L104" s="8">
        <f>IFERROR(K104/K444, "NA")</f>
        <v>-5.0021084047276888E-3</v>
      </c>
      <c r="M104" s="9"/>
      <c r="N104" s="10">
        <f t="shared" si="25"/>
        <v>-916.21</v>
      </c>
      <c r="O104" s="8">
        <f>IFERROR(N104/N444, "NA")</f>
        <v>-7.094406769424226E-2</v>
      </c>
      <c r="P104" s="9"/>
      <c r="Q104" s="7">
        <v>-4331.17</v>
      </c>
      <c r="R104" s="8">
        <f>IFERROR(Q104/Q444, "NA")</f>
        <v>-1.0289017393220714E-2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-4331.17</v>
      </c>
      <c r="X104" s="8">
        <f>IFERROR(W104/W444, "NA")</f>
        <v>1.1377007840922488</v>
      </c>
      <c r="Y104" s="9"/>
      <c r="Z104" s="7">
        <v>-2596.3000000000002</v>
      </c>
      <c r="AA104" s="8">
        <f>IFERROR(Z104/Z444, "NA")</f>
        <v>-6.8655111340381637E-3</v>
      </c>
      <c r="AB104" s="9"/>
      <c r="AC104" s="10">
        <f t="shared" si="27"/>
        <v>-1734.87</v>
      </c>
      <c r="AD104" s="8">
        <f>IFERROR(AC104/AC444, "NA")</f>
        <v>-4.0548357715201148E-2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-844.74</v>
      </c>
      <c r="R106" s="8">
        <f>IFERROR(Q106/Q444, "NA")</f>
        <v>-2.0067428784252906E-3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-844.74</v>
      </c>
      <c r="X106" s="8">
        <f>IFERROR(W106/W444, "NA")</f>
        <v>0.22189416724674541</v>
      </c>
      <c r="Y106" s="9"/>
      <c r="Z106" s="7">
        <v>-513.59</v>
      </c>
      <c r="AA106" s="8">
        <f>IFERROR(Z106/Z444, "NA")</f>
        <v>-1.3581087945655974E-3</v>
      </c>
      <c r="AB106" s="9"/>
      <c r="AC106" s="10">
        <f t="shared" si="27"/>
        <v>-331.15</v>
      </c>
      <c r="AD106" s="8">
        <f>IFERROR(AC106/AC444, "NA")</f>
        <v>-7.739824112117254E-3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-6528.42</v>
      </c>
      <c r="C118" s="15">
        <f>IFERROR(B118/B444, "NA")</f>
        <v>-5.4463664194380056E-2</v>
      </c>
      <c r="D118" s="2"/>
      <c r="E118" s="14">
        <f>IFERROR(E94+E95+E96+E97+E98+E99+E100+E101+E102+E103+E104+E105+E106+E107+E108+E109+E110+E111+E112+E113+E114+E115+E116+E117, "NA")</f>
        <v>-4379.72</v>
      </c>
      <c r="F118" s="15">
        <f>IFERROR(E118/E444, "NA")</f>
        <v>-3.4999990809917204E-2</v>
      </c>
      <c r="G118" s="2"/>
      <c r="H118" s="14">
        <f t="shared" si="24"/>
        <v>-2148.6999999999998</v>
      </c>
      <c r="I118" s="15">
        <f>IFERROR(H118/H444, "NA")</f>
        <v>0.40792034096194574</v>
      </c>
      <c r="J118" s="2"/>
      <c r="K118" s="14">
        <f>IFERROR(K94+K95+K96+K97+K98+K99+K100+K101+K102+K103+K104+K105+K106+K107+K108+K109+K110+K111+K112+K113+K114+K115+K116+K117, "NA")</f>
        <v>-3404.2199999999993</v>
      </c>
      <c r="L118" s="15">
        <f>IFERROR(K118/K444, "NA")</f>
        <v>-3.1829150962713486E-2</v>
      </c>
      <c r="M118" s="2"/>
      <c r="N118" s="14">
        <f t="shared" si="25"/>
        <v>-3124.2000000000007</v>
      </c>
      <c r="O118" s="15">
        <f>IFERROR(N118/N444, "NA")</f>
        <v>-0.24191337825427764</v>
      </c>
      <c r="P118" s="2"/>
      <c r="Q118" s="14">
        <f>IFERROR(Q94+Q95+Q96+Q97+Q98+Q99+Q100+Q101+Q102+Q103+Q104+Q105+Q106+Q107+Q108+Q109+Q110+Q111+Q112+Q113+Q114+Q115+Q116+Q117, "NA")</f>
        <v>-26280.06</v>
      </c>
      <c r="R118" s="15">
        <f>IFERROR(Q118/Q444, "NA")</f>
        <v>-6.2430242736924199E-2</v>
      </c>
      <c r="S118" s="2"/>
      <c r="T118" s="14">
        <f>IFERROR(T94+T95+T96+T97+T98+T99+T100+T101+T102+T103+T104+T105+T106+T107+T108+T109+T110+T111+T112+T113+T114+T115+T116+T117, "NA")</f>
        <v>-14866.52</v>
      </c>
      <c r="U118" s="15">
        <f>IFERROR(T118/T444, "NA")</f>
        <v>-3.4999997881145148E-2</v>
      </c>
      <c r="V118" s="2"/>
      <c r="W118" s="14">
        <f t="shared" si="26"/>
        <v>-11413.54</v>
      </c>
      <c r="X118" s="15">
        <f>IFERROR(W118/W444, "NA")</f>
        <v>2.9980798276835698</v>
      </c>
      <c r="Y118" s="2"/>
      <c r="Z118" s="14">
        <f>IFERROR(Z94+Z95+Z96+Z97+Z98+Z99+Z100+Z101+Z102+Z103+Z104+Z105+Z106+Z107+Z108+Z109+Z110+Z111+Z112+Z113+Z114+Z115+Z116+Z117, "NA")</f>
        <v>-14648.079999999998</v>
      </c>
      <c r="AA118" s="15">
        <f>IFERROR(Z118/Z444, "NA")</f>
        <v>-3.87345670116249E-2</v>
      </c>
      <c r="AB118" s="2"/>
      <c r="AC118" s="14">
        <f t="shared" si="27"/>
        <v>-11631.980000000003</v>
      </c>
      <c r="AD118" s="15">
        <f>IFERROR(AC118/AC444, "NA")</f>
        <v>-0.27186918096230012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119867.43999999999</v>
      </c>
      <c r="C122" s="15">
        <f>IFERROR(B122/B444, "NA")</f>
        <v>0.99999999999999989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125134.88999999998</v>
      </c>
      <c r="F122" s="15">
        <f>IFERROR(E122/E444, "NA")</f>
        <v>0.99999999999999989</v>
      </c>
      <c r="G122" s="2"/>
      <c r="H122" s="14">
        <f t="shared" si="24"/>
        <v>-5267.4499999999971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106952.90000000002</v>
      </c>
      <c r="L122" s="15">
        <f>IFERROR(K122/K444, "NA")</f>
        <v>1.0000000000000002</v>
      </c>
      <c r="M122" s="2"/>
      <c r="N122" s="14">
        <f t="shared" si="25"/>
        <v>12914.539999999964</v>
      </c>
      <c r="O122" s="15">
        <f>IFERROR(N122/N444, "NA")</f>
        <v>0.99999999999999667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420950.79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424757.74</v>
      </c>
      <c r="U122" s="15">
        <f>IFERROR(T122/T444, "NA")</f>
        <v>1</v>
      </c>
      <c r="V122" s="2"/>
      <c r="W122" s="14">
        <f t="shared" si="26"/>
        <v>-3806.9500000000116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378165.58000000007</v>
      </c>
      <c r="AA122" s="15">
        <f>IFERROR(Z122/Z444, "NA")</f>
        <v>1.0000000000000002</v>
      </c>
      <c r="AB122" s="2"/>
      <c r="AC122" s="14">
        <f t="shared" si="27"/>
        <v>42785.209999999905</v>
      </c>
      <c r="AD122" s="15">
        <f>IFERROR(AC122/AC444, "NA")</f>
        <v>0.99999999999999867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119867.43999999999</v>
      </c>
      <c r="C124" s="15">
        <f>IFERROR(B124/B444, "NA")</f>
        <v>0.99999999999999989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125134.88999999998</v>
      </c>
      <c r="F124" s="15">
        <f>IFERROR(E124/E444, "NA")</f>
        <v>0.99999999999999989</v>
      </c>
      <c r="G124" s="2"/>
      <c r="H124" s="14">
        <f t="shared" si="24"/>
        <v>-5267.4499999999971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106952.90000000002</v>
      </c>
      <c r="L124" s="15">
        <f>IFERROR(K124/K444, "NA")</f>
        <v>1.0000000000000002</v>
      </c>
      <c r="M124" s="2"/>
      <c r="N124" s="14">
        <f t="shared" si="25"/>
        <v>12914.539999999964</v>
      </c>
      <c r="O124" s="15">
        <f>IFERROR(N124/N444, "NA")</f>
        <v>0.99999999999999667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420950.79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424757.74</v>
      </c>
      <c r="U124" s="15">
        <f>IFERROR(T124/T444, "NA")</f>
        <v>1</v>
      </c>
      <c r="V124" s="2"/>
      <c r="W124" s="14">
        <f t="shared" si="26"/>
        <v>-3806.9500000000116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378165.58000000007</v>
      </c>
      <c r="AA124" s="15">
        <f>IFERROR(Z124/Z444, "NA")</f>
        <v>1.0000000000000002</v>
      </c>
      <c r="AB124" s="2"/>
      <c r="AC124" s="14">
        <f t="shared" si="27"/>
        <v>42785.209999999905</v>
      </c>
      <c r="AD124" s="15">
        <f>IFERROR(AC124/AC444, "NA")</f>
        <v>0.99999999999999867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28530.76</v>
      </c>
      <c r="F129" s="8">
        <f>IFERROR(E129/E444, "NA")</f>
        <v>0.22800004059619183</v>
      </c>
      <c r="G129" s="9"/>
      <c r="H129" s="10">
        <f t="shared" ref="H129:H141" si="28">IFERROR(-(B129-E129), "NA")</f>
        <v>28530.76</v>
      </c>
      <c r="I129" s="8">
        <f>IFERROR(H129/H444, "NA")</f>
        <v>-5.4164273035339709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102747.1</v>
      </c>
      <c r="U129" s="8">
        <f>IFERROR(T129/T444, "NA")</f>
        <v>0.24189576863272699</v>
      </c>
      <c r="V129" s="9"/>
      <c r="W129" s="10">
        <f t="shared" ref="W129:W141" si="30">IFERROR(-(Q129-T129), "NA")</f>
        <v>102747.1</v>
      </c>
      <c r="X129" s="8">
        <f>IFERROR(W129/W444, "NA")</f>
        <v>-26.989348428531947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7559.58</v>
      </c>
      <c r="C130" s="8">
        <f>IFERROR(B130/B444, "NA")</f>
        <v>6.3066167092581601E-2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-7559.58</v>
      </c>
      <c r="I130" s="8">
        <f>IFERROR(H130/H444, "NA")</f>
        <v>1.435149835309306</v>
      </c>
      <c r="J130" s="9"/>
      <c r="K130" s="7">
        <v>6070.07</v>
      </c>
      <c r="L130" s="8">
        <f>IFERROR(K130/K444, "NA")</f>
        <v>5.6754608804436349E-2</v>
      </c>
      <c r="M130" s="9"/>
      <c r="N130" s="10">
        <f t="shared" si="29"/>
        <v>-1489.5100000000002</v>
      </c>
      <c r="O130" s="8">
        <f>IFERROR(N130/N444, "NA")</f>
        <v>-0.11533589272246625</v>
      </c>
      <c r="P130" s="9"/>
      <c r="Q130" s="7">
        <v>24948.18</v>
      </c>
      <c r="R130" s="8">
        <f>IFERROR(Q130/Q444, "NA")</f>
        <v>5.9266262453148033E-2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-24948.18</v>
      </c>
      <c r="X130" s="8">
        <f>IFERROR(W130/W444, "NA")</f>
        <v>6.553324840095069</v>
      </c>
      <c r="Y130" s="9"/>
      <c r="Z130" s="7">
        <v>23526.63</v>
      </c>
      <c r="AA130" s="8">
        <f>IFERROR(Z130/Z444, "NA")</f>
        <v>6.2212510191964061E-2</v>
      </c>
      <c r="AB130" s="9"/>
      <c r="AC130" s="10">
        <f t="shared" si="31"/>
        <v>-1421.5499999999993</v>
      </c>
      <c r="AD130" s="8">
        <f>IFERROR(AC130/AC444, "NA")</f>
        <v>-3.3225266394625634E-2</v>
      </c>
    </row>
    <row r="131" spans="1:30" ht="16.5" customHeight="1" x14ac:dyDescent="0.45">
      <c r="A131" s="12" t="s">
        <v>123</v>
      </c>
      <c r="B131" s="7">
        <v>4304.6099999999997</v>
      </c>
      <c r="C131" s="8">
        <f>IFERROR(B131/B444, "NA")</f>
        <v>3.5911420148791028E-2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-4304.6099999999997</v>
      </c>
      <c r="I131" s="8">
        <f>IFERROR(H131/H444, "NA")</f>
        <v>0.81720946568073771</v>
      </c>
      <c r="J131" s="9"/>
      <c r="K131" s="7">
        <v>3855.56</v>
      </c>
      <c r="L131" s="8">
        <f>IFERROR(K131/K444, "NA")</f>
        <v>3.6049139387524791E-2</v>
      </c>
      <c r="M131" s="9"/>
      <c r="N131" s="10">
        <f t="shared" si="29"/>
        <v>-449.04999999999973</v>
      </c>
      <c r="O131" s="8">
        <f>IFERROR(N131/N444, "NA")</f>
        <v>-3.4770886148480659E-2</v>
      </c>
      <c r="P131" s="9"/>
      <c r="Q131" s="7">
        <v>14725.23</v>
      </c>
      <c r="R131" s="8">
        <f>IFERROR(Q131/Q444, "NA")</f>
        <v>3.4980882207157754E-2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-14725.23</v>
      </c>
      <c r="X131" s="8">
        <f>IFERROR(W131/W444, "NA")</f>
        <v>3.8679861831649891</v>
      </c>
      <c r="Y131" s="9"/>
      <c r="Z131" s="7">
        <v>12980.07</v>
      </c>
      <c r="AA131" s="8">
        <f>IFERROR(Z131/Z444, "NA")</f>
        <v>3.4323774257826421E-2</v>
      </c>
      <c r="AB131" s="9"/>
      <c r="AC131" s="10">
        <f t="shared" si="31"/>
        <v>-1745.1599999999999</v>
      </c>
      <c r="AD131" s="8">
        <f>IFERROR(AC131/AC444, "NA")</f>
        <v>-4.0788861384576616E-2</v>
      </c>
    </row>
    <row r="132" spans="1:30" ht="16.5" customHeight="1" x14ac:dyDescent="0.45">
      <c r="A132" s="12" t="s">
        <v>124</v>
      </c>
      <c r="B132" s="7">
        <v>5450.74</v>
      </c>
      <c r="C132" s="8">
        <f>IFERROR(B132/B444, "NA")</f>
        <v>4.5473065913479084E-2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-5450.74</v>
      </c>
      <c r="I132" s="8">
        <f>IFERROR(H132/H444, "NA")</f>
        <v>1.034796723272172</v>
      </c>
      <c r="J132" s="9"/>
      <c r="K132" s="7">
        <v>3455.87</v>
      </c>
      <c r="L132" s="8">
        <f>IFERROR(K132/K444, "NA")</f>
        <v>3.2312073819410224E-2</v>
      </c>
      <c r="M132" s="9"/>
      <c r="N132" s="10">
        <f t="shared" si="29"/>
        <v>-1994.87</v>
      </c>
      <c r="O132" s="8">
        <f>IFERROR(N132/N444, "NA")</f>
        <v>-0.15446698062803621</v>
      </c>
      <c r="P132" s="9"/>
      <c r="Q132" s="7">
        <v>16926.52</v>
      </c>
      <c r="R132" s="8">
        <f>IFERROR(Q132/Q444, "NA")</f>
        <v>4.021021079447315E-2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-16926.52</v>
      </c>
      <c r="X132" s="8">
        <f>IFERROR(W132/W444, "NA")</f>
        <v>4.446215474329831</v>
      </c>
      <c r="Y132" s="9"/>
      <c r="Z132" s="7">
        <v>12931.3</v>
      </c>
      <c r="AA132" s="8">
        <f>IFERROR(Z132/Z444, "NA")</f>
        <v>3.419480958579043E-2</v>
      </c>
      <c r="AB132" s="9"/>
      <c r="AC132" s="10">
        <f t="shared" si="31"/>
        <v>-3995.2200000000012</v>
      </c>
      <c r="AD132" s="8">
        <f>IFERROR(AC132/AC444, "NA")</f>
        <v>-9.3378529636760105E-2</v>
      </c>
    </row>
    <row r="133" spans="1:30" ht="16.5" customHeight="1" x14ac:dyDescent="0.45">
      <c r="A133" s="12" t="s">
        <v>125</v>
      </c>
      <c r="B133" s="7">
        <v>3221.17</v>
      </c>
      <c r="C133" s="8">
        <f>IFERROR(B133/B444, "NA")</f>
        <v>2.6872768785251442E-2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-3221.17</v>
      </c>
      <c r="I133" s="8">
        <f>IFERROR(H133/H444, "NA")</f>
        <v>0.61152360250215987</v>
      </c>
      <c r="J133" s="9"/>
      <c r="K133" s="7">
        <v>2919.34</v>
      </c>
      <c r="L133" s="8">
        <f>IFERROR(K133/K444, "NA")</f>
        <v>2.7295566553127596E-2</v>
      </c>
      <c r="M133" s="9"/>
      <c r="N133" s="10">
        <f t="shared" si="29"/>
        <v>-301.82999999999993</v>
      </c>
      <c r="O133" s="8">
        <f>IFERROR(N133/N444, "NA")</f>
        <v>-2.337133184766935E-2</v>
      </c>
      <c r="P133" s="9"/>
      <c r="Q133" s="7">
        <v>10852.47</v>
      </c>
      <c r="R133" s="8">
        <f>IFERROR(Q133/Q444, "NA")</f>
        <v>2.5780851961342083E-2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-10852.47</v>
      </c>
      <c r="X133" s="8">
        <f>IFERROR(W133/W444, "NA")</f>
        <v>2.850699378767771</v>
      </c>
      <c r="Y133" s="9"/>
      <c r="Z133" s="7">
        <v>8843.6200000000008</v>
      </c>
      <c r="AA133" s="8">
        <f>IFERROR(Z133/Z444, "NA")</f>
        <v>2.3385576233564145E-2</v>
      </c>
      <c r="AB133" s="9"/>
      <c r="AC133" s="10">
        <f t="shared" si="31"/>
        <v>-2008.8499999999985</v>
      </c>
      <c r="AD133" s="8">
        <f>IFERROR(AC133/AC444, "NA")</f>
        <v>-4.695197242224592E-2</v>
      </c>
    </row>
    <row r="134" spans="1:30" ht="16.5" customHeight="1" x14ac:dyDescent="0.45">
      <c r="A134" s="12" t="s">
        <v>126</v>
      </c>
      <c r="B134" s="7">
        <v>971.89</v>
      </c>
      <c r="C134" s="8">
        <f>IFERROR(B134/B444, "NA")</f>
        <v>8.1080400148697586E-3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-971.89</v>
      </c>
      <c r="I134" s="8">
        <f>IFERROR(H134/H444, "NA")</f>
        <v>0.18450863320961766</v>
      </c>
      <c r="J134" s="9"/>
      <c r="K134" s="7">
        <v>1789.46</v>
      </c>
      <c r="L134" s="8">
        <f>IFERROR(K134/K444, "NA")</f>
        <v>1.6731290128645413E-2</v>
      </c>
      <c r="M134" s="9"/>
      <c r="N134" s="10">
        <f t="shared" si="29"/>
        <v>817.57</v>
      </c>
      <c r="O134" s="8">
        <f>IFERROR(N134/N444, "NA")</f>
        <v>6.3306164989229155E-2</v>
      </c>
      <c r="P134" s="9"/>
      <c r="Q134" s="7">
        <v>3377.27</v>
      </c>
      <c r="R134" s="8">
        <f>IFERROR(Q134/Q444, "NA")</f>
        <v>8.0229567926455251E-3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-3377.27</v>
      </c>
      <c r="X134" s="8">
        <f>IFERROR(W134/W444, "NA")</f>
        <v>0.88713274406020293</v>
      </c>
      <c r="Y134" s="9"/>
      <c r="Z134" s="7">
        <v>4879.43</v>
      </c>
      <c r="AA134" s="8">
        <f>IFERROR(Z134/Z444, "NA")</f>
        <v>1.2902892960274174E-2</v>
      </c>
      <c r="AB134" s="9"/>
      <c r="AC134" s="10">
        <f t="shared" si="31"/>
        <v>1502.1600000000003</v>
      </c>
      <c r="AD134" s="8">
        <f>IFERROR(AC134/AC444, "NA")</f>
        <v>3.5109328667546603E-2</v>
      </c>
    </row>
    <row r="135" spans="1:30" ht="16.5" customHeight="1" x14ac:dyDescent="0.45">
      <c r="A135" s="12" t="s">
        <v>127</v>
      </c>
      <c r="B135" s="7">
        <v>821.53</v>
      </c>
      <c r="C135" s="8">
        <f>IFERROR(B135/B444, "NA")</f>
        <v>6.853654336824078E-3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-821.53</v>
      </c>
      <c r="I135" s="8">
        <f>IFERROR(H135/H444, "NA")</f>
        <v>0.15596351175616294</v>
      </c>
      <c r="J135" s="9"/>
      <c r="K135" s="7">
        <v>798.43</v>
      </c>
      <c r="L135" s="8">
        <f>IFERROR(K135/K444, "NA")</f>
        <v>7.4652487216335418E-3</v>
      </c>
      <c r="M135" s="9"/>
      <c r="N135" s="10">
        <f t="shared" si="29"/>
        <v>-23.100000000000023</v>
      </c>
      <c r="O135" s="8">
        <f>IFERROR(N135/N444, "NA")</f>
        <v>-1.7886815945438248E-3</v>
      </c>
      <c r="P135" s="9"/>
      <c r="Q135" s="7">
        <v>3063.5</v>
      </c>
      <c r="R135" s="8">
        <f>IFERROR(Q135/Q444, "NA")</f>
        <v>7.2775727538128632E-3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-3063.5</v>
      </c>
      <c r="X135" s="8">
        <f>IFERROR(W135/W444, "NA")</f>
        <v>0.80471243383810942</v>
      </c>
      <c r="Y135" s="9"/>
      <c r="Z135" s="7">
        <v>2506.89</v>
      </c>
      <c r="AA135" s="8">
        <f>IFERROR(Z135/Z444, "NA")</f>
        <v>6.6290803092126996E-3</v>
      </c>
      <c r="AB135" s="9"/>
      <c r="AC135" s="10">
        <f t="shared" si="31"/>
        <v>-556.61000000000013</v>
      </c>
      <c r="AD135" s="8">
        <f>IFERROR(AC135/AC444, "NA")</f>
        <v>-1.3009402080765774E-2</v>
      </c>
    </row>
    <row r="136" spans="1:30" ht="16.5" customHeight="1" x14ac:dyDescent="0.45">
      <c r="A136" s="12" t="s">
        <v>128</v>
      </c>
      <c r="B136" s="7">
        <v>1355.13</v>
      </c>
      <c r="C136" s="8">
        <f>IFERROR(B136/B444, "NA")</f>
        <v>1.1305238520151929E-2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-1355.13</v>
      </c>
      <c r="I136" s="8">
        <f>IFERROR(H136/H444, "NA")</f>
        <v>0.2572649004736639</v>
      </c>
      <c r="J136" s="9"/>
      <c r="K136" s="7">
        <v>1380.57</v>
      </c>
      <c r="L136" s="8">
        <f>IFERROR(K136/K444, "NA")</f>
        <v>1.2908205387605199E-2</v>
      </c>
      <c r="M136" s="9"/>
      <c r="N136" s="10">
        <f t="shared" si="29"/>
        <v>25.439999999999827</v>
      </c>
      <c r="O136" s="8">
        <f>IFERROR(N136/N444, "NA")</f>
        <v>1.9698727171079894E-3</v>
      </c>
      <c r="P136" s="9"/>
      <c r="Q136" s="7">
        <v>3698.11</v>
      </c>
      <c r="R136" s="8">
        <f>IFERROR(Q136/Q444, "NA")</f>
        <v>8.7851361438233671E-3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-3698.11</v>
      </c>
      <c r="X136" s="8">
        <f>IFERROR(W136/W444, "NA")</f>
        <v>0.97141018400556578</v>
      </c>
      <c r="Y136" s="9"/>
      <c r="Z136" s="7">
        <v>3908.68</v>
      </c>
      <c r="AA136" s="8">
        <f>IFERROR(Z136/Z444, "NA")</f>
        <v>1.0335895720599425E-2</v>
      </c>
      <c r="AB136" s="9"/>
      <c r="AC136" s="10">
        <f t="shared" si="31"/>
        <v>210.56999999999971</v>
      </c>
      <c r="AD136" s="8">
        <f>IFERROR(AC136/AC444, "NA")</f>
        <v>4.9215605112140366E-3</v>
      </c>
    </row>
    <row r="137" spans="1:30" ht="16.5" customHeight="1" x14ac:dyDescent="0.45">
      <c r="A137" s="12" t="s">
        <v>129</v>
      </c>
      <c r="B137" s="7">
        <v>922.39</v>
      </c>
      <c r="C137" s="8">
        <f>IFERROR(B137/B444, "NA")</f>
        <v>7.6950838359441057E-3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-922.39</v>
      </c>
      <c r="I137" s="8">
        <f>IFERROR(H137/H444, "NA")</f>
        <v>0.17511129673751066</v>
      </c>
      <c r="J137" s="9"/>
      <c r="K137" s="7">
        <v>831.93</v>
      </c>
      <c r="L137" s="8">
        <f>IFERROR(K137/K444, "NA")</f>
        <v>7.7784707100041232E-3</v>
      </c>
      <c r="M137" s="9"/>
      <c r="N137" s="10">
        <f t="shared" si="29"/>
        <v>-90.460000000000036</v>
      </c>
      <c r="O137" s="8">
        <f>IFERROR(N137/N444, "NA")</f>
        <v>-7.0045080970750784E-3</v>
      </c>
      <c r="P137" s="9"/>
      <c r="Q137" s="7">
        <v>2711.91</v>
      </c>
      <c r="R137" s="8">
        <f>IFERROR(Q137/Q444, "NA")</f>
        <v>6.4423444840191416E-3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-2711.91</v>
      </c>
      <c r="X137" s="8">
        <f>IFERROR(W137/W444, "NA")</f>
        <v>0.7123576616451468</v>
      </c>
      <c r="Y137" s="9"/>
      <c r="Z137" s="7">
        <v>2406.4299999999998</v>
      </c>
      <c r="AA137" s="8">
        <f>IFERROR(Z137/Z444, "NA")</f>
        <v>6.363429479753286E-3</v>
      </c>
      <c r="AB137" s="9"/>
      <c r="AC137" s="10">
        <f t="shared" si="31"/>
        <v>-305.48</v>
      </c>
      <c r="AD137" s="8">
        <f>IFERROR(AC137/AC444, "NA")</f>
        <v>-7.1398504296227667E-3</v>
      </c>
    </row>
    <row r="138" spans="1:30" ht="16.5" customHeight="1" x14ac:dyDescent="0.45">
      <c r="A138" s="12" t="s">
        <v>130</v>
      </c>
      <c r="B138" s="7">
        <v>7467.91</v>
      </c>
      <c r="C138" s="8">
        <f>IFERROR(B138/B444, "NA")</f>
        <v>6.2301405619407571E-2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-7467.91</v>
      </c>
      <c r="I138" s="8">
        <f>IFERROR(H138/H444, "NA")</f>
        <v>1.4177467275436888</v>
      </c>
      <c r="J138" s="9"/>
      <c r="K138" s="7">
        <v>4897.63</v>
      </c>
      <c r="L138" s="8">
        <f>IFERROR(K138/K444, "NA")</f>
        <v>4.5792400206072024E-2</v>
      </c>
      <c r="M138" s="9"/>
      <c r="N138" s="10">
        <f t="shared" si="29"/>
        <v>-2570.2799999999997</v>
      </c>
      <c r="O138" s="8">
        <f>IFERROR(N138/N444, "NA")</f>
        <v>-0.19902218739498256</v>
      </c>
      <c r="P138" s="9"/>
      <c r="Q138" s="7">
        <v>25266.25</v>
      </c>
      <c r="R138" s="8">
        <f>IFERROR(Q138/Q444, "NA")</f>
        <v>6.0021861462713967E-2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-25266.25</v>
      </c>
      <c r="X138" s="8">
        <f>IFERROR(W138/W444, "NA")</f>
        <v>6.6368746634444697</v>
      </c>
      <c r="Y138" s="9"/>
      <c r="Z138" s="7">
        <v>19516.18</v>
      </c>
      <c r="AA138" s="8">
        <f>IFERROR(Z138/Z444, "NA")</f>
        <v>5.1607499550858117E-2</v>
      </c>
      <c r="AB138" s="9"/>
      <c r="AC138" s="10">
        <f t="shared" si="31"/>
        <v>-5750.07</v>
      </c>
      <c r="AD138" s="8">
        <f>IFERROR(AC138/AC444, "NA")</f>
        <v>-0.13439387115313925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32074.949999999997</v>
      </c>
      <c r="C141" s="15">
        <f>IFERROR(B141/B444, "NA")</f>
        <v>0.26758684426730056</v>
      </c>
      <c r="D141" s="2"/>
      <c r="E141" s="14">
        <f>IFERROR(E129+E130+E131+E132+E133+E134+E135+E136+E137+E138+E139+E140, "NA")</f>
        <v>28530.76</v>
      </c>
      <c r="F141" s="15">
        <f>IFERROR(E141/E444, "NA")</f>
        <v>0.22800004059619183</v>
      </c>
      <c r="G141" s="2"/>
      <c r="H141" s="14">
        <f t="shared" si="28"/>
        <v>-3544.1899999999987</v>
      </c>
      <c r="I141" s="15">
        <f>IFERROR(H141/H444, "NA")</f>
        <v>0.67284739295104856</v>
      </c>
      <c r="J141" s="2"/>
      <c r="K141" s="14">
        <f>IFERROR(K129+K130+K131+K132+K133+K134+K135+K136+K137+K138+K139+K140, "NA")</f>
        <v>25998.86</v>
      </c>
      <c r="L141" s="15">
        <f>IFERROR(K141/K444, "NA")</f>
        <v>0.24308700371845926</v>
      </c>
      <c r="M141" s="2"/>
      <c r="N141" s="14">
        <f t="shared" si="29"/>
        <v>-6076.0899999999965</v>
      </c>
      <c r="O141" s="15">
        <f>IFERROR(N141/N444, "NA")</f>
        <v>-0.47048443072691654</v>
      </c>
      <c r="P141" s="2"/>
      <c r="Q141" s="14">
        <f>IFERROR(Q129+Q130+Q131+Q132+Q133+Q134+Q135+Q136+Q137+Q138+Q139+Q140, "NA")</f>
        <v>105569.44000000002</v>
      </c>
      <c r="R141" s="15">
        <f>IFERROR(Q141/Q444, "NA")</f>
        <v>0.25078807905313594</v>
      </c>
      <c r="S141" s="2"/>
      <c r="T141" s="14">
        <f>IFERROR(T129+T130+T131+T132+T133+T134+T135+T136+T137+T138+T139+T140, "NA")</f>
        <v>102747.1</v>
      </c>
      <c r="U141" s="15">
        <f>IFERROR(T141/T444, "NA")</f>
        <v>0.24189576863272699</v>
      </c>
      <c r="V141" s="2"/>
      <c r="W141" s="14">
        <f t="shared" si="30"/>
        <v>-2822.3400000000111</v>
      </c>
      <c r="X141" s="15">
        <f>IFERROR(W141/W444, "NA")</f>
        <v>0.74136513481921285</v>
      </c>
      <c r="Y141" s="2"/>
      <c r="Z141" s="14">
        <f>IFERROR(Z129+Z130+Z131+Z132+Z133+Z134+Z135+Z136+Z137+Z138+Z139+Z140, "NA")</f>
        <v>91499.229999999981</v>
      </c>
      <c r="AA141" s="15">
        <f>IFERROR(Z141/Z444, "NA")</f>
        <v>0.24195546828984271</v>
      </c>
      <c r="AB141" s="2"/>
      <c r="AC141" s="14">
        <f t="shared" si="31"/>
        <v>-14070.210000000036</v>
      </c>
      <c r="AD141" s="15">
        <f>IFERROR(AC141/AC444, "NA")</f>
        <v>-0.32885686432297628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1657.81</v>
      </c>
      <c r="C144" s="8">
        <f>IFERROR(B144/B444, "NA")</f>
        <v>1.3830361272418932E-2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-1657.81</v>
      </c>
      <c r="I144" s="8">
        <f>IFERROR(H144/H444, "NA")</f>
        <v>0.31472723993583251</v>
      </c>
      <c r="J144" s="9"/>
      <c r="K144" s="7">
        <v>644.72</v>
      </c>
      <c r="L144" s="8">
        <f>IFERROR(K144/K444, "NA")</f>
        <v>6.0280740400681055E-3</v>
      </c>
      <c r="M144" s="9"/>
      <c r="N144" s="10">
        <f t="shared" si="33"/>
        <v>-1013.0899999999999</v>
      </c>
      <c r="O144" s="8">
        <f>IFERROR(N144/N444, "NA")</f>
        <v>-7.8445689896813928E-2</v>
      </c>
      <c r="P144" s="9"/>
      <c r="Q144" s="7">
        <v>5463.52</v>
      </c>
      <c r="R144" s="8">
        <f>IFERROR(Q144/Q444, "NA")</f>
        <v>1.2978999279226916E-2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-5463.52</v>
      </c>
      <c r="X144" s="8">
        <f>IFERROR(W144/W444, "NA")</f>
        <v>1.4351436189075202</v>
      </c>
      <c r="Y144" s="9"/>
      <c r="Z144" s="7">
        <v>3154.45</v>
      </c>
      <c r="AA144" s="8">
        <f>IFERROR(Z144/Z444, "NA")</f>
        <v>8.3414519110914312E-3</v>
      </c>
      <c r="AB144" s="9"/>
      <c r="AC144" s="10">
        <f t="shared" si="35"/>
        <v>-2309.0700000000006</v>
      </c>
      <c r="AD144" s="8">
        <f>IFERROR(AC144/AC444, "NA")</f>
        <v>-5.3968883172479526E-2</v>
      </c>
    </row>
    <row r="145" spans="1:30" ht="16.5" customHeight="1" x14ac:dyDescent="0.45">
      <c r="A145" s="12" t="s">
        <v>136</v>
      </c>
      <c r="B145" s="7">
        <v>184.56</v>
      </c>
      <c r="C145" s="8">
        <f>IFERROR(B145/B444, "NA")</f>
        <v>1.5397008562124961E-3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-184.56</v>
      </c>
      <c r="I145" s="8">
        <f>IFERROR(H145/H444, "NA")</f>
        <v>3.5037826652365017E-2</v>
      </c>
      <c r="J145" s="9"/>
      <c r="K145" s="7">
        <v>58.21</v>
      </c>
      <c r="L145" s="8">
        <f>IFERROR(K145/K444, "NA")</f>
        <v>5.4425826695676327E-4</v>
      </c>
      <c r="M145" s="9"/>
      <c r="N145" s="10">
        <f t="shared" si="33"/>
        <v>-126.35</v>
      </c>
      <c r="O145" s="8">
        <f>IFERROR(N145/N444, "NA")</f>
        <v>-9.7835462974290924E-3</v>
      </c>
      <c r="P145" s="9"/>
      <c r="Q145" s="7">
        <v>327.27</v>
      </c>
      <c r="R145" s="8">
        <f>IFERROR(Q145/Q444, "NA")</f>
        <v>7.7745429578597537E-4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-327.27</v>
      </c>
      <c r="X145" s="8">
        <f>IFERROR(W145/W444, "NA")</f>
        <v>8.5966456086893434E-2</v>
      </c>
      <c r="Y145" s="9"/>
      <c r="Z145" s="7">
        <v>234.03</v>
      </c>
      <c r="AA145" s="8">
        <f>IFERROR(Z145/Z444, "NA")</f>
        <v>6.1885589904824229E-4</v>
      </c>
      <c r="AB145" s="9"/>
      <c r="AC145" s="10">
        <f t="shared" si="35"/>
        <v>-93.239999999999981</v>
      </c>
      <c r="AD145" s="8">
        <f>IFERROR(AC145/AC444, "NA")</f>
        <v>-2.1792577388307795E-3</v>
      </c>
    </row>
    <row r="146" spans="1:30" ht="16.5" customHeight="1" x14ac:dyDescent="0.45">
      <c r="A146" s="12" t="s">
        <v>137</v>
      </c>
      <c r="B146" s="7">
        <v>274.85000000000002</v>
      </c>
      <c r="C146" s="8">
        <f>IFERROR(B146/B444, "NA")</f>
        <v>2.2929496116710262E-3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-274.85000000000002</v>
      </c>
      <c r="I146" s="8">
        <f>IFERROR(H146/H444, "NA")</f>
        <v>5.21789480678507E-2</v>
      </c>
      <c r="J146" s="9"/>
      <c r="K146" s="7">
        <v>862.19</v>
      </c>
      <c r="L146" s="8">
        <f>IFERROR(K146/K444, "NA")</f>
        <v>8.0613989896487163E-3</v>
      </c>
      <c r="M146" s="9"/>
      <c r="N146" s="10">
        <f t="shared" si="33"/>
        <v>587.34</v>
      </c>
      <c r="O146" s="8">
        <f>IFERROR(N146/N444, "NA")</f>
        <v>4.5478971763609051E-2</v>
      </c>
      <c r="P146" s="9"/>
      <c r="Q146" s="7">
        <v>602.03</v>
      </c>
      <c r="R146" s="8">
        <f>IFERROR(Q146/Q444, "NA")</f>
        <v>1.4301671698965098E-3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-602.03</v>
      </c>
      <c r="X146" s="8">
        <f>IFERROR(W146/W444, "NA")</f>
        <v>0.15813971814707262</v>
      </c>
      <c r="Y146" s="9"/>
      <c r="Z146" s="7">
        <v>1389.8</v>
      </c>
      <c r="AA146" s="8">
        <f>IFERROR(Z146/Z444, "NA")</f>
        <v>3.6751097231006585E-3</v>
      </c>
      <c r="AB146" s="9"/>
      <c r="AC146" s="10">
        <f t="shared" si="35"/>
        <v>787.77</v>
      </c>
      <c r="AD146" s="8">
        <f>IFERROR(AC146/AC444, "NA")</f>
        <v>1.8412203656356967E-2</v>
      </c>
    </row>
    <row r="147" spans="1:30" ht="16.5" customHeight="1" x14ac:dyDescent="0.45">
      <c r="A147" s="12" t="s">
        <v>138</v>
      </c>
      <c r="B147" s="7">
        <v>230.78</v>
      </c>
      <c r="C147" s="8">
        <f>IFERROR(B147/B444, "NA")</f>
        <v>1.9252934741911564E-3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-230.78</v>
      </c>
      <c r="I147" s="8">
        <f>IFERROR(H147/H444, "NA")</f>
        <v>4.3812470929956646E-2</v>
      </c>
      <c r="J147" s="9"/>
      <c r="K147" s="7">
        <v>32.22</v>
      </c>
      <c r="L147" s="8">
        <f>IFERROR(K147/K444, "NA")</f>
        <v>3.0125410344179543E-4</v>
      </c>
      <c r="M147" s="9"/>
      <c r="N147" s="10">
        <f t="shared" si="33"/>
        <v>-198.56</v>
      </c>
      <c r="O147" s="8">
        <f>IFERROR(N147/N444, "NA")</f>
        <v>-1.5374918502710888E-2</v>
      </c>
      <c r="P147" s="9"/>
      <c r="Q147" s="7">
        <v>252.15</v>
      </c>
      <c r="R147" s="8">
        <f>IFERROR(Q147/Q444, "NA")</f>
        <v>5.9900113265020836E-4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-252.15</v>
      </c>
      <c r="X147" s="8">
        <f>IFERROR(W147/W444, "NA")</f>
        <v>6.6234124430318037E-2</v>
      </c>
      <c r="Y147" s="9"/>
      <c r="Z147" s="7">
        <v>53.57</v>
      </c>
      <c r="AA147" s="8">
        <f>IFERROR(Z147/Z444, "NA")</f>
        <v>1.4165752472766031E-4</v>
      </c>
      <c r="AB147" s="9"/>
      <c r="AC147" s="10">
        <f t="shared" si="35"/>
        <v>-198.58</v>
      </c>
      <c r="AD147" s="8">
        <f>IFERROR(AC147/AC444, "NA")</f>
        <v>-4.6413234853819856E-3</v>
      </c>
    </row>
    <row r="148" spans="1:30" ht="16.5" customHeight="1" x14ac:dyDescent="0.45">
      <c r="A148" s="13" t="s">
        <v>139</v>
      </c>
      <c r="B148" s="14">
        <f>IFERROR(B143+B144+B145+B146+B147, "NA")</f>
        <v>2348</v>
      </c>
      <c r="C148" s="15">
        <f>IFERROR(B148/B444, "NA")</f>
        <v>1.9588305214493611E-2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-2348</v>
      </c>
      <c r="I148" s="15">
        <f>IFERROR(H148/H444, "NA")</f>
        <v>0.44575648558600484</v>
      </c>
      <c r="J148" s="2"/>
      <c r="K148" s="14">
        <f>IFERROR(K143+K144+K145+K146+K147, "NA")</f>
        <v>1597.3400000000001</v>
      </c>
      <c r="L148" s="15">
        <f>IFERROR(K148/K444, "NA")</f>
        <v>1.493498540011538E-2</v>
      </c>
      <c r="M148" s="2"/>
      <c r="N148" s="14">
        <f t="shared" si="33"/>
        <v>-750.65999999999985</v>
      </c>
      <c r="O148" s="15">
        <f>IFERROR(N148/N444, "NA")</f>
        <v>-5.812518293334485E-2</v>
      </c>
      <c r="P148" s="2"/>
      <c r="Q148" s="14">
        <f>IFERROR(Q143+Q144+Q145+Q146+Q147, "NA")</f>
        <v>6644.97</v>
      </c>
      <c r="R148" s="15">
        <f>IFERROR(Q148/Q444, "NA")</f>
        <v>1.5785621877559608E-2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-6644.97</v>
      </c>
      <c r="X148" s="15">
        <f>IFERROR(W148/W444, "NA")</f>
        <v>1.7454839175718042</v>
      </c>
      <c r="Y148" s="2"/>
      <c r="Z148" s="14">
        <f>IFERROR(Z143+Z144+Z145+Z146+Z147, "NA")</f>
        <v>4831.8499999999995</v>
      </c>
      <c r="AA148" s="15">
        <f>IFERROR(Z148/Z444, "NA")</f>
        <v>1.2777075057967992E-2</v>
      </c>
      <c r="AB148" s="2"/>
      <c r="AC148" s="14">
        <f t="shared" si="35"/>
        <v>-1813.1200000000008</v>
      </c>
      <c r="AD148" s="15">
        <f>IFERROR(AC148/AC444, "NA")</f>
        <v>-4.2377260740335328E-2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34422.94999999999</v>
      </c>
      <c r="C149" s="15">
        <f>IFERROR(B149/B444, "NA")</f>
        <v>0.28717514948179412</v>
      </c>
      <c r="D149" s="2"/>
      <c r="E149" s="14">
        <f>IFERROR(E127+E129+E130+E131+E132+E133+E134+E135+E136+E137+E138+E139+E140+E143+E144+E145+E146+E147, "NA")</f>
        <v>28530.76</v>
      </c>
      <c r="F149" s="15">
        <f>IFERROR(E149/E444, "NA")</f>
        <v>0.22800004059619183</v>
      </c>
      <c r="G149" s="2"/>
      <c r="H149" s="14">
        <f t="shared" si="32"/>
        <v>-5892.1899999999914</v>
      </c>
      <c r="I149" s="15">
        <f>IFERROR(H149/H444, "NA")</f>
        <v>1.118603878537052</v>
      </c>
      <c r="J149" s="2"/>
      <c r="K149" s="14">
        <f>IFERROR(K127+K129+K130+K131+K132+K133+K134+K135+K136+K137+K138+K139+K140+K143+K144+K145+K146+K147, "NA")</f>
        <v>27596.2</v>
      </c>
      <c r="L149" s="15">
        <f>IFERROR(K149/K444, "NA")</f>
        <v>0.25802198911857466</v>
      </c>
      <c r="M149" s="2"/>
      <c r="N149" s="14">
        <f t="shared" si="33"/>
        <v>-6826.7499999999891</v>
      </c>
      <c r="O149" s="15">
        <f>IFERROR(N149/N444, "NA")</f>
        <v>-0.52860961366026082</v>
      </c>
      <c r="P149" s="2"/>
      <c r="Q149" s="14">
        <f>IFERROR(Q127+Q129+Q130+Q131+Q132+Q133+Q134+Q135+Q136+Q137+Q138+Q139+Q140+Q143+Q144+Q145+Q146+Q147, "NA")</f>
        <v>112214.41000000002</v>
      </c>
      <c r="R149" s="15">
        <f>IFERROR(Q149/Q444, "NA")</f>
        <v>0.26657370093069555</v>
      </c>
      <c r="S149" s="2"/>
      <c r="T149" s="14">
        <f>IFERROR(T127+T129+T130+T131+T132+T133+T134+T135+T136+T137+T138+T139+T140+T143+T144+T145+T146+T147, "NA")</f>
        <v>102747.1</v>
      </c>
      <c r="U149" s="15">
        <f>IFERROR(T149/T444, "NA")</f>
        <v>0.24189576863272699</v>
      </c>
      <c r="V149" s="2"/>
      <c r="W149" s="14">
        <f t="shared" si="34"/>
        <v>-9467.3100000000122</v>
      </c>
      <c r="X149" s="15">
        <f>IFERROR(W149/W444, "NA")</f>
        <v>2.4868490523910172</v>
      </c>
      <c r="Y149" s="2"/>
      <c r="Z149" s="14">
        <f>IFERROR(Z127+Z129+Z130+Z131+Z132+Z133+Z134+Z135+Z136+Z137+Z138+Z139+Z140+Z143+Z144+Z145+Z146+Z147, "NA")</f>
        <v>96331.079999999987</v>
      </c>
      <c r="AA149" s="15">
        <f>IFERROR(Z149/Z444, "NA")</f>
        <v>0.2547325433478107</v>
      </c>
      <c r="AB149" s="2"/>
      <c r="AC149" s="14">
        <f t="shared" si="35"/>
        <v>-15883.330000000031</v>
      </c>
      <c r="AD149" s="15">
        <f>IFERROR(AC149/AC444, "NA")</f>
        <v>-0.37123412506331149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1877.02</v>
      </c>
      <c r="F153" s="8">
        <f>IFERROR(E153/E444, "NA")</f>
        <v>1.4999973228889241E-2</v>
      </c>
      <c r="G153" s="9"/>
      <c r="H153" s="10">
        <f t="shared" ref="H153:H158" si="36">IFERROR(-(B153-E153), "NA")</f>
        <v>1877.02</v>
      </c>
      <c r="I153" s="8">
        <f>IFERROR(H153/H444, "NA")</f>
        <v>-0.35634320211867243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7393.53</v>
      </c>
      <c r="U153" s="8">
        <f>IFERROR(T153/T444, "NA")</f>
        <v>1.7406463270098385E-2</v>
      </c>
      <c r="V153" s="9"/>
      <c r="W153" s="10">
        <f t="shared" ref="W153:W158" si="38">IFERROR(-(Q153-T153), "NA")</f>
        <v>7393.53</v>
      </c>
      <c r="X153" s="8">
        <f>IFERROR(W153/W444, "NA")</f>
        <v>-1.9421137656128862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4286.3599999999997</v>
      </c>
      <c r="C154" s="8">
        <f>IFERROR(B154/B444, "NA")</f>
        <v>3.5759168628278035E-2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-4286.3599999999997</v>
      </c>
      <c r="I154" s="8">
        <f>IFERROR(H154/H444, "NA")</f>
        <v>0.81374479112283971</v>
      </c>
      <c r="J154" s="9"/>
      <c r="K154" s="7">
        <v>3477.81</v>
      </c>
      <c r="L154" s="8">
        <f>IFERROR(K154/K444, "NA")</f>
        <v>3.2517210847017704E-2</v>
      </c>
      <c r="M154" s="9"/>
      <c r="N154" s="10">
        <f t="shared" si="37"/>
        <v>-808.54999999999973</v>
      </c>
      <c r="O154" s="8">
        <f>IFERROR(N154/N444, "NA")</f>
        <v>-6.2607727414216788E-2</v>
      </c>
      <c r="P154" s="9"/>
      <c r="Q154" s="7">
        <v>14635.71</v>
      </c>
      <c r="R154" s="8">
        <f>IFERROR(Q154/Q444, "NA")</f>
        <v>3.4768220769938456E-2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-14635.71</v>
      </c>
      <c r="X154" s="8">
        <f>IFERROR(W154/W444, "NA")</f>
        <v>3.8444712959192935</v>
      </c>
      <c r="Y154" s="9"/>
      <c r="Z154" s="7">
        <v>12868.41</v>
      </c>
      <c r="AA154" s="8">
        <f>IFERROR(Z154/Z444, "NA")</f>
        <v>3.402850677208645E-2</v>
      </c>
      <c r="AB154" s="9"/>
      <c r="AC154" s="10">
        <f t="shared" si="39"/>
        <v>-1767.2999999999993</v>
      </c>
      <c r="AD154" s="8">
        <f>IFERROR(AC154/AC444, "NA")</f>
        <v>-4.1306329921017119E-2</v>
      </c>
    </row>
    <row r="155" spans="1:30" ht="16.5" customHeight="1" x14ac:dyDescent="0.45">
      <c r="A155" s="12" t="s">
        <v>144</v>
      </c>
      <c r="B155" s="7">
        <v>1169.53</v>
      </c>
      <c r="C155" s="8">
        <f>IFERROR(B155/B444, "NA")</f>
        <v>9.7568614129074586E-3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-1169.53</v>
      </c>
      <c r="I155" s="8">
        <f>IFERROR(H155/H444, "NA")</f>
        <v>0.22202963483279398</v>
      </c>
      <c r="J155" s="9"/>
      <c r="K155" s="7">
        <v>1360.64</v>
      </c>
      <c r="L155" s="8">
        <f>IFERROR(K155/K444, "NA")</f>
        <v>1.2721861679299956E-2</v>
      </c>
      <c r="M155" s="9"/>
      <c r="N155" s="10">
        <f t="shared" si="37"/>
        <v>191.11000000000013</v>
      </c>
      <c r="O155" s="8">
        <f>IFERROR(N155/N444, "NA")</f>
        <v>1.4798049330444599E-2</v>
      </c>
      <c r="P155" s="9"/>
      <c r="Q155" s="7">
        <v>4556.8500000000004</v>
      </c>
      <c r="R155" s="8">
        <f>IFERROR(Q155/Q444, "NA")</f>
        <v>1.0825137066496539E-2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-4556.8500000000004</v>
      </c>
      <c r="X155" s="8">
        <f>IFERROR(W155/W444, "NA")</f>
        <v>1.1969818358528446</v>
      </c>
      <c r="Y155" s="9"/>
      <c r="Z155" s="7">
        <v>4999.87</v>
      </c>
      <c r="AA155" s="8">
        <f>IFERROR(Z155/Z444, "NA")</f>
        <v>1.3221377789062664E-2</v>
      </c>
      <c r="AB155" s="9"/>
      <c r="AC155" s="10">
        <f t="shared" si="39"/>
        <v>443.01999999999953</v>
      </c>
      <c r="AD155" s="8">
        <f>IFERROR(AC155/AC444, "NA")</f>
        <v>1.0354512692586993E-2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19.95</v>
      </c>
      <c r="L156" s="8">
        <f>IFERROR(K156/K444, "NA")</f>
        <v>1.8653070650725693E-4</v>
      </c>
      <c r="M156" s="9"/>
      <c r="N156" s="10">
        <f t="shared" si="37"/>
        <v>19.95</v>
      </c>
      <c r="O156" s="8">
        <f>IFERROR(N156/N444, "NA")</f>
        <v>1.5447704680151199E-3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38.44</v>
      </c>
      <c r="AA156" s="8">
        <f>IFERROR(Z156/Z444, "NA")</f>
        <v>1.016485953057917E-4</v>
      </c>
      <c r="AB156" s="9"/>
      <c r="AC156" s="10">
        <f t="shared" si="39"/>
        <v>38.44</v>
      </c>
      <c r="AD156" s="8">
        <f>IFERROR(AC156/AC444, "NA")</f>
        <v>8.9844130717133398E-4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5455.8899999999994</v>
      </c>
      <c r="C158" s="15">
        <f>IFERROR(B158/B444, "NA")</f>
        <v>4.5516030041185492E-2</v>
      </c>
      <c r="D158" s="2"/>
      <c r="E158" s="14">
        <f>IFERROR(E153+E154+E155+E156+E157, "NA")</f>
        <v>1877.02</v>
      </c>
      <c r="F158" s="15">
        <f>IFERROR(E158/E444, "NA")</f>
        <v>1.4999973228889241E-2</v>
      </c>
      <c r="G158" s="2"/>
      <c r="H158" s="14">
        <f t="shared" si="36"/>
        <v>-3578.8699999999994</v>
      </c>
      <c r="I158" s="15">
        <f>IFERROR(H158/H444, "NA")</f>
        <v>0.6794312238369612</v>
      </c>
      <c r="J158" s="2"/>
      <c r="K158" s="14">
        <f>IFERROR(K153+K154+K155+K156+K157, "NA")</f>
        <v>4858.3999999999996</v>
      </c>
      <c r="L158" s="15">
        <f>IFERROR(K158/K444, "NA")</f>
        <v>4.5425603232824914E-2</v>
      </c>
      <c r="M158" s="2"/>
      <c r="N158" s="14">
        <f t="shared" si="37"/>
        <v>-597.48999999999978</v>
      </c>
      <c r="O158" s="15">
        <f>IFERROR(N158/N444, "NA")</f>
        <v>-4.6264907615757078E-2</v>
      </c>
      <c r="P158" s="2"/>
      <c r="Q158" s="14">
        <f>IFERROR(Q153+Q154+Q155+Q156+Q157, "NA")</f>
        <v>19192.559999999998</v>
      </c>
      <c r="R158" s="15">
        <f>IFERROR(Q158/Q444, "NA")</f>
        <v>4.5593357836434985E-2</v>
      </c>
      <c r="S158" s="2"/>
      <c r="T158" s="14">
        <f>IFERROR(T153+T154+T155+T156+T157, "NA")</f>
        <v>7393.53</v>
      </c>
      <c r="U158" s="15">
        <f>IFERROR(T158/T444, "NA")</f>
        <v>1.7406463270098385E-2</v>
      </c>
      <c r="V158" s="2"/>
      <c r="W158" s="14">
        <f t="shared" si="38"/>
        <v>-11799.029999999999</v>
      </c>
      <c r="X158" s="15">
        <f>IFERROR(W158/W444, "NA")</f>
        <v>3.0993393661592514</v>
      </c>
      <c r="Y158" s="2"/>
      <c r="Z158" s="14">
        <f>IFERROR(Z153+Z154+Z155+Z156+Z157, "NA")</f>
        <v>17906.719999999998</v>
      </c>
      <c r="AA158" s="15">
        <f>IFERROR(Z158/Z444, "NA")</f>
        <v>4.7351533156454899E-2</v>
      </c>
      <c r="AB158" s="2"/>
      <c r="AC158" s="14">
        <f t="shared" si="39"/>
        <v>-1285.8400000000001</v>
      </c>
      <c r="AD158" s="15">
        <f>IFERROR(AC158/AC444, "NA")</f>
        <v>-3.0053375921258802E-2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350.78</v>
      </c>
      <c r="C161" s="8">
        <f>IFERROR(B161/B444, "NA")</f>
        <v>2.92639936249577E-3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-350.78</v>
      </c>
      <c r="I161" s="8">
        <f>IFERROR(H161/H444, "NA")</f>
        <v>6.6593892680519073E-2</v>
      </c>
      <c r="J161" s="9"/>
      <c r="K161" s="7">
        <v>342.24</v>
      </c>
      <c r="L161" s="8">
        <f>IFERROR(K161/K444, "NA")</f>
        <v>3.1999132328342666E-3</v>
      </c>
      <c r="M161" s="9"/>
      <c r="N161" s="10">
        <f t="shared" si="41"/>
        <v>-8.5399999999999636</v>
      </c>
      <c r="O161" s="8">
        <f>IFERROR(N161/N444, "NA")</f>
        <v>-6.6127016525559235E-4</v>
      </c>
      <c r="P161" s="9"/>
      <c r="Q161" s="7">
        <v>1563.66</v>
      </c>
      <c r="R161" s="8">
        <f>IFERROR(Q161/Q444, "NA")</f>
        <v>3.7145909620457064E-3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-1563.66</v>
      </c>
      <c r="X161" s="8">
        <f>IFERROR(W161/W444, "NA")</f>
        <v>0.41073825503355582</v>
      </c>
      <c r="Y161" s="9"/>
      <c r="Z161" s="7">
        <v>1737.51</v>
      </c>
      <c r="AA161" s="8">
        <f>IFERROR(Z161/Z444, "NA")</f>
        <v>4.594574683396622E-3</v>
      </c>
      <c r="AB161" s="9"/>
      <c r="AC161" s="10">
        <f t="shared" si="43"/>
        <v>173.84999999999991</v>
      </c>
      <c r="AD161" s="8">
        <f>IFERROR(AC161/AC444, "NA")</f>
        <v>4.0633200117517259E-3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350.78</v>
      </c>
      <c r="C166" s="15">
        <f>IFERROR(B166/B444, "NA")</f>
        <v>2.92639936249577E-3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-350.78</v>
      </c>
      <c r="I166" s="15">
        <f>IFERROR(H166/H444, "NA")</f>
        <v>6.6593892680519073E-2</v>
      </c>
      <c r="J166" s="2"/>
      <c r="K166" s="14">
        <f>IFERROR(K160+K161+K162+K163+K164+K165, "NA")</f>
        <v>342.24</v>
      </c>
      <c r="L166" s="15">
        <f>IFERROR(K166/K444, "NA")</f>
        <v>3.1999132328342666E-3</v>
      </c>
      <c r="M166" s="2"/>
      <c r="N166" s="14">
        <f t="shared" si="41"/>
        <v>-8.5399999999999636</v>
      </c>
      <c r="O166" s="15">
        <f>IFERROR(N166/N444, "NA")</f>
        <v>-6.6127016525559235E-4</v>
      </c>
      <c r="P166" s="2"/>
      <c r="Q166" s="14">
        <f>IFERROR(Q160+Q161+Q162+Q163+Q164+Q165, "NA")</f>
        <v>1563.66</v>
      </c>
      <c r="R166" s="15">
        <f>IFERROR(Q166/Q444, "NA")</f>
        <v>3.7145909620457064E-3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-1563.66</v>
      </c>
      <c r="X166" s="15">
        <f>IFERROR(W166/W444, "NA")</f>
        <v>0.41073825503355582</v>
      </c>
      <c r="Y166" s="2"/>
      <c r="Z166" s="14">
        <f>IFERROR(Z160+Z161+Z162+Z163+Z164+Z165, "NA")</f>
        <v>1737.51</v>
      </c>
      <c r="AA166" s="15">
        <f>IFERROR(Z166/Z444, "NA")</f>
        <v>4.594574683396622E-3</v>
      </c>
      <c r="AB166" s="2"/>
      <c r="AC166" s="14">
        <f t="shared" si="43"/>
        <v>173.84999999999991</v>
      </c>
      <c r="AD166" s="15">
        <f>IFERROR(AC166/AC444, "NA")</f>
        <v>4.0633200117517259E-3</v>
      </c>
    </row>
    <row r="167" spans="1:30" ht="16.5" customHeight="1" x14ac:dyDescent="0.45">
      <c r="A167" s="6" t="s">
        <v>155</v>
      </c>
      <c r="B167" s="7">
        <v>131.94999999999999</v>
      </c>
      <c r="C167" s="8">
        <f>IFERROR(B167/B444, "NA")</f>
        <v>1.1007993496816148E-3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-131.94999999999999</v>
      </c>
      <c r="I167" s="8">
        <f>IFERROR(H167/H444, "NA")</f>
        <v>2.5050071666555936E-2</v>
      </c>
      <c r="J167" s="9"/>
      <c r="K167" s="7">
        <v>228.03</v>
      </c>
      <c r="L167" s="8">
        <f>IFERROR(K167/K444, "NA")</f>
        <v>2.1320600002430979E-3</v>
      </c>
      <c r="M167" s="9"/>
      <c r="N167" s="10">
        <f t="shared" si="41"/>
        <v>96.080000000000013</v>
      </c>
      <c r="O167" s="8">
        <f>IFERROR(N167/N444, "NA")</f>
        <v>7.4396765196437465E-3</v>
      </c>
      <c r="P167" s="9"/>
      <c r="Q167" s="7">
        <v>517.11</v>
      </c>
      <c r="R167" s="8">
        <f>IFERROR(Q167/Q444, "NA")</f>
        <v>1.228433375787227E-3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-517.11</v>
      </c>
      <c r="X167" s="8">
        <f>IFERROR(W167/W444, "NA")</f>
        <v>0.13583314727012397</v>
      </c>
      <c r="Y167" s="9"/>
      <c r="Z167" s="7">
        <v>679.69</v>
      </c>
      <c r="AA167" s="8">
        <f>IFERROR(Z167/Z444, "NA")</f>
        <v>1.7973343845835996E-3</v>
      </c>
      <c r="AB167" s="9"/>
      <c r="AC167" s="10">
        <f t="shared" si="43"/>
        <v>162.58000000000004</v>
      </c>
      <c r="AD167" s="8">
        <f>IFERROR(AC167/AC444, "NA")</f>
        <v>3.7999112310071678E-3</v>
      </c>
    </row>
    <row r="168" spans="1:30" ht="16.5" customHeight="1" x14ac:dyDescent="0.45">
      <c r="A168" s="6" t="s">
        <v>156</v>
      </c>
      <c r="B168" s="7">
        <v>44.6</v>
      </c>
      <c r="C168" s="8">
        <f>IFERROR(B168/B444, "NA")</f>
        <v>3.7207768848654816E-4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-44.6</v>
      </c>
      <c r="I168" s="8">
        <f>IFERROR(H168/H444, "NA")</f>
        <v>8.4670950839590368E-3</v>
      </c>
      <c r="J168" s="9"/>
      <c r="K168" s="7">
        <v>47.6</v>
      </c>
      <c r="L168" s="8">
        <f>IFERROR(K168/K444, "NA")</f>
        <v>4.4505572078924467E-4</v>
      </c>
      <c r="M168" s="9"/>
      <c r="N168" s="10">
        <f t="shared" si="41"/>
        <v>3</v>
      </c>
      <c r="O168" s="8">
        <f>IFERROR(N168/N444, "NA")</f>
        <v>2.3229631097971729E-4</v>
      </c>
      <c r="P168" s="9"/>
      <c r="Q168" s="7">
        <v>184.6</v>
      </c>
      <c r="R168" s="8">
        <f>IFERROR(Q168/Q444, "NA")</f>
        <v>4.3853106915418784E-4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-184.6</v>
      </c>
      <c r="X168" s="8">
        <f>IFERROR(W168/W444, "NA")</f>
        <v>4.8490261232745226E-2</v>
      </c>
      <c r="Y168" s="9"/>
      <c r="Z168" s="7">
        <v>188.3</v>
      </c>
      <c r="AA168" s="8">
        <f>IFERROR(Z168/Z444, "NA")</f>
        <v>4.9793003371697653E-4</v>
      </c>
      <c r="AB168" s="9"/>
      <c r="AC168" s="10">
        <f t="shared" si="43"/>
        <v>3.7000000000000171</v>
      </c>
      <c r="AD168" s="8">
        <f>IFERROR(AC168/AC444, "NA")</f>
        <v>8.6478481699634534E-5</v>
      </c>
    </row>
    <row r="169" spans="1:30" ht="16.5" customHeight="1" x14ac:dyDescent="0.45">
      <c r="A169" s="6" t="s">
        <v>157</v>
      </c>
      <c r="B169" s="7">
        <v>-1632.11</v>
      </c>
      <c r="C169" s="8">
        <f>IFERROR(B169/B444, "NA")</f>
        <v>-1.361595776134036E-2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1632.11</v>
      </c>
      <c r="I169" s="8">
        <f>IFERROR(H169/H444, "NA")</f>
        <v>-0.309848218777587</v>
      </c>
      <c r="J169" s="9"/>
      <c r="K169" s="7">
        <v>-3705.41</v>
      </c>
      <c r="L169" s="8">
        <f>IFERROR(K169/K444, "NA")</f>
        <v>-3.4645250385917536E-2</v>
      </c>
      <c r="M169" s="9"/>
      <c r="N169" s="10">
        <f t="shared" si="41"/>
        <v>-2073.3000000000002</v>
      </c>
      <c r="O169" s="8">
        <f>IFERROR(N169/N444, "NA")</f>
        <v>-0.16053998051808263</v>
      </c>
      <c r="P169" s="9"/>
      <c r="Q169" s="7">
        <v>-9671.26</v>
      </c>
      <c r="R169" s="8">
        <f>IFERROR(Q169/Q444, "NA")</f>
        <v>-2.2974799500910786E-2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9671.26</v>
      </c>
      <c r="X169" s="8">
        <f>IFERROR(W169/W444, "NA")</f>
        <v>-2.540422122696639</v>
      </c>
      <c r="Y169" s="9"/>
      <c r="Z169" s="7">
        <v>-9979.31</v>
      </c>
      <c r="AA169" s="8">
        <f>IFERROR(Z169/Z444, "NA")</f>
        <v>-2.6388731623856406E-2</v>
      </c>
      <c r="AB169" s="9"/>
      <c r="AC169" s="10">
        <f t="shared" si="43"/>
        <v>-308.04999999999927</v>
      </c>
      <c r="AD169" s="8">
        <f>IFERROR(AC169/AC444, "NA")</f>
        <v>-7.1999179155600628E-3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4351.1099999999997</v>
      </c>
      <c r="C170" s="15">
        <f>IFERROR(B170/B444, "NA")</f>
        <v>3.6299348680509068E-2</v>
      </c>
      <c r="D170" s="2"/>
      <c r="E170" s="14">
        <f>IFERROR(E151+E153+E154+E155+E156+E157+E160+E161+E162+E163+E164+E165+E167+E168+E169, "NA")</f>
        <v>1877.02</v>
      </c>
      <c r="F170" s="15">
        <f>IFERROR(E170/E444, "NA")</f>
        <v>1.4999973228889241E-2</v>
      </c>
      <c r="G170" s="2"/>
      <c r="H170" s="14">
        <f t="shared" si="40"/>
        <v>-2474.0899999999997</v>
      </c>
      <c r="I170" s="15">
        <f>IFERROR(H170/H444, "NA")</f>
        <v>0.46969406449040829</v>
      </c>
      <c r="J170" s="2"/>
      <c r="K170" s="14">
        <f>IFERROR(K151+K153+K154+K155+K156+K157+K160+K161+K162+K163+K164+K165+K167+K168+K169, "NA")</f>
        <v>1770.8599999999997</v>
      </c>
      <c r="L170" s="15">
        <f>IFERROR(K170/K444, "NA")</f>
        <v>1.6557381800773985E-2</v>
      </c>
      <c r="M170" s="2"/>
      <c r="N170" s="14">
        <f t="shared" si="41"/>
        <v>-2580.25</v>
      </c>
      <c r="O170" s="15">
        <f>IFERROR(N170/N444, "NA")</f>
        <v>-0.19979418546847186</v>
      </c>
      <c r="P170" s="2"/>
      <c r="Q170" s="14">
        <f>IFERROR(Q151+Q153+Q154+Q155+Q156+Q157+Q160+Q161+Q162+Q163+Q164+Q165+Q167+Q168+Q169, "NA")</f>
        <v>11786.669999999996</v>
      </c>
      <c r="R170" s="15">
        <f>IFERROR(Q170/Q444, "NA")</f>
        <v>2.800011374251132E-2</v>
      </c>
      <c r="S170" s="2"/>
      <c r="T170" s="14">
        <f>IFERROR(T151+T153+T154+T155+T156+T157+T160+T161+T162+T163+T164+T165+T167+T168+T169, "NA")</f>
        <v>7393.53</v>
      </c>
      <c r="U170" s="15">
        <f>IFERROR(T170/T444, "NA")</f>
        <v>1.7406463270098385E-2</v>
      </c>
      <c r="V170" s="2"/>
      <c r="W170" s="14">
        <f t="shared" si="42"/>
        <v>-4393.1399999999967</v>
      </c>
      <c r="X170" s="15">
        <f>IFERROR(W170/W444, "NA")</f>
        <v>1.1539789069990369</v>
      </c>
      <c r="Y170" s="2"/>
      <c r="Z170" s="14">
        <f>IFERROR(Z151+Z153+Z154+Z155+Z156+Z157+Z160+Z161+Z162+Z163+Z164+Z165+Z167+Z168+Z169, "NA")</f>
        <v>10532.909999999994</v>
      </c>
      <c r="AA170" s="15">
        <f>IFERROR(Z170/Z444, "NA")</f>
        <v>2.785264063429568E-2</v>
      </c>
      <c r="AB170" s="2"/>
      <c r="AC170" s="14">
        <f t="shared" si="43"/>
        <v>-1253.760000000002</v>
      </c>
      <c r="AD170" s="15">
        <f>IFERROR(AC170/AC444, "NA")</f>
        <v>-2.9303584112360396E-2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38774.059999999983</v>
      </c>
      <c r="C171" s="15">
        <f>IFERROR(B171/B444, "NA")</f>
        <v>0.32347449816230317</v>
      </c>
      <c r="D171" s="2"/>
      <c r="E171" s="14">
        <f>IFERROR(E127+E129+E130+E131+E132+E133+E134+E135+E136+E137+E138+E139+E140+E143+E144+E145+E146+E147+E151+E153+E154+E155+E156+E157+E160+E161+E162+E163+E164+E165+E167+E168+E169, "NA")</f>
        <v>30407.78</v>
      </c>
      <c r="F171" s="15">
        <f>IFERROR(E171/E444, "NA")</f>
        <v>0.24300001382508107</v>
      </c>
      <c r="G171" s="2"/>
      <c r="H171" s="14">
        <f t="shared" si="40"/>
        <v>-8366.2799999999843</v>
      </c>
      <c r="I171" s="15">
        <f>IFERROR(H171/H444, "NA")</f>
        <v>1.5882979430274591</v>
      </c>
      <c r="J171" s="2"/>
      <c r="K171" s="14">
        <f>IFERROR(K127+K129+K130+K131+K132+K133+K134+K135+K136+K137+K138+K139+K140+K143+K144+K145+K146+K147+K151+K153+K154+K155+K156+K157+K160+K161+K162+K163+K164+K165+K167+K168+K169, "NA")</f>
        <v>29367.06</v>
      </c>
      <c r="L171" s="15">
        <f>IFERROR(K171/K444, "NA")</f>
        <v>0.27457937091934864</v>
      </c>
      <c r="M171" s="2"/>
      <c r="N171" s="14">
        <f t="shared" si="41"/>
        <v>-9406.9999999999818</v>
      </c>
      <c r="O171" s="15">
        <f>IFERROR(N171/N444, "NA")</f>
        <v>-0.7284037991287321</v>
      </c>
      <c r="P171" s="2"/>
      <c r="Q171" s="14">
        <f>IFERROR(Q127+Q129+Q130+Q131+Q132+Q133+Q134+Q135+Q136+Q137+Q138+Q139+Q140+Q143+Q144+Q145+Q146+Q147+Q151+Q153+Q154+Q155+Q156+Q157+Q160+Q161+Q162+Q163+Q164+Q165+Q167+Q168+Q169, "NA")</f>
        <v>124001.08000000003</v>
      </c>
      <c r="R171" s="15">
        <f>IFERROR(Q171/Q444, "NA")</f>
        <v>0.29457381467320692</v>
      </c>
      <c r="S171" s="2"/>
      <c r="T171" s="14">
        <f>IFERROR(T127+T129+T130+T131+T132+T133+T134+T135+T136+T137+T138+T139+T140+T143+T144+T145+T146+T147+T151+T153+T154+T155+T156+T157+T160+T161+T162+T163+T164+T165+T167+T168+T169, "NA")</f>
        <v>110140.63</v>
      </c>
      <c r="U171" s="15">
        <f>IFERROR(T171/T444, "NA")</f>
        <v>0.25930223190282536</v>
      </c>
      <c r="V171" s="2"/>
      <c r="W171" s="14">
        <f t="shared" si="42"/>
        <v>-13860.450000000026</v>
      </c>
      <c r="X171" s="15">
        <f>IFERROR(W171/W444, "NA")</f>
        <v>3.6408279593900588</v>
      </c>
      <c r="Y171" s="2"/>
      <c r="Z171" s="14">
        <f>IFERROR(Z127+Z129+Z130+Z131+Z132+Z133+Z134+Z135+Z136+Z137+Z138+Z139+Z140+Z143+Z144+Z145+Z146+Z147+Z151+Z153+Z154+Z155+Z156+Z157+Z160+Z161+Z162+Z163+Z164+Z165+Z167+Z168+Z169, "NA")</f>
        <v>106863.98999999999</v>
      </c>
      <c r="AA171" s="15">
        <f>IFERROR(Z171/Z444, "NA")</f>
        <v>0.28258518398210641</v>
      </c>
      <c r="AB171" s="2"/>
      <c r="AC171" s="14">
        <f t="shared" si="43"/>
        <v>-17137.09000000004</v>
      </c>
      <c r="AD171" s="15">
        <f>IFERROR(AC171/AC444, "NA")</f>
        <v>-0.40053770917567205</v>
      </c>
    </row>
    <row r="172" spans="1:30" ht="16.5" customHeight="1" x14ac:dyDescent="0.45">
      <c r="A172" s="22" t="s">
        <v>160</v>
      </c>
      <c r="B172" s="23">
        <f>IFERROR(B124-B171, "NA")</f>
        <v>81093.38</v>
      </c>
      <c r="C172" s="24">
        <f>IFERROR(B172/B444, "NA")</f>
        <v>0.67652550183769677</v>
      </c>
      <c r="D172" s="25"/>
      <c r="E172" s="23">
        <f>IFERROR(E124-E171, "NA")</f>
        <v>94727.109999999986</v>
      </c>
      <c r="F172" s="24">
        <f>IFERROR(E172/E444, "NA")</f>
        <v>0.75699998617491882</v>
      </c>
      <c r="G172" s="25"/>
      <c r="H172" s="23">
        <f>IFERROR(B172-E172, "NA")</f>
        <v>-13633.729999999981</v>
      </c>
      <c r="I172" s="24">
        <f>IFERROR(H172/H444, "NA")</f>
        <v>2.5882979430274591</v>
      </c>
      <c r="J172" s="25"/>
      <c r="K172" s="23">
        <f>IFERROR(K124-K171, "NA")</f>
        <v>77585.840000000026</v>
      </c>
      <c r="L172" s="24">
        <f>IFERROR(K172/K444, "NA")</f>
        <v>0.72542062908065164</v>
      </c>
      <c r="M172" s="25"/>
      <c r="N172" s="23">
        <f>IFERROR(B172-K172, "NA")</f>
        <v>3507.539999999979</v>
      </c>
      <c r="O172" s="24">
        <f>IFERROR(N172/N444, "NA")</f>
        <v>0.27159620087126424</v>
      </c>
      <c r="P172" s="25"/>
      <c r="Q172" s="23">
        <f>IFERROR(Q124-Q171, "NA")</f>
        <v>296949.70999999996</v>
      </c>
      <c r="R172" s="24">
        <f>IFERROR(Q172/Q444, "NA")</f>
        <v>0.70542618532679313</v>
      </c>
      <c r="S172" s="25"/>
      <c r="T172" s="23">
        <f>IFERROR(T124-T171, "NA")</f>
        <v>314617.11</v>
      </c>
      <c r="U172" s="24">
        <f>IFERROR(T172/T444, "NA")</f>
        <v>0.74069776809717458</v>
      </c>
      <c r="V172" s="25"/>
      <c r="W172" s="23">
        <f>IFERROR(Q172-T172, "NA")</f>
        <v>-17667.400000000023</v>
      </c>
      <c r="X172" s="24">
        <f>IFERROR(W172/W444, "NA")</f>
        <v>4.6408279593900552</v>
      </c>
      <c r="Y172" s="25"/>
      <c r="Z172" s="23">
        <f>IFERROR(Z124-Z171, "NA")</f>
        <v>271301.59000000008</v>
      </c>
      <c r="AA172" s="24">
        <f>IFERROR(Z172/Z444, "NA")</f>
        <v>0.7174148160178937</v>
      </c>
      <c r="AB172" s="25"/>
      <c r="AC172" s="23">
        <f>IFERROR(Q172-Z172, "NA")</f>
        <v>25648.119999999879</v>
      </c>
      <c r="AD172" s="24">
        <f>IFERROR(AC172/AC444, "NA")</f>
        <v>0.59946229082432689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5846.16</v>
      </c>
      <c r="C178" s="8">
        <f>IFERROR(B178/B444, "NA")</f>
        <v>4.8771876666424172E-2</v>
      </c>
      <c r="D178" s="9"/>
      <c r="E178" s="7">
        <v>5692.31</v>
      </c>
      <c r="F178" s="8">
        <f>IFERROR(E178/E444, "NA")</f>
        <v>4.5489391487857626E-2</v>
      </c>
      <c r="G178" s="9"/>
      <c r="H178" s="10">
        <f t="shared" si="44"/>
        <v>-153.84999999999945</v>
      </c>
      <c r="I178" s="8">
        <f>IFERROR(H178/H444, "NA")</f>
        <v>2.9207681136033479E-2</v>
      </c>
      <c r="J178" s="9"/>
      <c r="K178" s="7">
        <v>5615.4</v>
      </c>
      <c r="L178" s="8">
        <f>IFERROR(K178/K444, "NA")</f>
        <v>5.2503485178990006E-2</v>
      </c>
      <c r="M178" s="9"/>
      <c r="N178" s="10">
        <f t="shared" si="45"/>
        <v>-230.76000000000022</v>
      </c>
      <c r="O178" s="8">
        <f>IFERROR(N178/N444, "NA")</f>
        <v>-1.7868232240559872E-2</v>
      </c>
      <c r="P178" s="9"/>
      <c r="Q178" s="7">
        <v>24846.18</v>
      </c>
      <c r="R178" s="8">
        <f>IFERROR(Q178/Q444, "NA")</f>
        <v>5.9023953845056334E-2</v>
      </c>
      <c r="S178" s="9"/>
      <c r="T178" s="7">
        <v>24192.31</v>
      </c>
      <c r="U178" s="8">
        <f>IFERROR(T178/T444, "NA")</f>
        <v>5.695554835563444E-2</v>
      </c>
      <c r="V178" s="9"/>
      <c r="W178" s="10">
        <f t="shared" si="46"/>
        <v>-653.86999999999898</v>
      </c>
      <c r="X178" s="8">
        <f>IFERROR(W178/W444, "NA")</f>
        <v>0.17175691826790396</v>
      </c>
      <c r="Y178" s="9"/>
      <c r="Z178" s="7">
        <v>23865.45</v>
      </c>
      <c r="AA178" s="8">
        <f>IFERROR(Z178/Z444, "NA")</f>
        <v>6.3108466931337329E-2</v>
      </c>
      <c r="AB178" s="9"/>
      <c r="AC178" s="10">
        <f t="shared" si="47"/>
        <v>-980.72999999999956</v>
      </c>
      <c r="AD178" s="8">
        <f>IFERROR(AC178/AC444, "NA")</f>
        <v>-2.2922173339805986E-2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22419.03</v>
      </c>
      <c r="C180" s="8">
        <f>IFERROR(B180/B444, "NA")</f>
        <v>0.18703185785898155</v>
      </c>
      <c r="D180" s="9"/>
      <c r="E180" s="7">
        <v>24025.9</v>
      </c>
      <c r="F180" s="8">
        <f>IFERROR(E180/E444, "NA")</f>
        <v>0.19200000895034153</v>
      </c>
      <c r="G180" s="9"/>
      <c r="H180" s="10">
        <f t="shared" si="44"/>
        <v>1606.8700000000026</v>
      </c>
      <c r="I180" s="8">
        <f>IFERROR(H180/H444, "NA")</f>
        <v>-0.30505652640271924</v>
      </c>
      <c r="J180" s="9"/>
      <c r="K180" s="7">
        <v>21908.47</v>
      </c>
      <c r="L180" s="8">
        <f>IFERROR(K180/K444, "NA")</f>
        <v>0.20484222494200721</v>
      </c>
      <c r="M180" s="9"/>
      <c r="N180" s="10">
        <f t="shared" si="45"/>
        <v>-510.55999999999767</v>
      </c>
      <c r="O180" s="8">
        <f>IFERROR(N180/N444, "NA")</f>
        <v>-3.9533734844601306E-2</v>
      </c>
      <c r="P180" s="9"/>
      <c r="Q180" s="7">
        <v>79255.16</v>
      </c>
      <c r="R180" s="8">
        <f>IFERROR(Q180/Q444, "NA")</f>
        <v>0.18827654415377154</v>
      </c>
      <c r="S180" s="9"/>
      <c r="T180" s="7">
        <v>84316.77</v>
      </c>
      <c r="U180" s="8">
        <f>IFERROR(T180/T444, "NA")</f>
        <v>0.19850555283583532</v>
      </c>
      <c r="V180" s="9"/>
      <c r="W180" s="10">
        <f t="shared" si="46"/>
        <v>5061.6100000000006</v>
      </c>
      <c r="X180" s="8">
        <f>IFERROR(W180/W444, "NA")</f>
        <v>-1.3295709163503553</v>
      </c>
      <c r="Y180" s="9"/>
      <c r="Z180" s="7">
        <v>79994.789999999994</v>
      </c>
      <c r="AA180" s="8">
        <f>IFERROR(Z180/Z444, "NA")</f>
        <v>0.2115337678273099</v>
      </c>
      <c r="AB180" s="9"/>
      <c r="AC180" s="10">
        <f t="shared" si="47"/>
        <v>739.6299999999901</v>
      </c>
      <c r="AD180" s="8">
        <f>IFERROR(AC180/AC444, "NA")</f>
        <v>1.7287048491756631E-2</v>
      </c>
    </row>
    <row r="181" spans="1:30" ht="16.5" customHeight="1" x14ac:dyDescent="0.45">
      <c r="A181" s="12" t="s">
        <v>166</v>
      </c>
      <c r="B181" s="7">
        <v>277.94</v>
      </c>
      <c r="C181" s="8">
        <f>IFERROR(B181/B444, "NA")</f>
        <v>2.3187280882948696E-3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-277.94</v>
      </c>
      <c r="I181" s="8">
        <f>IFERROR(H181/H444, "NA")</f>
        <v>5.2765569677927678E-2</v>
      </c>
      <c r="J181" s="9"/>
      <c r="K181" s="7">
        <v>384.43</v>
      </c>
      <c r="L181" s="8">
        <f>IFERROR(K181/K444, "NA")</f>
        <v>3.5943859399791872E-3</v>
      </c>
      <c r="M181" s="9"/>
      <c r="N181" s="10">
        <f t="shared" si="45"/>
        <v>106.49000000000001</v>
      </c>
      <c r="O181" s="8">
        <f>IFERROR(N181/N444, "NA")</f>
        <v>8.2457447187433662E-3</v>
      </c>
      <c r="P181" s="9"/>
      <c r="Q181" s="7">
        <v>392.46</v>
      </c>
      <c r="R181" s="8">
        <f>IFERROR(Q181/Q444, "NA")</f>
        <v>9.3231800325163899E-4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-392.46</v>
      </c>
      <c r="X181" s="8">
        <f>IFERROR(W181/W444, "NA")</f>
        <v>0.10309040045180493</v>
      </c>
      <c r="Y181" s="9"/>
      <c r="Z181" s="7">
        <v>656.93</v>
      </c>
      <c r="AA181" s="8">
        <f>IFERROR(Z181/Z444, "NA")</f>
        <v>1.7371491080705969E-3</v>
      </c>
      <c r="AB181" s="9"/>
      <c r="AC181" s="10">
        <f t="shared" si="47"/>
        <v>264.46999999999997</v>
      </c>
      <c r="AD181" s="8">
        <f>IFERROR(AC181/AC444, "NA")</f>
        <v>6.1813416365141182E-3</v>
      </c>
    </row>
    <row r="182" spans="1:30" ht="16.5" customHeight="1" x14ac:dyDescent="0.45">
      <c r="A182" s="13" t="s">
        <v>167</v>
      </c>
      <c r="B182" s="14">
        <f>IFERROR(B177+B178+B179+B180+B181, "NA")</f>
        <v>28543.129999999997</v>
      </c>
      <c r="C182" s="15">
        <f>IFERROR(B182/B444, "NA")</f>
        <v>0.23812246261370057</v>
      </c>
      <c r="D182" s="2"/>
      <c r="E182" s="14">
        <f>IFERROR(E177+E178+E179+E180+E181, "NA")</f>
        <v>29718.210000000003</v>
      </c>
      <c r="F182" s="15">
        <f>IFERROR(E182/E444, "NA")</f>
        <v>0.23748940043819916</v>
      </c>
      <c r="G182" s="2"/>
      <c r="H182" s="14">
        <f t="shared" si="44"/>
        <v>1175.0800000000054</v>
      </c>
      <c r="I182" s="15">
        <f>IFERROR(H182/H444, "NA")</f>
        <v>-0.22308327558875851</v>
      </c>
      <c r="J182" s="2"/>
      <c r="K182" s="14">
        <f>IFERROR(K177+K178+K179+K180+K181, "NA")</f>
        <v>27908.300000000003</v>
      </c>
      <c r="L182" s="15">
        <f>IFERROR(K182/K444, "NA")</f>
        <v>0.2609400960609764</v>
      </c>
      <c r="M182" s="2"/>
      <c r="N182" s="14">
        <f t="shared" si="45"/>
        <v>-634.82999999999447</v>
      </c>
      <c r="O182" s="15">
        <f>IFERROR(N182/N444, "NA")</f>
        <v>-4.9156222366417548E-2</v>
      </c>
      <c r="P182" s="2"/>
      <c r="Q182" s="14">
        <f>IFERROR(Q177+Q178+Q179+Q180+Q181, "NA")</f>
        <v>104493.8</v>
      </c>
      <c r="R182" s="15">
        <f>IFERROR(Q182/Q444, "NA")</f>
        <v>0.2482328160020795</v>
      </c>
      <c r="S182" s="2"/>
      <c r="T182" s="14">
        <f>IFERROR(T177+T178+T179+T180+T181, "NA")</f>
        <v>108509.08</v>
      </c>
      <c r="U182" s="15">
        <f>IFERROR(T182/T444, "NA")</f>
        <v>0.25546110119146975</v>
      </c>
      <c r="V182" s="2"/>
      <c r="W182" s="14">
        <f t="shared" si="46"/>
        <v>4015.2799999999988</v>
      </c>
      <c r="X182" s="15">
        <f>IFERROR(W182/W444, "NA")</f>
        <v>-1.0547235976306457</v>
      </c>
      <c r="Y182" s="2"/>
      <c r="Z182" s="14">
        <f>IFERROR(Z177+Z178+Z179+Z180+Z181, "NA")</f>
        <v>104517.16999999998</v>
      </c>
      <c r="AA182" s="15">
        <f>IFERROR(Z182/Z444, "NA")</f>
        <v>0.27637938386671779</v>
      </c>
      <c r="AB182" s="2"/>
      <c r="AC182" s="14">
        <f t="shared" si="47"/>
        <v>23.369999999980791</v>
      </c>
      <c r="AD182" s="15">
        <f>IFERROR(AC182/AC444, "NA")</f>
        <v>5.4621678846453745E-4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4.1712745346025575E-3</v>
      </c>
      <c r="D184" s="9"/>
      <c r="E184" s="7">
        <v>500</v>
      </c>
      <c r="F184" s="8">
        <f>IFERROR(E184/E444, "NA")</f>
        <v>3.9956881729787752E-3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400</v>
      </c>
      <c r="L184" s="8">
        <f>IFERROR(K184/K444, "NA")</f>
        <v>3.739964040245753E-3</v>
      </c>
      <c r="M184" s="9"/>
      <c r="N184" s="10">
        <f t="shared" si="45"/>
        <v>-100</v>
      </c>
      <c r="O184" s="8">
        <f>IFERROR(N184/N444, "NA")</f>
        <v>-7.7432103659905759E-3</v>
      </c>
      <c r="P184" s="9"/>
      <c r="Q184" s="7">
        <v>2000</v>
      </c>
      <c r="R184" s="8">
        <f>IFERROR(Q184/Q444, "NA")</f>
        <v>4.7511491782685576E-3</v>
      </c>
      <c r="S184" s="9"/>
      <c r="T184" s="7">
        <v>2000</v>
      </c>
      <c r="U184" s="8">
        <f>IFERROR(T184/T444, "NA")</f>
        <v>4.708566346548506E-3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1300</v>
      </c>
      <c r="AA184" s="8">
        <f>IFERROR(Z184/Z444, "NA")</f>
        <v>3.4376476039939961E-3</v>
      </c>
      <c r="AB184" s="9"/>
      <c r="AC184" s="10">
        <f t="shared" si="47"/>
        <v>-700</v>
      </c>
      <c r="AD184" s="8">
        <f>IFERROR(AC184/AC444, "NA")</f>
        <v>-1.6360793835065918E-2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3141.21</v>
      </c>
      <c r="C186" s="8">
        <f>IFERROR(B186/B444, "NA")</f>
        <v>2.6205698561677801E-2</v>
      </c>
      <c r="D186" s="9"/>
      <c r="E186" s="7">
        <v>3323.21</v>
      </c>
      <c r="F186" s="8">
        <f>IFERROR(E186/E444, "NA")</f>
        <v>2.6557021786649593E-2</v>
      </c>
      <c r="G186" s="9"/>
      <c r="H186" s="10">
        <f t="shared" ref="H186:H197" si="48">IFERROR(-(B186-E186), "NA")</f>
        <v>182</v>
      </c>
      <c r="I186" s="8">
        <f>IFERROR(H186/H444, "NA")</f>
        <v>-3.455182298835302E-2</v>
      </c>
      <c r="J186" s="9"/>
      <c r="K186" s="7">
        <v>2869.92</v>
      </c>
      <c r="L186" s="8">
        <f>IFERROR(K186/K444, "NA")</f>
        <v>2.6833493995955231E-2</v>
      </c>
      <c r="M186" s="9"/>
      <c r="N186" s="10">
        <f t="shared" ref="N186:N197" si="49">IFERROR(-(B186-K186), "NA")</f>
        <v>-271.28999999999996</v>
      </c>
      <c r="O186" s="8">
        <f>IFERROR(N186/N444, "NA")</f>
        <v>-2.1006555401895832E-2</v>
      </c>
      <c r="P186" s="9"/>
      <c r="Q186" s="7">
        <v>12037.59</v>
      </c>
      <c r="R186" s="8">
        <f>IFERROR(Q186/Q444, "NA")</f>
        <v>2.8596192918416901E-2</v>
      </c>
      <c r="S186" s="9"/>
      <c r="T186" s="7">
        <v>13291.94</v>
      </c>
      <c r="U186" s="8">
        <f>IFERROR(T186/T444, "NA")</f>
        <v>3.1292990682170972E-2</v>
      </c>
      <c r="V186" s="9"/>
      <c r="W186" s="10">
        <f t="shared" ref="W186:W197" si="50">IFERROR(-(Q186-T186), "NA")</f>
        <v>1254.3500000000004</v>
      </c>
      <c r="X186" s="8">
        <f>IFERROR(W186/W444, "NA")</f>
        <v>-0.32948948633420361</v>
      </c>
      <c r="Y186" s="9"/>
      <c r="Z186" s="7">
        <v>11823.22</v>
      </c>
      <c r="AA186" s="8">
        <f>IFERROR(Z186/Z444, "NA")</f>
        <v>3.1264664541918383E-2</v>
      </c>
      <c r="AB186" s="9"/>
      <c r="AC186" s="10">
        <f t="shared" ref="AC186:AC197" si="51">IFERROR(-(Q186-Z186), "NA")</f>
        <v>-214.3700000000008</v>
      </c>
      <c r="AD186" s="8">
        <f>IFERROR(AC186/AC444, "NA")</f>
        <v>-5.0103762491758479E-3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-0.03</v>
      </c>
      <c r="L187" s="8">
        <f>IFERROR(K187/K444, "NA")</f>
        <v>-2.804973030184315E-7</v>
      </c>
      <c r="M187" s="9"/>
      <c r="N187" s="10">
        <f t="shared" si="49"/>
        <v>-0.03</v>
      </c>
      <c r="O187" s="8">
        <f>IFERROR(N187/N444, "NA")</f>
        <v>-2.3229631097971727E-6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-0.05</v>
      </c>
      <c r="AA187" s="8">
        <f>IFERROR(Z187/Z444, "NA")</f>
        <v>-1.3221721553823063E-7</v>
      </c>
      <c r="AB187" s="9"/>
      <c r="AC187" s="10">
        <f t="shared" si="51"/>
        <v>-0.05</v>
      </c>
      <c r="AD187" s="8">
        <f>IFERROR(AC187/AC444, "NA")</f>
        <v>-1.168628131076137E-6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3141.21</v>
      </c>
      <c r="C193" s="15">
        <f>IFERROR(B193/B444, "NA")</f>
        <v>2.6205698561677801E-2</v>
      </c>
      <c r="D193" s="2"/>
      <c r="E193" s="14">
        <f>IFERROR(E186+E187+E188+E189+E190+E191+E192, "NA")</f>
        <v>3323.21</v>
      </c>
      <c r="F193" s="15">
        <f>IFERROR(E193/E444, "NA")</f>
        <v>2.6557021786649593E-2</v>
      </c>
      <c r="G193" s="2"/>
      <c r="H193" s="14">
        <f t="shared" si="48"/>
        <v>182</v>
      </c>
      <c r="I193" s="15">
        <f>IFERROR(H193/H444, "NA")</f>
        <v>-3.455182298835302E-2</v>
      </c>
      <c r="J193" s="2"/>
      <c r="K193" s="14">
        <f>IFERROR(K186+K187+K188+K189+K190+K191+K192, "NA")</f>
        <v>2869.89</v>
      </c>
      <c r="L193" s="15">
        <f>IFERROR(K193/K444, "NA")</f>
        <v>2.6833213498652211E-2</v>
      </c>
      <c r="M193" s="2"/>
      <c r="N193" s="14">
        <f t="shared" si="49"/>
        <v>-271.32000000000016</v>
      </c>
      <c r="O193" s="15">
        <f>IFERROR(N193/N444, "NA")</f>
        <v>-2.1008878365005645E-2</v>
      </c>
      <c r="P193" s="2"/>
      <c r="Q193" s="14">
        <f>IFERROR(Q186+Q187+Q188+Q189+Q190+Q191+Q192, "NA")</f>
        <v>12037.59</v>
      </c>
      <c r="R193" s="15">
        <f>IFERROR(Q193/Q444, "NA")</f>
        <v>2.8596192918416901E-2</v>
      </c>
      <c r="S193" s="2"/>
      <c r="T193" s="14">
        <f>IFERROR(T186+T187+T188+T189+T190+T191+T192, "NA")</f>
        <v>13291.94</v>
      </c>
      <c r="U193" s="15">
        <f>IFERROR(T193/T444, "NA")</f>
        <v>3.1292990682170972E-2</v>
      </c>
      <c r="V193" s="2"/>
      <c r="W193" s="14">
        <f t="shared" si="50"/>
        <v>1254.3500000000004</v>
      </c>
      <c r="X193" s="15">
        <f>IFERROR(W193/W444, "NA")</f>
        <v>-0.32948948633420361</v>
      </c>
      <c r="Y193" s="2"/>
      <c r="Z193" s="14">
        <f>IFERROR(Z186+Z187+Z188+Z189+Z190+Z191+Z192, "NA")</f>
        <v>11823.17</v>
      </c>
      <c r="AA193" s="15">
        <f>IFERROR(Z193/Z444, "NA")</f>
        <v>3.1264532324702846E-2</v>
      </c>
      <c r="AB193" s="2"/>
      <c r="AC193" s="14">
        <f t="shared" si="51"/>
        <v>-214.42000000000007</v>
      </c>
      <c r="AD193" s="15">
        <f>IFERROR(AC193/AC444, "NA")</f>
        <v>-5.0115448773069074E-3</v>
      </c>
    </row>
    <row r="194" spans="1:30" ht="16.5" customHeight="1" x14ac:dyDescent="0.45">
      <c r="A194" s="6" t="s">
        <v>178</v>
      </c>
      <c r="B194" s="7">
        <v>212</v>
      </c>
      <c r="C194" s="8">
        <f>IFERROR(B194/B444, "NA")</f>
        <v>1.7686204026714843E-3</v>
      </c>
      <c r="D194" s="9"/>
      <c r="E194" s="7">
        <v>241.75</v>
      </c>
      <c r="F194" s="8">
        <f>IFERROR(E194/E444, "NA")</f>
        <v>1.9319152316352379E-3</v>
      </c>
      <c r="G194" s="9"/>
      <c r="H194" s="10">
        <f t="shared" si="48"/>
        <v>29.75</v>
      </c>
      <c r="I194" s="8">
        <f>IFERROR(H194/H444, "NA")</f>
        <v>-5.6478941423269355E-3</v>
      </c>
      <c r="J194" s="9"/>
      <c r="K194" s="7">
        <v>0</v>
      </c>
      <c r="L194" s="8">
        <f>IFERROR(K194/K444, "NA")</f>
        <v>0</v>
      </c>
      <c r="M194" s="9"/>
      <c r="N194" s="10">
        <f t="shared" si="49"/>
        <v>-212</v>
      </c>
      <c r="O194" s="8">
        <f>IFERROR(N194/N444, "NA")</f>
        <v>-1.641560597590002E-2</v>
      </c>
      <c r="P194" s="9"/>
      <c r="Q194" s="7">
        <v>916</v>
      </c>
      <c r="R194" s="8">
        <f>IFERROR(Q194/Q444, "NA")</f>
        <v>2.1760263236469991E-3</v>
      </c>
      <c r="S194" s="9"/>
      <c r="T194" s="7">
        <v>884.08</v>
      </c>
      <c r="U194" s="8">
        <f>IFERROR(T194/T444, "NA")</f>
        <v>2.0813746678283013E-3</v>
      </c>
      <c r="V194" s="9"/>
      <c r="W194" s="10">
        <f t="shared" si="50"/>
        <v>-31.919999999999959</v>
      </c>
      <c r="X194" s="8">
        <f>IFERROR(W194/W444, "NA")</f>
        <v>8.3846648892157392E-3</v>
      </c>
      <c r="Y194" s="9"/>
      <c r="Z194" s="7">
        <v>762</v>
      </c>
      <c r="AA194" s="8">
        <f>IFERROR(Z194/Z444, "NA")</f>
        <v>2.0149903648026346E-3</v>
      </c>
      <c r="AB194" s="9"/>
      <c r="AC194" s="10">
        <f t="shared" si="51"/>
        <v>-154</v>
      </c>
      <c r="AD194" s="8">
        <f>IFERROR(AC194/AC444, "NA")</f>
        <v>-3.5993746437145016E-3</v>
      </c>
    </row>
    <row r="195" spans="1:30" ht="16.5" customHeight="1" x14ac:dyDescent="0.45">
      <c r="A195" s="6" t="s">
        <v>179</v>
      </c>
      <c r="B195" s="7">
        <v>290.48</v>
      </c>
      <c r="C195" s="8">
        <f>IFERROR(B195/B444, "NA")</f>
        <v>2.4233436536227021E-3</v>
      </c>
      <c r="D195" s="9"/>
      <c r="E195" s="7">
        <v>211.53</v>
      </c>
      <c r="F195" s="8">
        <f>IFERROR(E195/E444, "NA")</f>
        <v>1.6904158384604007E-3</v>
      </c>
      <c r="G195" s="9"/>
      <c r="H195" s="10">
        <f t="shared" si="48"/>
        <v>-78.950000000000017</v>
      </c>
      <c r="I195" s="8">
        <f>IFERROR(H195/H444, "NA")</f>
        <v>1.4988277060057535E-2</v>
      </c>
      <c r="J195" s="9"/>
      <c r="K195" s="7">
        <v>246.55</v>
      </c>
      <c r="L195" s="8">
        <f>IFERROR(K195/K444, "NA")</f>
        <v>2.3052203353064763E-3</v>
      </c>
      <c r="M195" s="9"/>
      <c r="N195" s="10">
        <f t="shared" si="49"/>
        <v>-43.930000000000007</v>
      </c>
      <c r="O195" s="8">
        <f>IFERROR(N195/N444, "NA")</f>
        <v>-3.4015923137796608E-3</v>
      </c>
      <c r="P195" s="9"/>
      <c r="Q195" s="7">
        <v>1250.08</v>
      </c>
      <c r="R195" s="8">
        <f>IFERROR(Q195/Q444, "NA")</f>
        <v>2.9696582823849791E-3</v>
      </c>
      <c r="S195" s="9"/>
      <c r="T195" s="7">
        <v>773.57</v>
      </c>
      <c r="U195" s="8">
        <f>IFERROR(T195/T444, "NA")</f>
        <v>1.8212028343497638E-3</v>
      </c>
      <c r="V195" s="9"/>
      <c r="W195" s="10">
        <f t="shared" si="50"/>
        <v>-476.50999999999988</v>
      </c>
      <c r="X195" s="8">
        <f>IFERROR(W195/W444, "NA")</f>
        <v>0.12516844192857757</v>
      </c>
      <c r="Y195" s="9"/>
      <c r="Z195" s="7">
        <v>886.9</v>
      </c>
      <c r="AA195" s="8">
        <f>IFERROR(Z195/Z444, "NA")</f>
        <v>2.3452689692171347E-3</v>
      </c>
      <c r="AB195" s="9"/>
      <c r="AC195" s="10">
        <f t="shared" si="51"/>
        <v>-363.17999999999995</v>
      </c>
      <c r="AD195" s="8">
        <f>IFERROR(AC195/AC444, "NA")</f>
        <v>-8.4884472928846277E-3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32686.819999999996</v>
      </c>
      <c r="C196" s="15">
        <f>IFERROR(B196/B444, "NA")</f>
        <v>0.2726913997662751</v>
      </c>
      <c r="D196" s="2"/>
      <c r="E196" s="14">
        <f>IFERROR(E175+E177+E178+E179+E180+E181+E183+E184+E186+E187+E188+E189+E190+E191+E192+E194+E195, "NA")</f>
        <v>33994.700000000004</v>
      </c>
      <c r="F196" s="15">
        <f>IFERROR(E196/E444, "NA")</f>
        <v>0.27166444146792318</v>
      </c>
      <c r="G196" s="2"/>
      <c r="H196" s="14">
        <f t="shared" si="48"/>
        <v>1307.8800000000083</v>
      </c>
      <c r="I196" s="15">
        <f>IFERROR(H196/H444, "NA")</f>
        <v>-0.24829471565938149</v>
      </c>
      <c r="J196" s="2"/>
      <c r="K196" s="14">
        <f>IFERROR(K175+K177+K178+K179+K180+K181+K183+K184+K186+K187+K188+K189+K190+K191+K192+K194+K195, "NA")</f>
        <v>31424.74</v>
      </c>
      <c r="L196" s="15">
        <f>IFERROR(K196/K444, "NA")</f>
        <v>0.29381849393518084</v>
      </c>
      <c r="M196" s="2"/>
      <c r="N196" s="14">
        <f t="shared" si="49"/>
        <v>-1262.0799999999945</v>
      </c>
      <c r="O196" s="15">
        <f>IFERROR(N196/N444, "NA")</f>
        <v>-9.7725509387093443E-2</v>
      </c>
      <c r="P196" s="2"/>
      <c r="Q196" s="14">
        <f>IFERROR(Q175+Q177+Q178+Q179+Q180+Q181+Q183+Q184+Q186+Q187+Q188+Q189+Q190+Q191+Q192+Q194+Q195, "NA")</f>
        <v>120697.47</v>
      </c>
      <c r="R196" s="15">
        <f>IFERROR(Q196/Q444, "NA")</f>
        <v>0.28672584270479695</v>
      </c>
      <c r="S196" s="2"/>
      <c r="T196" s="14">
        <f>IFERROR(T175+T177+T178+T179+T180+T181+T183+T184+T186+T187+T188+T189+T190+T191+T192+T194+T195, "NA")</f>
        <v>125458.67000000001</v>
      </c>
      <c r="U196" s="15">
        <f>IFERROR(T196/T444, "NA")</f>
        <v>0.29536523572236734</v>
      </c>
      <c r="V196" s="2"/>
      <c r="W196" s="14">
        <f t="shared" si="50"/>
        <v>4761.2000000000116</v>
      </c>
      <c r="X196" s="15">
        <f>IFERROR(W196/W444, "NA")</f>
        <v>-1.2506599771470592</v>
      </c>
      <c r="Y196" s="2"/>
      <c r="Z196" s="14">
        <f>IFERROR(Z175+Z177+Z178+Z179+Z180+Z181+Z183+Z184+Z186+Z187+Z188+Z189+Z190+Z191+Z192+Z194+Z195, "NA")</f>
        <v>119289.23999999998</v>
      </c>
      <c r="AA196" s="15">
        <f>IFERROR(Z196/Z444, "NA")</f>
        <v>0.31544182312943436</v>
      </c>
      <c r="AB196" s="2"/>
      <c r="AC196" s="14">
        <f t="shared" si="51"/>
        <v>-1408.230000000025</v>
      </c>
      <c r="AD196" s="15">
        <f>IFERROR(AC196/AC444, "NA")</f>
        <v>-3.2913943860507548E-2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32686.819999999996</v>
      </c>
      <c r="C197" s="15">
        <f>IFERROR(B197/B444, "NA")</f>
        <v>0.2726913997662751</v>
      </c>
      <c r="D197" s="2"/>
      <c r="E197" s="14">
        <f>IFERROR(E175+E177+E178+E179+E180+E181+E183+E184+E186+E187+E188+E189+E190+E191+E192+E194+E195, "NA")</f>
        <v>33994.700000000004</v>
      </c>
      <c r="F197" s="15">
        <f>IFERROR(E197/E444, "NA")</f>
        <v>0.27166444146792318</v>
      </c>
      <c r="G197" s="2"/>
      <c r="H197" s="14">
        <f t="shared" si="48"/>
        <v>1307.8800000000083</v>
      </c>
      <c r="I197" s="15">
        <f>IFERROR(H197/H444, "NA")</f>
        <v>-0.24829471565938149</v>
      </c>
      <c r="J197" s="2"/>
      <c r="K197" s="14">
        <f>IFERROR(K175+K177+K178+K179+K180+K181+K183+K184+K186+K187+K188+K189+K190+K191+K192+K194+K195, "NA")</f>
        <v>31424.74</v>
      </c>
      <c r="L197" s="15">
        <f>IFERROR(K197/K444, "NA")</f>
        <v>0.29381849393518084</v>
      </c>
      <c r="M197" s="2"/>
      <c r="N197" s="14">
        <f t="shared" si="49"/>
        <v>-1262.0799999999945</v>
      </c>
      <c r="O197" s="15">
        <f>IFERROR(N197/N444, "NA")</f>
        <v>-9.7725509387093443E-2</v>
      </c>
      <c r="P197" s="2"/>
      <c r="Q197" s="14">
        <f>IFERROR(Q175+Q177+Q178+Q179+Q180+Q181+Q183+Q184+Q186+Q187+Q188+Q189+Q190+Q191+Q192+Q194+Q195, "NA")</f>
        <v>120697.47</v>
      </c>
      <c r="R197" s="15">
        <f>IFERROR(Q197/Q444, "NA")</f>
        <v>0.28672584270479695</v>
      </c>
      <c r="S197" s="2"/>
      <c r="T197" s="14">
        <f>IFERROR(T175+T177+T178+T179+T180+T181+T183+T184+T186+T187+T188+T189+T190+T191+T192+T194+T195, "NA")</f>
        <v>125458.67000000001</v>
      </c>
      <c r="U197" s="15">
        <f>IFERROR(T197/T444, "NA")</f>
        <v>0.29536523572236734</v>
      </c>
      <c r="V197" s="2"/>
      <c r="W197" s="14">
        <f t="shared" si="50"/>
        <v>4761.2000000000116</v>
      </c>
      <c r="X197" s="15">
        <f>IFERROR(W197/W444, "NA")</f>
        <v>-1.2506599771470592</v>
      </c>
      <c r="Y197" s="2"/>
      <c r="Z197" s="14">
        <f>IFERROR(Z175+Z177+Z178+Z179+Z180+Z181+Z183+Z184+Z186+Z187+Z188+Z189+Z190+Z191+Z192+Z194+Z195, "NA")</f>
        <v>119289.23999999998</v>
      </c>
      <c r="AA197" s="15">
        <f>IFERROR(Z197/Z444, "NA")</f>
        <v>0.31544182312943436</v>
      </c>
      <c r="AB197" s="2"/>
      <c r="AC197" s="14">
        <f t="shared" si="51"/>
        <v>-1408.230000000025</v>
      </c>
      <c r="AD197" s="15">
        <f>IFERROR(AC197/AC444, "NA")</f>
        <v>-3.2913943860507548E-2</v>
      </c>
    </row>
    <row r="198" spans="1:30" ht="16.5" customHeight="1" x14ac:dyDescent="0.45">
      <c r="A198" s="22" t="s">
        <v>181</v>
      </c>
      <c r="B198" s="23">
        <f>IFERROR(B172-B197, "NA")</f>
        <v>48406.560000000012</v>
      </c>
      <c r="C198" s="24">
        <f>IFERROR(B198/B444, "NA")</f>
        <v>0.40383410207142167</v>
      </c>
      <c r="D198" s="25"/>
      <c r="E198" s="23">
        <f>IFERROR(E172-E197, "NA")</f>
        <v>60732.409999999982</v>
      </c>
      <c r="F198" s="24">
        <f>IFERROR(E198/E444, "NA")</f>
        <v>0.48533554470699564</v>
      </c>
      <c r="G198" s="25"/>
      <c r="H198" s="23">
        <f>IFERROR(B198-E198, "NA")</f>
        <v>-12325.849999999969</v>
      </c>
      <c r="I198" s="24">
        <f>IFERROR(H198/H444, "NA")</f>
        <v>2.3400032273680766</v>
      </c>
      <c r="J198" s="25"/>
      <c r="K198" s="23">
        <f>IFERROR(K172-K197, "NA")</f>
        <v>46161.10000000002</v>
      </c>
      <c r="L198" s="24">
        <f>IFERROR(K198/K444, "NA")</f>
        <v>0.4316021351454708</v>
      </c>
      <c r="M198" s="25"/>
      <c r="N198" s="23">
        <f>IFERROR(B198-K198, "NA")</f>
        <v>2245.4599999999919</v>
      </c>
      <c r="O198" s="24">
        <f>IFERROR(N198/N444, "NA")</f>
        <v>0.17387069148417136</v>
      </c>
      <c r="P198" s="25"/>
      <c r="Q198" s="23">
        <f>IFERROR(Q172-Q197, "NA")</f>
        <v>176252.23999999996</v>
      </c>
      <c r="R198" s="24">
        <f>IFERROR(Q198/Q444, "NA")</f>
        <v>0.41870034262199618</v>
      </c>
      <c r="S198" s="25"/>
      <c r="T198" s="23">
        <f>IFERROR(T172-T197, "NA")</f>
        <v>189158.43999999997</v>
      </c>
      <c r="U198" s="24">
        <f>IFERROR(T198/T444, "NA")</f>
        <v>0.4453325323748073</v>
      </c>
      <c r="V198" s="25"/>
      <c r="W198" s="23">
        <f>IFERROR(Q198-T198, "NA")</f>
        <v>-12906.200000000012</v>
      </c>
      <c r="X198" s="24">
        <f>IFERROR(W198/W444, "NA")</f>
        <v>3.3901679822429958</v>
      </c>
      <c r="Y198" s="25"/>
      <c r="Z198" s="23">
        <f>IFERROR(Z172-Z197, "NA")</f>
        <v>152012.35000000009</v>
      </c>
      <c r="AA198" s="24">
        <f>IFERROR(Z198/Z444, "NA")</f>
        <v>0.40197299288845928</v>
      </c>
      <c r="AB198" s="25"/>
      <c r="AC198" s="23">
        <f>IFERROR(Q198-Z198, "NA")</f>
        <v>24239.889999999868</v>
      </c>
      <c r="AD198" s="24">
        <f>IFERROR(AC198/AC444, "NA")</f>
        <v>0.56654834696381973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2627.83</v>
      </c>
      <c r="F201" s="8">
        <f>IFERROR(E201/E444, "NA")</f>
        <v>2.0999978503197628E-2</v>
      </c>
      <c r="G201" s="9"/>
      <c r="H201" s="10">
        <f t="shared" ref="H201:H209" si="52">IFERROR(-(B201-E201), "NA")</f>
        <v>2627.83</v>
      </c>
      <c r="I201" s="8">
        <f>IFERROR(H201/H444, "NA")</f>
        <v>-0.49888086265650389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9260.6299999999992</v>
      </c>
      <c r="U201" s="8">
        <f>IFERROR(T201/T444, "NA")</f>
        <v>2.180214538291874E-2</v>
      </c>
      <c r="V201" s="9"/>
      <c r="W201" s="10">
        <f t="shared" ref="W201:W209" si="54">IFERROR(-(Q201-T201), "NA")</f>
        <v>9260.6299999999992</v>
      </c>
      <c r="X201" s="8">
        <f>IFERROR(W201/W444, "NA")</f>
        <v>-2.432558872588285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1275.08</v>
      </c>
      <c r="C202" s="8">
        <f>IFERROR(B202/B444, "NA")</f>
        <v>1.0637417467162057E-2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-1275.08</v>
      </c>
      <c r="I202" s="8">
        <f>IFERROR(H202/H444, "NA")</f>
        <v>0.24206779371422618</v>
      </c>
      <c r="J202" s="9"/>
      <c r="K202" s="7">
        <v>1388.24</v>
      </c>
      <c r="L202" s="8">
        <f>IFERROR(K202/K444, "NA")</f>
        <v>1.2979919198076912E-2</v>
      </c>
      <c r="M202" s="9"/>
      <c r="N202" s="10">
        <f t="shared" si="53"/>
        <v>113.16000000000008</v>
      </c>
      <c r="O202" s="8">
        <f>IFERROR(N202/N444, "NA")</f>
        <v>8.7622168501549427E-3</v>
      </c>
      <c r="P202" s="9"/>
      <c r="Q202" s="7">
        <v>6634.15</v>
      </c>
      <c r="R202" s="8">
        <f>IFERROR(Q202/Q444, "NA")</f>
        <v>1.5759918160505173E-2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-6634.15</v>
      </c>
      <c r="X202" s="8">
        <f>IFERROR(W202/W444, "NA")</f>
        <v>1.7426417473305347</v>
      </c>
      <c r="Y202" s="9"/>
      <c r="Z202" s="7">
        <v>4637.8999999999996</v>
      </c>
      <c r="AA202" s="8">
        <f>IFERROR(Z202/Z444, "NA")</f>
        <v>1.2264204478895195E-2</v>
      </c>
      <c r="AB202" s="9"/>
      <c r="AC202" s="10">
        <f t="shared" si="55"/>
        <v>-1996.25</v>
      </c>
      <c r="AD202" s="8">
        <f>IFERROR(AC202/AC444, "NA")</f>
        <v>-4.6657478133214768E-2</v>
      </c>
    </row>
    <row r="203" spans="1:30" ht="16.5" customHeight="1" x14ac:dyDescent="0.45">
      <c r="A203" s="6" t="s">
        <v>185</v>
      </c>
      <c r="B203" s="7">
        <v>1512.88</v>
      </c>
      <c r="C203" s="8">
        <f>IFERROR(B203/B444, "NA")</f>
        <v>1.2621275635819036E-2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-1512.88</v>
      </c>
      <c r="I203" s="8">
        <f>IFERROR(H203/H444, "NA")</f>
        <v>0.28721297781659078</v>
      </c>
      <c r="J203" s="9"/>
      <c r="K203" s="7">
        <v>630.87</v>
      </c>
      <c r="L203" s="8">
        <f>IFERROR(K203/K444, "NA")</f>
        <v>5.8985777851745958E-3</v>
      </c>
      <c r="M203" s="9"/>
      <c r="N203" s="10">
        <f t="shared" si="53"/>
        <v>-882.0100000000001</v>
      </c>
      <c r="O203" s="8">
        <f>IFERROR(N203/N444, "NA")</f>
        <v>-6.8295889749073496E-2</v>
      </c>
      <c r="P203" s="9"/>
      <c r="Q203" s="7">
        <v>3340.58</v>
      </c>
      <c r="R203" s="8">
        <f>IFERROR(Q203/Q444, "NA")</f>
        <v>7.935796960970189E-3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-3340.58</v>
      </c>
      <c r="X203" s="8">
        <f>IFERROR(W203/W444, "NA")</f>
        <v>0.87749510763209126</v>
      </c>
      <c r="Y203" s="9"/>
      <c r="Z203" s="7">
        <v>1685.77</v>
      </c>
      <c r="AA203" s="8">
        <f>IFERROR(Z203/Z444, "NA")</f>
        <v>4.4577563087576611E-3</v>
      </c>
      <c r="AB203" s="9"/>
      <c r="AC203" s="10">
        <f t="shared" si="55"/>
        <v>-1654.81</v>
      </c>
      <c r="AD203" s="8">
        <f>IFERROR(AC203/AC444, "NA")</f>
        <v>-3.8677150351722041E-2</v>
      </c>
    </row>
    <row r="204" spans="1:30" ht="16.5" customHeight="1" x14ac:dyDescent="0.45">
      <c r="A204" s="6" t="s">
        <v>186</v>
      </c>
      <c r="B204" s="7">
        <v>294.38</v>
      </c>
      <c r="C204" s="8">
        <f>IFERROR(B204/B444, "NA")</f>
        <v>2.4558795949926019E-3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-294.38</v>
      </c>
      <c r="I204" s="8">
        <f>IFERROR(H204/H444, "NA")</f>
        <v>5.5886624457754733E-2</v>
      </c>
      <c r="J204" s="9"/>
      <c r="K204" s="7">
        <v>272.33999999999997</v>
      </c>
      <c r="L204" s="8">
        <f>IFERROR(K204/K444, "NA")</f>
        <v>2.5463545168013207E-3</v>
      </c>
      <c r="M204" s="9"/>
      <c r="N204" s="10">
        <f t="shared" si="53"/>
        <v>-22.04000000000002</v>
      </c>
      <c r="O204" s="8">
        <f>IFERROR(N204/N444, "NA")</f>
        <v>-1.7066035646643245E-3</v>
      </c>
      <c r="P204" s="9"/>
      <c r="Q204" s="7">
        <v>617.13</v>
      </c>
      <c r="R204" s="8">
        <f>IFERROR(Q204/Q444, "NA")</f>
        <v>1.4660383461924374E-3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-617.13</v>
      </c>
      <c r="X204" s="8">
        <f>IFERROR(W204/W444, "NA")</f>
        <v>0.16210614796621919</v>
      </c>
      <c r="Y204" s="9"/>
      <c r="Z204" s="7">
        <v>574.13</v>
      </c>
      <c r="AA204" s="8">
        <f>IFERROR(Z204/Z444, "NA")</f>
        <v>1.5181973991392869E-3</v>
      </c>
      <c r="AB204" s="9"/>
      <c r="AC204" s="10">
        <f t="shared" si="55"/>
        <v>-43</v>
      </c>
      <c r="AD204" s="8">
        <f>IFERROR(AC204/AC444, "NA")</f>
        <v>-1.0050201927254776E-3</v>
      </c>
    </row>
    <row r="205" spans="1:30" ht="16.5" customHeight="1" x14ac:dyDescent="0.45">
      <c r="A205" s="6" t="s">
        <v>187</v>
      </c>
      <c r="B205" s="7">
        <v>290.01</v>
      </c>
      <c r="C205" s="8">
        <f>IFERROR(B205/B444, "NA")</f>
        <v>2.4194226555601752E-3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-290.01</v>
      </c>
      <c r="I205" s="8">
        <f>IFERROR(H205/H444, "NA")</f>
        <v>5.505700101567175E-2</v>
      </c>
      <c r="J205" s="9"/>
      <c r="K205" s="7">
        <v>207.88</v>
      </c>
      <c r="L205" s="8">
        <f>IFERROR(K205/K444, "NA")</f>
        <v>1.9436593117157178E-3</v>
      </c>
      <c r="M205" s="9"/>
      <c r="N205" s="10">
        <f t="shared" si="53"/>
        <v>-82.13</v>
      </c>
      <c r="O205" s="8">
        <f>IFERROR(N205/N444, "NA")</f>
        <v>-6.3594986735880602E-3</v>
      </c>
      <c r="P205" s="9"/>
      <c r="Q205" s="7">
        <v>972.38</v>
      </c>
      <c r="R205" s="8">
        <f>IFERROR(Q205/Q444, "NA")</f>
        <v>2.3099612189823901E-3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-972.38</v>
      </c>
      <c r="X205" s="8">
        <f>IFERROR(W205/W444, "NA")</f>
        <v>0.25542231970474977</v>
      </c>
      <c r="Y205" s="9"/>
      <c r="Z205" s="7">
        <v>909.77</v>
      </c>
      <c r="AA205" s="8">
        <f>IFERROR(Z205/Z444, "NA")</f>
        <v>2.4057451236043216E-3</v>
      </c>
      <c r="AB205" s="9"/>
      <c r="AC205" s="10">
        <f t="shared" si="55"/>
        <v>-62.610000000000014</v>
      </c>
      <c r="AD205" s="8">
        <f>IFERROR(AC205/AC444, "NA")</f>
        <v>-1.463356145733539E-3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-13.98</v>
      </c>
      <c r="L206" s="8">
        <f>IFERROR(K206/K444, "NA")</f>
        <v>-1.3071174320658909E-4</v>
      </c>
      <c r="M206" s="9"/>
      <c r="N206" s="10">
        <f t="shared" si="53"/>
        <v>-13.98</v>
      </c>
      <c r="O206" s="8">
        <f>IFERROR(N206/N444, "NA")</f>
        <v>-1.0825008091654826E-3</v>
      </c>
      <c r="P206" s="9"/>
      <c r="Q206" s="7">
        <v>33.049999999999997</v>
      </c>
      <c r="R206" s="8">
        <f>IFERROR(Q206/Q444, "NA")</f>
        <v>7.8512740170887902E-5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-33.049999999999997</v>
      </c>
      <c r="X206" s="8">
        <f>IFERROR(W206/W444, "NA")</f>
        <v>8.6814904319730737E-3</v>
      </c>
      <c r="Y206" s="9"/>
      <c r="Z206" s="7">
        <v>0</v>
      </c>
      <c r="AA206" s="8">
        <f>IFERROR(Z206/Z444, "NA")</f>
        <v>0</v>
      </c>
      <c r="AB206" s="9"/>
      <c r="AC206" s="10">
        <f t="shared" si="55"/>
        <v>-33.049999999999997</v>
      </c>
      <c r="AD206" s="8">
        <f>IFERROR(AC206/AC444, "NA")</f>
        <v>-7.7246319464132642E-4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154.15</v>
      </c>
      <c r="L207" s="8">
        <f>IFERROR(K207/K444, "NA")</f>
        <v>1.4412886420097071E-3</v>
      </c>
      <c r="M207" s="9"/>
      <c r="N207" s="10">
        <f t="shared" si="53"/>
        <v>154.15</v>
      </c>
      <c r="O207" s="8">
        <f>IFERROR(N207/N444, "NA")</f>
        <v>1.1936158779174474E-2</v>
      </c>
      <c r="P207" s="9"/>
      <c r="Q207" s="7">
        <v>99.6</v>
      </c>
      <c r="R207" s="8">
        <f>IFERROR(Q207/Q444, "NA")</f>
        <v>2.3660722907777414E-4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-99.6</v>
      </c>
      <c r="X207" s="8">
        <f>IFERROR(W207/W444, "NA")</f>
        <v>2.6162676158079219E-2</v>
      </c>
      <c r="Y207" s="9"/>
      <c r="Z207" s="7">
        <v>308.3</v>
      </c>
      <c r="AA207" s="8">
        <f>IFERROR(Z207/Z444, "NA")</f>
        <v>8.1525135100873013E-4</v>
      </c>
      <c r="AB207" s="9"/>
      <c r="AC207" s="10">
        <f t="shared" si="55"/>
        <v>208.70000000000002</v>
      </c>
      <c r="AD207" s="8">
        <f>IFERROR(AC207/AC444, "NA")</f>
        <v>4.8778538191117955E-3</v>
      </c>
    </row>
    <row r="208" spans="1:30" ht="16.5" customHeight="1" x14ac:dyDescent="0.45">
      <c r="A208" s="6" t="s">
        <v>190</v>
      </c>
      <c r="B208" s="7">
        <v>226.54</v>
      </c>
      <c r="C208" s="8">
        <f>IFERROR(B208/B444, "NA")</f>
        <v>1.8899210661377267E-3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-226.54</v>
      </c>
      <c r="I208" s="8">
        <f>IFERROR(H208/H444, "NA")</f>
        <v>4.3007527361436773E-2</v>
      </c>
      <c r="J208" s="9"/>
      <c r="K208" s="7">
        <v>254.31</v>
      </c>
      <c r="L208" s="8">
        <f>IFERROR(K208/K444, "NA")</f>
        <v>2.3777756376872437E-3</v>
      </c>
      <c r="M208" s="9"/>
      <c r="N208" s="10">
        <f t="shared" si="53"/>
        <v>27.77000000000001</v>
      </c>
      <c r="O208" s="8">
        <f>IFERROR(N208/N444, "NA")</f>
        <v>2.1502895186355838E-3</v>
      </c>
      <c r="P208" s="9"/>
      <c r="Q208" s="7">
        <v>576.95000000000005</v>
      </c>
      <c r="R208" s="8">
        <f>IFERROR(Q208/Q444, "NA")</f>
        <v>1.3705877592010223E-3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-576.95000000000005</v>
      </c>
      <c r="X208" s="8">
        <f>IFERROR(W208/W444, "NA")</f>
        <v>0.15155176716268884</v>
      </c>
      <c r="Y208" s="9"/>
      <c r="Z208" s="7">
        <v>629.23</v>
      </c>
      <c r="AA208" s="8">
        <f>IFERROR(Z208/Z444, "NA")</f>
        <v>1.6639007706624172E-3</v>
      </c>
      <c r="AB208" s="9"/>
      <c r="AC208" s="10">
        <f t="shared" si="55"/>
        <v>52.279999999999973</v>
      </c>
      <c r="AD208" s="8">
        <f>IFERROR(AC208/AC444, "NA")</f>
        <v>1.2219175738532081E-3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3598.8900000000003</v>
      </c>
      <c r="C209" s="15">
        <f>IFERROR(B209/B444, "NA")</f>
        <v>3.0023916419671601E-2</v>
      </c>
      <c r="D209" s="2"/>
      <c r="E209" s="14">
        <f>IFERROR(E201+E202+E203+E204+E205+E206+E207+E208, "NA")</f>
        <v>2627.83</v>
      </c>
      <c r="F209" s="15">
        <f>IFERROR(E209/E444, "NA")</f>
        <v>2.0999978503197628E-2</v>
      </c>
      <c r="G209" s="2"/>
      <c r="H209" s="14">
        <f t="shared" si="52"/>
        <v>-971.0600000000004</v>
      </c>
      <c r="I209" s="15">
        <f>IFERROR(H209/H444, "NA")</f>
        <v>0.18435106170917634</v>
      </c>
      <c r="J209" s="2"/>
      <c r="K209" s="14">
        <f>IFERROR(K201+K202+K203+K204+K205+K206+K207+K208, "NA")</f>
        <v>2893.8100000000004</v>
      </c>
      <c r="L209" s="15">
        <f>IFERROR(K209/K444, "NA")</f>
        <v>2.7056863348258912E-2</v>
      </c>
      <c r="M209" s="2"/>
      <c r="N209" s="14">
        <f t="shared" si="53"/>
        <v>-705.07999999999993</v>
      </c>
      <c r="O209" s="15">
        <f>IFERROR(N209/N444, "NA")</f>
        <v>-5.459582764852635E-2</v>
      </c>
      <c r="P209" s="2"/>
      <c r="Q209" s="14">
        <f>IFERROR(Q201+Q202+Q203+Q204+Q205+Q206+Q207+Q208, "NA")</f>
        <v>12273.839999999998</v>
      </c>
      <c r="R209" s="15">
        <f>IFERROR(Q209/Q444, "NA")</f>
        <v>2.9157422415099873E-2</v>
      </c>
      <c r="S209" s="2"/>
      <c r="T209" s="14">
        <f>IFERROR(T201+T202+T203+T204+T205+T206+T207+T208, "NA")</f>
        <v>9260.6299999999992</v>
      </c>
      <c r="U209" s="15">
        <f>IFERROR(T209/T444, "NA")</f>
        <v>2.180214538291874E-2</v>
      </c>
      <c r="V209" s="2"/>
      <c r="W209" s="14">
        <f t="shared" si="54"/>
        <v>-3013.2099999999991</v>
      </c>
      <c r="X209" s="15">
        <f>IFERROR(W209/W444, "NA")</f>
        <v>0.79150238379805093</v>
      </c>
      <c r="Y209" s="2"/>
      <c r="Z209" s="14">
        <f>IFERROR(Z201+Z202+Z203+Z204+Z205+Z206+Z207+Z208, "NA")</f>
        <v>8745.1</v>
      </c>
      <c r="AA209" s="15">
        <f>IFERROR(Z209/Z444, "NA")</f>
        <v>2.3125055432067613E-2</v>
      </c>
      <c r="AB209" s="2"/>
      <c r="AC209" s="14">
        <f t="shared" si="55"/>
        <v>-3528.739999999998</v>
      </c>
      <c r="AD209" s="15">
        <f>IFERROR(AC209/AC444, "NA")</f>
        <v>-8.2475696625072092E-2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2872.78</v>
      </c>
      <c r="F213" s="8">
        <f>IFERROR(E213/E444, "NA")</f>
        <v>2.2957466139139932E-2</v>
      </c>
      <c r="G213" s="9"/>
      <c r="H213" s="10">
        <f t="shared" ref="H213:H227" si="56">IFERROR(-(B213-E213), "NA")</f>
        <v>2872.78</v>
      </c>
      <c r="I213" s="8">
        <f>IFERROR(H213/H444, "NA")</f>
        <v>-0.5453834398048395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10157.61</v>
      </c>
      <c r="U213" s="8">
        <f>IFERROR(T213/T444, "NA")</f>
        <v>2.3913890303682284E-2</v>
      </c>
      <c r="V213" s="9"/>
      <c r="W213" s="10">
        <f t="shared" ref="W213:W227" si="58">IFERROR(-(Q213-T213), "NA")</f>
        <v>10157.61</v>
      </c>
      <c r="X213" s="8">
        <f>IFERROR(W213/W444, "NA")</f>
        <v>-2.668175310944449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1780.15</v>
      </c>
      <c r="C214" s="8">
        <f>IFERROR(B214/B444, "NA")</f>
        <v>1.4850988725545486E-2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-1780.15</v>
      </c>
      <c r="I214" s="8">
        <f>IFERROR(H214/H444, "NA")</f>
        <v>0.33795289941053092</v>
      </c>
      <c r="J214" s="9"/>
      <c r="K214" s="7">
        <v>440</v>
      </c>
      <c r="L214" s="8">
        <f>IFERROR(K214/K444, "NA")</f>
        <v>4.1139604442703287E-3</v>
      </c>
      <c r="M214" s="9"/>
      <c r="N214" s="10">
        <f t="shared" si="57"/>
        <v>-1340.15</v>
      </c>
      <c r="O214" s="8">
        <f>IFERROR(N214/N444, "NA")</f>
        <v>-0.10377063371982272</v>
      </c>
      <c r="P214" s="9"/>
      <c r="Q214" s="7">
        <v>10510.59</v>
      </c>
      <c r="R214" s="8">
        <f>IFERROR(Q214/Q444, "NA")</f>
        <v>2.496869052080886E-2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-10510.59</v>
      </c>
      <c r="X214" s="8">
        <f>IFERROR(W214/W444, "NA")</f>
        <v>2.76089520482275</v>
      </c>
      <c r="Y214" s="9"/>
      <c r="Z214" s="7">
        <v>1580</v>
      </c>
      <c r="AA214" s="8">
        <f>IFERROR(Z214/Z444, "NA")</f>
        <v>4.1780640110080881E-3</v>
      </c>
      <c r="AB214" s="9"/>
      <c r="AC214" s="10">
        <f t="shared" si="59"/>
        <v>-8930.59</v>
      </c>
      <c r="AD214" s="8">
        <f>IFERROR(AC214/AC444, "NA")</f>
        <v>-0.20873077402214477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2.41</v>
      </c>
      <c r="R216" s="8">
        <f>IFERROR(Q216/Q444, "NA")</f>
        <v>5.7251347598136124E-6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-2.41</v>
      </c>
      <c r="X216" s="8">
        <f>IFERROR(W216/W444, "NA")</f>
        <v>6.3305270623464785E-4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-2.41</v>
      </c>
      <c r="AD216" s="8">
        <f>IFERROR(AC216/AC444, "NA")</f>
        <v>-5.6327875917869803E-5</v>
      </c>
    </row>
    <row r="217" spans="1:30" ht="16.5" customHeight="1" x14ac:dyDescent="0.45">
      <c r="A217" s="12" t="s">
        <v>197</v>
      </c>
      <c r="B217" s="7">
        <v>2381.39</v>
      </c>
      <c r="C217" s="8">
        <f>IFERROR(B217/B444, "NA")</f>
        <v>1.9866862927914369E-2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-2381.39</v>
      </c>
      <c r="I217" s="8">
        <f>IFERROR(H217/H444, "NA")</f>
        <v>0.45209541618809884</v>
      </c>
      <c r="J217" s="9"/>
      <c r="K217" s="7">
        <v>119</v>
      </c>
      <c r="L217" s="8">
        <f>IFERROR(K217/K444, "NA")</f>
        <v>1.1126393019731116E-3</v>
      </c>
      <c r="M217" s="9"/>
      <c r="N217" s="10">
        <f t="shared" si="57"/>
        <v>-2262.39</v>
      </c>
      <c r="O217" s="8">
        <f>IFERROR(N217/N444, "NA")</f>
        <v>-0.17518161699913418</v>
      </c>
      <c r="P217" s="9"/>
      <c r="Q217" s="7">
        <v>8347.67</v>
      </c>
      <c r="R217" s="8">
        <f>IFERROR(Q217/Q444, "NA")</f>
        <v>1.9830512730478544E-2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-8347.67</v>
      </c>
      <c r="X217" s="8">
        <f>IFERROR(W217/W444, "NA")</f>
        <v>2.192744848238084</v>
      </c>
      <c r="Y217" s="9"/>
      <c r="Z217" s="7">
        <v>557.97</v>
      </c>
      <c r="AA217" s="8">
        <f>IFERROR(Z217/Z444, "NA")</f>
        <v>1.4754647950773309E-3</v>
      </c>
      <c r="AB217" s="9"/>
      <c r="AC217" s="10">
        <f t="shared" si="59"/>
        <v>-7789.7</v>
      </c>
      <c r="AD217" s="8">
        <f>IFERROR(AC217/AC444, "NA")</f>
        <v>-0.18206525105287566</v>
      </c>
    </row>
    <row r="218" spans="1:30" ht="16.5" customHeight="1" x14ac:dyDescent="0.45">
      <c r="A218" s="13" t="s">
        <v>198</v>
      </c>
      <c r="B218" s="14">
        <f>IFERROR(B213+B214+B215+B216+B217, "NA")</f>
        <v>4161.54</v>
      </c>
      <c r="C218" s="15">
        <f>IFERROR(B218/B444, "NA")</f>
        <v>3.4717851653459857E-2</v>
      </c>
      <c r="D218" s="2"/>
      <c r="E218" s="14">
        <f>IFERROR(E213+E214+E215+E216+E217, "NA")</f>
        <v>2872.78</v>
      </c>
      <c r="F218" s="15">
        <f>IFERROR(E218/E444, "NA")</f>
        <v>2.2957466139139932E-2</v>
      </c>
      <c r="G218" s="2"/>
      <c r="H218" s="14">
        <f t="shared" si="56"/>
        <v>-1288.7599999999998</v>
      </c>
      <c r="I218" s="15">
        <f>IFERROR(H218/H444, "NA")</f>
        <v>0.24466487579379026</v>
      </c>
      <c r="J218" s="2"/>
      <c r="K218" s="14">
        <f>IFERROR(K213+K214+K215+K216+K217, "NA")</f>
        <v>559</v>
      </c>
      <c r="L218" s="15">
        <f>IFERROR(K218/K444, "NA")</f>
        <v>5.2265997462434405E-3</v>
      </c>
      <c r="M218" s="2"/>
      <c r="N218" s="14">
        <f t="shared" si="57"/>
        <v>-3602.54</v>
      </c>
      <c r="O218" s="15">
        <f>IFERROR(N218/N444, "NA")</f>
        <v>-0.27895225071895691</v>
      </c>
      <c r="P218" s="2"/>
      <c r="Q218" s="14">
        <f>IFERROR(Q213+Q214+Q215+Q216+Q217, "NA")</f>
        <v>18860.669999999998</v>
      </c>
      <c r="R218" s="15">
        <f>IFERROR(Q218/Q444, "NA")</f>
        <v>4.4804928386047216E-2</v>
      </c>
      <c r="S218" s="2"/>
      <c r="T218" s="14">
        <f>IFERROR(T213+T214+T215+T216+T217, "NA")</f>
        <v>10157.61</v>
      </c>
      <c r="U218" s="15">
        <f>IFERROR(T218/T444, "NA")</f>
        <v>2.3913890303682284E-2</v>
      </c>
      <c r="V218" s="2"/>
      <c r="W218" s="14">
        <f t="shared" si="58"/>
        <v>-8703.0599999999977</v>
      </c>
      <c r="X218" s="15">
        <f>IFERROR(W218/W444, "NA")</f>
        <v>2.2860977948226195</v>
      </c>
      <c r="Y218" s="2"/>
      <c r="Z218" s="14">
        <f>IFERROR(Z213+Z214+Z215+Z216+Z217, "NA")</f>
        <v>2137.9700000000003</v>
      </c>
      <c r="AA218" s="15">
        <f>IFERROR(Z218/Z444, "NA")</f>
        <v>5.6535288060854194E-3</v>
      </c>
      <c r="AB218" s="2"/>
      <c r="AC218" s="14">
        <f t="shared" si="59"/>
        <v>-16722.699999999997</v>
      </c>
      <c r="AD218" s="15">
        <f>IFERROR(AC218/AC444, "NA")</f>
        <v>-0.39085235295093823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328.66</v>
      </c>
      <c r="C222" s="8">
        <f>IFERROR(B222/B444, "NA")</f>
        <v>2.7418621770849533E-3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-328.66</v>
      </c>
      <c r="I222" s="8">
        <f>IFERROR(H222/H444, "NA")</f>
        <v>6.2394517271165406E-2</v>
      </c>
      <c r="J222" s="9"/>
      <c r="K222" s="7">
        <v>150</v>
      </c>
      <c r="L222" s="8">
        <f>IFERROR(K222/K444, "NA")</f>
        <v>1.4024865150921574E-3</v>
      </c>
      <c r="M222" s="9"/>
      <c r="N222" s="10">
        <f t="shared" si="57"/>
        <v>-178.66000000000003</v>
      </c>
      <c r="O222" s="8">
        <f>IFERROR(N222/N444, "NA")</f>
        <v>-1.3834019639878766E-2</v>
      </c>
      <c r="P222" s="9"/>
      <c r="Q222" s="7">
        <v>1241.26</v>
      </c>
      <c r="R222" s="8">
        <f>IFERROR(Q222/Q444, "NA")</f>
        <v>2.9487057145088148E-3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-1241.26</v>
      </c>
      <c r="X222" s="8">
        <f>IFERROR(W222/W444, "NA")</f>
        <v>0.32605103823270498</v>
      </c>
      <c r="Y222" s="9"/>
      <c r="Z222" s="7">
        <v>600</v>
      </c>
      <c r="AA222" s="8">
        <f>IFERROR(Z222/Z444, "NA")</f>
        <v>1.5866065864587676E-3</v>
      </c>
      <c r="AB222" s="9"/>
      <c r="AC222" s="10">
        <f t="shared" si="59"/>
        <v>-641.26</v>
      </c>
      <c r="AD222" s="8">
        <f>IFERROR(AC222/AC444, "NA")</f>
        <v>-1.4987889506677671E-2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125.13</v>
      </c>
      <c r="F226" s="8">
        <f>IFERROR(E226/E444, "NA")</f>
        <v>9.9996092216966814E-4</v>
      </c>
      <c r="G226" s="9"/>
      <c r="H226" s="10">
        <f t="shared" si="56"/>
        <v>125.13</v>
      </c>
      <c r="I226" s="8">
        <f>IFERROR(H226/H444, "NA")</f>
        <v>-2.3755327530398971E-2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424.75</v>
      </c>
      <c r="U226" s="8">
        <f>IFERROR(T226/T444, "NA")</f>
        <v>9.9998177784823877E-4</v>
      </c>
      <c r="V226" s="9"/>
      <c r="W226" s="10">
        <f t="shared" si="58"/>
        <v>424.75</v>
      </c>
      <c r="X226" s="8">
        <f>IFERROR(W226/W444, "NA")</f>
        <v>-0.11157225600546335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4490.2</v>
      </c>
      <c r="C227" s="15">
        <f>IFERROR(B227/B444, "NA")</f>
        <v>3.7459713830544805E-2</v>
      </c>
      <c r="D227" s="2"/>
      <c r="E227" s="14">
        <f>IFERROR(E211+E213+E214+E215+E216+E217+E219+E220+E221+E222+E223+E224+E225+E226, "NA")</f>
        <v>2997.9100000000003</v>
      </c>
      <c r="F227" s="15">
        <f>IFERROR(E227/E444, "NA")</f>
        <v>2.3957427061309603E-2</v>
      </c>
      <c r="G227" s="2"/>
      <c r="H227" s="14">
        <f t="shared" si="56"/>
        <v>-1492.2899999999995</v>
      </c>
      <c r="I227" s="15">
        <f>IFERROR(H227/H444, "NA")</f>
        <v>0.28330406553455662</v>
      </c>
      <c r="J227" s="2"/>
      <c r="K227" s="14">
        <f>IFERROR(K211+K213+K214+K215+K216+K217+K219+K220+K221+K222+K223+K224+K225+K226, "NA")</f>
        <v>709</v>
      </c>
      <c r="L227" s="15">
        <f>IFERROR(K227/K444, "NA")</f>
        <v>6.6290862613355974E-3</v>
      </c>
      <c r="M227" s="2"/>
      <c r="N227" s="14">
        <f t="shared" si="57"/>
        <v>-3781.2</v>
      </c>
      <c r="O227" s="15">
        <f>IFERROR(N227/N444, "NA")</f>
        <v>-0.29278627035883564</v>
      </c>
      <c r="P227" s="2"/>
      <c r="Q227" s="14">
        <f>IFERROR(Q211+Q213+Q214+Q215+Q216+Q217+Q219+Q220+Q221+Q222+Q223+Q224+Q225+Q226, "NA")</f>
        <v>20101.929999999997</v>
      </c>
      <c r="R227" s="15">
        <f>IFERROR(Q227/Q444, "NA")</f>
        <v>4.7753634100556025E-2</v>
      </c>
      <c r="S227" s="2"/>
      <c r="T227" s="14">
        <f>IFERROR(T211+T213+T214+T215+T216+T217+T219+T220+T221+T222+T223+T224+T225+T226, "NA")</f>
        <v>10582.36</v>
      </c>
      <c r="U227" s="15">
        <f>IFERROR(T227/T444, "NA")</f>
        <v>2.4913872081530522E-2</v>
      </c>
      <c r="V227" s="2"/>
      <c r="W227" s="14">
        <f t="shared" si="58"/>
        <v>-9519.5699999999961</v>
      </c>
      <c r="X227" s="15">
        <f>IFERROR(W227/W444, "NA")</f>
        <v>2.5005765770498605</v>
      </c>
      <c r="Y227" s="2"/>
      <c r="Z227" s="14">
        <f>IFERROR(Z211+Z213+Z214+Z215+Z216+Z217+Z219+Z220+Z221+Z222+Z223+Z224+Z225+Z226, "NA")</f>
        <v>2737.9700000000003</v>
      </c>
      <c r="AA227" s="15">
        <f>IFERROR(Z227/Z444, "NA")</f>
        <v>7.2401353925441872E-3</v>
      </c>
      <c r="AB227" s="2"/>
      <c r="AC227" s="14">
        <f t="shared" si="59"/>
        <v>-17363.959999999995</v>
      </c>
      <c r="AD227" s="15">
        <f>IFERROR(AC227/AC444, "NA")</f>
        <v>-0.40584024245761585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1501.62</v>
      </c>
      <c r="F229" s="8">
        <f>IFERROR(E229/E444, "NA")</f>
        <v>1.2000010548616775E-2</v>
      </c>
      <c r="G229" s="9"/>
      <c r="H229" s="10">
        <f t="shared" ref="H229:H236" si="60">IFERROR(-(B229-E229), "NA")</f>
        <v>1501.62</v>
      </c>
      <c r="I229" s="8">
        <f>IFERROR(H229/H444, "NA")</f>
        <v>-0.28507532107566291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5097.09</v>
      </c>
      <c r="U229" s="8">
        <f>IFERROR(T229/T444, "NA")</f>
        <v>1.1999993219664462E-2</v>
      </c>
      <c r="V229" s="9"/>
      <c r="W229" s="10">
        <f t="shared" ref="W229:W236" si="62">IFERROR(-(Q229-T229), "NA")</f>
        <v>5097.09</v>
      </c>
      <c r="X229" s="8">
        <f>IFERROR(W229/W444, "NA")</f>
        <v>-1.3388907130379923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225</v>
      </c>
      <c r="AA230" s="8">
        <f>IFERROR(Z230/Z444, "NA")</f>
        <v>5.9497746992203781E-4</v>
      </c>
      <c r="AB230" s="9"/>
      <c r="AC230" s="10">
        <f t="shared" si="63"/>
        <v>225</v>
      </c>
      <c r="AD230" s="8">
        <f>IFERROR(AC230/AC444, "NA")</f>
        <v>5.258826589842616E-3</v>
      </c>
    </row>
    <row r="231" spans="1:30" ht="16.5" customHeight="1" x14ac:dyDescent="0.45">
      <c r="A231" s="6" t="s">
        <v>210</v>
      </c>
      <c r="B231" s="7">
        <v>182</v>
      </c>
      <c r="C231" s="8">
        <f>IFERROR(B231/B444, "NA")</f>
        <v>1.518343930595331E-3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-182</v>
      </c>
      <c r="I231" s="8">
        <f>IFERROR(H231/H444, "NA")</f>
        <v>3.455182298835302E-2</v>
      </c>
      <c r="J231" s="9"/>
      <c r="K231" s="7">
        <v>207.15</v>
      </c>
      <c r="L231" s="8">
        <f>IFERROR(K231/K444, "NA")</f>
        <v>1.9368338773422696E-3</v>
      </c>
      <c r="M231" s="9"/>
      <c r="N231" s="10">
        <f t="shared" si="61"/>
        <v>25.150000000000006</v>
      </c>
      <c r="O231" s="8">
        <f>IFERROR(N231/N444, "NA")</f>
        <v>1.9474174070466305E-3</v>
      </c>
      <c r="P231" s="9"/>
      <c r="Q231" s="7">
        <v>654.26</v>
      </c>
      <c r="R231" s="8">
        <f>IFERROR(Q231/Q444, "NA")</f>
        <v>1.5542434306869931E-3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-654.26</v>
      </c>
      <c r="X231" s="8">
        <f>IFERROR(W231/W444, "NA")</f>
        <v>0.17185936248177622</v>
      </c>
      <c r="Y231" s="9"/>
      <c r="Z231" s="7">
        <v>783.52</v>
      </c>
      <c r="AA231" s="8">
        <f>IFERROR(Z231/Z444, "NA")</f>
        <v>2.071896654370289E-3</v>
      </c>
      <c r="AB231" s="9"/>
      <c r="AC231" s="10">
        <f t="shared" si="63"/>
        <v>129.26</v>
      </c>
      <c r="AD231" s="8">
        <f>IFERROR(AC231/AC444, "NA")</f>
        <v>3.0211374444580291E-3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1360.64</v>
      </c>
      <c r="C234" s="8">
        <f>IFERROR(B234/B444, "NA")</f>
        <v>1.1351205965523248E-2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-1360.64</v>
      </c>
      <c r="I234" s="8">
        <f>IFERROR(H234/H444, "NA")</f>
        <v>0.2583109474223772</v>
      </c>
      <c r="J234" s="9"/>
      <c r="K234" s="7">
        <v>1454.77</v>
      </c>
      <c r="L234" s="8">
        <f>IFERROR(K234/K444, "NA")</f>
        <v>1.3601968717070785E-2</v>
      </c>
      <c r="M234" s="9"/>
      <c r="N234" s="10">
        <f t="shared" si="61"/>
        <v>94.129999999999882</v>
      </c>
      <c r="O234" s="8">
        <f>IFERROR(N234/N444, "NA")</f>
        <v>7.2886839175069201E-3</v>
      </c>
      <c r="P234" s="9"/>
      <c r="Q234" s="7">
        <v>6112.21</v>
      </c>
      <c r="R234" s="8">
        <f>IFERROR(Q234/Q444, "NA")</f>
        <v>1.452001075945243E-2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-6112.21</v>
      </c>
      <c r="X234" s="8">
        <f>IFERROR(W234/W444, "NA")</f>
        <v>1.6055398678732269</v>
      </c>
      <c r="Y234" s="9"/>
      <c r="Z234" s="7">
        <v>5745.12</v>
      </c>
      <c r="AA234" s="8">
        <f>IFERROR(Z234/Z444, "NA")</f>
        <v>1.5192075386659992E-2</v>
      </c>
      <c r="AB234" s="9"/>
      <c r="AC234" s="10">
        <f t="shared" si="63"/>
        <v>-367.09000000000015</v>
      </c>
      <c r="AD234" s="8">
        <f>IFERROR(AC234/AC444, "NA")</f>
        <v>-8.5798340127347852E-3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1542.64</v>
      </c>
      <c r="C236" s="15">
        <f>IFERROR(B236/B444, "NA")</f>
        <v>1.286954989611858E-2</v>
      </c>
      <c r="D236" s="2"/>
      <c r="E236" s="14">
        <f>IFERROR(E229+E230+E231+E232+E233+E234+E235, "NA")</f>
        <v>1501.62</v>
      </c>
      <c r="F236" s="15">
        <f>IFERROR(E236/E444, "NA")</f>
        <v>1.2000010548616775E-2</v>
      </c>
      <c r="G236" s="2"/>
      <c r="H236" s="14">
        <f t="shared" si="60"/>
        <v>-41.020000000000209</v>
      </c>
      <c r="I236" s="15">
        <f>IFERROR(H236/H444, "NA")</f>
        <v>7.7874493350672969E-3</v>
      </c>
      <c r="J236" s="2"/>
      <c r="K236" s="14">
        <f>IFERROR(K229+K230+K231+K232+K233+K234+K235, "NA")</f>
        <v>1661.92</v>
      </c>
      <c r="L236" s="15">
        <f>IFERROR(K236/K444, "NA")</f>
        <v>1.5538802594413056E-2</v>
      </c>
      <c r="M236" s="2"/>
      <c r="N236" s="14">
        <f t="shared" si="61"/>
        <v>119.27999999999997</v>
      </c>
      <c r="O236" s="15">
        <f>IFERROR(N236/N444, "NA")</f>
        <v>9.2361013245535577E-3</v>
      </c>
      <c r="P236" s="2"/>
      <c r="Q236" s="14">
        <f>IFERROR(Q229+Q230+Q231+Q232+Q233+Q234+Q235, "NA")</f>
        <v>6766.47</v>
      </c>
      <c r="R236" s="15">
        <f>IFERROR(Q236/Q444, "NA")</f>
        <v>1.6074254190139425E-2</v>
      </c>
      <c r="S236" s="2"/>
      <c r="T236" s="14">
        <f>IFERROR(T229+T230+T231+T232+T233+T234+T235, "NA")</f>
        <v>5097.09</v>
      </c>
      <c r="U236" s="15">
        <f>IFERROR(T236/T444, "NA")</f>
        <v>1.1999993219664462E-2</v>
      </c>
      <c r="V236" s="2"/>
      <c r="W236" s="14">
        <f t="shared" si="62"/>
        <v>-1669.38</v>
      </c>
      <c r="X236" s="15">
        <f>IFERROR(W236/W444, "NA")</f>
        <v>0.43850851731701102</v>
      </c>
      <c r="Y236" s="2"/>
      <c r="Z236" s="14">
        <f>IFERROR(Z229+Z230+Z231+Z232+Z233+Z234+Z235, "NA")</f>
        <v>6753.6399999999994</v>
      </c>
      <c r="AA236" s="15">
        <f>IFERROR(Z236/Z444, "NA")</f>
        <v>1.7858949510952318E-2</v>
      </c>
      <c r="AB236" s="2"/>
      <c r="AC236" s="14">
        <f t="shared" si="63"/>
        <v>-12.830000000000837</v>
      </c>
      <c r="AD236" s="15">
        <f>IFERROR(AC236/AC444, "NA")</f>
        <v>-2.9986997843415631E-4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5916.38</v>
      </c>
      <c r="F240" s="8">
        <f>IFERROR(E240/E444, "NA")</f>
        <v>4.7280019185696333E-2</v>
      </c>
      <c r="G240" s="9"/>
      <c r="H240" s="10">
        <f t="shared" ref="H240:H263" si="64">IFERROR(-(B240-E240), "NA")</f>
        <v>5916.38</v>
      </c>
      <c r="I240" s="8">
        <f>IFERROR(H240/H444, "NA")</f>
        <v>-1.1231962334716046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20371.95</v>
      </c>
      <c r="U240" s="8">
        <f>IFERROR(T240/T444, "NA")</f>
        <v>4.7961339091784419E-2</v>
      </c>
      <c r="V240" s="9"/>
      <c r="W240" s="10">
        <f t="shared" ref="W240:W263" si="66">IFERROR(-(Q240-T240), "NA")</f>
        <v>20371.95</v>
      </c>
      <c r="X240" s="8">
        <f>IFERROR(W240/W444, "NA")</f>
        <v>-5.3512523148452011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1026.1300000000001</v>
      </c>
      <c r="C242" s="8">
        <f>IFERROR(B242/B444, "NA")</f>
        <v>8.5605398763834457E-3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-1026.1300000000001</v>
      </c>
      <c r="I242" s="8">
        <f>IFERROR(H242/H444, "NA")</f>
        <v>0.19480583584087191</v>
      </c>
      <c r="J242" s="9"/>
      <c r="K242" s="7">
        <v>925.49</v>
      </c>
      <c r="L242" s="8">
        <f>IFERROR(K242/K444, "NA")</f>
        <v>8.6532482990176064E-3</v>
      </c>
      <c r="M242" s="9"/>
      <c r="N242" s="10">
        <f t="shared" si="65"/>
        <v>-100.6400000000001</v>
      </c>
      <c r="O242" s="8">
        <f>IFERROR(N242/N444, "NA")</f>
        <v>-7.7927669123329241E-3</v>
      </c>
      <c r="P242" s="9"/>
      <c r="Q242" s="7">
        <v>4545.82</v>
      </c>
      <c r="R242" s="8">
        <f>IFERROR(Q242/Q444, "NA")</f>
        <v>1.0798934478778386E-2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-4545.82</v>
      </c>
      <c r="X242" s="8">
        <f>IFERROR(W242/W444, "NA")</f>
        <v>1.1940845033425671</v>
      </c>
      <c r="Y242" s="9"/>
      <c r="Z242" s="7">
        <v>3537.1</v>
      </c>
      <c r="AA242" s="8">
        <f>IFERROR(Z242/Z444, "NA")</f>
        <v>9.3533102616055117E-3</v>
      </c>
      <c r="AB242" s="9"/>
      <c r="AC242" s="10">
        <f t="shared" si="67"/>
        <v>-1008.7199999999998</v>
      </c>
      <c r="AD242" s="8">
        <f>IFERROR(AC242/AC444, "NA")</f>
        <v>-2.3576371367582411E-2</v>
      </c>
    </row>
    <row r="243" spans="1:30" ht="16.5" customHeight="1" x14ac:dyDescent="0.45">
      <c r="A243" s="12" t="s">
        <v>220</v>
      </c>
      <c r="B243" s="7">
        <v>2351.6999999999998</v>
      </c>
      <c r="C243" s="8">
        <f>IFERROR(B243/B444, "NA")</f>
        <v>1.9619172646049669E-2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-2351.6999999999998</v>
      </c>
      <c r="I243" s="8">
        <f>IFERROR(H243/H444, "NA")</f>
        <v>0.44645891275664717</v>
      </c>
      <c r="J243" s="9"/>
      <c r="K243" s="7">
        <v>2812.53</v>
      </c>
      <c r="L243" s="8">
        <f>IFERROR(K243/K444, "NA")</f>
        <v>2.6296902655280972E-2</v>
      </c>
      <c r="M243" s="9"/>
      <c r="N243" s="10">
        <f t="shared" si="65"/>
        <v>460.83000000000038</v>
      </c>
      <c r="O243" s="8">
        <f>IFERROR(N243/N444, "NA")</f>
        <v>3.5683036329594402E-2</v>
      </c>
      <c r="P243" s="9"/>
      <c r="Q243" s="7">
        <v>10461.09</v>
      </c>
      <c r="R243" s="8">
        <f>IFERROR(Q243/Q444, "NA")</f>
        <v>2.4851099578646712E-2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-10461.09</v>
      </c>
      <c r="X243" s="8">
        <f>IFERROR(W243/W444, "NA")</f>
        <v>2.7478926699851502</v>
      </c>
      <c r="Y243" s="9"/>
      <c r="Z243" s="7">
        <v>11782.04</v>
      </c>
      <c r="AA243" s="8">
        <f>IFERROR(Z243/Z444, "NA")</f>
        <v>3.1155770443201097E-2</v>
      </c>
      <c r="AB243" s="9"/>
      <c r="AC243" s="10">
        <f t="shared" si="67"/>
        <v>1320.9500000000007</v>
      </c>
      <c r="AD243" s="8">
        <f>IFERROR(AC243/AC444, "NA")</f>
        <v>3.0873986594900479E-2</v>
      </c>
    </row>
    <row r="244" spans="1:30" ht="16.5" customHeight="1" x14ac:dyDescent="0.45">
      <c r="A244" s="12" t="s">
        <v>221</v>
      </c>
      <c r="B244" s="7">
        <v>336.64</v>
      </c>
      <c r="C244" s="8">
        <f>IFERROR(B244/B444, "NA")</f>
        <v>2.8084357186572099E-3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-336.64</v>
      </c>
      <c r="I244" s="8">
        <f>IFERROR(H244/H444, "NA")</f>
        <v>6.3909481817577801E-2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-336.64</v>
      </c>
      <c r="O244" s="8">
        <f>IFERROR(N244/N444, "NA")</f>
        <v>-2.6066743376070674E-2</v>
      </c>
      <c r="P244" s="9"/>
      <c r="Q244" s="7">
        <v>336.64</v>
      </c>
      <c r="R244" s="8">
        <f>IFERROR(Q244/Q444, "NA")</f>
        <v>7.9971342968616357E-4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-336.64</v>
      </c>
      <c r="X244" s="8">
        <f>IFERROR(W244/W444, "NA")</f>
        <v>8.842774399453604E-2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-336.64</v>
      </c>
      <c r="AD244" s="8">
        <f>IFERROR(AC244/AC444, "NA")</f>
        <v>-7.8681394809094144E-3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292.45</v>
      </c>
      <c r="C246" s="8">
        <f>IFERROR(B246/B444, "NA")</f>
        <v>2.4397784752890356E-3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-292.45</v>
      </c>
      <c r="I246" s="8">
        <f>IFERROR(H246/H444, "NA")</f>
        <v>5.5520223257933182E-2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-292.45</v>
      </c>
      <c r="O246" s="8">
        <f>IFERROR(N246/N444, "NA")</f>
        <v>-2.264501871533944E-2</v>
      </c>
      <c r="P246" s="9"/>
      <c r="Q246" s="7">
        <v>1270.95</v>
      </c>
      <c r="R246" s="8">
        <f>IFERROR(Q246/Q444, "NA")</f>
        <v>3.0192365240602117E-3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-1270.95</v>
      </c>
      <c r="X246" s="8">
        <f>IFERROR(W246/W444, "NA")</f>
        <v>0.33384993236055011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-1270.95</v>
      </c>
      <c r="AD246" s="8">
        <f>IFERROR(AC246/AC444, "NA")</f>
        <v>-2.9705358463824324E-2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268.5</v>
      </c>
      <c r="C248" s="8">
        <f>IFERROR(B248/B444, "NA")</f>
        <v>2.2399744250815733E-3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-268.5</v>
      </c>
      <c r="I248" s="8">
        <f>IFERROR(H248/H444, "NA")</f>
        <v>5.0973431166883437E-2</v>
      </c>
      <c r="J248" s="9"/>
      <c r="K248" s="7">
        <v>270.29000000000002</v>
      </c>
      <c r="L248" s="8">
        <f>IFERROR(K248/K444, "NA")</f>
        <v>2.5271872010950618E-3</v>
      </c>
      <c r="M248" s="9"/>
      <c r="N248" s="10">
        <f t="shared" si="65"/>
        <v>1.7900000000000205</v>
      </c>
      <c r="O248" s="8">
        <f>IFERROR(N248/N444, "NA")</f>
        <v>1.386034655512329E-4</v>
      </c>
      <c r="P248" s="9"/>
      <c r="Q248" s="7">
        <v>1107.94</v>
      </c>
      <c r="R248" s="8">
        <f>IFERROR(Q248/Q444, "NA")</f>
        <v>2.631994110285433E-3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-1107.94</v>
      </c>
      <c r="X248" s="8">
        <f>IFERROR(W248/W444, "NA")</f>
        <v>0.29103087773677006</v>
      </c>
      <c r="Y248" s="9"/>
      <c r="Z248" s="7">
        <v>954.33</v>
      </c>
      <c r="AA248" s="8">
        <f>IFERROR(Z248/Z444, "NA")</f>
        <v>2.5235771060919928E-3</v>
      </c>
      <c r="AB248" s="9"/>
      <c r="AC248" s="10">
        <f t="shared" si="67"/>
        <v>-153.61000000000001</v>
      </c>
      <c r="AD248" s="8">
        <f>IFERROR(AC248/AC444, "NA")</f>
        <v>-3.590259344292108E-3</v>
      </c>
    </row>
    <row r="249" spans="1:30" ht="16.5" customHeight="1" x14ac:dyDescent="0.45">
      <c r="A249" s="12" t="s">
        <v>226</v>
      </c>
      <c r="B249" s="7">
        <v>1259.8900000000001</v>
      </c>
      <c r="C249" s="8">
        <f>IFERROR(B249/B444, "NA")</f>
        <v>1.0510694146800833E-2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-1259.8900000000001</v>
      </c>
      <c r="I249" s="8">
        <f>IFERROR(H249/H444, "NA")</f>
        <v>0.23918404541096749</v>
      </c>
      <c r="J249" s="9"/>
      <c r="K249" s="7">
        <v>733.37</v>
      </c>
      <c r="L249" s="8">
        <f>IFERROR(K249/K444, "NA")</f>
        <v>6.8569435704875703E-3</v>
      </c>
      <c r="M249" s="9"/>
      <c r="N249" s="10">
        <f t="shared" si="65"/>
        <v>-526.5200000000001</v>
      </c>
      <c r="O249" s="8">
        <f>IFERROR(N249/N444, "NA")</f>
        <v>-4.0769551219013586E-2</v>
      </c>
      <c r="P249" s="9"/>
      <c r="Q249" s="7">
        <v>4575.54</v>
      </c>
      <c r="R249" s="8">
        <f>IFERROR(Q249/Q444, "NA")</f>
        <v>1.0869536555567457E-2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-4575.54</v>
      </c>
      <c r="X249" s="8">
        <f>IFERROR(W249/W444, "NA")</f>
        <v>1.2018912777945563</v>
      </c>
      <c r="Y249" s="9"/>
      <c r="Z249" s="7">
        <v>2766.04</v>
      </c>
      <c r="AA249" s="8">
        <f>IFERROR(Z249/Z444, "NA")</f>
        <v>7.3143621373473492E-3</v>
      </c>
      <c r="AB249" s="9"/>
      <c r="AC249" s="10">
        <f t="shared" si="67"/>
        <v>-1809.5</v>
      </c>
      <c r="AD249" s="8">
        <f>IFERROR(AC249/AC444, "NA")</f>
        <v>-4.2292652063645395E-2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5535.31</v>
      </c>
      <c r="C262" s="15">
        <f>IFERROR(B262/B444, "NA")</f>
        <v>4.6178595288261771E-2</v>
      </c>
      <c r="D262" s="2"/>
      <c r="E262" s="14">
        <f>IFERROR(E240+E241+E242+E243+E244+E245+E246+E247+E248+E249+E250+E251+E252+E253+E254+E255+E256+E257+E258+E259+E260+E261, "NA")</f>
        <v>5916.38</v>
      </c>
      <c r="F262" s="15">
        <f>IFERROR(E262/E444, "NA")</f>
        <v>4.7280019185696333E-2</v>
      </c>
      <c r="G262" s="2"/>
      <c r="H262" s="14">
        <f t="shared" si="64"/>
        <v>381.06999999999971</v>
      </c>
      <c r="I262" s="15">
        <f>IFERROR(H262/H444, "NA")</f>
        <v>-7.234430322072348E-2</v>
      </c>
      <c r="J262" s="2"/>
      <c r="K262" s="14">
        <f>IFERROR(K240+K241+K242+K243+K244+K245+K246+K247+K248+K249+K250+K251+K252+K253+K254+K255+K256+K257+K258+K259+K260+K261, "NA")</f>
        <v>4741.68</v>
      </c>
      <c r="L262" s="15">
        <f>IFERROR(K262/K444, "NA")</f>
        <v>4.4334281725881212E-2</v>
      </c>
      <c r="M262" s="2"/>
      <c r="N262" s="14">
        <f t="shared" si="65"/>
        <v>-793.63000000000011</v>
      </c>
      <c r="O262" s="15">
        <f>IFERROR(N262/N444, "NA")</f>
        <v>-6.145244042761102E-2</v>
      </c>
      <c r="P262" s="2"/>
      <c r="Q262" s="14">
        <f>IFERROR(Q240+Q241+Q242+Q243+Q244+Q245+Q246+Q247+Q248+Q249+Q250+Q251+Q252+Q253+Q254+Q255+Q256+Q257+Q258+Q259+Q260+Q261, "NA")</f>
        <v>22297.98</v>
      </c>
      <c r="R262" s="15">
        <f>IFERROR(Q262/Q444, "NA")</f>
        <v>5.2970514677024363E-2</v>
      </c>
      <c r="S262" s="2"/>
      <c r="T262" s="14">
        <f>IFERROR(T240+T241+T242+T243+T244+T245+T246+T247+T248+T249+T250+T251+T252+T253+T254+T255+T256+T257+T258+T259+T260+T261, "NA")</f>
        <v>20371.95</v>
      </c>
      <c r="U262" s="15">
        <f>IFERROR(T262/T444, "NA")</f>
        <v>4.7961339091784419E-2</v>
      </c>
      <c r="V262" s="2"/>
      <c r="W262" s="14">
        <f t="shared" si="66"/>
        <v>-1926.0299999999988</v>
      </c>
      <c r="X262" s="15">
        <f>IFERROR(W262/W444, "NA")</f>
        <v>0.50592469036892862</v>
      </c>
      <c r="Y262" s="2"/>
      <c r="Z262" s="14">
        <f>IFERROR(Z240+Z241+Z242+Z243+Z244+Z245+Z246+Z247+Z248+Z249+Z250+Z251+Z252+Z253+Z254+Z255+Z256+Z257+Z258+Z259+Z260+Z261, "NA")</f>
        <v>19039.510000000002</v>
      </c>
      <c r="AA262" s="15">
        <f>IFERROR(Z262/Z444, "NA")</f>
        <v>5.0347019948245954E-2</v>
      </c>
      <c r="AB262" s="2"/>
      <c r="AC262" s="14">
        <f t="shared" si="67"/>
        <v>-3258.4699999999975</v>
      </c>
      <c r="AD262" s="15">
        <f>IFERROR(AC262/AC444, "NA")</f>
        <v>-7.6158794125353133E-2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5535.31</v>
      </c>
      <c r="C263" s="15">
        <f>IFERROR(B263/B444, "NA")</f>
        <v>4.6178595288261771E-2</v>
      </c>
      <c r="D263" s="2"/>
      <c r="E263" s="14">
        <f>IFERROR(E238+E240+E241+E242+E243+E244+E245+E246+E247+E248+E249+E250+E251+E252+E253+E254+E255+E256+E257+E258+E259+E260+E261, "NA")</f>
        <v>5916.38</v>
      </c>
      <c r="F263" s="15">
        <f>IFERROR(E263/E444, "NA")</f>
        <v>4.7280019185696333E-2</v>
      </c>
      <c r="G263" s="2"/>
      <c r="H263" s="14">
        <f t="shared" si="64"/>
        <v>381.06999999999971</v>
      </c>
      <c r="I263" s="15">
        <f>IFERROR(H263/H444, "NA")</f>
        <v>-7.234430322072348E-2</v>
      </c>
      <c r="J263" s="2"/>
      <c r="K263" s="14">
        <f>IFERROR(K238+K240+K241+K242+K243+K244+K245+K246+K247+K248+K249+K250+K251+K252+K253+K254+K255+K256+K257+K258+K259+K260+K261, "NA")</f>
        <v>4741.68</v>
      </c>
      <c r="L263" s="15">
        <f>IFERROR(K263/K444, "NA")</f>
        <v>4.4334281725881212E-2</v>
      </c>
      <c r="M263" s="2"/>
      <c r="N263" s="14">
        <f t="shared" si="65"/>
        <v>-793.63000000000011</v>
      </c>
      <c r="O263" s="15">
        <f>IFERROR(N263/N444, "NA")</f>
        <v>-6.145244042761102E-2</v>
      </c>
      <c r="P263" s="2"/>
      <c r="Q263" s="14">
        <f>IFERROR(Q238+Q240+Q241+Q242+Q243+Q244+Q245+Q246+Q247+Q248+Q249+Q250+Q251+Q252+Q253+Q254+Q255+Q256+Q257+Q258+Q259+Q260+Q261, "NA")</f>
        <v>22297.98</v>
      </c>
      <c r="R263" s="15">
        <f>IFERROR(Q263/Q444, "NA")</f>
        <v>5.2970514677024363E-2</v>
      </c>
      <c r="S263" s="2"/>
      <c r="T263" s="14">
        <f>IFERROR(T238+T240+T241+T242+T243+T244+T245+T246+T247+T248+T249+T250+T251+T252+T253+T254+T255+T256+T257+T258+T259+T260+T261, "NA")</f>
        <v>20371.95</v>
      </c>
      <c r="U263" s="15">
        <f>IFERROR(T263/T444, "NA")</f>
        <v>4.7961339091784419E-2</v>
      </c>
      <c r="V263" s="2"/>
      <c r="W263" s="14">
        <f t="shared" si="66"/>
        <v>-1926.0299999999988</v>
      </c>
      <c r="X263" s="15">
        <f>IFERROR(W263/W444, "NA")</f>
        <v>0.50592469036892862</v>
      </c>
      <c r="Y263" s="2"/>
      <c r="Z263" s="14">
        <f>IFERROR(Z238+Z240+Z241+Z242+Z243+Z244+Z245+Z246+Z247+Z248+Z249+Z250+Z251+Z252+Z253+Z254+Z255+Z256+Z257+Z258+Z259+Z260+Z261, "NA")</f>
        <v>19039.510000000002</v>
      </c>
      <c r="AA263" s="15">
        <f>IFERROR(Z263/Z444, "NA")</f>
        <v>5.0347019948245954E-2</v>
      </c>
      <c r="AB263" s="2"/>
      <c r="AC263" s="14">
        <f t="shared" si="67"/>
        <v>-3258.4699999999975</v>
      </c>
      <c r="AD263" s="15">
        <f>IFERROR(AC263/AC444, "NA")</f>
        <v>-7.6158794125353133E-2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3523.67</v>
      </c>
      <c r="C265" s="8">
        <f>IFERROR(B265/B444, "NA")</f>
        <v>2.9396389878685987E-2</v>
      </c>
      <c r="D265" s="9"/>
      <c r="E265" s="7">
        <v>3503.78</v>
      </c>
      <c r="F265" s="8">
        <f>IFERROR(E265/E444, "NA")</f>
        <v>2.8000024613439149E-2</v>
      </c>
      <c r="G265" s="9"/>
      <c r="H265" s="10">
        <f>IFERROR(-(B265-E265), "NA")</f>
        <v>-19.889999999999873</v>
      </c>
      <c r="I265" s="8">
        <f>IFERROR(H265/H444, "NA")</f>
        <v>3.7760206551556985E-3</v>
      </c>
      <c r="J265" s="9"/>
      <c r="K265" s="7">
        <v>3396.06</v>
      </c>
      <c r="L265" s="8">
        <f>IFERROR(K265/K444, "NA")</f>
        <v>3.1752855696292479E-2</v>
      </c>
      <c r="M265" s="9"/>
      <c r="N265" s="10">
        <f>IFERROR(-(B265-K265), "NA")</f>
        <v>-127.61000000000013</v>
      </c>
      <c r="O265" s="8">
        <f>IFERROR(N265/N444, "NA")</f>
        <v>-9.8811107480405846E-3</v>
      </c>
      <c r="P265" s="9"/>
      <c r="Q265" s="7">
        <v>11867.27</v>
      </c>
      <c r="R265" s="8">
        <f>IFERROR(Q265/Q444, "NA")</f>
        <v>2.8191585054395552E-2</v>
      </c>
      <c r="S265" s="9"/>
      <c r="T265" s="7">
        <v>12063.58</v>
      </c>
      <c r="U265" s="8">
        <f>IFERROR(T265/T444, "NA")</f>
        <v>2.840108340344781E-2</v>
      </c>
      <c r="V265" s="9"/>
      <c r="W265" s="10">
        <f>IFERROR(-(Q265-T265), "NA")</f>
        <v>196.30999999999949</v>
      </c>
      <c r="X265" s="8">
        <f>IFERROR(W265/W444, "NA")</f>
        <v>-5.1566214423619666E-2</v>
      </c>
      <c r="Y265" s="9"/>
      <c r="Z265" s="7">
        <v>11638.72</v>
      </c>
      <c r="AA265" s="8">
        <f>IFERROR(Z265/Z444, "NA")</f>
        <v>3.077678301658231E-2</v>
      </c>
      <c r="AB265" s="9"/>
      <c r="AC265" s="10">
        <f>IFERROR(-(Q265-Z265), "NA")</f>
        <v>-228.55000000000109</v>
      </c>
      <c r="AD265" s="8">
        <f>IFERROR(AC265/AC444, "NA")</f>
        <v>-5.3417991871490475E-3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37.54</v>
      </c>
      <c r="R266" s="8">
        <f>IFERROR(Q266/Q444, "NA")</f>
        <v>8.9179070076100827E-5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-37.54</v>
      </c>
      <c r="X266" s="8">
        <f>IFERROR(W266/W444, "NA")</f>
        <v>9.8609122788583733E-3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-37.54</v>
      </c>
      <c r="AD266" s="8">
        <f>IFERROR(AC266/AC444, "NA")</f>
        <v>-8.7740600081196362E-4</v>
      </c>
    </row>
    <row r="267" spans="1:30" ht="16.5" customHeight="1" x14ac:dyDescent="0.45">
      <c r="A267" s="19" t="s">
        <v>243</v>
      </c>
      <c r="B267" s="14">
        <f>IFERROR(B265+B266, "NA")</f>
        <v>3523.67</v>
      </c>
      <c r="C267" s="15">
        <f>IFERROR(B267/B444, "NA")</f>
        <v>2.9396389878685987E-2</v>
      </c>
      <c r="D267" s="2"/>
      <c r="E267" s="14">
        <f>IFERROR(E265+E266, "NA")</f>
        <v>3503.78</v>
      </c>
      <c r="F267" s="15">
        <f>IFERROR(E267/E444, "NA")</f>
        <v>2.8000024613439149E-2</v>
      </c>
      <c r="G267" s="2"/>
      <c r="H267" s="14">
        <f>IFERROR(-(B267-E267), "NA")</f>
        <v>-19.889999999999873</v>
      </c>
      <c r="I267" s="15">
        <f>IFERROR(H267/H444, "NA")</f>
        <v>3.7760206551556985E-3</v>
      </c>
      <c r="J267" s="2"/>
      <c r="K267" s="14">
        <f>IFERROR(K265+K266, "NA")</f>
        <v>3396.06</v>
      </c>
      <c r="L267" s="15">
        <f>IFERROR(K267/K444, "NA")</f>
        <v>3.1752855696292479E-2</v>
      </c>
      <c r="M267" s="2"/>
      <c r="N267" s="14">
        <f>IFERROR(-(B267-K267), "NA")</f>
        <v>-127.61000000000013</v>
      </c>
      <c r="O267" s="15">
        <f>IFERROR(N267/N444, "NA")</f>
        <v>-9.8811107480405846E-3</v>
      </c>
      <c r="P267" s="2"/>
      <c r="Q267" s="14">
        <f>IFERROR(Q265+Q266, "NA")</f>
        <v>11904.810000000001</v>
      </c>
      <c r="R267" s="15">
        <f>IFERROR(Q267/Q444, "NA")</f>
        <v>2.8280764124471655E-2</v>
      </c>
      <c r="S267" s="2"/>
      <c r="T267" s="14">
        <f>IFERROR(T265+T266, "NA")</f>
        <v>12063.58</v>
      </c>
      <c r="U267" s="15">
        <f>IFERROR(T267/T444, "NA")</f>
        <v>2.840108340344781E-2</v>
      </c>
      <c r="V267" s="2"/>
      <c r="W267" s="14">
        <f>IFERROR(-(Q267-T267), "NA")</f>
        <v>158.76999999999862</v>
      </c>
      <c r="X267" s="15">
        <f>IFERROR(W267/W444, "NA")</f>
        <v>-4.1705302144761064E-2</v>
      </c>
      <c r="Y267" s="2"/>
      <c r="Z267" s="14">
        <f>IFERROR(Z265+Z266, "NA")</f>
        <v>11638.72</v>
      </c>
      <c r="AA267" s="15">
        <f>IFERROR(Z267/Z444, "NA")</f>
        <v>3.077678301658231E-2</v>
      </c>
      <c r="AB267" s="2"/>
      <c r="AC267" s="14">
        <f>IFERROR(-(Q267-Z267), "NA")</f>
        <v>-266.09000000000196</v>
      </c>
      <c r="AD267" s="15">
        <f>IFERROR(AC267/AC444, "NA")</f>
        <v>-6.2192051879610315E-3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201.73</v>
      </c>
      <c r="C270" s="8">
        <f>IFERROR(B270/B444, "NA")</f>
        <v>1.6829424237307477E-3</v>
      </c>
      <c r="D270" s="9"/>
      <c r="E270" s="7">
        <v>181.31</v>
      </c>
      <c r="F270" s="8">
        <f>IFERROR(E270/E444, "NA")</f>
        <v>1.4489164452855634E-3</v>
      </c>
      <c r="G270" s="9"/>
      <c r="H270" s="10">
        <f>IFERROR(-(B270-E270), "NA")</f>
        <v>-20.419999999999987</v>
      </c>
      <c r="I270" s="8">
        <f>IFERROR(H270/H444, "NA")</f>
        <v>3.8766386012207043E-3</v>
      </c>
      <c r="J270" s="9"/>
      <c r="K270" s="7">
        <v>81.94</v>
      </c>
      <c r="L270" s="8">
        <f>IFERROR(K270/K444, "NA")</f>
        <v>7.6613163364434248E-4</v>
      </c>
      <c r="M270" s="9"/>
      <c r="N270" s="10">
        <f>IFERROR(-(B270-K270), "NA")</f>
        <v>-119.78999999999999</v>
      </c>
      <c r="O270" s="8">
        <f>IFERROR(N270/N444, "NA")</f>
        <v>-9.2755916974201109E-3</v>
      </c>
      <c r="P270" s="9"/>
      <c r="Q270" s="7">
        <v>806.92</v>
      </c>
      <c r="R270" s="8">
        <f>IFERROR(Q270/Q444, "NA")</f>
        <v>1.9168986474642322E-3</v>
      </c>
      <c r="S270" s="9"/>
      <c r="T270" s="7">
        <v>823.64</v>
      </c>
      <c r="U270" s="8">
        <f>IFERROR(T270/T444, "NA")</f>
        <v>1.9390817928356056E-3</v>
      </c>
      <c r="V270" s="9"/>
      <c r="W270" s="10">
        <f>IFERROR(-(Q270-T270), "NA")</f>
        <v>16.720000000000027</v>
      </c>
      <c r="X270" s="8">
        <f>IFERROR(W270/W444, "NA")</f>
        <v>-4.391967322922543E-3</v>
      </c>
      <c r="Y270" s="9"/>
      <c r="Z270" s="7">
        <v>327.76</v>
      </c>
      <c r="AA270" s="8">
        <f>IFERROR(Z270/Z444, "NA")</f>
        <v>8.667102912962094E-4</v>
      </c>
      <c r="AB270" s="9"/>
      <c r="AC270" s="10">
        <f>IFERROR(-(Q270-Z270), "NA")</f>
        <v>-479.15999999999997</v>
      </c>
      <c r="AD270" s="8">
        <f>IFERROR(AC270/AC444, "NA")</f>
        <v>-1.1199197105728835E-2</v>
      </c>
    </row>
    <row r="271" spans="1:30" ht="16.5" customHeight="1" x14ac:dyDescent="0.45">
      <c r="A271" s="6" t="s">
        <v>246</v>
      </c>
      <c r="B271" s="7">
        <v>778.58</v>
      </c>
      <c r="C271" s="8">
        <f>IFERROR(B271/B444, "NA")</f>
        <v>6.4953418543017187E-3</v>
      </c>
      <c r="D271" s="9"/>
      <c r="E271" s="7">
        <v>750.81</v>
      </c>
      <c r="F271" s="8">
        <f>IFERROR(E271/E444, "NA")</f>
        <v>6.0000052743083877E-3</v>
      </c>
      <c r="G271" s="9"/>
      <c r="H271" s="10">
        <f>IFERROR(-(B271-E271), "NA")</f>
        <v>-27.770000000000095</v>
      </c>
      <c r="I271" s="8">
        <f>IFERROR(H271/H444, "NA")</f>
        <v>5.2720006834426738E-3</v>
      </c>
      <c r="J271" s="9"/>
      <c r="K271" s="7">
        <v>551.80999999999995</v>
      </c>
      <c r="L271" s="8">
        <f>IFERROR(K271/K444, "NA")</f>
        <v>5.1593738926200223E-3</v>
      </c>
      <c r="M271" s="9"/>
      <c r="N271" s="10">
        <f>IFERROR(-(B271-K271), "NA")</f>
        <v>-226.7700000000001</v>
      </c>
      <c r="O271" s="8">
        <f>IFERROR(N271/N444, "NA")</f>
        <v>-1.7559278146956837E-2</v>
      </c>
      <c r="P271" s="9"/>
      <c r="Q271" s="7">
        <v>3114.32</v>
      </c>
      <c r="R271" s="8">
        <f>IFERROR(Q271/Q444, "NA")</f>
        <v>7.3982994544326674E-3</v>
      </c>
      <c r="S271" s="9"/>
      <c r="T271" s="7">
        <v>2548.5500000000002</v>
      </c>
      <c r="U271" s="8">
        <f>IFERROR(T271/T444, "NA")</f>
        <v>6.0000083812480976E-3</v>
      </c>
      <c r="V271" s="9"/>
      <c r="W271" s="10">
        <f>IFERROR(-(Q271-T271), "NA")</f>
        <v>-565.77</v>
      </c>
      <c r="X271" s="8">
        <f>IFERROR(W271/W444, "NA")</f>
        <v>0.14861503303169157</v>
      </c>
      <c r="Y271" s="9"/>
      <c r="Z271" s="7">
        <v>2207.2399999999998</v>
      </c>
      <c r="AA271" s="8">
        <f>IFERROR(Z271/Z444, "NA")</f>
        <v>5.8367025364920826E-3</v>
      </c>
      <c r="AB271" s="9"/>
      <c r="AC271" s="10">
        <f>IFERROR(-(Q271-Z271), "NA")</f>
        <v>-907.08000000000038</v>
      </c>
      <c r="AD271" s="8">
        <f>IFERROR(AC271/AC444, "NA")</f>
        <v>-2.1200784102730855E-2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980.31000000000006</v>
      </c>
      <c r="C273" s="15">
        <f>IFERROR(B273/B444, "NA")</f>
        <v>8.178284278032466E-3</v>
      </c>
      <c r="D273" s="2"/>
      <c r="E273" s="14">
        <f>IFERROR(E269+E270+E271+E272, "NA")</f>
        <v>932.11999999999989</v>
      </c>
      <c r="F273" s="15">
        <f>IFERROR(E273/E444, "NA")</f>
        <v>7.4489217195939511E-3</v>
      </c>
      <c r="G273" s="2"/>
      <c r="H273" s="14">
        <f>IFERROR(-(B273-E273), "NA")</f>
        <v>-48.190000000000168</v>
      </c>
      <c r="I273" s="15">
        <f>IFERROR(H273/H444, "NA")</f>
        <v>9.1486392846633936E-3</v>
      </c>
      <c r="J273" s="2"/>
      <c r="K273" s="14">
        <f>IFERROR(K269+K270+K271+K272, "NA")</f>
        <v>633.75</v>
      </c>
      <c r="L273" s="15">
        <f>IFERROR(K273/K444, "NA")</f>
        <v>5.9255055262643656E-3</v>
      </c>
      <c r="M273" s="2"/>
      <c r="N273" s="14">
        <f>IFERROR(-(B273-K273), "NA")</f>
        <v>-346.56000000000006</v>
      </c>
      <c r="O273" s="15">
        <f>IFERROR(N273/N444, "NA")</f>
        <v>-2.6834869844376944E-2</v>
      </c>
      <c r="P273" s="2"/>
      <c r="Q273" s="14">
        <f>IFERROR(Q269+Q270+Q271+Q272, "NA")</f>
        <v>3921.2400000000002</v>
      </c>
      <c r="R273" s="15">
        <f>IFERROR(Q273/Q444, "NA")</f>
        <v>9.3151981018968991E-3</v>
      </c>
      <c r="S273" s="2"/>
      <c r="T273" s="14">
        <f>IFERROR(T269+T270+T271+T272, "NA")</f>
        <v>3372.19</v>
      </c>
      <c r="U273" s="15">
        <f>IFERROR(T273/T444, "NA")</f>
        <v>7.9390901740837034E-3</v>
      </c>
      <c r="V273" s="2"/>
      <c r="W273" s="14">
        <f>IFERROR(-(Q273-T273), "NA")</f>
        <v>-549.05000000000018</v>
      </c>
      <c r="X273" s="15">
        <f>IFERROR(W273/W444, "NA")</f>
        <v>0.14422306570876908</v>
      </c>
      <c r="Y273" s="2"/>
      <c r="Z273" s="14">
        <f>IFERROR(Z269+Z270+Z271+Z272, "NA")</f>
        <v>2535</v>
      </c>
      <c r="AA273" s="15">
        <f>IFERROR(Z273/Z444, "NA")</f>
        <v>6.7034128277882925E-3</v>
      </c>
      <c r="AB273" s="2"/>
      <c r="AC273" s="14">
        <f>IFERROR(-(Q273-Z273), "NA")</f>
        <v>-1386.2400000000002</v>
      </c>
      <c r="AD273" s="15">
        <f>IFERROR(AC273/AC444, "NA")</f>
        <v>-3.2399981208459688E-2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300</v>
      </c>
      <c r="F287" s="8">
        <f>IFERROR(E287/E444, "NA")</f>
        <v>2.3974129037872649E-3</v>
      </c>
      <c r="G287" s="9"/>
      <c r="H287" s="10">
        <f t="shared" si="72"/>
        <v>300</v>
      </c>
      <c r="I287" s="8">
        <f>IFERROR(H287/H444, "NA")</f>
        <v>-5.6953554376406069E-2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1200</v>
      </c>
      <c r="U287" s="8">
        <f>IFERROR(T287/T444, "NA")</f>
        <v>2.8251398079291033E-3</v>
      </c>
      <c r="V287" s="9"/>
      <c r="W287" s="10">
        <f t="shared" si="74"/>
        <v>1200</v>
      </c>
      <c r="X287" s="8">
        <f>IFERROR(W287/W444, "NA")</f>
        <v>-0.31521296575999064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1.1471004970157034E-3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2.6103712422519451E-2</v>
      </c>
      <c r="J288" s="9"/>
      <c r="K288" s="7">
        <v>137.5</v>
      </c>
      <c r="L288" s="8">
        <f>IFERROR(K288/K444, "NA")</f>
        <v>1.2856126388344777E-3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550</v>
      </c>
      <c r="R288" s="8">
        <f>IFERROR(Q288/Q444, "NA")</f>
        <v>1.3065660240238533E-3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-550</v>
      </c>
      <c r="X288" s="8">
        <f>IFERROR(W288/W444, "NA")</f>
        <v>0.14447260930666236</v>
      </c>
      <c r="Y288" s="9"/>
      <c r="Z288" s="7">
        <v>550</v>
      </c>
      <c r="AA288" s="8">
        <f>IFERROR(Z288/Z444, "NA")</f>
        <v>1.4543893709205368E-3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196.46</v>
      </c>
      <c r="C289" s="8">
        <f>IFERROR(B289/B444, "NA")</f>
        <v>1.6389771901360369E-3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-196.46</v>
      </c>
      <c r="I289" s="8">
        <f>IFERROR(H289/H444, "NA")</f>
        <v>3.7296984309295789E-2</v>
      </c>
      <c r="J289" s="9"/>
      <c r="K289" s="7">
        <v>189.85</v>
      </c>
      <c r="L289" s="8">
        <f>IFERROR(K289/K444, "NA")</f>
        <v>1.7750804326016406E-3</v>
      </c>
      <c r="M289" s="9"/>
      <c r="N289" s="10">
        <f t="shared" si="73"/>
        <v>-6.6100000000000136</v>
      </c>
      <c r="O289" s="8">
        <f>IFERROR(N289/N444, "NA")</f>
        <v>-5.1182620519197816E-4</v>
      </c>
      <c r="P289" s="9"/>
      <c r="Q289" s="7">
        <v>624.63</v>
      </c>
      <c r="R289" s="8">
        <f>IFERROR(Q289/Q444, "NA")</f>
        <v>1.4838551556109446E-3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-624.63</v>
      </c>
      <c r="X289" s="8">
        <f>IFERROR(W289/W444, "NA")</f>
        <v>0.16407622900221913</v>
      </c>
      <c r="Y289" s="9"/>
      <c r="Z289" s="7">
        <v>600.64</v>
      </c>
      <c r="AA289" s="8">
        <f>IFERROR(Z289/Z444, "NA")</f>
        <v>1.5882989668176569E-3</v>
      </c>
      <c r="AB289" s="9"/>
      <c r="AC289" s="10">
        <f t="shared" si="75"/>
        <v>-23.990000000000009</v>
      </c>
      <c r="AD289" s="8">
        <f>IFERROR(AC289/AC444, "NA")</f>
        <v>-5.6070777729033065E-4</v>
      </c>
    </row>
    <row r="290" spans="1:30" ht="16.5" customHeight="1" x14ac:dyDescent="0.45">
      <c r="A290" s="6" t="s">
        <v>263</v>
      </c>
      <c r="B290" s="7">
        <v>2155</v>
      </c>
      <c r="C290" s="8">
        <f>IFERROR(B290/B444, "NA")</f>
        <v>1.7978193244137023E-2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-2155</v>
      </c>
      <c r="I290" s="8">
        <f>IFERROR(H290/H444, "NA")</f>
        <v>0.40911636560385028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-2155</v>
      </c>
      <c r="O290" s="8">
        <f>IFERROR(N290/N444, "NA")</f>
        <v>-0.16686618338709691</v>
      </c>
      <c r="P290" s="9"/>
      <c r="Q290" s="7">
        <v>2964.63</v>
      </c>
      <c r="R290" s="8">
        <f>IFERROR(Q290/Q444, "NA")</f>
        <v>7.0426996941851568E-3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-2964.63</v>
      </c>
      <c r="X290" s="8">
        <f>IFERROR(W290/W444, "NA")</f>
        <v>0.77874151223420085</v>
      </c>
      <c r="Y290" s="9"/>
      <c r="Z290" s="7">
        <v>0</v>
      </c>
      <c r="AA290" s="8">
        <f>IFERROR(Z290/Z444, "NA")</f>
        <v>0</v>
      </c>
      <c r="AB290" s="9"/>
      <c r="AC290" s="10">
        <f t="shared" si="75"/>
        <v>-2964.63</v>
      </c>
      <c r="AD290" s="8">
        <f>IFERROR(AC290/AC444, "NA")</f>
        <v>-6.9291000324644955E-2</v>
      </c>
    </row>
    <row r="291" spans="1:30" ht="16.5" customHeight="1" x14ac:dyDescent="0.45">
      <c r="A291" s="6" t="s">
        <v>264</v>
      </c>
      <c r="B291" s="7">
        <v>837.57</v>
      </c>
      <c r="C291" s="8">
        <f>IFERROR(B291/B444, "NA")</f>
        <v>6.9874688238941284E-3</v>
      </c>
      <c r="D291" s="9"/>
      <c r="E291" s="7">
        <v>1501.62</v>
      </c>
      <c r="F291" s="8">
        <f>IFERROR(E291/E444, "NA")</f>
        <v>1.2000010548616775E-2</v>
      </c>
      <c r="G291" s="9"/>
      <c r="H291" s="10">
        <f t="shared" si="72"/>
        <v>664.04999999999984</v>
      </c>
      <c r="I291" s="8">
        <f>IFERROR(H291/H444, "NA")</f>
        <v>-0.12606669261217482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-837.57</v>
      </c>
      <c r="O291" s="8">
        <f>IFERROR(N291/N444, "NA")</f>
        <v>-6.4854807062427272E-2</v>
      </c>
      <c r="P291" s="9"/>
      <c r="Q291" s="7">
        <v>1975.03</v>
      </c>
      <c r="R291" s="8">
        <f>IFERROR(Q291/Q444, "NA")</f>
        <v>4.6918310807778744E-3</v>
      </c>
      <c r="S291" s="9"/>
      <c r="T291" s="7">
        <v>5097.09</v>
      </c>
      <c r="U291" s="8">
        <f>IFERROR(T291/T444, "NA")</f>
        <v>1.1999993219664462E-2</v>
      </c>
      <c r="V291" s="9"/>
      <c r="W291" s="10">
        <f t="shared" si="74"/>
        <v>3122.0600000000004</v>
      </c>
      <c r="X291" s="8">
        <f>IFERROR(W291/W444, "NA")</f>
        <v>-0.82009482656719701</v>
      </c>
      <c r="Y291" s="9"/>
      <c r="Z291" s="7">
        <v>311.72000000000003</v>
      </c>
      <c r="AA291" s="8">
        <f>IFERROR(Z291/Z444, "NA")</f>
        <v>8.2429500855154506E-4</v>
      </c>
      <c r="AB291" s="9"/>
      <c r="AC291" s="10">
        <f t="shared" si="75"/>
        <v>-1663.31</v>
      </c>
      <c r="AD291" s="8">
        <f>IFERROR(AC291/AC444, "NA")</f>
        <v>-3.8875817134004988E-2</v>
      </c>
    </row>
    <row r="292" spans="1:30" ht="16.5" hidden="1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0</v>
      </c>
      <c r="X292" s="8">
        <f>IFERROR(W292/W444, "NA")</f>
        <v>0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369.93</v>
      </c>
      <c r="R293" s="8">
        <f>IFERROR(Q293/Q444, "NA")</f>
        <v>8.7879630775844378E-4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-369.93</v>
      </c>
      <c r="X293" s="8">
        <f>IFERROR(W293/W444, "NA")</f>
        <v>9.7172277019661107E-2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-369.93</v>
      </c>
      <c r="AD293" s="8">
        <f>IFERROR(AC293/AC444, "NA")</f>
        <v>-8.6462120905799068E-3</v>
      </c>
    </row>
    <row r="294" spans="1:30" ht="16.5" customHeight="1" x14ac:dyDescent="0.45">
      <c r="A294" s="6" t="s">
        <v>267</v>
      </c>
      <c r="B294" s="7">
        <v>309.99</v>
      </c>
      <c r="C294" s="8">
        <f>IFERROR(B294/B444, "NA")</f>
        <v>2.5861067859628936E-3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-309.99</v>
      </c>
      <c r="I294" s="8">
        <f>IFERROR(H294/H444, "NA")</f>
        <v>5.8850107737140396E-2</v>
      </c>
      <c r="J294" s="9"/>
      <c r="K294" s="7">
        <v>169.1</v>
      </c>
      <c r="L294" s="8">
        <f>IFERROR(K294/K444, "NA")</f>
        <v>1.5810697980138922E-3</v>
      </c>
      <c r="M294" s="9"/>
      <c r="N294" s="10">
        <f t="shared" si="73"/>
        <v>-140.89000000000001</v>
      </c>
      <c r="O294" s="8">
        <f>IFERROR(N294/N444, "NA")</f>
        <v>-1.0909409084644123E-2</v>
      </c>
      <c r="P294" s="9"/>
      <c r="Q294" s="7">
        <v>1468.96</v>
      </c>
      <c r="R294" s="8">
        <f>IFERROR(Q294/Q444, "NA")</f>
        <v>3.4896240484546901E-3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-1468.96</v>
      </c>
      <c r="X294" s="8">
        <f>IFERROR(W294/W444, "NA")</f>
        <v>0.38586269848566318</v>
      </c>
      <c r="Y294" s="9"/>
      <c r="Z294" s="7">
        <v>676.4</v>
      </c>
      <c r="AA294" s="8">
        <f>IFERROR(Z294/Z444, "NA")</f>
        <v>1.7886344918011839E-3</v>
      </c>
      <c r="AB294" s="9"/>
      <c r="AC294" s="10">
        <f t="shared" si="75"/>
        <v>-792.56000000000006</v>
      </c>
      <c r="AD294" s="8">
        <f>IFERROR(AC294/AC444, "NA")</f>
        <v>-1.8524158231314064E-2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3636.5200000000004</v>
      </c>
      <c r="C295" s="15">
        <f>IFERROR(B295/B444, "NA")</f>
        <v>3.033784654114579E-2</v>
      </c>
      <c r="D295" s="2"/>
      <c r="E295" s="14">
        <f>IFERROR(E286+E287+E288+E289+E290+E291+E292+E293+E294, "NA")</f>
        <v>1801.62</v>
      </c>
      <c r="F295" s="15">
        <f>IFERROR(E295/E444, "NA")</f>
        <v>1.4397423452404041E-2</v>
      </c>
      <c r="G295" s="2"/>
      <c r="H295" s="14">
        <f t="shared" si="72"/>
        <v>-1834.9000000000005</v>
      </c>
      <c r="I295" s="15">
        <f>IFERROR(H295/H444, "NA")</f>
        <v>0.3483469230842251</v>
      </c>
      <c r="J295" s="2"/>
      <c r="K295" s="14">
        <f>IFERROR(K286+K287+K288+K289+K290+K291+K292+K293+K294, "NA")</f>
        <v>496.45000000000005</v>
      </c>
      <c r="L295" s="15">
        <f>IFERROR(K295/K444, "NA")</f>
        <v>4.6417628694500109E-3</v>
      </c>
      <c r="M295" s="2"/>
      <c r="N295" s="14">
        <f t="shared" si="73"/>
        <v>-3140.0700000000006</v>
      </c>
      <c r="O295" s="15">
        <f>IFERROR(N295/N444, "NA")</f>
        <v>-0.24314222573936034</v>
      </c>
      <c r="P295" s="2"/>
      <c r="Q295" s="14">
        <f>IFERROR(Q286+Q287+Q288+Q289+Q290+Q291+Q292+Q293+Q294, "NA")</f>
        <v>7953.18</v>
      </c>
      <c r="R295" s="15">
        <f>IFERROR(Q295/Q444, "NA")</f>
        <v>1.8893372310810962E-2</v>
      </c>
      <c r="S295" s="2"/>
      <c r="T295" s="14">
        <f>IFERROR(T286+T287+T288+T289+T290+T291+T292+T293+T294, "NA")</f>
        <v>6297.09</v>
      </c>
      <c r="U295" s="15">
        <f>IFERROR(T295/T444, "NA")</f>
        <v>1.4825133027593565E-2</v>
      </c>
      <c r="V295" s="2"/>
      <c r="W295" s="14">
        <f t="shared" si="74"/>
        <v>-1656.0900000000001</v>
      </c>
      <c r="X295" s="15">
        <f>IFERROR(W295/W444, "NA")</f>
        <v>0.4350175337212191</v>
      </c>
      <c r="Y295" s="2"/>
      <c r="Z295" s="14">
        <f>IFERROR(Z286+Z287+Z288+Z289+Z290+Z291+Z292+Z293+Z294, "NA")</f>
        <v>2138.7599999999998</v>
      </c>
      <c r="AA295" s="15">
        <f>IFERROR(Z295/Z444, "NA")</f>
        <v>5.6556178380909221E-3</v>
      </c>
      <c r="AB295" s="2"/>
      <c r="AC295" s="14">
        <f t="shared" si="75"/>
        <v>-5814.42</v>
      </c>
      <c r="AD295" s="15">
        <f>IFERROR(AC295/AC444, "NA")</f>
        <v>-0.13589789555783424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1626.75</v>
      </c>
      <c r="F297" s="8">
        <f>IFERROR(E297/E444, "NA")</f>
        <v>1.2999971470786445E-2</v>
      </c>
      <c r="G297" s="9"/>
      <c r="H297" s="10">
        <f t="shared" ref="H297:H325" si="76">IFERROR(-(B297-E297), "NA")</f>
        <v>1626.75</v>
      </c>
      <c r="I297" s="8">
        <f>IFERROR(H297/H444, "NA")</f>
        <v>-0.30883064860606191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5521.84</v>
      </c>
      <c r="U297" s="8">
        <f>IFERROR(T297/T444, "NA")</f>
        <v>1.29999749975127E-2</v>
      </c>
      <c r="V297" s="9"/>
      <c r="W297" s="10">
        <f t="shared" ref="W297:W325" si="78">IFERROR(-(Q297-T297), "NA")</f>
        <v>5521.84</v>
      </c>
      <c r="X297" s="8">
        <f>IFERROR(W297/W444, "NA")</f>
        <v>-1.4504629690434556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243.19</v>
      </c>
      <c r="C299" s="8">
        <f>IFERROR(B299/B444, "NA")</f>
        <v>2.0288245081399917E-3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-243.19</v>
      </c>
      <c r="I299" s="8">
        <f>IFERROR(H299/H444, "NA")</f>
        <v>4.6168449629327306E-2</v>
      </c>
      <c r="J299" s="9"/>
      <c r="K299" s="7">
        <v>184.72</v>
      </c>
      <c r="L299" s="8">
        <f>IFERROR(K299/K444, "NA")</f>
        <v>1.7271153937854888E-3</v>
      </c>
      <c r="M299" s="9"/>
      <c r="N299" s="10">
        <f t="shared" si="77"/>
        <v>-58.47</v>
      </c>
      <c r="O299" s="8">
        <f>IFERROR(N299/N444, "NA")</f>
        <v>-4.5274551009946897E-3</v>
      </c>
      <c r="P299" s="9"/>
      <c r="Q299" s="7">
        <v>825.37</v>
      </c>
      <c r="R299" s="8">
        <f>IFERROR(Q299/Q444, "NA")</f>
        <v>1.9607279986337597E-3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-825.37</v>
      </c>
      <c r="X299" s="8">
        <f>IFERROR(W299/W444, "NA")</f>
        <v>0.21680610462443622</v>
      </c>
      <c r="Y299" s="9"/>
      <c r="Z299" s="7">
        <v>738.88</v>
      </c>
      <c r="AA299" s="8">
        <f>IFERROR(Z299/Z444, "NA")</f>
        <v>1.9538531243377569E-3</v>
      </c>
      <c r="AB299" s="9"/>
      <c r="AC299" s="10">
        <f t="shared" si="79"/>
        <v>-86.490000000000009</v>
      </c>
      <c r="AD299" s="8">
        <f>IFERROR(AC299/AC444, "NA")</f>
        <v>-2.0214929411355017E-3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268.92</v>
      </c>
      <c r="L304" s="8">
        <f>IFERROR(K304/K444, "NA")</f>
        <v>2.5143778242572201E-3</v>
      </c>
      <c r="M304" s="9"/>
      <c r="N304" s="10">
        <f t="shared" si="77"/>
        <v>268.92</v>
      </c>
      <c r="O304" s="8">
        <f>IFERROR(N304/N444, "NA")</f>
        <v>2.0823041316221858E-2</v>
      </c>
      <c r="P304" s="9"/>
      <c r="Q304" s="7">
        <v>197.01</v>
      </c>
      <c r="R304" s="8">
        <f>IFERROR(Q304/Q444, "NA")</f>
        <v>4.6801194980534424E-4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-197.01</v>
      </c>
      <c r="X304" s="8">
        <f>IFERROR(W304/W444, "NA")</f>
        <v>5.1750088653646456E-2</v>
      </c>
      <c r="Y304" s="9"/>
      <c r="Z304" s="7">
        <v>268.92</v>
      </c>
      <c r="AA304" s="8">
        <f>IFERROR(Z304/Z444, "NA")</f>
        <v>7.1111707205081967E-4</v>
      </c>
      <c r="AB304" s="9"/>
      <c r="AC304" s="10">
        <f t="shared" si="79"/>
        <v>71.910000000000025</v>
      </c>
      <c r="AD304" s="8">
        <f>IFERROR(AC304/AC444, "NA")</f>
        <v>1.6807209781137006E-3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52.81</v>
      </c>
      <c r="L310" s="8">
        <f>IFERROR(K310/K444, "NA")</f>
        <v>4.9376875241344557E-4</v>
      </c>
      <c r="M310" s="9"/>
      <c r="N310" s="10">
        <f t="shared" si="77"/>
        <v>52.81</v>
      </c>
      <c r="O310" s="8">
        <f>IFERROR(N310/N444, "NA")</f>
        <v>4.0891893942796237E-3</v>
      </c>
      <c r="P310" s="9"/>
      <c r="Q310" s="7">
        <v>81.489999999999995</v>
      </c>
      <c r="R310" s="8">
        <f>IFERROR(Q310/Q444, "NA")</f>
        <v>1.9358557326855236E-4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-81.489999999999995</v>
      </c>
      <c r="X310" s="8">
        <f>IFERROR(W310/W444, "NA")</f>
        <v>2.140558714981803E-2</v>
      </c>
      <c r="Y310" s="9"/>
      <c r="Z310" s="7">
        <v>136.18</v>
      </c>
      <c r="AA310" s="8">
        <f>IFERROR(Z310/Z444, "NA")</f>
        <v>3.6010680823992498E-4</v>
      </c>
      <c r="AB310" s="9"/>
      <c r="AC310" s="10">
        <f t="shared" si="79"/>
        <v>54.690000000000012</v>
      </c>
      <c r="AD310" s="8">
        <f>IFERROR(AC310/AC444, "NA")</f>
        <v>1.2782454497710788E-3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</v>
      </c>
      <c r="R311" s="8">
        <f>IFERROR(Q311/Q444, "NA")</f>
        <v>6.3427841529885246E-5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7.0134884881597912E-3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-6.2404742199465707E-4</v>
      </c>
    </row>
    <row r="312" spans="1:30" ht="16.5" customHeight="1" x14ac:dyDescent="0.45">
      <c r="A312" s="6" t="s">
        <v>284</v>
      </c>
      <c r="B312" s="7">
        <v>95.69</v>
      </c>
      <c r="C312" s="8">
        <f>IFERROR(B312/B444, "NA")</f>
        <v>7.9829852043223747E-4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-95.69</v>
      </c>
      <c r="I312" s="8">
        <f>IFERROR(H312/H444, "NA")</f>
        <v>1.8166285394260989E-2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-95.69</v>
      </c>
      <c r="O312" s="8">
        <f>IFERROR(N312/N444, "NA")</f>
        <v>-7.4094779992163826E-3</v>
      </c>
      <c r="P312" s="9"/>
      <c r="Q312" s="7">
        <v>212.57</v>
      </c>
      <c r="R312" s="8">
        <f>IFERROR(Q312/Q444, "NA")</f>
        <v>5.049758904122736E-4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-212.57</v>
      </c>
      <c r="X312" s="8">
        <f>IFERROR(W312/W444, "NA")</f>
        <v>5.5837350109667672E-2</v>
      </c>
      <c r="Y312" s="9"/>
      <c r="Z312" s="7">
        <v>49.99</v>
      </c>
      <c r="AA312" s="8">
        <f>IFERROR(Z312/Z444, "NA")</f>
        <v>1.3219077209512299E-4</v>
      </c>
      <c r="AB312" s="9"/>
      <c r="AC312" s="10">
        <f t="shared" si="79"/>
        <v>-162.57999999999998</v>
      </c>
      <c r="AD312" s="8">
        <f>IFERROR(AC312/AC444, "NA")</f>
        <v>-3.7999112310071665E-3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20.75</v>
      </c>
      <c r="R313" s="8">
        <f>IFERROR(Q313/Q444, "NA")</f>
        <v>4.9293172724536284E-5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-20.75</v>
      </c>
      <c r="X313" s="8">
        <f>IFERROR(W313/W444, "NA")</f>
        <v>5.4505575329331715E-3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-20.75</v>
      </c>
      <c r="AD313" s="8">
        <f>IFERROR(AC313/AC444, "NA")</f>
        <v>-4.8498067439659682E-4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794.11</v>
      </c>
      <c r="C315" s="8">
        <f>IFERROR(B315/B444, "NA")</f>
        <v>6.6249016413464741E-3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-794.11</v>
      </c>
      <c r="I315" s="8">
        <f>IFERROR(H315/H444, "NA")</f>
        <v>0.15075795688615942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-794.11</v>
      </c>
      <c r="O315" s="8">
        <f>IFERROR(N315/N444, "NA")</f>
        <v>-6.1489607837367767E-2</v>
      </c>
      <c r="P315" s="9"/>
      <c r="Q315" s="7">
        <v>3176.44</v>
      </c>
      <c r="R315" s="8">
        <f>IFERROR(Q315/Q444, "NA")</f>
        <v>7.5458701479096885E-3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-3176.44</v>
      </c>
      <c r="X315" s="8">
        <f>IFERROR(W315/W444, "NA")</f>
        <v>0.83437922746555393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-3176.44</v>
      </c>
      <c r="AD315" s="8">
        <f>IFERROR(AC315/AC444, "NA")</f>
        <v>-7.4241542813509684E-2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490.6</v>
      </c>
      <c r="C318" s="8">
        <f>IFERROR(B318/B444, "NA")</f>
        <v>4.0928545733520299E-3</v>
      </c>
      <c r="D318" s="9"/>
      <c r="E318" s="7">
        <v>718</v>
      </c>
      <c r="F318" s="8">
        <f>IFERROR(E318/E444, "NA")</f>
        <v>5.7378082163975211E-3</v>
      </c>
      <c r="G318" s="9"/>
      <c r="H318" s="10">
        <f t="shared" si="76"/>
        <v>227.39999999999998</v>
      </c>
      <c r="I318" s="8">
        <f>IFERROR(H318/H444, "NA")</f>
        <v>-4.3170794217315796E-2</v>
      </c>
      <c r="J318" s="9"/>
      <c r="K318" s="7">
        <v>490.6</v>
      </c>
      <c r="L318" s="8">
        <f>IFERROR(K318/K444, "NA")</f>
        <v>4.5870658953614165E-3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1962.4</v>
      </c>
      <c r="R318" s="8">
        <f>IFERROR(Q318/Q444, "NA")</f>
        <v>4.6618275737171089E-3</v>
      </c>
      <c r="S318" s="9"/>
      <c r="T318" s="7">
        <v>2872</v>
      </c>
      <c r="U318" s="8">
        <f>IFERROR(T318/T444, "NA")</f>
        <v>6.7615012736436542E-3</v>
      </c>
      <c r="V318" s="9"/>
      <c r="W318" s="10">
        <f t="shared" si="78"/>
        <v>909.59999999999991</v>
      </c>
      <c r="X318" s="8">
        <f>IFERROR(W318/W444, "NA")</f>
        <v>-0.23893142804607287</v>
      </c>
      <c r="Y318" s="9"/>
      <c r="Z318" s="7">
        <v>1962.4</v>
      </c>
      <c r="AA318" s="8">
        <f>IFERROR(Z318/Z444, "NA")</f>
        <v>5.189261275444476E-3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160.21</v>
      </c>
      <c r="C319" s="8">
        <f>IFERROR(B319/B444, "NA")</f>
        <v>1.3365597863773517E-3</v>
      </c>
      <c r="D319" s="9"/>
      <c r="E319" s="7">
        <v>160</v>
      </c>
      <c r="F319" s="8">
        <f>IFERROR(E319/E444, "NA")</f>
        <v>1.278620215353208E-3</v>
      </c>
      <c r="G319" s="9"/>
      <c r="H319" s="10">
        <f t="shared" si="76"/>
        <v>-0.21000000000000796</v>
      </c>
      <c r="I319" s="8">
        <f>IFERROR(H319/H444, "NA")</f>
        <v>3.9867488063485761E-5</v>
      </c>
      <c r="J319" s="9"/>
      <c r="K319" s="7">
        <v>159.53</v>
      </c>
      <c r="L319" s="8">
        <f>IFERROR(K319/K444, "NA")</f>
        <v>1.4915911583510127E-3</v>
      </c>
      <c r="M319" s="9"/>
      <c r="N319" s="10">
        <f t="shared" si="77"/>
        <v>-0.68000000000000682</v>
      </c>
      <c r="O319" s="8">
        <f>IFERROR(N319/N444, "NA")</f>
        <v>-5.2653830488736448E-5</v>
      </c>
      <c r="P319" s="9"/>
      <c r="Q319" s="7">
        <v>640.69000000000005</v>
      </c>
      <c r="R319" s="8">
        <f>IFERROR(Q319/Q444, "NA")</f>
        <v>1.5220068835124412E-3</v>
      </c>
      <c r="S319" s="9"/>
      <c r="T319" s="7">
        <v>640</v>
      </c>
      <c r="U319" s="8">
        <f>IFERROR(T319/T444, "NA")</f>
        <v>1.5067412308955217E-3</v>
      </c>
      <c r="V319" s="9"/>
      <c r="W319" s="10">
        <f t="shared" si="78"/>
        <v>-0.69000000000005457</v>
      </c>
      <c r="X319" s="8">
        <f>IFERROR(W319/W444, "NA")</f>
        <v>1.8124745531200896E-4</v>
      </c>
      <c r="Y319" s="9"/>
      <c r="Z319" s="7">
        <v>639.08000000000004</v>
      </c>
      <c r="AA319" s="8">
        <f>IFERROR(Z319/Z444, "NA")</f>
        <v>1.6899475621234487E-3</v>
      </c>
      <c r="AB319" s="9"/>
      <c r="AC319" s="10">
        <f t="shared" si="79"/>
        <v>-1.6100000000000136</v>
      </c>
      <c r="AD319" s="8">
        <f>IFERROR(AC319/AC444, "NA")</f>
        <v>-3.7629825820651928E-5</v>
      </c>
    </row>
    <row r="320" spans="1:30" ht="16.5" customHeight="1" x14ac:dyDescent="0.45">
      <c r="A320" s="6" t="s">
        <v>292</v>
      </c>
      <c r="B320" s="7">
        <v>1254.6400000000001</v>
      </c>
      <c r="C320" s="8">
        <f>IFERROR(B320/B444, "NA")</f>
        <v>1.0466895764187507E-2</v>
      </c>
      <c r="D320" s="9"/>
      <c r="E320" s="7">
        <v>827</v>
      </c>
      <c r="F320" s="8">
        <f>IFERROR(E320/E444, "NA")</f>
        <v>6.608868238106894E-3</v>
      </c>
      <c r="G320" s="9"/>
      <c r="H320" s="10">
        <f t="shared" si="76"/>
        <v>-427.6400000000001</v>
      </c>
      <c r="I320" s="8">
        <f>IFERROR(H320/H444, "NA")</f>
        <v>8.1185393311754325E-2</v>
      </c>
      <c r="J320" s="9"/>
      <c r="K320" s="7">
        <v>869.4</v>
      </c>
      <c r="L320" s="8">
        <f>IFERROR(K320/K444, "NA")</f>
        <v>8.1288118414741452E-3</v>
      </c>
      <c r="M320" s="9"/>
      <c r="N320" s="10">
        <f t="shared" si="77"/>
        <v>-385.24000000000012</v>
      </c>
      <c r="O320" s="8">
        <f>IFERROR(N320/N444, "NA")</f>
        <v>-2.9829943613942107E-2</v>
      </c>
      <c r="P320" s="9"/>
      <c r="Q320" s="7">
        <v>4347.8500000000004</v>
      </c>
      <c r="R320" s="8">
        <f>IFERROR(Q320/Q444, "NA")</f>
        <v>1.0328641977367475E-2</v>
      </c>
      <c r="S320" s="9"/>
      <c r="T320" s="7">
        <v>3308</v>
      </c>
      <c r="U320" s="8">
        <f>IFERROR(T320/T444, "NA")</f>
        <v>7.7879687371912283E-3</v>
      </c>
      <c r="V320" s="9"/>
      <c r="W320" s="10">
        <f t="shared" si="78"/>
        <v>-1039.8500000000004</v>
      </c>
      <c r="X320" s="8">
        <f>IFERROR(W320/W444, "NA")</f>
        <v>0.27314516870460531</v>
      </c>
      <c r="Y320" s="9"/>
      <c r="Z320" s="7">
        <v>3537.6</v>
      </c>
      <c r="AA320" s="8">
        <f>IFERROR(Z320/Z444, "NA")</f>
        <v>9.3546324337608934E-3</v>
      </c>
      <c r="AB320" s="9"/>
      <c r="AC320" s="10">
        <f t="shared" si="79"/>
        <v>-810.25000000000045</v>
      </c>
      <c r="AD320" s="8">
        <f>IFERROR(AC320/AC444, "NA")</f>
        <v>-1.8937618864088811E-2</v>
      </c>
    </row>
    <row r="321" spans="1:30" ht="16.5" customHeight="1" x14ac:dyDescent="0.45">
      <c r="A321" s="6" t="s">
        <v>293</v>
      </c>
      <c r="B321" s="7">
        <v>1632.11</v>
      </c>
      <c r="C321" s="8">
        <f>IFERROR(B321/B444, "NA")</f>
        <v>1.361595776134036E-2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-1632.11</v>
      </c>
      <c r="I321" s="8">
        <f>IFERROR(H321/H444, "NA")</f>
        <v>0.309848218777587</v>
      </c>
      <c r="J321" s="9"/>
      <c r="K321" s="7">
        <v>3705.41</v>
      </c>
      <c r="L321" s="8">
        <f>IFERROR(K321/K444, "NA")</f>
        <v>3.4645250385917536E-2</v>
      </c>
      <c r="M321" s="9"/>
      <c r="N321" s="10">
        <f t="shared" si="77"/>
        <v>2073.3000000000002</v>
      </c>
      <c r="O321" s="8">
        <f>IFERROR(N321/N444, "NA")</f>
        <v>0.16053998051808263</v>
      </c>
      <c r="P321" s="9"/>
      <c r="Q321" s="7">
        <v>9671.26</v>
      </c>
      <c r="R321" s="8">
        <f>IFERROR(Q321/Q444, "NA")</f>
        <v>2.2974799500910786E-2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-9671.26</v>
      </c>
      <c r="X321" s="8">
        <f>IFERROR(W321/W444, "NA")</f>
        <v>2.540422122696639</v>
      </c>
      <c r="Y321" s="9"/>
      <c r="Z321" s="7">
        <v>9979.31</v>
      </c>
      <c r="AA321" s="8">
        <f>IFERROR(Z321/Z444, "NA")</f>
        <v>2.6388731623856406E-2</v>
      </c>
      <c r="AB321" s="9"/>
      <c r="AC321" s="10">
        <f t="shared" si="79"/>
        <v>308.04999999999927</v>
      </c>
      <c r="AD321" s="8">
        <f>IFERROR(AC321/AC444, "NA")</f>
        <v>7.1999179155600628E-3</v>
      </c>
    </row>
    <row r="322" spans="1:30" ht="16.5" customHeight="1" x14ac:dyDescent="0.45">
      <c r="A322" s="6" t="s">
        <v>294</v>
      </c>
      <c r="B322" s="7">
        <v>338.98</v>
      </c>
      <c r="C322" s="8">
        <f>IFERROR(B322/B444, "NA")</f>
        <v>2.8279572834791502E-3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-338.98</v>
      </c>
      <c r="I322" s="8">
        <f>IFERROR(H322/H444, "NA")</f>
        <v>6.4353719541713775E-2</v>
      </c>
      <c r="J322" s="9"/>
      <c r="K322" s="7">
        <v>155.97</v>
      </c>
      <c r="L322" s="8">
        <f>IFERROR(K322/K444, "NA")</f>
        <v>1.4583054783928254E-3</v>
      </c>
      <c r="M322" s="9"/>
      <c r="N322" s="10">
        <f t="shared" si="77"/>
        <v>-183.01000000000002</v>
      </c>
      <c r="O322" s="8">
        <f>IFERROR(N322/N444, "NA")</f>
        <v>-1.4170849290799354E-2</v>
      </c>
      <c r="P322" s="9"/>
      <c r="Q322" s="7">
        <v>1048.21</v>
      </c>
      <c r="R322" s="8">
        <f>IFERROR(Q322/Q444, "NA")</f>
        <v>2.4901010400764424E-3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-1048.21</v>
      </c>
      <c r="X322" s="8">
        <f>IFERROR(W322/W444, "NA")</f>
        <v>0.27534115236606649</v>
      </c>
      <c r="Y322" s="9"/>
      <c r="Z322" s="7">
        <v>973.88</v>
      </c>
      <c r="AA322" s="8">
        <f>IFERROR(Z322/Z444, "NA")</f>
        <v>2.575274037367441E-3</v>
      </c>
      <c r="AB322" s="9"/>
      <c r="AC322" s="10">
        <f t="shared" si="79"/>
        <v>-74.330000000000041</v>
      </c>
      <c r="AD322" s="8">
        <f>IFERROR(AC322/AC444, "NA")</f>
        <v>-1.7372825796577861E-3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5009.5300000000007</v>
      </c>
      <c r="C324" s="15">
        <f>IFERROR(B324/B444, "NA")</f>
        <v>4.1792249838655107E-2</v>
      </c>
      <c r="D324" s="2"/>
      <c r="E324" s="14">
        <f>IFERROR(E297+E298+E299+E300+E301+E302+E303+E304+E305+E306+E307+E308+E309+E310+E311+E312+E313+E314+E315+E316+E317+E318+E319+E320+E321+E322+E323, "NA")</f>
        <v>3331.75</v>
      </c>
      <c r="F324" s="15">
        <f>IFERROR(E324/E444, "NA")</f>
        <v>2.662526814064407E-2</v>
      </c>
      <c r="G324" s="2"/>
      <c r="H324" s="14">
        <f t="shared" si="76"/>
        <v>-1677.7800000000007</v>
      </c>
      <c r="I324" s="15">
        <f>IFERROR(H324/H444, "NA")</f>
        <v>0.31851844820548875</v>
      </c>
      <c r="J324" s="2"/>
      <c r="K324" s="14">
        <f>IFERROR(K297+K298+K299+K300+K301+K302+K303+K304+K305+K306+K307+K308+K309+K310+K311+K312+K313+K314+K315+K316+K317+K318+K319+K320+K321+K322+K323, "NA")</f>
        <v>5887.36</v>
      </c>
      <c r="L324" s="15">
        <f>IFERROR(K324/K444, "NA")</f>
        <v>5.5046286729953091E-2</v>
      </c>
      <c r="M324" s="2"/>
      <c r="N324" s="14">
        <f t="shared" si="77"/>
        <v>877.82999999999902</v>
      </c>
      <c r="O324" s="15">
        <f>IFERROR(N324/N444, "NA")</f>
        <v>6.7972223555774994E-2</v>
      </c>
      <c r="P324" s="2"/>
      <c r="Q324" s="14">
        <f>IFERROR(Q297+Q298+Q299+Q300+Q301+Q302+Q303+Q304+Q305+Q306+Q307+Q308+Q309+Q310+Q311+Q312+Q313+Q314+Q315+Q316+Q317+Q318+Q319+Q320+Q321+Q322+Q323, "NA")</f>
        <v>22210.739999999998</v>
      </c>
      <c r="R324" s="15">
        <f>IFERROR(Q324/Q444, "NA")</f>
        <v>5.2763269549868284E-2</v>
      </c>
      <c r="S324" s="2"/>
      <c r="T324" s="14">
        <f>IFERROR(T297+T298+T299+T300+T301+T302+T303+T304+T305+T306+T307+T308+T309+T310+T311+T312+T313+T314+T315+T316+T317+T318+T319+T320+T321+T322+T323, "NA")</f>
        <v>12341.84</v>
      </c>
      <c r="U324" s="15">
        <f>IFERROR(T324/T444, "NA")</f>
        <v>2.9056186239243106E-2</v>
      </c>
      <c r="V324" s="2"/>
      <c r="W324" s="14">
        <f t="shared" si="78"/>
        <v>-9868.8999999999978</v>
      </c>
      <c r="X324" s="15">
        <f>IFERROR(W324/W444, "NA")</f>
        <v>2.592337698157309</v>
      </c>
      <c r="Y324" s="2"/>
      <c r="Z324" s="14">
        <f>IFERROR(Z297+Z298+Z299+Z300+Z301+Z302+Z303+Z304+Z305+Z306+Z307+Z308+Z309+Z310+Z311+Z312+Z313+Z314+Z315+Z316+Z317+Z318+Z319+Z320+Z321+Z322+Z323, "NA")</f>
        <v>18286.240000000002</v>
      </c>
      <c r="AA324" s="15">
        <f>IFERROR(Z324/Z444, "NA")</f>
        <v>4.8355114709276295E-2</v>
      </c>
      <c r="AB324" s="2"/>
      <c r="AC324" s="14">
        <f t="shared" si="79"/>
        <v>-3924.4999999999964</v>
      </c>
      <c r="AD324" s="15">
        <f>IFERROR(AC324/AC444, "NA")</f>
        <v>-9.1725622008165905E-2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28317.069999999996</v>
      </c>
      <c r="C325" s="15">
        <f>IFERROR(B325/B444, "NA")</f>
        <v>0.23623654597111607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22613.010000000002</v>
      </c>
      <c r="F325" s="15">
        <f>IFERROR(E325/E444, "NA")</f>
        <v>0.18070907322490157</v>
      </c>
      <c r="G325" s="2"/>
      <c r="H325" s="14">
        <f t="shared" si="76"/>
        <v>-5704.059999999994</v>
      </c>
      <c r="I325" s="15">
        <f>IFERROR(H325/H444, "NA")</f>
        <v>1.0828883045876083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20420.030000000002</v>
      </c>
      <c r="L325" s="15">
        <f>IFERROR(K325/K444, "NA")</f>
        <v>0.19092544475184875</v>
      </c>
      <c r="M325" s="2"/>
      <c r="N325" s="14">
        <f t="shared" si="77"/>
        <v>-7897.0399999999936</v>
      </c>
      <c r="O325" s="15">
        <f>IFERROR(N325/N444, "NA")</f>
        <v>-0.61148441988642166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107430.19</v>
      </c>
      <c r="R325" s="15">
        <f>IFERROR(Q325/Q444, "NA")</f>
        <v>0.25520842946986749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79386.73</v>
      </c>
      <c r="U325" s="15">
        <f>IFERROR(T325/T444, "NA")</f>
        <v>0.18689884262026632</v>
      </c>
      <c r="V325" s="2"/>
      <c r="W325" s="14">
        <f t="shared" si="78"/>
        <v>-28043.460000000006</v>
      </c>
      <c r="X325" s="15">
        <f>IFERROR(W325/W444, "NA")</f>
        <v>7.3663851639763909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71874.94</v>
      </c>
      <c r="AA325" s="15">
        <f>IFERROR(Z325/Z444, "NA")</f>
        <v>0.19006208867554789</v>
      </c>
      <c r="AB325" s="2"/>
      <c r="AC325" s="14">
        <f t="shared" si="79"/>
        <v>-35555.25</v>
      </c>
      <c r="AD325" s="15">
        <f>IFERROR(AC325/AC444, "NA")</f>
        <v>-0.83101730714889632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13132.5</v>
      </c>
      <c r="C329" s="8">
        <f>IFERROR(B329/B444, "NA")</f>
        <v>0.10955852565133617</v>
      </c>
      <c r="D329" s="9"/>
      <c r="E329" s="7">
        <v>12121</v>
      </c>
      <c r="F329" s="8">
        <f>IFERROR(E329/E444, "NA")</f>
        <v>9.6863472689351471E-2</v>
      </c>
      <c r="G329" s="9"/>
      <c r="H329" s="10">
        <f t="shared" si="80"/>
        <v>-1011.5</v>
      </c>
      <c r="I329" s="8">
        <f>IFERROR(H329/H444, "NA")</f>
        <v>0.19202840083911582</v>
      </c>
      <c r="J329" s="9"/>
      <c r="K329" s="7">
        <v>12750</v>
      </c>
      <c r="L329" s="8">
        <f>IFERROR(K329/K444, "NA")</f>
        <v>0.11921135378283339</v>
      </c>
      <c r="M329" s="9"/>
      <c r="N329" s="10">
        <f t="shared" si="81"/>
        <v>-382.5</v>
      </c>
      <c r="O329" s="8">
        <f>IFERROR(N329/N444, "NA")</f>
        <v>-2.9617779649913953E-2</v>
      </c>
      <c r="P329" s="9"/>
      <c r="Q329" s="7">
        <v>52530</v>
      </c>
      <c r="R329" s="8">
        <f>IFERROR(Q329/Q444, "NA")</f>
        <v>0.12478893316722366</v>
      </c>
      <c r="S329" s="9"/>
      <c r="T329" s="7">
        <v>51517</v>
      </c>
      <c r="U329" s="8">
        <f>IFERROR(T329/T444, "NA")</f>
        <v>0.12128560623756968</v>
      </c>
      <c r="V329" s="9"/>
      <c r="W329" s="10">
        <f t="shared" si="82"/>
        <v>-1013</v>
      </c>
      <c r="X329" s="8">
        <f>IFERROR(W329/W444, "NA")</f>
        <v>0.26609227859572543</v>
      </c>
      <c r="Y329" s="9"/>
      <c r="Z329" s="7">
        <v>51000</v>
      </c>
      <c r="AA329" s="8">
        <f>IFERROR(Z329/Z444, "NA")</f>
        <v>0.13486155984899525</v>
      </c>
      <c r="AB329" s="9"/>
      <c r="AC329" s="10">
        <f t="shared" si="83"/>
        <v>-1530</v>
      </c>
      <c r="AD329" s="8">
        <f>IFERROR(AC329/AC444, "NA")</f>
        <v>-3.5760020810929792E-2</v>
      </c>
    </row>
    <row r="330" spans="1:30" ht="16.5" customHeight="1" x14ac:dyDescent="0.45">
      <c r="A330" s="6" t="s">
        <v>301</v>
      </c>
      <c r="B330" s="7">
        <v>2126</v>
      </c>
      <c r="C330" s="8">
        <f>IFERROR(B330/B444, "NA")</f>
        <v>1.7736259321130075E-2</v>
      </c>
      <c r="D330" s="9"/>
      <c r="E330" s="7">
        <v>1875</v>
      </c>
      <c r="F330" s="8">
        <f>IFERROR(E330/E444, "NA")</f>
        <v>1.4983830648670407E-2</v>
      </c>
      <c r="G330" s="9"/>
      <c r="H330" s="10">
        <f t="shared" si="80"/>
        <v>-251</v>
      </c>
      <c r="I330" s="8">
        <f>IFERROR(H330/H444, "NA")</f>
        <v>4.7651140494926414E-2</v>
      </c>
      <c r="J330" s="9"/>
      <c r="K330" s="7">
        <v>1875</v>
      </c>
      <c r="L330" s="8">
        <f>IFERROR(K330/K444, "NA")</f>
        <v>1.7531081438651969E-2</v>
      </c>
      <c r="M330" s="9"/>
      <c r="N330" s="10">
        <f t="shared" si="81"/>
        <v>-251</v>
      </c>
      <c r="O330" s="8">
        <f>IFERROR(N330/N444, "NA")</f>
        <v>-1.9435458018636345E-2</v>
      </c>
      <c r="P330" s="9"/>
      <c r="Q330" s="7">
        <v>8504</v>
      </c>
      <c r="R330" s="8">
        <f>IFERROR(Q330/Q444, "NA")</f>
        <v>2.0201886305997906E-2</v>
      </c>
      <c r="S330" s="9"/>
      <c r="T330" s="7">
        <v>7500</v>
      </c>
      <c r="U330" s="8">
        <f>IFERROR(T330/T444, "NA")</f>
        <v>1.7657123799556897E-2</v>
      </c>
      <c r="V330" s="9"/>
      <c r="W330" s="10">
        <f t="shared" si="82"/>
        <v>-1004</v>
      </c>
      <c r="X330" s="8">
        <f>IFERROR(W330/W444, "NA")</f>
        <v>0.26372818135252551</v>
      </c>
      <c r="Y330" s="9"/>
      <c r="Z330" s="7">
        <v>7500</v>
      </c>
      <c r="AA330" s="8">
        <f>IFERROR(Z330/Z444, "NA")</f>
        <v>1.9832582330734594E-2</v>
      </c>
      <c r="AB330" s="9"/>
      <c r="AC330" s="10">
        <f t="shared" si="83"/>
        <v>-1004</v>
      </c>
      <c r="AD330" s="8">
        <f>IFERROR(AC330/AC444, "NA")</f>
        <v>-2.3466052872008827E-2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180</v>
      </c>
      <c r="C332" s="8">
        <f>IFERROR(B332/B444, "NA")</f>
        <v>1.5016588324569208E-3</v>
      </c>
      <c r="D332" s="9"/>
      <c r="E332" s="7">
        <v>180</v>
      </c>
      <c r="F332" s="8">
        <f>IFERROR(E332/E444, "NA")</f>
        <v>1.4384477422723591E-3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180</v>
      </c>
      <c r="L332" s="8">
        <f>IFERROR(K332/K444, "NA")</f>
        <v>1.6829838181105889E-3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720</v>
      </c>
      <c r="R332" s="8">
        <f>IFERROR(Q332/Q444, "NA")</f>
        <v>1.7104137041766808E-3</v>
      </c>
      <c r="S332" s="9"/>
      <c r="T332" s="7">
        <v>720</v>
      </c>
      <c r="U332" s="8">
        <f>IFERROR(T332/T444, "NA")</f>
        <v>1.695083884757462E-3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720</v>
      </c>
      <c r="AA332" s="8">
        <f>IFERROR(Z332/Z444, "NA")</f>
        <v>1.903927903750521E-3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1024.69</v>
      </c>
      <c r="C333" s="8">
        <f>IFERROR(B333/B444, "NA")</f>
        <v>8.5485266057237896E-3</v>
      </c>
      <c r="D333" s="9"/>
      <c r="E333" s="7">
        <v>1254</v>
      </c>
      <c r="F333" s="8">
        <f>IFERROR(E333/E444, "NA")</f>
        <v>1.0021185937830768E-2</v>
      </c>
      <c r="G333" s="9"/>
      <c r="H333" s="10">
        <f t="shared" si="80"/>
        <v>229.30999999999995</v>
      </c>
      <c r="I333" s="8">
        <f>IFERROR(H333/H444, "NA")</f>
        <v>-4.3533398513512248E-2</v>
      </c>
      <c r="J333" s="9"/>
      <c r="K333" s="7">
        <v>1254</v>
      </c>
      <c r="L333" s="8">
        <f>IFERROR(K333/K444, "NA")</f>
        <v>1.1724787266170437E-2</v>
      </c>
      <c r="M333" s="9"/>
      <c r="N333" s="10">
        <f t="shared" si="81"/>
        <v>229.30999999999995</v>
      </c>
      <c r="O333" s="8">
        <f>IFERROR(N333/N444, "NA")</f>
        <v>1.7755955690252987E-2</v>
      </c>
      <c r="P333" s="9"/>
      <c r="Q333" s="7">
        <v>4098.76</v>
      </c>
      <c r="R333" s="8">
        <f>IFERROR(Q333/Q444, "NA")</f>
        <v>9.7369101029600169E-3</v>
      </c>
      <c r="S333" s="9"/>
      <c r="T333" s="7">
        <v>5016</v>
      </c>
      <c r="U333" s="8">
        <f>IFERROR(T333/T444, "NA")</f>
        <v>1.1809084397143652E-2</v>
      </c>
      <c r="V333" s="9"/>
      <c r="W333" s="10">
        <f t="shared" si="82"/>
        <v>917.23999999999978</v>
      </c>
      <c r="X333" s="8">
        <f>IFERROR(W333/W444, "NA")</f>
        <v>-0.24093828392807812</v>
      </c>
      <c r="Y333" s="9"/>
      <c r="Z333" s="7">
        <v>1509.41</v>
      </c>
      <c r="AA333" s="8">
        <f>IFERROR(Z333/Z444, "NA")</f>
        <v>3.9913997461112141E-3</v>
      </c>
      <c r="AB333" s="9"/>
      <c r="AC333" s="10">
        <f t="shared" si="83"/>
        <v>-2589.3500000000004</v>
      </c>
      <c r="AD333" s="8">
        <f>IFERROR(AC333/AC444, "NA")</f>
        <v>-6.0519745024039909E-2</v>
      </c>
    </row>
    <row r="334" spans="1:30" ht="16.5" customHeight="1" x14ac:dyDescent="0.45">
      <c r="A334" s="6" t="s">
        <v>305</v>
      </c>
      <c r="B334" s="7">
        <v>-1011.2</v>
      </c>
      <c r="C334" s="8">
        <f>IFERROR(B334/B444, "NA")</f>
        <v>-8.4359856187802128E-3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1011.2</v>
      </c>
      <c r="I334" s="8">
        <f>IFERROR(H334/H444, "NA")</f>
        <v>-0.19197144728473942</v>
      </c>
      <c r="J334" s="9"/>
      <c r="K334" s="7">
        <v>-981.75</v>
      </c>
      <c r="L334" s="8">
        <f>IFERROR(K334/K444, "NA")</f>
        <v>-9.1792742412781705E-3</v>
      </c>
      <c r="M334" s="9"/>
      <c r="N334" s="10">
        <f t="shared" si="81"/>
        <v>29.450000000000045</v>
      </c>
      <c r="O334" s="8">
        <f>IFERROR(N334/N444, "NA")</f>
        <v>2.2803754527842284E-3</v>
      </c>
      <c r="P334" s="9"/>
      <c r="Q334" s="7">
        <v>-1011.2</v>
      </c>
      <c r="R334" s="8">
        <f>IFERROR(Q334/Q444, "NA")</f>
        <v>-2.4021810245325828E-3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1011.2</v>
      </c>
      <c r="X334" s="8">
        <f>IFERROR(W334/W444, "NA")</f>
        <v>-0.26561945914708546</v>
      </c>
      <c r="Y334" s="9"/>
      <c r="Z334" s="7">
        <v>-981.75</v>
      </c>
      <c r="AA334" s="8">
        <f>IFERROR(Z334/Z444, "NA")</f>
        <v>-2.5960850270931586E-3</v>
      </c>
      <c r="AB334" s="9"/>
      <c r="AC334" s="10">
        <f t="shared" si="83"/>
        <v>29.450000000000045</v>
      </c>
      <c r="AD334" s="8">
        <f>IFERROR(AC334/AC444, "NA")</f>
        <v>6.8832196920384575E-4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1218.5899999999999</v>
      </c>
      <c r="F337" s="8">
        <f>IFERROR(E337/E444, "NA")</f>
        <v>9.7382113014204113E-3</v>
      </c>
      <c r="G337" s="9"/>
      <c r="H337" s="10">
        <f t="shared" ref="H337:H344" si="84">IFERROR(-(B337-E337), "NA")</f>
        <v>1218.5899999999999</v>
      </c>
      <c r="I337" s="8">
        <f>IFERROR(H337/H444, "NA")</f>
        <v>-0.2313434394251489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5796.02</v>
      </c>
      <c r="U337" s="8">
        <f>IFERROR(T337/T444, "NA")</f>
        <v>1.3645472357961036E-2</v>
      </c>
      <c r="V337" s="9"/>
      <c r="W337" s="10">
        <f t="shared" ref="W337:W344" si="86">IFERROR(-(Q337-T337), "NA")</f>
        <v>5796.02</v>
      </c>
      <c r="X337" s="8">
        <f>IFERROR(W337/W444, "NA")</f>
        <v>-1.5224838781701842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304.2</v>
      </c>
      <c r="C338" s="8">
        <f>IFERROR(B338/B444, "NA")</f>
        <v>2.5378034268521959E-3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-304.2</v>
      </c>
      <c r="I338" s="8">
        <f>IFERROR(H338/H444, "NA")</f>
        <v>5.7750904137675758E-2</v>
      </c>
      <c r="J338" s="9"/>
      <c r="K338" s="7">
        <v>358.29</v>
      </c>
      <c r="L338" s="8">
        <f>IFERROR(K338/K444, "NA")</f>
        <v>3.3499792899491275E-3</v>
      </c>
      <c r="M338" s="9"/>
      <c r="N338" s="10">
        <f t="shared" si="85"/>
        <v>54.090000000000032</v>
      </c>
      <c r="O338" s="8">
        <f>IFERROR(N338/N444, "NA")</f>
        <v>4.1883024869643053E-3</v>
      </c>
      <c r="P338" s="9"/>
      <c r="Q338" s="7">
        <v>1530.04</v>
      </c>
      <c r="R338" s="8">
        <f>IFERROR(Q338/Q444, "NA")</f>
        <v>3.6347241443590119E-3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-1530.04</v>
      </c>
      <c r="X338" s="8">
        <f>IFERROR(W338/W444, "NA")</f>
        <v>0.4019070384428467</v>
      </c>
      <c r="Y338" s="9"/>
      <c r="Z338" s="7">
        <v>1558.29</v>
      </c>
      <c r="AA338" s="8">
        <f>IFERROR(Z338/Z444, "NA")</f>
        <v>4.1206552960213879E-3</v>
      </c>
      <c r="AB338" s="9"/>
      <c r="AC338" s="10">
        <f t="shared" si="87"/>
        <v>28.25</v>
      </c>
      <c r="AD338" s="8">
        <f>IFERROR(AC338/AC444, "NA")</f>
        <v>6.6027489405801737E-4</v>
      </c>
    </row>
    <row r="339" spans="1:30" ht="16.5" customHeight="1" x14ac:dyDescent="0.45">
      <c r="A339" s="12" t="s">
        <v>309</v>
      </c>
      <c r="B339" s="7">
        <v>384.33</v>
      </c>
      <c r="C339" s="8">
        <f>IFERROR(B339/B444, "NA")</f>
        <v>3.2062918837676016E-3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-384.33</v>
      </c>
      <c r="I339" s="8">
        <f>IFERROR(H339/H444, "NA")</f>
        <v>7.2963198511613814E-2</v>
      </c>
      <c r="J339" s="9"/>
      <c r="K339" s="7">
        <v>314.8</v>
      </c>
      <c r="L339" s="8">
        <f>IFERROR(K339/K444, "NA")</f>
        <v>2.9433516996734081E-3</v>
      </c>
      <c r="M339" s="9"/>
      <c r="N339" s="10">
        <f t="shared" si="85"/>
        <v>-69.529999999999973</v>
      </c>
      <c r="O339" s="8">
        <f>IFERROR(N339/N444, "NA")</f>
        <v>-5.3838541674732458E-3</v>
      </c>
      <c r="P339" s="9"/>
      <c r="Q339" s="7">
        <v>1325.99</v>
      </c>
      <c r="R339" s="8">
        <f>IFERROR(Q339/Q444, "NA")</f>
        <v>3.1499881494461623E-3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-1325.99</v>
      </c>
      <c r="X339" s="8">
        <f>IFERROR(W339/W444, "NA")</f>
        <v>0.34830770039007497</v>
      </c>
      <c r="Y339" s="9"/>
      <c r="Z339" s="7">
        <v>1290.21</v>
      </c>
      <c r="AA339" s="8">
        <f>IFERROR(Z339/Z444, "NA")</f>
        <v>3.4117594731916108E-3</v>
      </c>
      <c r="AB339" s="9"/>
      <c r="AC339" s="10">
        <f t="shared" si="87"/>
        <v>-35.779999999999973</v>
      </c>
      <c r="AD339" s="8">
        <f>IFERROR(AC339/AC444, "NA")</f>
        <v>-8.3627029059808288E-4</v>
      </c>
    </row>
    <row r="340" spans="1:30" ht="16.5" customHeight="1" x14ac:dyDescent="0.45">
      <c r="A340" s="12" t="s">
        <v>310</v>
      </c>
      <c r="B340" s="7">
        <v>410</v>
      </c>
      <c r="C340" s="8">
        <f>IFERROR(B340/B444, "NA")</f>
        <v>3.4204451183740972E-3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-410</v>
      </c>
      <c r="I340" s="8">
        <f>IFERROR(H340/H444, "NA")</f>
        <v>7.7836524314421632E-2</v>
      </c>
      <c r="J340" s="9"/>
      <c r="K340" s="7">
        <v>395</v>
      </c>
      <c r="L340" s="8">
        <f>IFERROR(K340/K444, "NA")</f>
        <v>3.6932144897426815E-3</v>
      </c>
      <c r="M340" s="9"/>
      <c r="N340" s="10">
        <f t="shared" si="85"/>
        <v>-15</v>
      </c>
      <c r="O340" s="8">
        <f>IFERROR(N340/N444, "NA")</f>
        <v>-1.1614815548985865E-3</v>
      </c>
      <c r="P340" s="9"/>
      <c r="Q340" s="7">
        <v>1739.18</v>
      </c>
      <c r="R340" s="8">
        <f>IFERROR(Q340/Q444, "NA")</f>
        <v>4.1315518139305547E-3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-1739.18</v>
      </c>
      <c r="X340" s="8">
        <f>IFERROR(W340/W444, "NA")</f>
        <v>0.45684340482538377</v>
      </c>
      <c r="Y340" s="9"/>
      <c r="Z340" s="7">
        <v>1551.05</v>
      </c>
      <c r="AA340" s="8">
        <f>IFERROR(Z340/Z444, "NA")</f>
        <v>4.1015102432114519E-3</v>
      </c>
      <c r="AB340" s="9"/>
      <c r="AC340" s="10">
        <f t="shared" si="87"/>
        <v>-188.13000000000011</v>
      </c>
      <c r="AD340" s="8">
        <f>IFERROR(AC340/AC444, "NA")</f>
        <v>-4.3970802059870749E-3</v>
      </c>
    </row>
    <row r="341" spans="1:30" ht="16.5" customHeight="1" x14ac:dyDescent="0.45">
      <c r="A341" s="12" t="s">
        <v>311</v>
      </c>
      <c r="B341" s="7">
        <v>472.28</v>
      </c>
      <c r="C341" s="8">
        <f>IFERROR(B341/B444, "NA")</f>
        <v>3.9400190744041915E-3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-472.28</v>
      </c>
      <c r="I341" s="8">
        <f>IFERROR(H341/H444, "NA")</f>
        <v>8.9660082202963523E-2</v>
      </c>
      <c r="J341" s="9"/>
      <c r="K341" s="7">
        <v>442.32</v>
      </c>
      <c r="L341" s="8">
        <f>IFERROR(K341/K444, "NA")</f>
        <v>4.1356522357037535E-3</v>
      </c>
      <c r="M341" s="9"/>
      <c r="N341" s="10">
        <f t="shared" si="85"/>
        <v>-29.95999999999998</v>
      </c>
      <c r="O341" s="8">
        <f>IFERROR(N341/N444, "NA")</f>
        <v>-2.3198658256507751E-3</v>
      </c>
      <c r="P341" s="9"/>
      <c r="Q341" s="7">
        <v>1885.34</v>
      </c>
      <c r="R341" s="8">
        <f>IFERROR(Q341/Q444, "NA")</f>
        <v>4.4787657958784205E-3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-1885.34</v>
      </c>
      <c r="X341" s="8">
        <f>IFERROR(W341/W444, "NA")</f>
        <v>0.49523634405495059</v>
      </c>
      <c r="Y341" s="9"/>
      <c r="Z341" s="7">
        <v>1762.13</v>
      </c>
      <c r="AA341" s="8">
        <f>IFERROR(Z341/Z444, "NA")</f>
        <v>4.6596784403276472E-3</v>
      </c>
      <c r="AB341" s="9"/>
      <c r="AC341" s="10">
        <f t="shared" si="87"/>
        <v>-123.20999999999981</v>
      </c>
      <c r="AD341" s="8">
        <f>IFERROR(AC341/AC444, "NA")</f>
        <v>-2.8797334405978119E-3</v>
      </c>
    </row>
    <row r="342" spans="1:30" ht="16.5" customHeight="1" x14ac:dyDescent="0.45">
      <c r="A342" s="13" t="s">
        <v>312</v>
      </c>
      <c r="B342" s="14">
        <f>IFERROR(B337+B338+B339+B340+B341, "NA")</f>
        <v>1570.81</v>
      </c>
      <c r="C342" s="15">
        <f>IFERROR(B342/B444, "NA")</f>
        <v>1.3104559503398087E-2</v>
      </c>
      <c r="D342" s="2"/>
      <c r="E342" s="14">
        <f>IFERROR(E337+E338+E339+E340+E341, "NA")</f>
        <v>1218.5899999999999</v>
      </c>
      <c r="F342" s="15">
        <f>IFERROR(E342/E444, "NA")</f>
        <v>9.7382113014204113E-3</v>
      </c>
      <c r="G342" s="2"/>
      <c r="H342" s="14">
        <f t="shared" si="84"/>
        <v>-352.22</v>
      </c>
      <c r="I342" s="15">
        <f>IFERROR(H342/H444, "NA")</f>
        <v>6.6867269741525834E-2</v>
      </c>
      <c r="J342" s="2"/>
      <c r="K342" s="14">
        <f>IFERROR(K337+K338+K339+K340+K341, "NA")</f>
        <v>1510.41</v>
      </c>
      <c r="L342" s="15">
        <f>IFERROR(K342/K444, "NA")</f>
        <v>1.4122197715068971E-2</v>
      </c>
      <c r="M342" s="2"/>
      <c r="N342" s="14">
        <f t="shared" si="85"/>
        <v>-60.399999999999864</v>
      </c>
      <c r="O342" s="15">
        <f>IFERROR(N342/N444, "NA")</f>
        <v>-4.6768990610582973E-3</v>
      </c>
      <c r="P342" s="2"/>
      <c r="Q342" s="14">
        <f>IFERROR(Q337+Q338+Q339+Q340+Q341, "NA")</f>
        <v>6480.55</v>
      </c>
      <c r="R342" s="15">
        <f>IFERROR(Q342/Q444, "NA")</f>
        <v>1.539502990361415E-2</v>
      </c>
      <c r="S342" s="2"/>
      <c r="T342" s="14">
        <f>IFERROR(T337+T338+T339+T340+T341, "NA")</f>
        <v>5796.02</v>
      </c>
      <c r="U342" s="15">
        <f>IFERROR(T342/T444, "NA")</f>
        <v>1.3645472357961036E-2</v>
      </c>
      <c r="V342" s="2"/>
      <c r="W342" s="14">
        <f t="shared" si="86"/>
        <v>-684.52999999999975</v>
      </c>
      <c r="X342" s="15">
        <f>IFERROR(W342/W444, "NA")</f>
        <v>0.17981060954307193</v>
      </c>
      <c r="Y342" s="2"/>
      <c r="Z342" s="14">
        <f>IFERROR(Z337+Z338+Z339+Z340+Z341, "NA")</f>
        <v>6161.68</v>
      </c>
      <c r="AA342" s="15">
        <f>IFERROR(Z342/Z444, "NA")</f>
        <v>1.62936034527521E-2</v>
      </c>
      <c r="AB342" s="2"/>
      <c r="AC342" s="14">
        <f t="shared" si="87"/>
        <v>-318.86999999999989</v>
      </c>
      <c r="AD342" s="15">
        <f>IFERROR(AC342/AC444, "NA")</f>
        <v>-7.4528090431249527E-3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17022.799999999996</v>
      </c>
      <c r="C343" s="15">
        <f>IFERROR(B343/B444, "NA")</f>
        <v>0.1420135442952648</v>
      </c>
      <c r="D343" s="2"/>
      <c r="E343" s="14">
        <f>IFERROR(E328+E329+E330+E331+E332+E333+E334+E335+E337+E338+E339+E340+E341, "NA")</f>
        <v>16648.59</v>
      </c>
      <c r="F343" s="15">
        <f>IFERROR(E343/E444, "NA")</f>
        <v>0.13304514831954542</v>
      </c>
      <c r="G343" s="2"/>
      <c r="H343" s="14">
        <f t="shared" si="84"/>
        <v>-374.20999999999549</v>
      </c>
      <c r="I343" s="15">
        <f>IFERROR(H343/H444, "NA")</f>
        <v>7.104196527731553E-2</v>
      </c>
      <c r="J343" s="2"/>
      <c r="K343" s="14">
        <f>IFERROR(K328+K329+K330+K331+K332+K333+K334+K335+K337+K338+K339+K340+K341, "NA")</f>
        <v>16587.66</v>
      </c>
      <c r="L343" s="15">
        <f>IFERROR(K343/K444, "NA")</f>
        <v>0.15509312977955717</v>
      </c>
      <c r="M343" s="2"/>
      <c r="N343" s="14">
        <f t="shared" si="85"/>
        <v>-435.13999999999578</v>
      </c>
      <c r="O343" s="15">
        <f>IFERROR(N343/N444, "NA")</f>
        <v>-3.369380558657107E-2</v>
      </c>
      <c r="P343" s="2"/>
      <c r="Q343" s="14">
        <f>IFERROR(Q328+Q329+Q330+Q331+Q332+Q333+Q334+Q335+Q337+Q338+Q339+Q340+Q341, "NA")</f>
        <v>71322.109999999986</v>
      </c>
      <c r="R343" s="15">
        <f>IFERROR(Q343/Q444, "NA")</f>
        <v>0.1694309921594398</v>
      </c>
      <c r="S343" s="2"/>
      <c r="T343" s="14">
        <f>IFERROR(T328+T329+T330+T331+T332+T333+T334+T335+T337+T338+T339+T340+T341, "NA")</f>
        <v>70549.02</v>
      </c>
      <c r="U343" s="15">
        <f>IFERROR(T343/T444, "NA")</f>
        <v>0.16609237067698873</v>
      </c>
      <c r="V343" s="2"/>
      <c r="W343" s="14">
        <f t="shared" si="86"/>
        <v>-773.08999999998196</v>
      </c>
      <c r="X343" s="15">
        <f>IFERROR(W343/W444, "NA")</f>
        <v>0.20307332641615455</v>
      </c>
      <c r="Y343" s="2"/>
      <c r="Z343" s="14">
        <f>IFERROR(Z328+Z329+Z330+Z331+Z332+Z333+Z334+Z335+Z337+Z338+Z339+Z340+Z341, "NA")</f>
        <v>65909.340000000011</v>
      </c>
      <c r="AA343" s="15">
        <f>IFERROR(Z343/Z444, "NA")</f>
        <v>0.17428698825525055</v>
      </c>
      <c r="AB343" s="2"/>
      <c r="AC343" s="14">
        <f t="shared" si="87"/>
        <v>-5412.769999999975</v>
      </c>
      <c r="AD343" s="15">
        <f>IFERROR(AC343/AC444, "NA")</f>
        <v>-0.12651030578089906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17022.799999999996</v>
      </c>
      <c r="C344" s="15">
        <f>IFERROR(B344/B444, "NA")</f>
        <v>0.1420135442952648</v>
      </c>
      <c r="D344" s="2"/>
      <c r="E344" s="14">
        <f>IFERROR(E328+E329+E330+E331+E332+E333+E334+E335+E337+E338+E339+E340+E341, "NA")</f>
        <v>16648.59</v>
      </c>
      <c r="F344" s="15">
        <f>IFERROR(E344/E444, "NA")</f>
        <v>0.13304514831954542</v>
      </c>
      <c r="G344" s="2"/>
      <c r="H344" s="14">
        <f t="shared" si="84"/>
        <v>-374.20999999999549</v>
      </c>
      <c r="I344" s="15">
        <f>IFERROR(H344/H444, "NA")</f>
        <v>7.104196527731553E-2</v>
      </c>
      <c r="J344" s="2"/>
      <c r="K344" s="14">
        <f>IFERROR(K328+K329+K330+K331+K332+K333+K334+K335+K337+K338+K339+K340+K341, "NA")</f>
        <v>16587.66</v>
      </c>
      <c r="L344" s="15">
        <f>IFERROR(K344/K444, "NA")</f>
        <v>0.15509312977955717</v>
      </c>
      <c r="M344" s="2"/>
      <c r="N344" s="14">
        <f t="shared" si="85"/>
        <v>-435.13999999999578</v>
      </c>
      <c r="O344" s="15">
        <f>IFERROR(N344/N444, "NA")</f>
        <v>-3.369380558657107E-2</v>
      </c>
      <c r="P344" s="2"/>
      <c r="Q344" s="14">
        <f>IFERROR(Q328+Q329+Q330+Q331+Q332+Q333+Q334+Q335+Q337+Q338+Q339+Q340+Q341, "NA")</f>
        <v>71322.109999999986</v>
      </c>
      <c r="R344" s="15">
        <f>IFERROR(Q344/Q444, "NA")</f>
        <v>0.1694309921594398</v>
      </c>
      <c r="S344" s="2"/>
      <c r="T344" s="14">
        <f>IFERROR(T328+T329+T330+T331+T332+T333+T334+T335+T337+T338+T339+T340+T341, "NA")</f>
        <v>70549.02</v>
      </c>
      <c r="U344" s="15">
        <f>IFERROR(T344/T444, "NA")</f>
        <v>0.16609237067698873</v>
      </c>
      <c r="V344" s="2"/>
      <c r="W344" s="14">
        <f t="shared" si="86"/>
        <v>-773.08999999998196</v>
      </c>
      <c r="X344" s="15">
        <f>IFERROR(W344/W444, "NA")</f>
        <v>0.20307332641615455</v>
      </c>
      <c r="Y344" s="2"/>
      <c r="Z344" s="14">
        <f>IFERROR(Z328+Z329+Z330+Z331+Z332+Z333+Z334+Z335+Z337+Z338+Z339+Z340+Z341, "NA")</f>
        <v>65909.340000000011</v>
      </c>
      <c r="AA344" s="15">
        <f>IFERROR(Z344/Z444, "NA")</f>
        <v>0.17428698825525055</v>
      </c>
      <c r="AB344" s="2"/>
      <c r="AC344" s="14">
        <f t="shared" si="87"/>
        <v>-5412.769999999975</v>
      </c>
      <c r="AD344" s="15">
        <f>IFERROR(AC344/AC444, "NA")</f>
        <v>-0.12651030578089906</v>
      </c>
    </row>
    <row r="345" spans="1:30" ht="16.5" customHeight="1" x14ac:dyDescent="0.45">
      <c r="A345" s="22" t="s">
        <v>315</v>
      </c>
      <c r="B345" s="23">
        <f>IFERROR(B198-B325-B344, "NA")</f>
        <v>3066.6900000000205</v>
      </c>
      <c r="C345" s="24">
        <f>IFERROR(B345/B444, "NA")</f>
        <v>2.5584011805040805E-2</v>
      </c>
      <c r="D345" s="25"/>
      <c r="E345" s="23">
        <f>IFERROR(E198-E325-E344, "NA")</f>
        <v>21470.809999999979</v>
      </c>
      <c r="F345" s="24">
        <f>IFERROR(E345/E444, "NA")</f>
        <v>0.17158132316254868</v>
      </c>
      <c r="G345" s="25"/>
      <c r="H345" s="23">
        <f>IFERROR(B345-E345, "NA")</f>
        <v>-18404.119999999959</v>
      </c>
      <c r="I345" s="24">
        <f>IFERROR(H345/H444, "NA")</f>
        <v>3.4939334972330007</v>
      </c>
      <c r="J345" s="25"/>
      <c r="K345" s="23">
        <f>IFERROR(K198-K325-K344, "NA")</f>
        <v>9153.410000000018</v>
      </c>
      <c r="L345" s="24">
        <f>IFERROR(K345/K444, "NA")</f>
        <v>8.5583560614064871E-2</v>
      </c>
      <c r="M345" s="25"/>
      <c r="N345" s="23">
        <f>IFERROR(B345-K345, "NA")</f>
        <v>-6086.7199999999975</v>
      </c>
      <c r="O345" s="24">
        <f>IFERROR(N345/N444, "NA")</f>
        <v>-0.47130753398882141</v>
      </c>
      <c r="P345" s="25"/>
      <c r="Q345" s="23">
        <f>IFERROR(Q198-Q325-Q344, "NA")</f>
        <v>-2500.0600000000268</v>
      </c>
      <c r="R345" s="24">
        <f>IFERROR(Q345/Q444, "NA")</f>
        <v>-5.9390790073111082E-3</v>
      </c>
      <c r="S345" s="25"/>
      <c r="T345" s="23">
        <f>IFERROR(T198-T325-T344, "NA")</f>
        <v>39222.689999999973</v>
      </c>
      <c r="U345" s="24">
        <f>IFERROR(T345/T444, "NA")</f>
        <v>9.2341319077552234E-2</v>
      </c>
      <c r="V345" s="25"/>
      <c r="W345" s="23">
        <f>IFERROR(Q345-T345, "NA")</f>
        <v>-41722.75</v>
      </c>
      <c r="X345" s="24">
        <f>IFERROR(W345/W444, "NA")</f>
        <v>10.959626472635541</v>
      </c>
      <c r="Y345" s="25"/>
      <c r="Z345" s="23">
        <f>IFERROR(Z198-Z325-Z344, "NA")</f>
        <v>14228.07000000008</v>
      </c>
      <c r="AA345" s="24">
        <f>IFERROR(Z345/Z444, "NA")</f>
        <v>3.7623915957660875E-2</v>
      </c>
      <c r="AB345" s="25"/>
      <c r="AC345" s="23">
        <f>IFERROR(Q345-Z345, "NA")</f>
        <v>-16728.130000000107</v>
      </c>
      <c r="AD345" s="24">
        <f>IFERROR(AC345/AC444, "NA")</f>
        <v>-0.39097926596597565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3066.6900000000205</v>
      </c>
      <c r="C404" s="24">
        <f>IFERROR(B404/B444, "NA")</f>
        <v>2.5584011805040805E-2</v>
      </c>
      <c r="D404" s="25"/>
      <c r="E404" s="23">
        <f>IFERROR(E345-E403, "NA")</f>
        <v>21470.809999999979</v>
      </c>
      <c r="F404" s="24">
        <f>IFERROR(E404/E444, "NA")</f>
        <v>0.17158132316254868</v>
      </c>
      <c r="G404" s="25"/>
      <c r="H404" s="23">
        <f>IFERROR(B404-E404, "NA")</f>
        <v>-18404.119999999959</v>
      </c>
      <c r="I404" s="24">
        <f>IFERROR(H404/H444, "NA")</f>
        <v>3.4939334972330007</v>
      </c>
      <c r="J404" s="25"/>
      <c r="K404" s="23">
        <f>IFERROR(K345-K403, "NA")</f>
        <v>9153.410000000018</v>
      </c>
      <c r="L404" s="24">
        <f>IFERROR(K404/K444, "NA")</f>
        <v>8.5583560614064871E-2</v>
      </c>
      <c r="M404" s="25"/>
      <c r="N404" s="23">
        <f>IFERROR(B404-K404, "NA")</f>
        <v>-6086.7199999999975</v>
      </c>
      <c r="O404" s="24">
        <f>IFERROR(N404/N444, "NA")</f>
        <v>-0.47130753398882141</v>
      </c>
      <c r="P404" s="25"/>
      <c r="Q404" s="23">
        <f>IFERROR(Q345-Q403, "NA")</f>
        <v>-2500.0600000000268</v>
      </c>
      <c r="R404" s="24">
        <f>IFERROR(Q404/Q444, "NA")</f>
        <v>-5.9390790073111082E-3</v>
      </c>
      <c r="S404" s="25"/>
      <c r="T404" s="23">
        <f>IFERROR(T345-T403, "NA")</f>
        <v>39222.689999999973</v>
      </c>
      <c r="U404" s="24">
        <f>IFERROR(T404/T444, "NA")</f>
        <v>9.2341319077552234E-2</v>
      </c>
      <c r="V404" s="25"/>
      <c r="W404" s="23">
        <f>IFERROR(Q404-T404, "NA")</f>
        <v>-41722.75</v>
      </c>
      <c r="X404" s="24">
        <f>IFERROR(W404/W444, "NA")</f>
        <v>10.959626472635541</v>
      </c>
      <c r="Y404" s="25"/>
      <c r="Z404" s="23">
        <f>IFERROR(Z345-Z403, "NA")</f>
        <v>14228.07000000008</v>
      </c>
      <c r="AA404" s="24">
        <f>IFERROR(Z404/Z444, "NA")</f>
        <v>3.7623915957660875E-2</v>
      </c>
      <c r="AB404" s="25"/>
      <c r="AC404" s="23">
        <f>IFERROR(Q404-Z404, "NA")</f>
        <v>-16728.130000000107</v>
      </c>
      <c r="AD404" s="24">
        <f>IFERROR(AC404/AC444, "NA")</f>
        <v>-0.39097926596597565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73</v>
      </c>
      <c r="L408" s="8">
        <f>IFERROR(K408/K444, "NA")</f>
        <v>6.8254343734484998E-4</v>
      </c>
      <c r="M408" s="9"/>
      <c r="N408" s="10">
        <f t="shared" si="101"/>
        <v>73</v>
      </c>
      <c r="O408" s="8">
        <f>IFERROR(N408/N444, "NA")</f>
        <v>5.6525435671731204E-3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73</v>
      </c>
      <c r="AA408" s="8">
        <f>IFERROR(Z408/Z444, "NA")</f>
        <v>1.9303713468581671E-4</v>
      </c>
      <c r="AB408" s="9"/>
      <c r="AC408" s="10">
        <f t="shared" si="103"/>
        <v>73</v>
      </c>
      <c r="AD408" s="8">
        <f>IFERROR(AC408/AC444, "NA")</f>
        <v>1.7061970713711599E-3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8150.72</v>
      </c>
      <c r="C410" s="8">
        <f>IFERROR(B410/B444, "NA")</f>
        <v>6.7997781549351516E-2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-8150.72</v>
      </c>
      <c r="I410" s="8">
        <f>IFERROR(H410/H444, "NA")</f>
        <v>1.5473749157562018</v>
      </c>
      <c r="J410" s="9"/>
      <c r="K410" s="7">
        <v>8357.0499999999993</v>
      </c>
      <c r="L410" s="8">
        <f>IFERROR(K410/K444, "NA")</f>
        <v>7.8137666206339426E-2</v>
      </c>
      <c r="M410" s="9"/>
      <c r="N410" s="10">
        <f t="shared" si="101"/>
        <v>206.32999999999902</v>
      </c>
      <c r="O410" s="8">
        <f>IFERROR(N410/N444, "NA")</f>
        <v>1.597656594814828E-2</v>
      </c>
      <c r="P410" s="9"/>
      <c r="Q410" s="7">
        <v>32305.439999999999</v>
      </c>
      <c r="R410" s="8">
        <f>IFERROR(Q410/Q444, "NA")</f>
        <v>7.6743982354802093E-2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-32305.439999999999</v>
      </c>
      <c r="X410" s="8">
        <f>IFERROR(W410/W444, "NA")</f>
        <v>8.4859112938178587</v>
      </c>
      <c r="Y410" s="9"/>
      <c r="Z410" s="7">
        <v>33428.620000000003</v>
      </c>
      <c r="AA410" s="8">
        <f>IFERROR(Z410/Z444, "NA")</f>
        <v>8.8396781113712145E-2</v>
      </c>
      <c r="AB410" s="9"/>
      <c r="AC410" s="10">
        <f t="shared" si="103"/>
        <v>1123.1800000000039</v>
      </c>
      <c r="AD410" s="8">
        <f>IFERROR(AC410/AC444, "NA")</f>
        <v>2.6251594885242001E-2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-44.69</v>
      </c>
      <c r="C416" s="8">
        <f>IFERROR(B416/B444, "NA")</f>
        <v>-3.7282851790277656E-4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44.69</v>
      </c>
      <c r="I416" s="8">
        <f>IFERROR(H416/H444, "NA")</f>
        <v>-8.4841811502719567E-3</v>
      </c>
      <c r="J416" s="9"/>
      <c r="K416" s="7">
        <v>-36.96</v>
      </c>
      <c r="L416" s="8">
        <f>IFERROR(K416/K444, "NA")</f>
        <v>-3.4557267731870762E-4</v>
      </c>
      <c r="M416" s="9"/>
      <c r="N416" s="10">
        <f t="shared" si="101"/>
        <v>7.7299999999999969</v>
      </c>
      <c r="O416" s="8">
        <f>IFERROR(N416/N444, "NA")</f>
        <v>5.9855016129107131E-4</v>
      </c>
      <c r="P416" s="9"/>
      <c r="Q416" s="7">
        <v>-123.13</v>
      </c>
      <c r="R416" s="8">
        <f>IFERROR(Q416/Q444, "NA")</f>
        <v>-2.9250449916010373E-4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123.13</v>
      </c>
      <c r="X416" s="8">
        <f>IFERROR(W416/W444, "NA")</f>
        <v>-3.2343477061689704E-2</v>
      </c>
      <c r="Y416" s="9"/>
      <c r="Z416" s="7">
        <v>-123.49</v>
      </c>
      <c r="AA416" s="8">
        <f>IFERROR(Z416/Z444, "NA")</f>
        <v>-3.2655007893632199E-4</v>
      </c>
      <c r="AB416" s="9"/>
      <c r="AC416" s="10">
        <f t="shared" si="103"/>
        <v>-0.35999999999999943</v>
      </c>
      <c r="AD416" s="8">
        <f>IFERROR(AC416/AC444, "NA")</f>
        <v>-8.4141225437481721E-6</v>
      </c>
    </row>
    <row r="417" spans="1:30" ht="16.5" customHeight="1" x14ac:dyDescent="0.45">
      <c r="A417" s="6" t="s">
        <v>382</v>
      </c>
      <c r="B417" s="7">
        <v>-83.34</v>
      </c>
      <c r="C417" s="8">
        <f>IFERROR(B417/B444, "NA")</f>
        <v>-6.9526803942755429E-4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83.34</v>
      </c>
      <c r="I417" s="8">
        <f>IFERROR(H417/H444, "NA")</f>
        <v>-1.5821697405765608E-2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83.34</v>
      </c>
      <c r="O417" s="8">
        <f>IFERROR(N417/N444, "NA")</f>
        <v>6.4531915190165464E-3</v>
      </c>
      <c r="P417" s="9"/>
      <c r="Q417" s="7">
        <v>-282.5</v>
      </c>
      <c r="R417" s="8">
        <f>IFERROR(Q417/Q444, "NA")</f>
        <v>-6.7109982143043374E-4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282.5</v>
      </c>
      <c r="X417" s="8">
        <f>IFERROR(W417/W444, "NA")</f>
        <v>-7.4206385689331134E-2</v>
      </c>
      <c r="Y417" s="9"/>
      <c r="Z417" s="7">
        <v>0</v>
      </c>
      <c r="AA417" s="8">
        <f>IFERROR(Z417/Z444, "NA")</f>
        <v>0</v>
      </c>
      <c r="AB417" s="9"/>
      <c r="AC417" s="10">
        <f t="shared" si="103"/>
        <v>282.5</v>
      </c>
      <c r="AD417" s="8">
        <f>IFERROR(AC417/AC444, "NA")</f>
        <v>6.6027489405801739E-3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8022.6900000000005</v>
      </c>
      <c r="C428" s="15">
        <f>IFERROR(B428/B444, "NA")</f>
        <v>6.6929684992021191E-2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-8022.6900000000005</v>
      </c>
      <c r="I428" s="15">
        <f>IFERROR(H428/H444, "NA")</f>
        <v>1.5230690372001643</v>
      </c>
      <c r="J428" s="2"/>
      <c r="K428" s="14">
        <f>IFERROR(K407+K408+K409+K410+K411+K412+K413+K414+K415+K416+K417+K418+K419+K420+K421+K422+K423+K424+K425+K426+K427, "NA")</f>
        <v>8393.09</v>
      </c>
      <c r="L428" s="15">
        <f>IFERROR(K428/K444, "NA")</f>
        <v>7.8474636966365571E-2</v>
      </c>
      <c r="M428" s="2"/>
      <c r="N428" s="14">
        <f t="shared" si="101"/>
        <v>370.39999999999964</v>
      </c>
      <c r="O428" s="15">
        <f>IFERROR(N428/N444, "NA")</f>
        <v>2.8680851195629065E-2</v>
      </c>
      <c r="P428" s="2"/>
      <c r="Q428" s="14">
        <f>IFERROR(Q407+Q408+Q409+Q410+Q411+Q412+Q413+Q414+Q415+Q416+Q417+Q418+Q419+Q420+Q421+Q422+Q423+Q424+Q425+Q426+Q427, "NA")</f>
        <v>31899.809999999998</v>
      </c>
      <c r="R428" s="15">
        <f>IFERROR(Q428/Q444, "NA")</f>
        <v>7.5780378034211546E-2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-31899.809999999998</v>
      </c>
      <c r="X428" s="15">
        <f>IFERROR(W428/W444, "NA")</f>
        <v>8.3793614310668385</v>
      </c>
      <c r="Y428" s="2"/>
      <c r="Z428" s="14">
        <f>IFERROR(Z407+Z408+Z409+Z410+Z411+Z412+Z413+Z414+Z415+Z416+Z417+Z418+Z419+Z420+Z421+Z422+Z423+Z424+Z425+Z426+Z427, "NA")</f>
        <v>33378.130000000005</v>
      </c>
      <c r="AA428" s="15">
        <f>IFERROR(Z428/Z444, "NA")</f>
        <v>8.8263268169461645E-2</v>
      </c>
      <c r="AB428" s="2"/>
      <c r="AC428" s="14">
        <f t="shared" si="103"/>
        <v>1478.320000000007</v>
      </c>
      <c r="AD428" s="15">
        <f>IFERROR(AC428/AC444, "NA")</f>
        <v>3.4552126774649659E-2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8022.6900000000005</v>
      </c>
      <c r="C429" s="15">
        <f>IFERROR(B429/B444, "NA")</f>
        <v>6.6929684992021191E-2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-8022.6900000000005</v>
      </c>
      <c r="I429" s="15">
        <f>IFERROR(H429/H444, "NA")</f>
        <v>1.5230690372001643</v>
      </c>
      <c r="J429" s="2"/>
      <c r="K429" s="14">
        <f>IFERROR(K407+K408+K409+K410+K411+K412+K413+K414+K415+K416+K417+K418+K419+K420+K421+K422+K423+K424+K425+K426+K427, "NA")</f>
        <v>8393.09</v>
      </c>
      <c r="L429" s="15">
        <f>IFERROR(K429/K444, "NA")</f>
        <v>7.8474636966365571E-2</v>
      </c>
      <c r="M429" s="2"/>
      <c r="N429" s="14">
        <f t="shared" si="101"/>
        <v>370.39999999999964</v>
      </c>
      <c r="O429" s="15">
        <f>IFERROR(N429/N444, "NA")</f>
        <v>2.8680851195629065E-2</v>
      </c>
      <c r="P429" s="2"/>
      <c r="Q429" s="14">
        <f>IFERROR(Q407+Q408+Q409+Q410+Q411+Q412+Q413+Q414+Q415+Q416+Q417+Q418+Q419+Q420+Q421+Q422+Q423+Q424+Q425+Q426+Q427, "NA")</f>
        <v>31899.809999999998</v>
      </c>
      <c r="R429" s="15">
        <f>IFERROR(Q429/Q444, "NA")</f>
        <v>7.5780378034211546E-2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-31899.809999999998</v>
      </c>
      <c r="X429" s="15">
        <f>IFERROR(W429/W444, "NA")</f>
        <v>8.3793614310668385</v>
      </c>
      <c r="Y429" s="2"/>
      <c r="Z429" s="14">
        <f>IFERROR(Z407+Z408+Z409+Z410+Z411+Z412+Z413+Z414+Z415+Z416+Z417+Z418+Z419+Z420+Z421+Z422+Z423+Z424+Z425+Z426+Z427, "NA")</f>
        <v>33378.130000000005</v>
      </c>
      <c r="AA429" s="15">
        <f>IFERROR(Z429/Z444, "NA")</f>
        <v>8.8263268169461645E-2</v>
      </c>
      <c r="AB429" s="2"/>
      <c r="AC429" s="14">
        <f t="shared" si="103"/>
        <v>1478.320000000007</v>
      </c>
      <c r="AD429" s="15">
        <f>IFERROR(AC429/AC444, "NA")</f>
        <v>3.4552126774649659E-2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-4955.99999999998</v>
      </c>
      <c r="C443" s="24">
        <f>IFERROR(B443/B444, "NA")</f>
        <v>-4.1345673186980382E-2</v>
      </c>
      <c r="D443" s="25"/>
      <c r="E443" s="23">
        <f>IFERROR(E404-E429-E442, "NA")</f>
        <v>21470.809999999979</v>
      </c>
      <c r="F443" s="24">
        <f>IFERROR(E443/E444, "NA")</f>
        <v>0.17158132316254868</v>
      </c>
      <c r="G443" s="25"/>
      <c r="H443" s="23">
        <f>IFERROR(B443-E443, "NA")</f>
        <v>-26426.809999999961</v>
      </c>
      <c r="I443" s="24">
        <f>IFERROR(H443/H444, "NA")</f>
        <v>5.017002534433165</v>
      </c>
      <c r="J443" s="25"/>
      <c r="K443" s="23">
        <f>IFERROR(K404-K429-K442, "NA")</f>
        <v>760.3200000000179</v>
      </c>
      <c r="L443" s="24">
        <f>IFERROR(K443/K444, "NA")</f>
        <v>7.1089236476992949E-3</v>
      </c>
      <c r="M443" s="25"/>
      <c r="N443" s="23">
        <f>IFERROR(B443-K443, "NA")</f>
        <v>-5716.3199999999979</v>
      </c>
      <c r="O443" s="24">
        <f>IFERROR(N443/N444, "NA")</f>
        <v>-0.44262668279319234</v>
      </c>
      <c r="P443" s="25"/>
      <c r="Q443" s="23">
        <f>IFERROR(Q404-Q429-Q442, "NA")</f>
        <v>-34399.870000000024</v>
      </c>
      <c r="R443" s="24">
        <f>IFERROR(Q443/Q444, "NA")</f>
        <v>-8.1719457041522656E-2</v>
      </c>
      <c r="S443" s="25"/>
      <c r="T443" s="23">
        <f>IFERROR(T404-T429-T442, "NA")</f>
        <v>39222.689999999973</v>
      </c>
      <c r="U443" s="24">
        <f>IFERROR(T443/T444, "NA")</f>
        <v>9.2341319077552234E-2</v>
      </c>
      <c r="V443" s="25"/>
      <c r="W443" s="23">
        <f>IFERROR(Q443-T443, "NA")</f>
        <v>-73622.559999999998</v>
      </c>
      <c r="X443" s="24">
        <f>IFERROR(W443/W444, "NA")</f>
        <v>19.338987903702378</v>
      </c>
      <c r="Y443" s="25"/>
      <c r="Z443" s="23">
        <f>IFERROR(Z404-Z429-Z442, "NA")</f>
        <v>-19150.059999999925</v>
      </c>
      <c r="AA443" s="24">
        <f>IFERROR(Z443/Z444, "NA")</f>
        <v>-5.0639352211800777E-2</v>
      </c>
      <c r="AB443" s="25"/>
      <c r="AC443" s="23">
        <f>IFERROR(Q443-Z443, "NA")</f>
        <v>-15249.8100000001</v>
      </c>
      <c r="AD443" s="24">
        <f>IFERROR(AC443/AC444, "NA")</f>
        <v>-0.35642713919132601</v>
      </c>
    </row>
    <row r="444" spans="1:30" ht="15.75" hidden="1" x14ac:dyDescent="0.45">
      <c r="A444" s="26" t="s">
        <v>117</v>
      </c>
      <c r="B444" s="7">
        <v>119867.44</v>
      </c>
      <c r="C444" s="27"/>
      <c r="D444" s="9"/>
      <c r="E444" s="7">
        <v>125134.89</v>
      </c>
      <c r="F444" s="27"/>
      <c r="G444" s="9"/>
      <c r="H444" s="10">
        <f>IFERROR(B444-E444, "NA")</f>
        <v>-5267.4499999999971</v>
      </c>
      <c r="I444" s="27"/>
      <c r="J444" s="9"/>
      <c r="K444" s="7">
        <v>106952.9</v>
      </c>
      <c r="L444" s="27"/>
      <c r="M444" s="9"/>
      <c r="N444" s="10">
        <f>IFERROR(B444-K444, "NA")</f>
        <v>12914.540000000008</v>
      </c>
      <c r="O444" s="27"/>
      <c r="P444" s="9"/>
      <c r="Q444" s="7">
        <v>420950.79</v>
      </c>
      <c r="R444" s="27"/>
      <c r="S444" s="9"/>
      <c r="T444" s="7">
        <v>424757.74</v>
      </c>
      <c r="U444" s="27"/>
      <c r="V444" s="9"/>
      <c r="W444" s="10">
        <f>IFERROR(Q444-T444, "NA")</f>
        <v>-3806.9500000000116</v>
      </c>
      <c r="X444" s="27"/>
      <c r="Y444" s="9"/>
      <c r="Z444" s="7">
        <v>378165.58</v>
      </c>
      <c r="AA444" s="27"/>
      <c r="AB444" s="9"/>
      <c r="AC444" s="10">
        <f>IFERROR(Q444-Z444, "NA")</f>
        <v>42785.209999999963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416</v>
      </c>
      <c r="B3" s="31" t="s">
        <v>416</v>
      </c>
      <c r="C3" s="31" t="s">
        <v>416</v>
      </c>
      <c r="D3" s="31" t="s">
        <v>416</v>
      </c>
      <c r="E3" s="31" t="s">
        <v>416</v>
      </c>
      <c r="F3" s="31" t="s">
        <v>416</v>
      </c>
      <c r="G3" s="31" t="s">
        <v>416</v>
      </c>
      <c r="H3" s="31" t="s">
        <v>416</v>
      </c>
      <c r="I3" s="31" t="s">
        <v>416</v>
      </c>
      <c r="J3" s="31" t="s">
        <v>416</v>
      </c>
      <c r="K3" s="31" t="s">
        <v>416</v>
      </c>
      <c r="L3" s="31" t="s">
        <v>416</v>
      </c>
      <c r="M3" s="31" t="s">
        <v>416</v>
      </c>
      <c r="N3" s="31" t="s">
        <v>416</v>
      </c>
      <c r="O3" s="31" t="s">
        <v>416</v>
      </c>
      <c r="P3" s="31" t="s">
        <v>416</v>
      </c>
      <c r="Q3" s="31" t="s">
        <v>416</v>
      </c>
      <c r="R3" s="31" t="s">
        <v>416</v>
      </c>
      <c r="S3" s="31" t="s">
        <v>416</v>
      </c>
      <c r="T3" s="31" t="s">
        <v>416</v>
      </c>
      <c r="U3" s="31" t="s">
        <v>416</v>
      </c>
      <c r="V3" s="31" t="s">
        <v>416</v>
      </c>
      <c r="W3" s="31" t="s">
        <v>416</v>
      </c>
      <c r="X3" s="31" t="s">
        <v>416</v>
      </c>
      <c r="Y3" s="31" t="s">
        <v>416</v>
      </c>
      <c r="Z3" s="31" t="s">
        <v>416</v>
      </c>
      <c r="AA3" s="31" t="s">
        <v>416</v>
      </c>
      <c r="AB3" s="31" t="s">
        <v>416</v>
      </c>
      <c r="AC3" s="31" t="s">
        <v>416</v>
      </c>
      <c r="AD3" s="31" t="s">
        <v>416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67789.259999999995</v>
      </c>
      <c r="F10" s="8">
        <f>IFERROR(E10/E444, "NA")</f>
        <v>0.53400004111979116</v>
      </c>
      <c r="G10" s="9"/>
      <c r="H10" s="10">
        <f t="shared" ref="H10:H19" si="0">IFERROR(B10-E10, "NA")</f>
        <v>-67789.259999999995</v>
      </c>
      <c r="I10" s="8">
        <f>IFERROR(H10/H444, "NA")</f>
        <v>3.0058703572896595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232155.4</v>
      </c>
      <c r="U10" s="8">
        <f>IFERROR(T10/T444, "NA")</f>
        <v>0.53400001237498707</v>
      </c>
      <c r="V10" s="9"/>
      <c r="W10" s="10">
        <f t="shared" ref="W10:W19" si="2">IFERROR(Q10-T10, "NA")</f>
        <v>-232155.4</v>
      </c>
      <c r="X10" s="8">
        <f>IFERROR(W10/W444, "NA")</f>
        <v>-38.668720955410755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50788.42</v>
      </c>
      <c r="C11" s="8">
        <f>IFERROR(B11/B444, "NA")</f>
        <v>0.48650763818721937</v>
      </c>
      <c r="D11" s="9"/>
      <c r="E11" s="7">
        <v>0</v>
      </c>
      <c r="F11" s="8">
        <f>IFERROR(E11/E444, "NA")</f>
        <v>0</v>
      </c>
      <c r="G11" s="9"/>
      <c r="H11" s="10">
        <f t="shared" si="0"/>
        <v>50788.42</v>
      </c>
      <c r="I11" s="8">
        <f>IFERROR(H11/H444, "NA")</f>
        <v>-2.252029394797602</v>
      </c>
      <c r="J11" s="9"/>
      <c r="K11" s="7">
        <v>57047.98</v>
      </c>
      <c r="L11" s="8">
        <f>IFERROR(K11/K444, "NA")</f>
        <v>0.53477070038975427</v>
      </c>
      <c r="M11" s="9"/>
      <c r="N11" s="10">
        <f t="shared" si="1"/>
        <v>-6259.5600000000049</v>
      </c>
      <c r="O11" s="8">
        <f>IFERROR(N11/N444, "NA")</f>
        <v>2.7411170180155722</v>
      </c>
      <c r="P11" s="9"/>
      <c r="Q11" s="7">
        <v>195076.44</v>
      </c>
      <c r="R11" s="8">
        <f>IFERROR(Q11/Q444, "NA")</f>
        <v>0.44259947490154489</v>
      </c>
      <c r="S11" s="9"/>
      <c r="T11" s="7">
        <v>0</v>
      </c>
      <c r="U11" s="8">
        <f>IFERROR(T11/T444, "NA")</f>
        <v>0</v>
      </c>
      <c r="V11" s="9"/>
      <c r="W11" s="10">
        <f t="shared" si="2"/>
        <v>195076.44</v>
      </c>
      <c r="X11" s="8">
        <f>IFERROR(W11/W444, "NA")</f>
        <v>32.492702833252764</v>
      </c>
      <c r="Y11" s="9"/>
      <c r="Z11" s="7">
        <v>217160.53</v>
      </c>
      <c r="AA11" s="8">
        <f>IFERROR(Z11/Z444, "NA")</f>
        <v>0.57275266405429559</v>
      </c>
      <c r="AB11" s="9"/>
      <c r="AC11" s="10">
        <f t="shared" si="3"/>
        <v>-22084.089999999997</v>
      </c>
      <c r="AD11" s="8">
        <f>IFERROR(AC11/AC444, "NA")</f>
        <v>-0.35851226134859399</v>
      </c>
    </row>
    <row r="12" spans="1:30" ht="16.5" customHeight="1" x14ac:dyDescent="0.45">
      <c r="A12" s="12" t="s">
        <v>14</v>
      </c>
      <c r="B12" s="7">
        <v>5504.75</v>
      </c>
      <c r="C12" s="8">
        <f>IFERROR(B12/B444, "NA")</f>
        <v>5.2730581524510822E-2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5504.75</v>
      </c>
      <c r="I12" s="8">
        <f>IFERROR(H12/H444, "NA")</f>
        <v>-0.24408829435946422</v>
      </c>
      <c r="J12" s="9"/>
      <c r="K12" s="7">
        <v>5752.9</v>
      </c>
      <c r="L12" s="8">
        <f>IFERROR(K12/K444, "NA")</f>
        <v>5.3927980662456708E-2</v>
      </c>
      <c r="M12" s="9"/>
      <c r="N12" s="10">
        <f t="shared" si="1"/>
        <v>-248.14999999999964</v>
      </c>
      <c r="O12" s="8">
        <f>IFERROR(N12/N444, "NA")</f>
        <v>0.10866709289799326</v>
      </c>
      <c r="P12" s="9"/>
      <c r="Q12" s="7">
        <v>23259.5</v>
      </c>
      <c r="R12" s="8">
        <f>IFERROR(Q12/Q444, "NA")</f>
        <v>5.2772351630327494E-2</v>
      </c>
      <c r="S12" s="9"/>
      <c r="T12" s="7">
        <v>0</v>
      </c>
      <c r="U12" s="8">
        <f>IFERROR(T12/T444, "NA")</f>
        <v>0</v>
      </c>
      <c r="V12" s="9"/>
      <c r="W12" s="10">
        <f t="shared" si="2"/>
        <v>23259.5</v>
      </c>
      <c r="X12" s="8">
        <f>IFERROR(W12/W444, "NA")</f>
        <v>3.8741942468810824</v>
      </c>
      <c r="Y12" s="9"/>
      <c r="Z12" s="7">
        <v>22490.9</v>
      </c>
      <c r="AA12" s="8">
        <f>IFERROR(Z12/Z444, "NA")</f>
        <v>5.9318895988966128E-2</v>
      </c>
      <c r="AB12" s="9"/>
      <c r="AC12" s="10">
        <f t="shared" si="3"/>
        <v>768.59999999999854</v>
      </c>
      <c r="AD12" s="8">
        <f>IFERROR(AC12/AC444, "NA")</f>
        <v>1.2477422618388571E-2</v>
      </c>
    </row>
    <row r="13" spans="1:30" ht="16.5" customHeight="1" x14ac:dyDescent="0.45">
      <c r="A13" s="12" t="s">
        <v>15</v>
      </c>
      <c r="B13" s="7">
        <v>180.5</v>
      </c>
      <c r="C13" s="8">
        <f>IFERROR(B13/B444, "NA")</f>
        <v>1.7290285599117496E-3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180.5</v>
      </c>
      <c r="I13" s="8">
        <f>IFERROR(H13/H444, "NA")</f>
        <v>-8.0036218051470626E-3</v>
      </c>
      <c r="J13" s="9"/>
      <c r="K13" s="7">
        <v>383.5</v>
      </c>
      <c r="L13" s="8">
        <f>IFERROR(K13/K444, "NA")</f>
        <v>3.5949487361247633E-3</v>
      </c>
      <c r="M13" s="9"/>
      <c r="N13" s="10">
        <f t="shared" si="1"/>
        <v>-203</v>
      </c>
      <c r="O13" s="8">
        <f>IFERROR(N13/N444, "NA")</f>
        <v>8.8895506178894482E-2</v>
      </c>
      <c r="P13" s="9"/>
      <c r="Q13" s="7">
        <v>686</v>
      </c>
      <c r="R13" s="8">
        <f>IFERROR(Q13/Q444, "NA")</f>
        <v>1.5564321338981774E-3</v>
      </c>
      <c r="S13" s="9"/>
      <c r="T13" s="7">
        <v>0</v>
      </c>
      <c r="U13" s="8">
        <f>IFERROR(T13/T444, "NA")</f>
        <v>0</v>
      </c>
      <c r="V13" s="9"/>
      <c r="W13" s="10">
        <f t="shared" si="2"/>
        <v>686</v>
      </c>
      <c r="X13" s="8">
        <f>IFERROR(W13/W444, "NA")</f>
        <v>0.11426287122940831</v>
      </c>
      <c r="Y13" s="9"/>
      <c r="Z13" s="7">
        <v>1015.5</v>
      </c>
      <c r="AA13" s="8">
        <f>IFERROR(Z13/Z444, "NA")</f>
        <v>2.6783427464794696E-3</v>
      </c>
      <c r="AB13" s="9"/>
      <c r="AC13" s="10">
        <f t="shared" si="3"/>
        <v>-329.5</v>
      </c>
      <c r="AD13" s="8">
        <f>IFERROR(AC13/AC444, "NA")</f>
        <v>-5.3490902325774685E-3</v>
      </c>
    </row>
    <row r="14" spans="1:30" ht="16.5" customHeight="1" x14ac:dyDescent="0.45">
      <c r="A14" s="12" t="s">
        <v>16</v>
      </c>
      <c r="B14" s="7">
        <v>460</v>
      </c>
      <c r="C14" s="8">
        <f>IFERROR(B14/B444, "NA")</f>
        <v>4.4063885737363143E-3</v>
      </c>
      <c r="D14" s="9"/>
      <c r="E14" s="7">
        <v>0</v>
      </c>
      <c r="F14" s="8">
        <f>IFERROR(E14/E444, "NA")</f>
        <v>0</v>
      </c>
      <c r="G14" s="9"/>
      <c r="H14" s="10">
        <f t="shared" si="0"/>
        <v>460</v>
      </c>
      <c r="I14" s="8">
        <f>IFERROR(H14/H444, "NA")</f>
        <v>-2.0397041719488359E-2</v>
      </c>
      <c r="J14" s="9"/>
      <c r="K14" s="7">
        <v>855</v>
      </c>
      <c r="L14" s="8">
        <f>IFERROR(K14/K444, "NA")</f>
        <v>8.0148140010082719E-3</v>
      </c>
      <c r="M14" s="9"/>
      <c r="N14" s="10">
        <f t="shared" si="1"/>
        <v>-395</v>
      </c>
      <c r="O14" s="8">
        <f>IFERROR(N14/N444, "NA")</f>
        <v>0.1729740144860262</v>
      </c>
      <c r="P14" s="9"/>
      <c r="Q14" s="7">
        <v>1500</v>
      </c>
      <c r="R14" s="8">
        <f>IFERROR(Q14/Q444, "NA")</f>
        <v>3.4032772607103007E-3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1500</v>
      </c>
      <c r="X14" s="8">
        <f>IFERROR(W14/W444, "NA")</f>
        <v>0.24984592834418726</v>
      </c>
      <c r="Y14" s="9"/>
      <c r="Z14" s="7">
        <v>2540</v>
      </c>
      <c r="AA14" s="8">
        <f>IFERROR(Z14/Z444, "NA")</f>
        <v>6.6991536938038922E-3</v>
      </c>
      <c r="AB14" s="9"/>
      <c r="AC14" s="10">
        <f t="shared" si="3"/>
        <v>-1040</v>
      </c>
      <c r="AD14" s="8">
        <f>IFERROR(AC14/AC444, "NA")</f>
        <v>-1.6883319702217198E-2</v>
      </c>
    </row>
    <row r="15" spans="1:30" ht="16.5" customHeight="1" x14ac:dyDescent="0.45">
      <c r="A15" s="12" t="s">
        <v>17</v>
      </c>
      <c r="B15" s="7">
        <v>26</v>
      </c>
      <c r="C15" s="8">
        <f>IFERROR(B15/B444, "NA")</f>
        <v>2.4905674547205257E-4</v>
      </c>
      <c r="D15" s="9"/>
      <c r="E15" s="7">
        <v>0</v>
      </c>
      <c r="F15" s="8">
        <f>IFERROR(E15/E444, "NA")</f>
        <v>0</v>
      </c>
      <c r="G15" s="9"/>
      <c r="H15" s="10">
        <f t="shared" si="0"/>
        <v>26</v>
      </c>
      <c r="I15" s="8">
        <f>IFERROR(H15/H444, "NA")</f>
        <v>-1.152876271101516E-3</v>
      </c>
      <c r="J15" s="9"/>
      <c r="K15" s="7">
        <v>123</v>
      </c>
      <c r="L15" s="8">
        <f>IFERROR(K15/K444, "NA")</f>
        <v>1.1530083299696112E-3</v>
      </c>
      <c r="M15" s="9"/>
      <c r="N15" s="10">
        <f t="shared" si="1"/>
        <v>-97</v>
      </c>
      <c r="O15" s="8">
        <f>IFERROR(N15/N444, "NA")</f>
        <v>4.2477163050998835E-2</v>
      </c>
      <c r="P15" s="9"/>
      <c r="Q15" s="7">
        <v>163</v>
      </c>
      <c r="R15" s="8">
        <f>IFERROR(Q15/Q444, "NA")</f>
        <v>3.6982279566385269E-4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163</v>
      </c>
      <c r="X15" s="8">
        <f>IFERROR(W15/W444, "NA")</f>
        <v>2.7149924213401684E-2</v>
      </c>
      <c r="Y15" s="9"/>
      <c r="Z15" s="7">
        <v>579</v>
      </c>
      <c r="AA15" s="8">
        <f>IFERROR(Z15/Z444, "NA")</f>
        <v>1.5270905467371864E-3</v>
      </c>
      <c r="AB15" s="9"/>
      <c r="AC15" s="10">
        <f t="shared" si="3"/>
        <v>-416</v>
      </c>
      <c r="AD15" s="8">
        <f>IFERROR(AC15/AC444, "NA")</f>
        <v>-6.7533278808868799E-3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56959.67</v>
      </c>
      <c r="C18" s="15">
        <f>IFERROR(B18/B444, "NA")</f>
        <v>0.54562269359085025</v>
      </c>
      <c r="D18" s="2"/>
      <c r="E18" s="14">
        <f>IFERROR(E10+E11+E12+E13+E14+E15+E16+E17, "NA")</f>
        <v>67789.259999999995</v>
      </c>
      <c r="F18" s="15">
        <f>IFERROR(E18/E444, "NA")</f>
        <v>0.53400004111979116</v>
      </c>
      <c r="G18" s="2"/>
      <c r="H18" s="14">
        <f t="shared" si="0"/>
        <v>-10829.589999999997</v>
      </c>
      <c r="I18" s="15">
        <f>IFERROR(H18/H444, "NA")</f>
        <v>0.48019912833685624</v>
      </c>
      <c r="J18" s="2"/>
      <c r="K18" s="14">
        <f>IFERROR(K10+K11+K12+K13+K14+K15+K16+K17, "NA")</f>
        <v>64162.380000000005</v>
      </c>
      <c r="L18" s="15">
        <f>IFERROR(K18/K444, "NA")</f>
        <v>0.60146145211931368</v>
      </c>
      <c r="M18" s="2"/>
      <c r="N18" s="14">
        <f t="shared" si="1"/>
        <v>-7202.7100000000064</v>
      </c>
      <c r="O18" s="15">
        <f>IFERROR(N18/N444, "NA")</f>
        <v>3.1541307946294856</v>
      </c>
      <c r="P18" s="2"/>
      <c r="Q18" s="14">
        <f>IFERROR(Q10+Q11+Q12+Q13+Q14+Q15+Q16+Q17, "NA")</f>
        <v>220684.94</v>
      </c>
      <c r="R18" s="15">
        <f>IFERROR(Q18/Q444, "NA")</f>
        <v>0.50070135872214472</v>
      </c>
      <c r="S18" s="2"/>
      <c r="T18" s="14">
        <f>IFERROR(T10+T11+T12+T13+T14+T15+T16+T17, "NA")</f>
        <v>232155.4</v>
      </c>
      <c r="U18" s="15">
        <f>IFERROR(T18/T444, "NA")</f>
        <v>0.53400001237498707</v>
      </c>
      <c r="V18" s="2"/>
      <c r="W18" s="14">
        <f t="shared" si="2"/>
        <v>-11470.459999999992</v>
      </c>
      <c r="X18" s="15">
        <f>IFERROR(W18/W444, "NA")</f>
        <v>-1.9105651514899096</v>
      </c>
      <c r="Y18" s="2"/>
      <c r="Z18" s="14">
        <f>IFERROR(Z10+Z11+Z12+Z13+Z14+Z15+Z16+Z17, "NA")</f>
        <v>243785.93</v>
      </c>
      <c r="AA18" s="15">
        <f>IFERROR(Z18/Z444, "NA")</f>
        <v>0.64297614703028227</v>
      </c>
      <c r="AB18" s="2"/>
      <c r="AC18" s="14">
        <f t="shared" si="3"/>
        <v>-23100.989999999991</v>
      </c>
      <c r="AD18" s="15">
        <f>IFERROR(AC18/AC444, "NA")</f>
        <v>-0.37502057654588689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13456.29</v>
      </c>
      <c r="F21" s="8">
        <f>IFERROR(E21/E444, "NA")</f>
        <v>0.10599996833303439</v>
      </c>
      <c r="G21" s="9"/>
      <c r="H21" s="10">
        <f t="shared" ref="H21:H29" si="4">IFERROR(B21-E21, "NA")</f>
        <v>-13456.29</v>
      </c>
      <c r="I21" s="8">
        <f>IFERROR(H21/H444, "NA")</f>
        <v>0.59667067069463919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46083.27</v>
      </c>
      <c r="U21" s="8">
        <f>IFERROR(T21/T444, "NA")</f>
        <v>0.10599997566405893</v>
      </c>
      <c r="V21" s="9"/>
      <c r="W21" s="10">
        <f t="shared" ref="W21:W29" si="6">IFERROR(Q21-T21, "NA")</f>
        <v>-46083.27</v>
      </c>
      <c r="X21" s="8">
        <f>IFERROR(W21/W444, "NA")</f>
        <v>-7.6758115828572224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8754.5</v>
      </c>
      <c r="C22" s="8">
        <f>IFERROR(B22/B444, "NA")</f>
        <v>8.3860279932118628E-2</v>
      </c>
      <c r="D22" s="9"/>
      <c r="E22" s="7">
        <v>0</v>
      </c>
      <c r="F22" s="8">
        <f>IFERROR(E22/E444, "NA")</f>
        <v>0</v>
      </c>
      <c r="G22" s="9"/>
      <c r="H22" s="10">
        <f t="shared" si="4"/>
        <v>8754.5</v>
      </c>
      <c r="I22" s="8">
        <f>IFERROR(H22/H444, "NA")</f>
        <v>-0.38818674289839311</v>
      </c>
      <c r="J22" s="9"/>
      <c r="K22" s="7">
        <v>8879.3700000000008</v>
      </c>
      <c r="L22" s="8">
        <f>IFERROR(K22/K444, "NA")</f>
        <v>8.3235671340506232E-2</v>
      </c>
      <c r="M22" s="9"/>
      <c r="N22" s="10">
        <f t="shared" si="5"/>
        <v>-124.8700000000008</v>
      </c>
      <c r="O22" s="8">
        <f>IFERROR(N22/N444, "NA")</f>
        <v>5.4681684022456274E-2</v>
      </c>
      <c r="P22" s="9"/>
      <c r="Q22" s="7">
        <v>36576.65</v>
      </c>
      <c r="R22" s="8">
        <f>IFERROR(Q22/Q444, "NA")</f>
        <v>8.2986987478639612E-2</v>
      </c>
      <c r="S22" s="9"/>
      <c r="T22" s="7">
        <v>0</v>
      </c>
      <c r="U22" s="8">
        <f>IFERROR(T22/T444, "NA")</f>
        <v>0</v>
      </c>
      <c r="V22" s="9"/>
      <c r="W22" s="10">
        <f t="shared" si="6"/>
        <v>36576.65</v>
      </c>
      <c r="X22" s="8">
        <f>IFERROR(W22/W444, "NA")</f>
        <v>6.0923513833136118</v>
      </c>
      <c r="Y22" s="9"/>
      <c r="Z22" s="7">
        <v>38237.81</v>
      </c>
      <c r="AA22" s="8">
        <f>IFERROR(Z22/Z444, "NA")</f>
        <v>0.10085077405687851</v>
      </c>
      <c r="AB22" s="9"/>
      <c r="AC22" s="10">
        <f t="shared" si="7"/>
        <v>-1661.1599999999962</v>
      </c>
      <c r="AD22" s="8">
        <f>IFERROR(AC22/AC444, "NA")</f>
        <v>-2.6967207073591404E-2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409.82</v>
      </c>
      <c r="C24" s="8">
        <f>IFERROR(B24/B444, "NA")</f>
        <v>3.925709054975253E-3</v>
      </c>
      <c r="D24" s="9"/>
      <c r="E24" s="7">
        <v>0</v>
      </c>
      <c r="F24" s="8">
        <f>IFERROR(E24/E444, "NA")</f>
        <v>0</v>
      </c>
      <c r="G24" s="9"/>
      <c r="H24" s="10">
        <f t="shared" si="4"/>
        <v>409.82</v>
      </c>
      <c r="I24" s="8">
        <f>IFERROR(H24/H444, "NA")</f>
        <v>-1.8171990516262435E-2</v>
      </c>
      <c r="J24" s="9"/>
      <c r="K24" s="7">
        <v>528.72</v>
      </c>
      <c r="L24" s="8">
        <f>IFERROR(K24/K444, "NA")</f>
        <v>4.9562484896059581E-3</v>
      </c>
      <c r="M24" s="9"/>
      <c r="N24" s="10">
        <f t="shared" si="5"/>
        <v>-118.90000000000003</v>
      </c>
      <c r="O24" s="8">
        <f>IFERROR(N24/N444, "NA")</f>
        <v>5.2067367904781066E-2</v>
      </c>
      <c r="P24" s="9"/>
      <c r="Q24" s="7">
        <v>4868.1099999999997</v>
      </c>
      <c r="R24" s="8">
        <f>IFERROR(Q24/Q444, "NA")</f>
        <v>1.104501871042428E-2</v>
      </c>
      <c r="S24" s="9"/>
      <c r="T24" s="7">
        <v>0</v>
      </c>
      <c r="U24" s="8">
        <f>IFERROR(T24/T444, "NA")</f>
        <v>0</v>
      </c>
      <c r="V24" s="9"/>
      <c r="W24" s="10">
        <f t="shared" si="6"/>
        <v>4868.1099999999997</v>
      </c>
      <c r="X24" s="8">
        <f>IFERROR(W24/W444, "NA")</f>
        <v>0.81085164148774758</v>
      </c>
      <c r="Y24" s="9"/>
      <c r="Z24" s="7">
        <v>1952.14</v>
      </c>
      <c r="AA24" s="8">
        <f>IFERROR(Z24/Z444, "NA")</f>
        <v>5.1486952330009172E-3</v>
      </c>
      <c r="AB24" s="9"/>
      <c r="AC24" s="10">
        <f t="shared" si="7"/>
        <v>2915.9699999999993</v>
      </c>
      <c r="AD24" s="8">
        <f>IFERROR(AC24/AC444, "NA")</f>
        <v>4.7337743992379111E-2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868.55</v>
      </c>
      <c r="C28" s="8">
        <f>IFERROR(B28/B444, "NA")</f>
        <v>8.3199321646058172E-3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868.55</v>
      </c>
      <c r="I28" s="8">
        <f>IFERROR(H28/H444, "NA")</f>
        <v>-3.8512718664046985E-2</v>
      </c>
      <c r="J28" s="9"/>
      <c r="K28" s="7">
        <v>854.36</v>
      </c>
      <c r="L28" s="8">
        <f>IFERROR(K28/K444, "NA")</f>
        <v>8.0088146080718459E-3</v>
      </c>
      <c r="M28" s="9"/>
      <c r="N28" s="10">
        <f t="shared" si="5"/>
        <v>14.189999999999941</v>
      </c>
      <c r="O28" s="8">
        <f>IFERROR(N28/N444, "NA")</f>
        <v>-6.2139272545739281E-3</v>
      </c>
      <c r="P28" s="9"/>
      <c r="Q28" s="7">
        <v>3444.25</v>
      </c>
      <c r="R28" s="8">
        <f>IFERROR(Q28/Q444, "NA")</f>
        <v>7.814491803467636E-3</v>
      </c>
      <c r="S28" s="9"/>
      <c r="T28" s="7">
        <v>0</v>
      </c>
      <c r="U28" s="8">
        <f>IFERROR(T28/T444, "NA")</f>
        <v>0</v>
      </c>
      <c r="V28" s="9"/>
      <c r="W28" s="10">
        <f t="shared" si="6"/>
        <v>3444.25</v>
      </c>
      <c r="X28" s="8">
        <f>IFERROR(W28/W444, "NA")</f>
        <v>0.57368789246631136</v>
      </c>
      <c r="Y28" s="9"/>
      <c r="Z28" s="7">
        <v>3134.58</v>
      </c>
      <c r="AA28" s="8">
        <f>IFERROR(Z28/Z444, "NA")</f>
        <v>8.267335899812522E-3</v>
      </c>
      <c r="AB28" s="9"/>
      <c r="AC28" s="10">
        <f t="shared" si="7"/>
        <v>309.67000000000007</v>
      </c>
      <c r="AD28" s="8">
        <f>IFERROR(AC28/AC444, "NA")</f>
        <v>5.0271707809476937E-3</v>
      </c>
    </row>
    <row r="29" spans="1:30" ht="16.5" customHeight="1" x14ac:dyDescent="0.45">
      <c r="A29" s="13" t="s">
        <v>30</v>
      </c>
      <c r="B29" s="14">
        <f>IFERROR(B21+B22+B23+B24+B25+B26+B27+B28, "NA")</f>
        <v>10032.869999999999</v>
      </c>
      <c r="C29" s="15">
        <f>IFERROR(B29/B444, "NA")</f>
        <v>9.6105921151699678E-2</v>
      </c>
      <c r="D29" s="2"/>
      <c r="E29" s="14">
        <f>IFERROR(E21+E22+E23+E24+E25+E26+E27+E28, "NA")</f>
        <v>13456.29</v>
      </c>
      <c r="F29" s="15">
        <f>IFERROR(E29/E444, "NA")</f>
        <v>0.10599996833303439</v>
      </c>
      <c r="G29" s="2"/>
      <c r="H29" s="14">
        <f t="shared" si="4"/>
        <v>-3423.4200000000019</v>
      </c>
      <c r="I29" s="15">
        <f>IFERROR(H29/H444, "NA")</f>
        <v>0.1517992186159367</v>
      </c>
      <c r="J29" s="2"/>
      <c r="K29" s="14">
        <f>IFERROR(K21+K22+K23+K24+K25+K26+K27+K28, "NA")</f>
        <v>10262.450000000001</v>
      </c>
      <c r="L29" s="15">
        <f>IFERROR(K29/K444, "NA")</f>
        <v>9.6200734438184041E-2</v>
      </c>
      <c r="M29" s="2"/>
      <c r="N29" s="14">
        <f t="shared" si="5"/>
        <v>-229.58000000000175</v>
      </c>
      <c r="O29" s="15">
        <f>IFERROR(N29/N444, "NA")</f>
        <v>0.10053512467266379</v>
      </c>
      <c r="P29" s="2"/>
      <c r="Q29" s="14">
        <f>IFERROR(Q21+Q22+Q23+Q24+Q25+Q26+Q27+Q28, "NA")</f>
        <v>44889.01</v>
      </c>
      <c r="R29" s="15">
        <f>IFERROR(Q29/Q444, "NA")</f>
        <v>0.10184649799253154</v>
      </c>
      <c r="S29" s="2"/>
      <c r="T29" s="14">
        <f>IFERROR(T21+T22+T23+T24+T25+T26+T27+T28, "NA")</f>
        <v>46083.27</v>
      </c>
      <c r="U29" s="15">
        <f>IFERROR(T29/T444, "NA")</f>
        <v>0.10599997566405893</v>
      </c>
      <c r="V29" s="2"/>
      <c r="W29" s="14">
        <f t="shared" si="6"/>
        <v>-1194.2599999999948</v>
      </c>
      <c r="X29" s="15">
        <f>IFERROR(W29/W444, "NA")</f>
        <v>-0.19892066558955185</v>
      </c>
      <c r="Y29" s="2"/>
      <c r="Z29" s="14">
        <f>IFERROR(Z21+Z22+Z23+Z24+Z25+Z26+Z27+Z28, "NA")</f>
        <v>43324.53</v>
      </c>
      <c r="AA29" s="15">
        <f>IFERROR(Z29/Z444, "NA")</f>
        <v>0.11426680518969194</v>
      </c>
      <c r="AB29" s="2"/>
      <c r="AC29" s="14">
        <f t="shared" si="7"/>
        <v>1564.4800000000032</v>
      </c>
      <c r="AD29" s="15">
        <f>IFERROR(AC29/AC444, "NA")</f>
        <v>2.5397707699735404E-2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24246.720000000001</v>
      </c>
      <c r="F31" s="8">
        <f>IFERROR(E31/E444, "NA")</f>
        <v>0.19100001205235259</v>
      </c>
      <c r="G31" s="9"/>
      <c r="H31" s="10">
        <f t="shared" ref="H31:H40" si="8">IFERROR(B31-E31, "NA")</f>
        <v>-24246.720000000001</v>
      </c>
      <c r="I31" s="8">
        <f>IFERROR(H31/H444, "NA")</f>
        <v>1.0751333900016367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83036.850000000006</v>
      </c>
      <c r="U31" s="8">
        <f>IFERROR(T31/T444, "NA")</f>
        <v>0.19099998935015058</v>
      </c>
      <c r="V31" s="9"/>
      <c r="W31" s="10">
        <f t="shared" ref="W31:W40" si="10">IFERROR(Q31-T31, "NA")</f>
        <v>-83036.850000000006</v>
      </c>
      <c r="X31" s="8">
        <f>IFERROR(W31/W444, "NA")</f>
        <v>-13.830945916684685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7857.71</v>
      </c>
      <c r="C33" s="8">
        <f>IFERROR(B33/B444, "NA")</f>
        <v>7.5269833825507781E-2</v>
      </c>
      <c r="D33" s="9"/>
      <c r="E33" s="7">
        <v>0</v>
      </c>
      <c r="F33" s="8">
        <f>IFERROR(E33/E444, "NA")</f>
        <v>0</v>
      </c>
      <c r="G33" s="9"/>
      <c r="H33" s="10">
        <f t="shared" si="8"/>
        <v>7857.71</v>
      </c>
      <c r="I33" s="8">
        <f>IFERROR(H33/H444, "NA")</f>
        <v>-0.34842182323834975</v>
      </c>
      <c r="J33" s="9"/>
      <c r="K33" s="7">
        <v>4759.01</v>
      </c>
      <c r="L33" s="8">
        <f>IFERROR(K33/K444, "NA")</f>
        <v>4.46112046537291E-2</v>
      </c>
      <c r="M33" s="9"/>
      <c r="N33" s="10">
        <f t="shared" si="9"/>
        <v>3098.7</v>
      </c>
      <c r="O33" s="8">
        <f>IFERROR(N33/N444, "NA")</f>
        <v>-1.356948300475568</v>
      </c>
      <c r="P33" s="9"/>
      <c r="Q33" s="7">
        <v>33814.800000000003</v>
      </c>
      <c r="R33" s="8">
        <f>IFERROR(Q33/Q444, "NA")</f>
        <v>7.6720759943644454E-2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33814.800000000003</v>
      </c>
      <c r="X33" s="8">
        <f>IFERROR(W33/W444, "NA")</f>
        <v>5.6323267318486829</v>
      </c>
      <c r="Y33" s="9"/>
      <c r="Z33" s="7">
        <v>21994.32</v>
      </c>
      <c r="AA33" s="8">
        <f>IFERROR(Z33/Z444, "NA")</f>
        <v>5.800918506720662E-2</v>
      </c>
      <c r="AB33" s="9"/>
      <c r="AC33" s="10">
        <f t="shared" si="11"/>
        <v>11820.480000000003</v>
      </c>
      <c r="AD33" s="8">
        <f>IFERROR(AC33/AC444, "NA")</f>
        <v>0.19189321430160039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1502.76</v>
      </c>
      <c r="C35" s="8">
        <f>IFERROR(B35/B444, "NA")</f>
        <v>1.4395096724060835E-2</v>
      </c>
      <c r="D35" s="9"/>
      <c r="E35" s="7">
        <v>0</v>
      </c>
      <c r="F35" s="8">
        <f>IFERROR(E35/E444, "NA")</f>
        <v>0</v>
      </c>
      <c r="G35" s="9"/>
      <c r="H35" s="10">
        <f t="shared" si="8"/>
        <v>1502.76</v>
      </c>
      <c r="I35" s="8">
        <f>IFERROR(H35/H444, "NA")</f>
        <v>-6.6634474813865932E-2</v>
      </c>
      <c r="J35" s="9"/>
      <c r="K35" s="7">
        <v>0</v>
      </c>
      <c r="L35" s="8">
        <f>IFERROR(K35/K444, "NA")</f>
        <v>0</v>
      </c>
      <c r="M35" s="9"/>
      <c r="N35" s="10">
        <f t="shared" si="9"/>
        <v>1502.76</v>
      </c>
      <c r="O35" s="8">
        <f>IFERROR(N35/N444, "NA")</f>
        <v>-0.65807197470638157</v>
      </c>
      <c r="P35" s="9"/>
      <c r="Q35" s="7">
        <v>5259.18</v>
      </c>
      <c r="R35" s="8">
        <f>IFERROR(Q35/Q444, "NA")</f>
        <v>1.19322984693216E-2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5259.18</v>
      </c>
      <c r="X35" s="8">
        <f>IFERROR(W35/W444, "NA")</f>
        <v>0.87598980628612189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5259.18</v>
      </c>
      <c r="AD35" s="8">
        <f>IFERROR(AC35/AC444, "NA")</f>
        <v>8.537732433798717E-2</v>
      </c>
    </row>
    <row r="36" spans="1:30" ht="16.5" customHeight="1" x14ac:dyDescent="0.45">
      <c r="A36" s="12" t="s">
        <v>36</v>
      </c>
      <c r="B36" s="7">
        <v>8422.14</v>
      </c>
      <c r="C36" s="8">
        <f>IFERROR(B36/B444, "NA")</f>
        <v>8.0676568396538181E-2</v>
      </c>
      <c r="D36" s="9"/>
      <c r="E36" s="7">
        <v>0</v>
      </c>
      <c r="F36" s="8">
        <f>IFERROR(E36/E444, "NA")</f>
        <v>0</v>
      </c>
      <c r="G36" s="9"/>
      <c r="H36" s="10">
        <f t="shared" si="8"/>
        <v>8422.14</v>
      </c>
      <c r="I36" s="8">
        <f>IFERROR(H36/H444, "NA")</f>
        <v>-0.37344943684211235</v>
      </c>
      <c r="J36" s="9"/>
      <c r="K36" s="7">
        <v>5187.12</v>
      </c>
      <c r="L36" s="8">
        <f>IFERROR(K36/K444, "NA")</f>
        <v>4.8624329825625763E-2</v>
      </c>
      <c r="M36" s="9"/>
      <c r="N36" s="10">
        <f t="shared" si="9"/>
        <v>3235.0199999999995</v>
      </c>
      <c r="O36" s="8">
        <f>IFERROR(N36/N444, "NA")</f>
        <v>-1.4166440413736314</v>
      </c>
      <c r="P36" s="9"/>
      <c r="Q36" s="7">
        <v>44792.42</v>
      </c>
      <c r="R36" s="8">
        <f>IFERROR(Q36/Q444, "NA")</f>
        <v>0.10162734962545686</v>
      </c>
      <c r="S36" s="9"/>
      <c r="T36" s="7">
        <v>0</v>
      </c>
      <c r="U36" s="8">
        <f>IFERROR(T36/T444, "NA")</f>
        <v>0</v>
      </c>
      <c r="V36" s="9"/>
      <c r="W36" s="10">
        <f t="shared" si="10"/>
        <v>44792.42</v>
      </c>
      <c r="X36" s="8">
        <f>IFERROR(W36/W444, "NA")</f>
        <v>7.4608025051218272</v>
      </c>
      <c r="Y36" s="9"/>
      <c r="Z36" s="7">
        <v>26235.84</v>
      </c>
      <c r="AA36" s="8">
        <f>IFERROR(Z36/Z444, "NA")</f>
        <v>6.9196033246475552E-2</v>
      </c>
      <c r="AB36" s="9"/>
      <c r="AC36" s="10">
        <f t="shared" si="11"/>
        <v>18556.579999999998</v>
      </c>
      <c r="AD36" s="8">
        <f>IFERROR(AC36/AC444, "NA")</f>
        <v>0.30124680069208615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1035.25</v>
      </c>
      <c r="C39" s="8">
        <f>IFERROR(B39/B444, "NA")</f>
        <v>9.9167690673054778E-3</v>
      </c>
      <c r="D39" s="9"/>
      <c r="E39" s="7">
        <v>0</v>
      </c>
      <c r="F39" s="8">
        <f>IFERROR(E39/E444, "NA")</f>
        <v>0</v>
      </c>
      <c r="G39" s="9"/>
      <c r="H39" s="10">
        <f t="shared" si="8"/>
        <v>1035.25</v>
      </c>
      <c r="I39" s="8">
        <f>IFERROR(H39/H444, "NA")</f>
        <v>-4.5904429217609399E-2</v>
      </c>
      <c r="J39" s="9"/>
      <c r="K39" s="7">
        <v>1412.89</v>
      </c>
      <c r="L39" s="8">
        <f>IFERROR(K39/K444, "NA")</f>
        <v>1.324450357179483E-2</v>
      </c>
      <c r="M39" s="9"/>
      <c r="N39" s="10">
        <f t="shared" si="9"/>
        <v>-377.6400000000001</v>
      </c>
      <c r="O39" s="8">
        <f>IFERROR(N39/N444, "NA")</f>
        <v>0.16537191602658974</v>
      </c>
      <c r="P39" s="9"/>
      <c r="Q39" s="7">
        <v>3897.1</v>
      </c>
      <c r="R39" s="8">
        <f>IFERROR(Q39/Q444, "NA")</f>
        <v>8.8419412084760757E-3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3897.1</v>
      </c>
      <c r="X39" s="8">
        <f>IFERROR(W39/W444, "NA")</f>
        <v>0.6491163782334215</v>
      </c>
      <c r="Y39" s="9"/>
      <c r="Z39" s="7">
        <v>3879.92</v>
      </c>
      <c r="AA39" s="8">
        <f>IFERROR(Z39/Z444, "NA")</f>
        <v>1.0233141889631339E-2</v>
      </c>
      <c r="AB39" s="9"/>
      <c r="AC39" s="10">
        <f t="shared" si="11"/>
        <v>17.179999999999836</v>
      </c>
      <c r="AD39" s="8">
        <f>IFERROR(AC39/AC444, "NA")</f>
        <v>2.7889945431162379E-4</v>
      </c>
    </row>
    <row r="40" spans="1:30" ht="16.5" customHeight="1" x14ac:dyDescent="0.45">
      <c r="A40" s="13" t="s">
        <v>40</v>
      </c>
      <c r="B40" s="14">
        <f>IFERROR(B31+B32+B33+B34+B35+B36+B37+B38+B39, "NA")</f>
        <v>18817.86</v>
      </c>
      <c r="C40" s="15">
        <f>IFERROR(B40/B444, "NA")</f>
        <v>0.18025826801341227</v>
      </c>
      <c r="D40" s="2"/>
      <c r="E40" s="14">
        <f>IFERROR(E31+E32+E33+E34+E35+E36+E37+E38+E39, "NA")</f>
        <v>24246.720000000001</v>
      </c>
      <c r="F40" s="15">
        <f>IFERROR(E40/E444, "NA")</f>
        <v>0.19100001205235259</v>
      </c>
      <c r="G40" s="2"/>
      <c r="H40" s="14">
        <f t="shared" si="8"/>
        <v>-5428.8600000000006</v>
      </c>
      <c r="I40" s="15">
        <f>IFERROR(H40/H444, "NA")</f>
        <v>0.24072322588969911</v>
      </c>
      <c r="J40" s="2"/>
      <c r="K40" s="14">
        <f>IFERROR(K31+K32+K33+K34+K35+K36+K37+K38+K39, "NA")</f>
        <v>11359.02</v>
      </c>
      <c r="L40" s="15">
        <f>IFERROR(K40/K444, "NA")</f>
        <v>0.10648003805114969</v>
      </c>
      <c r="M40" s="2"/>
      <c r="N40" s="14">
        <f t="shared" si="9"/>
        <v>7458.84</v>
      </c>
      <c r="O40" s="15">
        <f>IFERROR(N40/N444, "NA")</f>
        <v>-3.2662924005289917</v>
      </c>
      <c r="P40" s="2"/>
      <c r="Q40" s="14">
        <f>IFERROR(Q31+Q32+Q33+Q34+Q35+Q36+Q37+Q38+Q39, "NA")</f>
        <v>87763.5</v>
      </c>
      <c r="R40" s="15">
        <f>IFERROR(Q40/Q444, "NA")</f>
        <v>0.19912234924689898</v>
      </c>
      <c r="S40" s="2"/>
      <c r="T40" s="14">
        <f>IFERROR(T31+T32+T33+T34+T35+T36+T37+T38+T39, "NA")</f>
        <v>83036.850000000006</v>
      </c>
      <c r="U40" s="15">
        <f>IFERROR(T40/T444, "NA")</f>
        <v>0.19099998935015058</v>
      </c>
      <c r="V40" s="2"/>
      <c r="W40" s="14">
        <f t="shared" si="10"/>
        <v>4726.6499999999942</v>
      </c>
      <c r="X40" s="15">
        <f>IFERROR(W40/W444, "NA")</f>
        <v>0.78728950480536752</v>
      </c>
      <c r="Y40" s="2"/>
      <c r="Z40" s="14">
        <f>IFERROR(Z31+Z32+Z33+Z34+Z35+Z36+Z37+Z38+Z39, "NA")</f>
        <v>52110.080000000002</v>
      </c>
      <c r="AA40" s="15">
        <f>IFERROR(Z40/Z444, "NA")</f>
        <v>0.13743836020331351</v>
      </c>
      <c r="AB40" s="2"/>
      <c r="AC40" s="14">
        <f t="shared" si="11"/>
        <v>35653.42</v>
      </c>
      <c r="AD40" s="15">
        <f>IFERROR(AC40/AC444, "NA")</f>
        <v>0.5787962387859853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3578.73</v>
      </c>
      <c r="C43" s="8">
        <f>IFERROR(B43/B444, "NA")</f>
        <v>3.4281032566276876E-2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3578.73</v>
      </c>
      <c r="I43" s="8">
        <f>IFERROR(H43/H444, "NA")</f>
        <v>-0.15868588067996647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3578.73</v>
      </c>
      <c r="O43" s="8">
        <f>IFERROR(N43/N444, "NA")</f>
        <v>-1.5671577085103203</v>
      </c>
      <c r="P43" s="9"/>
      <c r="Q43" s="7">
        <v>17264.189999999999</v>
      </c>
      <c r="R43" s="8">
        <f>IFERROR(Q43/Q444, "NA")</f>
        <v>3.9169883501054777E-2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17264.189999999999</v>
      </c>
      <c r="X43" s="8">
        <f>IFERROR(W43/W444, "NA")</f>
        <v>2.8755917184402895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17264.189999999999</v>
      </c>
      <c r="AD43" s="8">
        <f>IFERROR(AC43/AC444, "NA")</f>
        <v>0.28026619150944337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25008.400000000001</v>
      </c>
      <c r="F46" s="8">
        <f>IFERROR(E46/E444, "NA")</f>
        <v>0.1970000355268694</v>
      </c>
      <c r="G46" s="9"/>
      <c r="H46" s="10">
        <f t="shared" ref="H46:H62" si="12">IFERROR(B46-E46, "NA")</f>
        <v>-25008.400000000001</v>
      </c>
      <c r="I46" s="8">
        <f>IFERROR(H46/H444, "NA")</f>
        <v>1.1089073437775059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85645.35</v>
      </c>
      <c r="U46" s="8">
        <f>IFERROR(T46/T444, "NA")</f>
        <v>0.19700001791842922</v>
      </c>
      <c r="V46" s="9"/>
      <c r="W46" s="10">
        <f t="shared" ref="W46:W62" si="14">IFERROR(Q46-T46, "NA")</f>
        <v>-85645.35</v>
      </c>
      <c r="X46" s="8">
        <f>IFERROR(W46/W444, "NA")</f>
        <v>-14.265427986075228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14781.65</v>
      </c>
      <c r="C48" s="8">
        <f>IFERROR(B48/B444, "NA")</f>
        <v>0.14159498621949868</v>
      </c>
      <c r="D48" s="9"/>
      <c r="E48" s="7">
        <v>0</v>
      </c>
      <c r="F48" s="8">
        <f>IFERROR(E48/E444, "NA")</f>
        <v>0</v>
      </c>
      <c r="G48" s="9"/>
      <c r="H48" s="10">
        <f t="shared" si="12"/>
        <v>14781.65</v>
      </c>
      <c r="I48" s="8">
        <f>IFERROR(H48/H444, "NA")</f>
        <v>-0.65543898202798934</v>
      </c>
      <c r="J48" s="9"/>
      <c r="K48" s="7">
        <v>25749.99</v>
      </c>
      <c r="L48" s="8">
        <f>IFERROR(K48/K444, "NA")</f>
        <v>0.24138173143605032</v>
      </c>
      <c r="M48" s="9"/>
      <c r="N48" s="10">
        <f t="shared" si="13"/>
        <v>-10968.340000000002</v>
      </c>
      <c r="O48" s="8">
        <f>IFERROR(N48/N444, "NA")</f>
        <v>4.8031336760700274</v>
      </c>
      <c r="P48" s="9"/>
      <c r="Q48" s="7">
        <v>60254.78</v>
      </c>
      <c r="R48" s="8">
        <f>IFERROR(Q48/Q444, "NA")</f>
        <v>0.13670914841540122</v>
      </c>
      <c r="S48" s="9"/>
      <c r="T48" s="7">
        <v>0</v>
      </c>
      <c r="U48" s="8">
        <f>IFERROR(T48/T444, "NA")</f>
        <v>0</v>
      </c>
      <c r="V48" s="9"/>
      <c r="W48" s="10">
        <f t="shared" si="14"/>
        <v>60254.78</v>
      </c>
      <c r="X48" s="8">
        <f>IFERROR(W48/W444, "NA")</f>
        <v>10.036274297516512</v>
      </c>
      <c r="Y48" s="9"/>
      <c r="Z48" s="7">
        <v>61587.55</v>
      </c>
      <c r="AA48" s="8">
        <f>IFERROR(Z48/Z444, "NA")</f>
        <v>0.16243482798221728</v>
      </c>
      <c r="AB48" s="9"/>
      <c r="AC48" s="10">
        <f t="shared" si="15"/>
        <v>-1332.7700000000041</v>
      </c>
      <c r="AD48" s="8">
        <f>IFERROR(AC48/AC444, "NA")</f>
        <v>-2.163613653800393E-2</v>
      </c>
    </row>
    <row r="49" spans="1:30" ht="16.5" customHeight="1" x14ac:dyDescent="0.45">
      <c r="A49" s="17" t="s">
        <v>47</v>
      </c>
      <c r="B49" s="7">
        <v>12.85</v>
      </c>
      <c r="C49" s="8">
        <f>IFERROR(B49/B444, "NA")</f>
        <v>1.2309150689676445E-4</v>
      </c>
      <c r="D49" s="9"/>
      <c r="E49" s="7">
        <v>0</v>
      </c>
      <c r="F49" s="8">
        <f>IFERROR(E49/E444, "NA")</f>
        <v>0</v>
      </c>
      <c r="G49" s="9"/>
      <c r="H49" s="10">
        <f t="shared" si="12"/>
        <v>12.85</v>
      </c>
      <c r="I49" s="8">
        <f>IFERROR(H49/H444, "NA")</f>
        <v>-5.6978692629440302E-4</v>
      </c>
      <c r="J49" s="9"/>
      <c r="K49" s="7">
        <v>0</v>
      </c>
      <c r="L49" s="8">
        <f>IFERROR(K49/K444, "NA")</f>
        <v>0</v>
      </c>
      <c r="M49" s="9"/>
      <c r="N49" s="10">
        <f t="shared" si="13"/>
        <v>12.85</v>
      </c>
      <c r="O49" s="8">
        <f>IFERROR(N49/N444, "NA")</f>
        <v>-5.6271293320137635E-3</v>
      </c>
      <c r="P49" s="9"/>
      <c r="Q49" s="7">
        <v>12.85</v>
      </c>
      <c r="R49" s="8">
        <f>IFERROR(Q49/Q444, "NA")</f>
        <v>2.9154741866751575E-5</v>
      </c>
      <c r="S49" s="9"/>
      <c r="T49" s="7">
        <v>0</v>
      </c>
      <c r="U49" s="8">
        <f>IFERROR(T49/T444, "NA")</f>
        <v>0</v>
      </c>
      <c r="V49" s="9"/>
      <c r="W49" s="10">
        <f t="shared" si="14"/>
        <v>12.85</v>
      </c>
      <c r="X49" s="8">
        <f>IFERROR(W49/W444, "NA")</f>
        <v>2.1403467861485373E-3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12.85</v>
      </c>
      <c r="AD49" s="8">
        <f>IFERROR(AC49/AC444, "NA")</f>
        <v>2.0860640208989519E-4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23.3</v>
      </c>
      <c r="C54" s="8">
        <f>IFERROR(B54/B444, "NA")</f>
        <v>2.2319316036533942E-4</v>
      </c>
      <c r="D54" s="9"/>
      <c r="E54" s="7">
        <v>0</v>
      </c>
      <c r="F54" s="8">
        <f>IFERROR(E54/E444, "NA")</f>
        <v>0</v>
      </c>
      <c r="G54" s="9"/>
      <c r="H54" s="10">
        <f t="shared" si="12"/>
        <v>23.3</v>
      </c>
      <c r="I54" s="8">
        <f>IFERROR(H54/H444, "NA")</f>
        <v>-1.0331545044871277E-3</v>
      </c>
      <c r="J54" s="9"/>
      <c r="K54" s="7">
        <v>0</v>
      </c>
      <c r="L54" s="8">
        <f>IFERROR(K54/K444, "NA")</f>
        <v>0</v>
      </c>
      <c r="M54" s="9"/>
      <c r="N54" s="10">
        <f t="shared" si="13"/>
        <v>23.3</v>
      </c>
      <c r="O54" s="8">
        <f>IFERROR(N54/N444, "NA")</f>
        <v>-1.020327731018838E-2</v>
      </c>
      <c r="P54" s="9"/>
      <c r="Q54" s="7">
        <v>23.3</v>
      </c>
      <c r="R54" s="8">
        <f>IFERROR(Q54/Q444, "NA")</f>
        <v>5.2864240116366671E-5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23.3</v>
      </c>
      <c r="X54" s="8">
        <f>IFERROR(W54/W444, "NA")</f>
        <v>3.8809400869463757E-3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23.3</v>
      </c>
      <c r="AD54" s="8">
        <f>IFERROR(AC54/AC444, "NA")</f>
        <v>3.7825129717467378E-4</v>
      </c>
    </row>
    <row r="55" spans="1:30" ht="16.5" customHeight="1" x14ac:dyDescent="0.45">
      <c r="A55" s="17" t="s">
        <v>53</v>
      </c>
      <c r="B55" s="7">
        <v>25.75</v>
      </c>
      <c r="C55" s="8">
        <f>IFERROR(B55/B444, "NA")</f>
        <v>2.4666196907328284E-4</v>
      </c>
      <c r="D55" s="9"/>
      <c r="E55" s="7">
        <v>0</v>
      </c>
      <c r="F55" s="8">
        <f>IFERROR(E55/E444, "NA")</f>
        <v>0</v>
      </c>
      <c r="G55" s="9"/>
      <c r="H55" s="10">
        <f t="shared" si="12"/>
        <v>25.75</v>
      </c>
      <c r="I55" s="8">
        <f>IFERROR(H55/H444, "NA")</f>
        <v>-1.1417909223409245E-3</v>
      </c>
      <c r="J55" s="9"/>
      <c r="K55" s="7">
        <v>0</v>
      </c>
      <c r="L55" s="8">
        <f>IFERROR(K55/K444, "NA")</f>
        <v>0</v>
      </c>
      <c r="M55" s="9"/>
      <c r="N55" s="10">
        <f t="shared" si="13"/>
        <v>25.75</v>
      </c>
      <c r="O55" s="8">
        <f>IFERROR(N55/N444, "NA")</f>
        <v>-1.1276154108899176E-2</v>
      </c>
      <c r="P55" s="9"/>
      <c r="Q55" s="7">
        <v>25.75</v>
      </c>
      <c r="R55" s="8">
        <f>IFERROR(Q55/Q444, "NA")</f>
        <v>5.842292630886016E-5</v>
      </c>
      <c r="S55" s="9"/>
      <c r="T55" s="7">
        <v>0</v>
      </c>
      <c r="U55" s="8">
        <f>IFERROR(T55/T444, "NA")</f>
        <v>0</v>
      </c>
      <c r="V55" s="9"/>
      <c r="W55" s="10">
        <f t="shared" si="14"/>
        <v>25.75</v>
      </c>
      <c r="X55" s="8">
        <f>IFERROR(W55/W444, "NA")</f>
        <v>4.289021769908548E-3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25.75</v>
      </c>
      <c r="AD55" s="8">
        <f>IFERROR(AC55/AC444, "NA")</f>
        <v>4.18024502242397E-4</v>
      </c>
    </row>
    <row r="56" spans="1:30" ht="16.5" customHeight="1" x14ac:dyDescent="0.45">
      <c r="A56" s="17" t="s">
        <v>54</v>
      </c>
      <c r="B56" s="7">
        <v>40.200000000000003</v>
      </c>
      <c r="C56" s="8">
        <f>IFERROR(B56/B444, "NA")</f>
        <v>3.8508004492217361E-4</v>
      </c>
      <c r="D56" s="9"/>
      <c r="E56" s="7">
        <v>0</v>
      </c>
      <c r="F56" s="8">
        <f>IFERROR(E56/E444, "NA")</f>
        <v>0</v>
      </c>
      <c r="G56" s="9"/>
      <c r="H56" s="10">
        <f t="shared" si="12"/>
        <v>40.200000000000003</v>
      </c>
      <c r="I56" s="8">
        <f>IFERROR(H56/H444, "NA")</f>
        <v>-1.7825240807031132E-3</v>
      </c>
      <c r="J56" s="9"/>
      <c r="K56" s="7">
        <v>0</v>
      </c>
      <c r="L56" s="8">
        <f>IFERROR(K56/K444, "NA")</f>
        <v>0</v>
      </c>
      <c r="M56" s="9"/>
      <c r="N56" s="10">
        <f t="shared" si="13"/>
        <v>40.200000000000003</v>
      </c>
      <c r="O56" s="8">
        <f>IFERROR(N56/N444, "NA")</f>
        <v>-1.7603937676805705E-2</v>
      </c>
      <c r="P56" s="9"/>
      <c r="Q56" s="7">
        <v>40.200000000000003</v>
      </c>
      <c r="R56" s="8">
        <f>IFERROR(Q56/Q444, "NA")</f>
        <v>9.1207830587036062E-5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40.200000000000003</v>
      </c>
      <c r="X56" s="8">
        <f>IFERROR(W56/W444, "NA")</f>
        <v>6.6958708796242194E-3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40.200000000000003</v>
      </c>
      <c r="AD56" s="8">
        <f>IFERROR(AC56/AC444, "NA")</f>
        <v>6.5260524233570337E-4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14883.75</v>
      </c>
      <c r="C61" s="15">
        <f>IFERROR(B61/B444, "NA")</f>
        <v>0.14257301290075625</v>
      </c>
      <c r="D61" s="2"/>
      <c r="E61" s="14">
        <f>IFERROR(E46+E47+E48+E49+E50+E51+E52+E53+E54+E55+E56+E57+E58+E59+E60, "NA")</f>
        <v>25008.400000000001</v>
      </c>
      <c r="F61" s="15">
        <f>IFERROR(E61/E444, "NA")</f>
        <v>0.1970000355268694</v>
      </c>
      <c r="G61" s="2"/>
      <c r="H61" s="14">
        <f t="shared" si="12"/>
        <v>-10124.650000000001</v>
      </c>
      <c r="I61" s="15">
        <f>IFERROR(H61/H444, "NA")</f>
        <v>0.44894110531569098</v>
      </c>
      <c r="J61" s="2"/>
      <c r="K61" s="14">
        <f>IFERROR(K46+K47+K48+K49+K50+K51+K52+K53+K54+K55+K56+K57+K58+K59+K60, "NA")</f>
        <v>25749.99</v>
      </c>
      <c r="L61" s="15">
        <f>IFERROR(K61/K444, "NA")</f>
        <v>0.24138173143605032</v>
      </c>
      <c r="M61" s="2"/>
      <c r="N61" s="14">
        <f t="shared" si="13"/>
        <v>-10866.240000000002</v>
      </c>
      <c r="O61" s="15">
        <f>IFERROR(N61/N444, "NA")</f>
        <v>4.7584231776421202</v>
      </c>
      <c r="P61" s="2"/>
      <c r="Q61" s="14">
        <f>IFERROR(Q46+Q47+Q48+Q49+Q50+Q51+Q52+Q53+Q54+Q55+Q56+Q57+Q58+Q59+Q60, "NA")</f>
        <v>60356.88</v>
      </c>
      <c r="R61" s="15">
        <f>IFERROR(Q61/Q444, "NA")</f>
        <v>0.13694079815428023</v>
      </c>
      <c r="S61" s="2"/>
      <c r="T61" s="14">
        <f>IFERROR(T46+T47+T48+T49+T50+T51+T52+T53+T54+T55+T56+T57+T58+T59+T60, "NA")</f>
        <v>85645.35</v>
      </c>
      <c r="U61" s="15">
        <f>IFERROR(T61/T444, "NA")</f>
        <v>0.19700001791842922</v>
      </c>
      <c r="V61" s="2"/>
      <c r="W61" s="14">
        <f t="shared" si="14"/>
        <v>-25288.470000000008</v>
      </c>
      <c r="X61" s="15">
        <f>IFERROR(W61/W444, "NA")</f>
        <v>-4.2121475090360878</v>
      </c>
      <c r="Y61" s="2"/>
      <c r="Z61" s="14">
        <f>IFERROR(Z46+Z47+Z48+Z49+Z50+Z51+Z52+Z53+Z54+Z55+Z56+Z57+Z58+Z59+Z60, "NA")</f>
        <v>61587.55</v>
      </c>
      <c r="AA61" s="15">
        <f>IFERROR(Z61/Z444, "NA")</f>
        <v>0.16243482798221728</v>
      </c>
      <c r="AB61" s="2"/>
      <c r="AC61" s="14">
        <f t="shared" si="15"/>
        <v>-1230.6700000000055</v>
      </c>
      <c r="AD61" s="15">
        <f>IFERROR(AC61/AC444, "NA")</f>
        <v>-1.9978649094161284E-2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18462.48</v>
      </c>
      <c r="C62" s="15">
        <f>IFERROR(B62/B444, "NA")</f>
        <v>0.17685404546703312</v>
      </c>
      <c r="D62" s="2"/>
      <c r="E62" s="14">
        <f>IFERROR(E42+E43+E44+E46+E47+E48+E49+E50+E51+E52+E53+E54+E55+E56+E57+E58+E59+E60, "NA")</f>
        <v>25008.400000000001</v>
      </c>
      <c r="F62" s="15">
        <f>IFERROR(E62/E444, "NA")</f>
        <v>0.1970000355268694</v>
      </c>
      <c r="G62" s="2"/>
      <c r="H62" s="14">
        <f t="shared" si="12"/>
        <v>-6545.9200000000019</v>
      </c>
      <c r="I62" s="15">
        <f>IFERROR(H62/H444, "NA")</f>
        <v>0.29025522463572451</v>
      </c>
      <c r="J62" s="2"/>
      <c r="K62" s="14">
        <f>IFERROR(K42+K43+K44+K46+K47+K48+K49+K50+K51+K52+K53+K54+K55+K56+K57+K58+K59+K60, "NA")</f>
        <v>25749.99</v>
      </c>
      <c r="L62" s="15">
        <f>IFERROR(K62/K444, "NA")</f>
        <v>0.24138173143605032</v>
      </c>
      <c r="M62" s="2"/>
      <c r="N62" s="14">
        <f t="shared" si="13"/>
        <v>-7287.510000000002</v>
      </c>
      <c r="O62" s="15">
        <f>IFERROR(N62/N444, "NA")</f>
        <v>3.1912654691318001</v>
      </c>
      <c r="P62" s="2"/>
      <c r="Q62" s="14">
        <f>IFERROR(Q42+Q43+Q44+Q46+Q47+Q48+Q49+Q50+Q51+Q52+Q53+Q54+Q55+Q56+Q57+Q58+Q59+Q60, "NA")</f>
        <v>77621.070000000007</v>
      </c>
      <c r="R62" s="15">
        <f>IFERROR(Q62/Q444, "NA")</f>
        <v>0.17611068165533503</v>
      </c>
      <c r="S62" s="2"/>
      <c r="T62" s="14">
        <f>IFERROR(T42+T43+T44+T46+T47+T48+T49+T50+T51+T52+T53+T54+T55+T56+T57+T58+T59+T60, "NA")</f>
        <v>85645.35</v>
      </c>
      <c r="U62" s="15">
        <f>IFERROR(T62/T444, "NA")</f>
        <v>0.19700001791842922</v>
      </c>
      <c r="V62" s="2"/>
      <c r="W62" s="14">
        <f t="shared" si="14"/>
        <v>-8024.2799999999988</v>
      </c>
      <c r="X62" s="15">
        <f>IFERROR(W62/W444, "NA")</f>
        <v>-1.3365557905957965</v>
      </c>
      <c r="Y62" s="2"/>
      <c r="Z62" s="14">
        <f>IFERROR(Z42+Z43+Z44+Z46+Z47+Z48+Z49+Z50+Z51+Z52+Z53+Z54+Z55+Z56+Z57+Z58+Z59+Z60, "NA")</f>
        <v>61587.55</v>
      </c>
      <c r="AA62" s="15">
        <f>IFERROR(Z62/Z444, "NA")</f>
        <v>0.16243482798221728</v>
      </c>
      <c r="AB62" s="2"/>
      <c r="AC62" s="14">
        <f t="shared" si="15"/>
        <v>16033.520000000004</v>
      </c>
      <c r="AD62" s="15">
        <f>IFERROR(AC62/AC444, "NA")</f>
        <v>0.26028754241528229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1193.47</v>
      </c>
      <c r="C65" s="8">
        <f>IFERROR(B65/B444, "NA")</f>
        <v>1.1432375154558869E-2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1193.47</v>
      </c>
      <c r="I65" s="8">
        <f>IFERROR(H65/H444, "NA")</f>
        <v>-5.2920124741212549E-2</v>
      </c>
      <c r="J65" s="9"/>
      <c r="K65" s="7">
        <v>0</v>
      </c>
      <c r="L65" s="8">
        <f>IFERROR(K65/K444, "NA")</f>
        <v>0</v>
      </c>
      <c r="M65" s="9"/>
      <c r="N65" s="10">
        <f t="shared" si="17"/>
        <v>1193.47</v>
      </c>
      <c r="O65" s="8">
        <f>IFERROR(N65/N444, "NA")</f>
        <v>-0.52263113181933596</v>
      </c>
      <c r="P65" s="9"/>
      <c r="Q65" s="7">
        <v>1193.47</v>
      </c>
      <c r="R65" s="8">
        <f>IFERROR(Q65/Q444, "NA")</f>
        <v>2.7078062082266153E-3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1193.47</v>
      </c>
      <c r="X65" s="8">
        <f>IFERROR(W65/W444, "NA")</f>
        <v>0.19878908006729146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1193.47</v>
      </c>
      <c r="AD65" s="8">
        <f>IFERROR(AC65/AC444, "NA")</f>
        <v>1.9374745735581886E-2</v>
      </c>
    </row>
    <row r="66" spans="1:30" ht="16.5" customHeight="1" x14ac:dyDescent="0.45">
      <c r="A66" s="12" t="s">
        <v>63</v>
      </c>
      <c r="B66" s="7">
        <v>2779.09</v>
      </c>
      <c r="C66" s="8">
        <f>IFERROR(B66/B444, "NA")</f>
        <v>2.6621196568227947E-2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2779.09</v>
      </c>
      <c r="I66" s="8">
        <f>IFERROR(H66/H444, "NA")</f>
        <v>-0.12322872754828892</v>
      </c>
      <c r="J66" s="9"/>
      <c r="K66" s="7">
        <v>0</v>
      </c>
      <c r="L66" s="8">
        <f>IFERROR(K66/K444, "NA")</f>
        <v>0</v>
      </c>
      <c r="M66" s="9"/>
      <c r="N66" s="10">
        <f t="shared" si="17"/>
        <v>2779.09</v>
      </c>
      <c r="O66" s="8">
        <f>IFERROR(N66/N444, "NA")</f>
        <v>-1.216988237767014</v>
      </c>
      <c r="P66" s="9"/>
      <c r="Q66" s="7">
        <v>25047.08</v>
      </c>
      <c r="R66" s="8">
        <f>IFERROR(Q66/Q444, "NA")</f>
        <v>5.6828105207461177E-2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25047.08</v>
      </c>
      <c r="X66" s="8">
        <f>IFERROR(W66/W444, "NA")</f>
        <v>4.1719406366074177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25047.08</v>
      </c>
      <c r="AD66" s="8">
        <f>IFERROR(AC66/AC444, "NA")</f>
        <v>0.40661332619904844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3972.5600000000004</v>
      </c>
      <c r="C73" s="15">
        <f>IFERROR(B73/B444, "NA")</f>
        <v>3.8053571722786818E-2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3972.5600000000004</v>
      </c>
      <c r="I73" s="15">
        <f>IFERROR(H73/H444, "NA")</f>
        <v>-0.1761488522895015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3972.5600000000004</v>
      </c>
      <c r="O73" s="15">
        <f>IFERROR(N73/N444, "NA")</f>
        <v>-1.73961936958635</v>
      </c>
      <c r="P73" s="2"/>
      <c r="Q73" s="14">
        <f>IFERROR(Q64+Q65+Q66+Q67+Q68+Q69+Q70+Q71+Q72, "NA")</f>
        <v>26240.550000000003</v>
      </c>
      <c r="R73" s="15">
        <f>IFERROR(Q73/Q444, "NA")</f>
        <v>5.9535911415687794E-2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26240.550000000003</v>
      </c>
      <c r="X73" s="15">
        <f>IFERROR(W73/W444, "NA")</f>
        <v>4.3707297166747097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26240.550000000003</v>
      </c>
      <c r="AD73" s="15">
        <f>IFERROR(AC73/AC444, "NA")</f>
        <v>0.42598807193463034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1904.19</v>
      </c>
      <c r="F75" s="8">
        <f>IFERROR(E75/E444, "NA")</f>
        <v>1.4999979912745695E-2</v>
      </c>
      <c r="G75" s="9"/>
      <c r="H75" s="10">
        <f t="shared" ref="H75:H92" si="20">IFERROR(B75-E75, "NA")</f>
        <v>-1904.19</v>
      </c>
      <c r="I75" s="8">
        <f>IFERROR(H75/H444, "NA")</f>
        <v>8.4434441025722909E-2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6521.22</v>
      </c>
      <c r="U75" s="8">
        <f>IFERROR(T75/T444, "NA")</f>
        <v>1.5000002415192639E-2</v>
      </c>
      <c r="V75" s="9"/>
      <c r="W75" s="10">
        <f t="shared" ref="W75:W92" si="22">IFERROR(Q75-T75, "NA")</f>
        <v>-6521.22</v>
      </c>
      <c r="X75" s="8">
        <f>IFERROR(W75/W444, "NA")</f>
        <v>-1.0862001765577873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385.02</v>
      </c>
      <c r="C77" s="8">
        <f>IFERROR(B77/B444, "NA")</f>
        <v>3.688147236217295E-3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385.02</v>
      </c>
      <c r="I77" s="8">
        <f>IFERROR(H77/H444, "NA")</f>
        <v>-1.7072323919211756E-2</v>
      </c>
      <c r="J77" s="9"/>
      <c r="K77" s="7">
        <v>86.71</v>
      </c>
      <c r="L77" s="8">
        <f>IFERROR(K77/K444, "NA")</f>
        <v>8.1282400237125995E-4</v>
      </c>
      <c r="M77" s="9"/>
      <c r="N77" s="10">
        <f t="shared" si="21"/>
        <v>298.31</v>
      </c>
      <c r="O77" s="8">
        <f>IFERROR(N77/N444, "NA")</f>
        <v>-0.13063260319323158</v>
      </c>
      <c r="P77" s="9"/>
      <c r="Q77" s="7">
        <v>1426.2</v>
      </c>
      <c r="R77" s="8">
        <f>IFERROR(Q77/Q444, "NA")</f>
        <v>3.2358360194833539E-3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1426.2</v>
      </c>
      <c r="X77" s="8">
        <f>IFERROR(W77/W444, "NA")</f>
        <v>0.23755350866965327</v>
      </c>
      <c r="Y77" s="9"/>
      <c r="Z77" s="7">
        <v>307.97000000000003</v>
      </c>
      <c r="AA77" s="8">
        <f>IFERROR(Z77/Z444, "NA")</f>
        <v>8.1225919806330107E-4</v>
      </c>
      <c r="AB77" s="9"/>
      <c r="AC77" s="10">
        <f t="shared" si="23"/>
        <v>1118.23</v>
      </c>
      <c r="AD77" s="8">
        <f>IFERROR(AC77/AC444, "NA")</f>
        <v>1.8153302490971478E-2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8.9700000000000006</v>
      </c>
      <c r="L79" s="8">
        <f>IFERROR(K79/K444, "NA")</f>
        <v>8.4085241624613105E-5</v>
      </c>
      <c r="M79" s="9"/>
      <c r="N79" s="10">
        <f t="shared" si="21"/>
        <v>-8.9700000000000006</v>
      </c>
      <c r="O79" s="8">
        <f>IFERROR(N79/N444, "NA")</f>
        <v>3.9280428099738108E-3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23.92</v>
      </c>
      <c r="AA79" s="8">
        <f>IFERROR(Z79/Z444, "NA")</f>
        <v>6.3088093053460285E-5</v>
      </c>
      <c r="AB79" s="9"/>
      <c r="AC79" s="10">
        <f t="shared" si="23"/>
        <v>-23.92</v>
      </c>
      <c r="AD79" s="8">
        <f>IFERROR(AC79/AC444, "NA")</f>
        <v>-3.8831635315099563E-4</v>
      </c>
    </row>
    <row r="80" spans="1:30" ht="16.5" customHeight="1" x14ac:dyDescent="0.45">
      <c r="A80" s="12" t="s">
        <v>76</v>
      </c>
      <c r="B80" s="7">
        <v>999.27</v>
      </c>
      <c r="C80" s="8">
        <f>IFERROR(B80/B444, "NA")</f>
        <v>9.5721128479945364E-3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999.27</v>
      </c>
      <c r="I80" s="8">
        <f>IFERROR(H80/H444, "NA")</f>
        <v>-4.430902582398507E-2</v>
      </c>
      <c r="J80" s="9"/>
      <c r="K80" s="7">
        <v>1625</v>
      </c>
      <c r="L80" s="8">
        <f>IFERROR(K80/K444, "NA")</f>
        <v>1.5232833627647302E-2</v>
      </c>
      <c r="M80" s="9"/>
      <c r="N80" s="10">
        <f t="shared" si="21"/>
        <v>-625.73</v>
      </c>
      <c r="O80" s="8">
        <f>IFERROR(N80/N444, "NA")</f>
        <v>0.27401273439073714</v>
      </c>
      <c r="P80" s="9"/>
      <c r="Q80" s="7">
        <v>4574.25</v>
      </c>
      <c r="R80" s="8">
        <f>IFERROR(Q80/Q444, "NA")</f>
        <v>1.0378294006536061E-2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4574.25</v>
      </c>
      <c r="X80" s="8">
        <f>IFERROR(W80/W444, "NA")</f>
        <v>0.76190515848559903</v>
      </c>
      <c r="Y80" s="9"/>
      <c r="Z80" s="7">
        <v>4070</v>
      </c>
      <c r="AA80" s="8">
        <f>IFERROR(Z80/Z444, "NA")</f>
        <v>1.0734470682591276E-2</v>
      </c>
      <c r="AB80" s="9"/>
      <c r="AC80" s="10">
        <f t="shared" si="23"/>
        <v>504.25</v>
      </c>
      <c r="AD80" s="8">
        <f>IFERROR(AC80/AC444, "NA")</f>
        <v>8.1859749613875221E-3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1384.29</v>
      </c>
      <c r="C88" s="15">
        <f>IFERROR(B88/B444, "NA")</f>
        <v>1.3260260084211831E-2</v>
      </c>
      <c r="D88" s="2"/>
      <c r="E88" s="14">
        <f>IFERROR(E75+E76+E77+E78+E79+E80+E81+E82+E83+E84+E85+E86+E87, "NA")</f>
        <v>1904.19</v>
      </c>
      <c r="F88" s="15">
        <f>IFERROR(E88/E444, "NA")</f>
        <v>1.4999979912745695E-2</v>
      </c>
      <c r="G88" s="2"/>
      <c r="H88" s="14">
        <f t="shared" si="20"/>
        <v>-519.90000000000009</v>
      </c>
      <c r="I88" s="15">
        <f>IFERROR(H88/H444, "NA")</f>
        <v>2.3053091282526087E-2</v>
      </c>
      <c r="J88" s="2"/>
      <c r="K88" s="14">
        <f>IFERROR(K75+K76+K77+K78+K79+K80+K81+K82+K83+K84+K85+K86+K87, "NA")</f>
        <v>1720.68</v>
      </c>
      <c r="L88" s="15">
        <f>IFERROR(K88/K444, "NA")</f>
        <v>1.6129742871643177E-2</v>
      </c>
      <c r="M88" s="2"/>
      <c r="N88" s="14">
        <f t="shared" si="21"/>
        <v>-336.3900000000001</v>
      </c>
      <c r="O88" s="15">
        <f>IFERROR(N88/N444, "NA")</f>
        <v>0.14730817400747942</v>
      </c>
      <c r="P88" s="2"/>
      <c r="Q88" s="14">
        <f>IFERROR(Q75+Q76+Q77+Q78+Q79+Q80+Q81+Q82+Q83+Q84+Q85+Q86+Q87, "NA")</f>
        <v>6000.45</v>
      </c>
      <c r="R88" s="15">
        <f>IFERROR(Q88/Q444, "NA")</f>
        <v>1.3614130026019416E-2</v>
      </c>
      <c r="S88" s="2"/>
      <c r="T88" s="14">
        <f>IFERROR(T75+T76+T77+T78+T79+T80+T81+T82+T83+T84+T85+T86+T87, "NA")</f>
        <v>6521.22</v>
      </c>
      <c r="U88" s="15">
        <f>IFERROR(T88/T444, "NA")</f>
        <v>1.5000002415192639E-2</v>
      </c>
      <c r="V88" s="2"/>
      <c r="W88" s="14">
        <f t="shared" si="22"/>
        <v>-520.77000000000044</v>
      </c>
      <c r="X88" s="15">
        <f>IFERROR(W88/W444, "NA")</f>
        <v>-8.6741509402535014E-2</v>
      </c>
      <c r="Y88" s="2"/>
      <c r="Z88" s="14">
        <f>IFERROR(Z75+Z76+Z77+Z78+Z79+Z80+Z81+Z82+Z83+Z84+Z85+Z86+Z87, "NA")</f>
        <v>4401.8900000000003</v>
      </c>
      <c r="AA88" s="15">
        <f>IFERROR(Z88/Z444, "NA")</f>
        <v>1.1609817973708038E-2</v>
      </c>
      <c r="AB88" s="2"/>
      <c r="AC88" s="14">
        <f t="shared" si="23"/>
        <v>1598.5599999999995</v>
      </c>
      <c r="AD88" s="15">
        <f>IFERROR(AC88/AC444, "NA")</f>
        <v>2.5950961099207998E-2</v>
      </c>
    </row>
    <row r="89" spans="1:30" ht="16.5" customHeight="1" x14ac:dyDescent="0.45">
      <c r="A89" s="6" t="s">
        <v>85</v>
      </c>
      <c r="B89" s="7">
        <v>-10.64</v>
      </c>
      <c r="C89" s="8">
        <f>IFERROR(B89/B444, "NA")</f>
        <v>-1.0192168353163998E-4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-10.64</v>
      </c>
      <c r="I89" s="8">
        <f>IFERROR(H89/H444, "NA")</f>
        <v>4.7179244325077426E-4</v>
      </c>
      <c r="J89" s="9"/>
      <c r="K89" s="7">
        <v>-211.04</v>
      </c>
      <c r="L89" s="8">
        <f>IFERROR(K89/K444, "NA")</f>
        <v>-1.978299820786884E-3</v>
      </c>
      <c r="M89" s="9"/>
      <c r="N89" s="10">
        <f t="shared" si="21"/>
        <v>200.39999999999998</v>
      </c>
      <c r="O89" s="8">
        <f>IFERROR(N89/N444, "NA")</f>
        <v>-8.7756943045568719E-2</v>
      </c>
      <c r="P89" s="9"/>
      <c r="Q89" s="7">
        <v>-15.94</v>
      </c>
      <c r="R89" s="8">
        <f>IFERROR(Q89/Q444, "NA")</f>
        <v>-3.6165493023814791E-5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-15.94</v>
      </c>
      <c r="X89" s="8">
        <f>IFERROR(W89/W444, "NA")</f>
        <v>-2.6550293985375634E-3</v>
      </c>
      <c r="Y89" s="9"/>
      <c r="Z89" s="7">
        <v>-1388.39</v>
      </c>
      <c r="AA89" s="8">
        <f>IFERROR(Z89/Z444, "NA")</f>
        <v>-3.6618259830473962E-3</v>
      </c>
      <c r="AB89" s="9"/>
      <c r="AC89" s="10">
        <f t="shared" si="23"/>
        <v>1372.45</v>
      </c>
      <c r="AD89" s="8">
        <f>IFERROR(AC89/AC444, "NA")</f>
        <v>2.2280300120488459E-2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-5458.69</v>
      </c>
      <c r="F94" s="8">
        <f>IFERROR(E94/E444, "NA")</f>
        <v>-4.3000036944793214E-2</v>
      </c>
      <c r="G94" s="9"/>
      <c r="H94" s="10">
        <f t="shared" ref="H94:H124" si="24">IFERROR(B94-E94, "NA")</f>
        <v>5458.69</v>
      </c>
      <c r="I94" s="8">
        <f>IFERROR(H94/H444, "NA")</f>
        <v>-0.24204592970381283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-18694.16</v>
      </c>
      <c r="U94" s="8">
        <f>IFERROR(T94/T444, "NA")</f>
        <v>-4.2999997722818373E-2</v>
      </c>
      <c r="V94" s="9"/>
      <c r="W94" s="10">
        <f t="shared" ref="W94:W124" si="26">IFERROR(Q94-T94, "NA")</f>
        <v>18694.16</v>
      </c>
      <c r="X94" s="8">
        <f>IFERROR(W94/W444, "NA")</f>
        <v>3.1137731732098479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-934.6</v>
      </c>
      <c r="C96" s="8">
        <f>IFERROR(B96/B444, "NA")</f>
        <v>-8.9526320891607815E-3</v>
      </c>
      <c r="D96" s="9"/>
      <c r="E96" s="7">
        <v>0</v>
      </c>
      <c r="F96" s="8">
        <f>IFERROR(E96/E444, "NA")</f>
        <v>0</v>
      </c>
      <c r="G96" s="9"/>
      <c r="H96" s="10">
        <f t="shared" si="24"/>
        <v>-934.6</v>
      </c>
      <c r="I96" s="8">
        <f>IFERROR(H96/H444, "NA")</f>
        <v>4.1441467806595265E-2</v>
      </c>
      <c r="J96" s="9"/>
      <c r="K96" s="7">
        <v>-1590.53</v>
      </c>
      <c r="L96" s="8">
        <f>IFERROR(K96/K444, "NA")</f>
        <v>-1.4909710073711915E-2</v>
      </c>
      <c r="M96" s="9"/>
      <c r="N96" s="10">
        <f t="shared" si="25"/>
        <v>655.93</v>
      </c>
      <c r="O96" s="8">
        <f>IFERROR(N96/N444, "NA")</f>
        <v>-0.28723758309321307</v>
      </c>
      <c r="P96" s="9"/>
      <c r="Q96" s="7">
        <v>-5725.2</v>
      </c>
      <c r="R96" s="8">
        <f>IFERROR(Q96/Q444, "NA")</f>
        <v>-1.2989628648679075E-2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-5725.2</v>
      </c>
      <c r="X96" s="8">
        <f>IFERROR(W96/W444, "NA")</f>
        <v>-0.95361193930409394</v>
      </c>
      <c r="Y96" s="9"/>
      <c r="Z96" s="7">
        <v>-5530.89</v>
      </c>
      <c r="AA96" s="8">
        <f>IFERROR(Z96/Z444, "NA")</f>
        <v>-1.4587512666741343E-2</v>
      </c>
      <c r="AB96" s="9"/>
      <c r="AC96" s="10">
        <f t="shared" si="27"/>
        <v>-194.30999999999949</v>
      </c>
      <c r="AD96" s="8">
        <f>IFERROR(AC96/AC444, "NA")</f>
        <v>-3.1544210109017458E-3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-2499.42</v>
      </c>
      <c r="C98" s="8">
        <f>IFERROR(B98/B444, "NA")</f>
        <v>-2.3942208106452218E-2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-2499.42</v>
      </c>
      <c r="I98" s="8">
        <f>IFERROR(H98/H444, "NA")</f>
        <v>0.11082776959679043</v>
      </c>
      <c r="J98" s="9"/>
      <c r="K98" s="7">
        <v>-2717.29</v>
      </c>
      <c r="L98" s="8">
        <f>IFERROR(K98/K444, "NA")</f>
        <v>-2.5472016300350606E-2</v>
      </c>
      <c r="M98" s="9"/>
      <c r="N98" s="10">
        <f t="shared" si="25"/>
        <v>217.86999999999989</v>
      </c>
      <c r="O98" s="8">
        <f>IFERROR(N98/N444, "NA")</f>
        <v>-9.5407211483722804E-2</v>
      </c>
      <c r="P98" s="9"/>
      <c r="Q98" s="7">
        <v>-9704.17</v>
      </c>
      <c r="R98" s="8">
        <f>IFERROR(Q98/Q444, "NA")</f>
        <v>-2.2017320730044719E-2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-9704.17</v>
      </c>
      <c r="X98" s="8">
        <f>IFERROR(W98/W444, "NA")</f>
        <v>-1.6163649083065412</v>
      </c>
      <c r="Y98" s="9"/>
      <c r="Z98" s="7">
        <v>-10039.59</v>
      </c>
      <c r="AA98" s="8">
        <f>IFERROR(Z98/Z444, "NA")</f>
        <v>-2.6479037965660087E-2</v>
      </c>
      <c r="AB98" s="9"/>
      <c r="AC98" s="10">
        <f t="shared" si="27"/>
        <v>335.42000000000007</v>
      </c>
      <c r="AD98" s="8">
        <f>IFERROR(AC98/AC444, "NA")</f>
        <v>5.4451952831900902E-3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-697.5</v>
      </c>
      <c r="C100" s="8">
        <f>IFERROR(B100/B444, "NA")</f>
        <v>-6.6814261525675643E-3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-697.5</v>
      </c>
      <c r="I100" s="8">
        <f>IFERROR(H100/H444, "NA")</f>
        <v>3.0928123042050285E-2</v>
      </c>
      <c r="J100" s="9"/>
      <c r="K100" s="7">
        <v>-99.76</v>
      </c>
      <c r="L100" s="8">
        <f>IFERROR(K100/K444, "NA")</f>
        <v>-9.3515537396559689E-4</v>
      </c>
      <c r="M100" s="9"/>
      <c r="N100" s="10">
        <f t="shared" si="25"/>
        <v>-597.74</v>
      </c>
      <c r="O100" s="8">
        <f>IFERROR(N100/N444, "NA")</f>
        <v>0.26175566435158809</v>
      </c>
      <c r="P100" s="9"/>
      <c r="Q100" s="7">
        <v>-2814.22</v>
      </c>
      <c r="R100" s="8">
        <f>IFERROR(Q100/Q444, "NA")</f>
        <v>-6.3850472884240941E-3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-2814.22</v>
      </c>
      <c r="X100" s="8">
        <f>IFERROR(W100/W444, "NA")</f>
        <v>-0.46874760564318574</v>
      </c>
      <c r="Y100" s="9"/>
      <c r="Z100" s="7">
        <v>-431.52</v>
      </c>
      <c r="AA100" s="8">
        <f>IFERROR(Z100/Z444, "NA")</f>
        <v>-1.1381176385630927E-3</v>
      </c>
      <c r="AB100" s="9"/>
      <c r="AC100" s="10">
        <f t="shared" si="27"/>
        <v>-2382.6999999999998</v>
      </c>
      <c r="AD100" s="8">
        <f>IFERROR(AC100/AC444, "NA")</f>
        <v>-3.868065947545473E-2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-71.83</v>
      </c>
      <c r="C102" s="8">
        <f>IFERROR(B102/B444, "NA")</f>
        <v>-6.880671548945206E-4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-71.83</v>
      </c>
      <c r="I102" s="8">
        <f>IFERROR(H102/H444, "NA")</f>
        <v>3.1850424058931497E-3</v>
      </c>
      <c r="J102" s="9"/>
      <c r="K102" s="7">
        <v>-163.26</v>
      </c>
      <c r="L102" s="8">
        <f>IFERROR(K102/K444, "NA")</f>
        <v>-1.5304076418767374E-3</v>
      </c>
      <c r="M102" s="9"/>
      <c r="N102" s="10">
        <f t="shared" si="25"/>
        <v>91.429999999999993</v>
      </c>
      <c r="O102" s="8">
        <f>IFERROR(N102/N444, "NA")</f>
        <v>-4.0038010492297146E-2</v>
      </c>
      <c r="P102" s="9"/>
      <c r="Q102" s="7">
        <v>-994.47</v>
      </c>
      <c r="R102" s="8">
        <f>IFERROR(Q102/Q444, "NA")</f>
        <v>-2.2563047583057153E-3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-994.47</v>
      </c>
      <c r="X102" s="8">
        <f>IFERROR(W102/W444, "NA")</f>
        <v>-0.16564285357362929</v>
      </c>
      <c r="Y102" s="9"/>
      <c r="Z102" s="7">
        <v>-1543.97</v>
      </c>
      <c r="AA102" s="8">
        <f>IFERROR(Z102/Z444, "NA")</f>
        <v>-4.0721623341033056E-3</v>
      </c>
      <c r="AB102" s="9"/>
      <c r="AC102" s="10">
        <f t="shared" si="27"/>
        <v>549.5</v>
      </c>
      <c r="AD102" s="8">
        <f>IFERROR(AC102/AC444, "NA")</f>
        <v>8.9205617080464917E-3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-1021.86</v>
      </c>
      <c r="C104" s="8">
        <f>IFERROR(B104/B444, "NA")</f>
        <v>-9.7885048433873703E-3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-1021.86</v>
      </c>
      <c r="I104" s="8">
        <f>IFERROR(H104/H444, "NA")</f>
        <v>4.5310697937992118E-2</v>
      </c>
      <c r="J104" s="9"/>
      <c r="K104" s="7">
        <v>-980.03</v>
      </c>
      <c r="L104" s="8">
        <f>IFERROR(K104/K444, "NA")</f>
        <v>-9.1868516554481135E-3</v>
      </c>
      <c r="M104" s="9"/>
      <c r="N104" s="10">
        <f t="shared" si="25"/>
        <v>-41.830000000000041</v>
      </c>
      <c r="O104" s="8">
        <f>IFERROR(N104/N444, "NA")</f>
        <v>1.8317729179621475E-2</v>
      </c>
      <c r="P104" s="9"/>
      <c r="Q104" s="7">
        <v>-3053.79</v>
      </c>
      <c r="R104" s="8">
        <f>IFERROR(Q104/Q444, "NA")</f>
        <v>-6.9285960439896726E-3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-3053.79</v>
      </c>
      <c r="X104" s="8">
        <f>IFERROR(W104/W444, "NA")</f>
        <v>-0.50865133167879706</v>
      </c>
      <c r="Y104" s="9"/>
      <c r="Z104" s="7">
        <v>-4858.95</v>
      </c>
      <c r="AA104" s="8">
        <f>IFERROR(Z104/Z444, "NA")</f>
        <v>-1.2815296393900954E-2</v>
      </c>
      <c r="AB104" s="9"/>
      <c r="AC104" s="10">
        <f t="shared" si="27"/>
        <v>1805.1599999999999</v>
      </c>
      <c r="AD104" s="8">
        <f>IFERROR(AC104/AC444, "NA")</f>
        <v>2.930489749389846E-2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-810.15</v>
      </c>
      <c r="L106" s="8">
        <f>IFERROR(K106/K444, "NA")</f>
        <v>-7.5943877928852065E-3</v>
      </c>
      <c r="M106" s="9"/>
      <c r="N106" s="10">
        <f t="shared" si="25"/>
        <v>810.15</v>
      </c>
      <c r="O106" s="8">
        <f>IFERROR(N106/N444, "NA")</f>
        <v>-0.35477189325532688</v>
      </c>
      <c r="P106" s="9"/>
      <c r="Q106" s="7">
        <v>-140.1</v>
      </c>
      <c r="R106" s="8">
        <f>IFERROR(Q106/Q444, "NA")</f>
        <v>-3.1786609615034206E-4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-140.1</v>
      </c>
      <c r="X106" s="8">
        <f>IFERROR(W106/W444, "NA")</f>
        <v>-2.3335609707347091E-2</v>
      </c>
      <c r="Y106" s="9"/>
      <c r="Z106" s="7">
        <v>-2259.3000000000002</v>
      </c>
      <c r="AA106" s="8">
        <f>IFERROR(Z106/Z444, "NA")</f>
        <v>-5.9588180867760372E-3</v>
      </c>
      <c r="AB106" s="9"/>
      <c r="AC106" s="10">
        <f t="shared" si="27"/>
        <v>2119.2000000000003</v>
      </c>
      <c r="AD106" s="8">
        <f>IFERROR(AC106/AC444, "NA")</f>
        <v>3.4403010685517973E-2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-5</v>
      </c>
      <c r="L108" s="8">
        <f>IFERROR(K108/K444, "NA")</f>
        <v>-4.6870257315837851E-5</v>
      </c>
      <c r="M108" s="9"/>
      <c r="N108" s="10">
        <f t="shared" si="25"/>
        <v>5</v>
      </c>
      <c r="O108" s="8">
        <f>IFERROR(N108/N444, "NA")</f>
        <v>-2.1895444871648886E-3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</v>
      </c>
      <c r="AA108" s="8">
        <f>IFERROR(Z108/Z444, "NA")</f>
        <v>-1.3187310420873804E-5</v>
      </c>
      <c r="AB108" s="9"/>
      <c r="AC108" s="10">
        <f t="shared" si="27"/>
        <v>5</v>
      </c>
      <c r="AD108" s="8">
        <f>IFERROR(AC108/AC444, "NA")</f>
        <v>8.1169806260659617E-5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-5225.21</v>
      </c>
      <c r="C118" s="15">
        <f>IFERROR(B118/B444, "NA")</f>
        <v>-5.0052838346462451E-2</v>
      </c>
      <c r="D118" s="2"/>
      <c r="E118" s="14">
        <f>IFERROR(E94+E95+E96+E97+E98+E99+E100+E101+E102+E103+E104+E105+E106+E107+E108+E109+E110+E111+E112+E113+E114+E115+E116+E117, "NA")</f>
        <v>-5458.69</v>
      </c>
      <c r="F118" s="15">
        <f>IFERROR(E118/E444, "NA")</f>
        <v>-4.3000036944793214E-2</v>
      </c>
      <c r="G118" s="2"/>
      <c r="H118" s="14">
        <f t="shared" si="24"/>
        <v>233.47999999999956</v>
      </c>
      <c r="I118" s="15">
        <f>IFERROR(H118/H444, "NA")</f>
        <v>-1.0352828914491593E-2</v>
      </c>
      <c r="J118" s="2"/>
      <c r="K118" s="14">
        <f>IFERROR(K94+K95+K96+K97+K98+K99+K100+K101+K102+K103+K104+K105+K106+K107+K108+K109+K110+K111+K112+K113+K114+K115+K116+K117, "NA")</f>
        <v>-6366.0199999999995</v>
      </c>
      <c r="L118" s="15">
        <f>IFERROR(K118/K444, "NA")</f>
        <v>-5.9675399095554013E-2</v>
      </c>
      <c r="M118" s="2"/>
      <c r="N118" s="14">
        <f t="shared" si="25"/>
        <v>1140.8099999999995</v>
      </c>
      <c r="O118" s="15">
        <f>IFERROR(N118/N444, "NA")</f>
        <v>-0.49957084928051509</v>
      </c>
      <c r="P118" s="2"/>
      <c r="Q118" s="14">
        <f>IFERROR(Q94+Q95+Q96+Q97+Q98+Q99+Q100+Q101+Q102+Q103+Q104+Q105+Q106+Q107+Q108+Q109+Q110+Q111+Q112+Q113+Q114+Q115+Q116+Q117, "NA")</f>
        <v>-22431.95</v>
      </c>
      <c r="R118" s="15">
        <f>IFERROR(Q118/Q444, "NA")</f>
        <v>-5.0894763565593623E-2</v>
      </c>
      <c r="S118" s="2"/>
      <c r="T118" s="14">
        <f>IFERROR(T94+T95+T96+T97+T98+T99+T100+T101+T102+T103+T104+T105+T106+T107+T108+T109+T110+T111+T112+T113+T114+T115+T116+T117, "NA")</f>
        <v>-18694.16</v>
      </c>
      <c r="U118" s="15">
        <f>IFERROR(T118/T444, "NA")</f>
        <v>-4.2999997722818373E-2</v>
      </c>
      <c r="V118" s="2"/>
      <c r="W118" s="14">
        <f t="shared" si="26"/>
        <v>-3737.7900000000009</v>
      </c>
      <c r="X118" s="15">
        <f>IFERROR(W118/W444, "NA")</f>
        <v>-0.6225810750037466</v>
      </c>
      <c r="Y118" s="2"/>
      <c r="Z118" s="14">
        <f>IFERROR(Z94+Z95+Z96+Z97+Z98+Z99+Z100+Z101+Z102+Z103+Z104+Z105+Z106+Z107+Z108+Z109+Z110+Z111+Z112+Z113+Z114+Z115+Z116+Z117, "NA")</f>
        <v>-24669.22</v>
      </c>
      <c r="AA118" s="15">
        <f>IFERROR(Z118/Z444, "NA")</f>
        <v>-6.5064132396165694E-2</v>
      </c>
      <c r="AB118" s="2"/>
      <c r="AC118" s="14">
        <f t="shared" si="27"/>
        <v>2237.2700000000004</v>
      </c>
      <c r="AD118" s="15">
        <f>IFERROR(AC118/AC444, "NA")</f>
        <v>3.6319754490557195E-2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104393.88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126946.16999999998</v>
      </c>
      <c r="F122" s="15">
        <f>IFERROR(E122/E444, "NA")</f>
        <v>0.99999999999999989</v>
      </c>
      <c r="G122" s="2"/>
      <c r="H122" s="14">
        <f t="shared" si="24"/>
        <v>-22552.289999999979</v>
      </c>
      <c r="I122" s="15">
        <f>IFERROR(H122/H444, "NA")</f>
        <v>0.99999999999999933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106677.46000000004</v>
      </c>
      <c r="L122" s="15">
        <f>IFERROR(K122/K444, "NA")</f>
        <v>1.0000000000000002</v>
      </c>
      <c r="M122" s="2"/>
      <c r="N122" s="14">
        <f t="shared" si="25"/>
        <v>-2283.5800000000309</v>
      </c>
      <c r="O122" s="15">
        <f>IFERROR(N122/N444, "NA")</f>
        <v>1.0000000000000127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440751.63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434747.93</v>
      </c>
      <c r="U122" s="15">
        <f>IFERROR(T122/T444, "NA")</f>
        <v>1</v>
      </c>
      <c r="V122" s="2"/>
      <c r="W122" s="14">
        <f t="shared" si="26"/>
        <v>6003.7000000000116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379152.36999999994</v>
      </c>
      <c r="AA122" s="15">
        <f>IFERROR(Z122/Z444, "NA")</f>
        <v>0.99999999999999989</v>
      </c>
      <c r="AB122" s="2"/>
      <c r="AC122" s="14">
        <f t="shared" si="27"/>
        <v>61599.260000000068</v>
      </c>
      <c r="AD122" s="15">
        <f>IFERROR(AC122/AC444, "NA")</f>
        <v>1.0000000000000009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104393.88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126946.16999999998</v>
      </c>
      <c r="F124" s="15">
        <f>IFERROR(E124/E444, "NA")</f>
        <v>0.99999999999999989</v>
      </c>
      <c r="G124" s="2"/>
      <c r="H124" s="14">
        <f t="shared" si="24"/>
        <v>-22552.289999999979</v>
      </c>
      <c r="I124" s="15">
        <f>IFERROR(H124/H444, "NA")</f>
        <v>0.99999999999999933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106677.46000000004</v>
      </c>
      <c r="L124" s="15">
        <f>IFERROR(K124/K444, "NA")</f>
        <v>1.0000000000000002</v>
      </c>
      <c r="M124" s="2"/>
      <c r="N124" s="14">
        <f t="shared" si="25"/>
        <v>-2283.5800000000309</v>
      </c>
      <c r="O124" s="15">
        <f>IFERROR(N124/N444, "NA")</f>
        <v>1.0000000000000127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440751.63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434747.93</v>
      </c>
      <c r="U124" s="15">
        <f>IFERROR(T124/T444, "NA")</f>
        <v>1</v>
      </c>
      <c r="V124" s="2"/>
      <c r="W124" s="14">
        <f t="shared" si="26"/>
        <v>6003.7000000000116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379152.36999999994</v>
      </c>
      <c r="AA124" s="15">
        <f>IFERROR(Z124/Z444, "NA")</f>
        <v>0.99999999999999989</v>
      </c>
      <c r="AB124" s="2"/>
      <c r="AC124" s="14">
        <f t="shared" si="27"/>
        <v>61599.260000000068</v>
      </c>
      <c r="AD124" s="15">
        <f>IFERROR(AC124/AC444, "NA")</f>
        <v>1.0000000000000009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28816.78</v>
      </c>
      <c r="F129" s="8">
        <f>IFERROR(E129/E444, "NA")</f>
        <v>0.22699999535236076</v>
      </c>
      <c r="G129" s="9"/>
      <c r="H129" s="10">
        <f t="shared" ref="H129:H141" si="28">IFERROR(-(B129-E129), "NA")</f>
        <v>28816.78</v>
      </c>
      <c r="I129" s="8">
        <f>IFERROR(H129/H444, "NA")</f>
        <v>-1.2777762258289516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103494.03</v>
      </c>
      <c r="U129" s="8">
        <f>IFERROR(T129/T444, "NA")</f>
        <v>0.23805525652531573</v>
      </c>
      <c r="V129" s="9"/>
      <c r="W129" s="10">
        <f t="shared" ref="W129:W141" si="30">IFERROR(-(Q129-T129), "NA")</f>
        <v>103494.03</v>
      </c>
      <c r="X129" s="8">
        <f>IFERROR(W129/W444, "NA")</f>
        <v>17.238374668954112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7050.12</v>
      </c>
      <c r="C130" s="8">
        <f>IFERROR(B130/B444, "NA")</f>
        <v>6.7533843937977969E-2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-7050.12</v>
      </c>
      <c r="I130" s="8">
        <f>IFERROR(H130/H444, "NA")</f>
        <v>0.31261215601608539</v>
      </c>
      <c r="J130" s="9"/>
      <c r="K130" s="7">
        <v>6817.96</v>
      </c>
      <c r="L130" s="8">
        <f>IFERROR(K130/K444, "NA")</f>
        <v>6.391190791381797E-2</v>
      </c>
      <c r="M130" s="9"/>
      <c r="N130" s="10">
        <f t="shared" si="29"/>
        <v>-232.15999999999985</v>
      </c>
      <c r="O130" s="8">
        <f>IFERROR(N130/N444, "NA")</f>
        <v>0.10166492962804004</v>
      </c>
      <c r="P130" s="9"/>
      <c r="Q130" s="7">
        <v>27390.76</v>
      </c>
      <c r="R130" s="8">
        <f>IFERROR(Q130/Q444, "NA")</f>
        <v>6.2145567107715516E-2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-27390.76</v>
      </c>
      <c r="X130" s="8">
        <f>IFERROR(W130/W444, "NA")</f>
        <v>-4.562313240168554</v>
      </c>
      <c r="Y130" s="9"/>
      <c r="Z130" s="7">
        <v>26452.5</v>
      </c>
      <c r="AA130" s="8">
        <f>IFERROR(Z130/Z444, "NA")</f>
        <v>6.9767465781632856E-2</v>
      </c>
      <c r="AB130" s="9"/>
      <c r="AC130" s="10">
        <f t="shared" si="31"/>
        <v>-938.2599999999984</v>
      </c>
      <c r="AD130" s="8">
        <f>IFERROR(AC130/AC444, "NA")</f>
        <v>-1.5231676484425272E-2</v>
      </c>
    </row>
    <row r="131" spans="1:30" ht="16.5" customHeight="1" x14ac:dyDescent="0.45">
      <c r="A131" s="12" t="s">
        <v>123</v>
      </c>
      <c r="B131" s="7">
        <v>3417.2</v>
      </c>
      <c r="C131" s="8">
        <f>IFERROR(B131/B444, "NA")</f>
        <v>3.2733719639503771E-2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-3417.2</v>
      </c>
      <c r="I131" s="8">
        <f>IFERROR(H131/H444, "NA")</f>
        <v>0.15152341513877307</v>
      </c>
      <c r="J131" s="9"/>
      <c r="K131" s="7">
        <v>3416.46</v>
      </c>
      <c r="L131" s="8">
        <f>IFERROR(K131/K444, "NA")</f>
        <v>3.2026071861853474E-2</v>
      </c>
      <c r="M131" s="9"/>
      <c r="N131" s="10">
        <f t="shared" si="29"/>
        <v>-0.73999999999978172</v>
      </c>
      <c r="O131" s="8">
        <f>IFERROR(N131/N444, "NA")</f>
        <v>3.2405258410030791E-4</v>
      </c>
      <c r="P131" s="9"/>
      <c r="Q131" s="7">
        <v>14613.92</v>
      </c>
      <c r="R131" s="8">
        <f>IFERROR(Q131/Q444, "NA")</f>
        <v>3.3156814417226316E-2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-14613.92</v>
      </c>
      <c r="X131" s="8">
        <f>IFERROR(W131/W444, "NA")</f>
        <v>-2.4341522727651235</v>
      </c>
      <c r="Y131" s="9"/>
      <c r="Z131" s="7">
        <v>12929.23</v>
      </c>
      <c r="AA131" s="8">
        <f>IFERROR(Z131/Z444, "NA")</f>
        <v>3.4100353902574841E-2</v>
      </c>
      <c r="AB131" s="9"/>
      <c r="AC131" s="10">
        <f t="shared" si="31"/>
        <v>-1684.6900000000005</v>
      </c>
      <c r="AD131" s="8">
        <f>IFERROR(AC131/AC444, "NA")</f>
        <v>-2.7349192181854137E-2</v>
      </c>
    </row>
    <row r="132" spans="1:30" ht="16.5" customHeight="1" x14ac:dyDescent="0.45">
      <c r="A132" s="12" t="s">
        <v>124</v>
      </c>
      <c r="B132" s="7">
        <v>4345.87</v>
      </c>
      <c r="C132" s="8">
        <f>IFERROR(B132/B444, "NA")</f>
        <v>4.1629547632485733E-2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-4345.87</v>
      </c>
      <c r="I132" s="8">
        <f>IFERROR(H132/H444, "NA")</f>
        <v>0.19270193847276712</v>
      </c>
      <c r="J132" s="9"/>
      <c r="K132" s="7">
        <v>3432.24</v>
      </c>
      <c r="L132" s="8">
        <f>IFERROR(K132/K444, "NA")</f>
        <v>3.2173994393942258E-2</v>
      </c>
      <c r="M132" s="9"/>
      <c r="N132" s="10">
        <f t="shared" si="29"/>
        <v>-913.63000000000011</v>
      </c>
      <c r="O132" s="8">
        <f>IFERROR(N132/N444, "NA")</f>
        <v>0.40008670596169149</v>
      </c>
      <c r="P132" s="9"/>
      <c r="Q132" s="7">
        <v>16740.82</v>
      </c>
      <c r="R132" s="8">
        <f>IFERROR(Q132/Q444, "NA")</f>
        <v>3.7982434687762807E-2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-16740.82</v>
      </c>
      <c r="X132" s="8">
        <f>IFERROR(W132/W444, "NA")</f>
        <v>-2.7884171427619582</v>
      </c>
      <c r="Y132" s="9"/>
      <c r="Z132" s="7">
        <v>12672.36</v>
      </c>
      <c r="AA132" s="8">
        <f>IFERROR(Z132/Z444, "NA")</f>
        <v>3.3422869017012871E-2</v>
      </c>
      <c r="AB132" s="9"/>
      <c r="AC132" s="10">
        <f t="shared" si="31"/>
        <v>-4068.4599999999991</v>
      </c>
      <c r="AD132" s="8">
        <f>IFERROR(AC132/AC444, "NA")</f>
        <v>-6.6047221995848629E-2</v>
      </c>
    </row>
    <row r="133" spans="1:30" ht="16.5" customHeight="1" x14ac:dyDescent="0.45">
      <c r="A133" s="12" t="s">
        <v>125</v>
      </c>
      <c r="B133" s="7">
        <v>2657.44</v>
      </c>
      <c r="C133" s="8">
        <f>IFERROR(B133/B444, "NA")</f>
        <v>2.5455898372586591E-2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-2657.44</v>
      </c>
      <c r="I133" s="8">
        <f>IFERROR(H133/H444, "NA")</f>
        <v>0.1178345968413851</v>
      </c>
      <c r="J133" s="9"/>
      <c r="K133" s="7">
        <v>2789.36</v>
      </c>
      <c r="L133" s="8">
        <f>IFERROR(K133/K444, "NA")</f>
        <v>2.6147604189301094E-2</v>
      </c>
      <c r="M133" s="9"/>
      <c r="N133" s="10">
        <f t="shared" si="29"/>
        <v>131.92000000000007</v>
      </c>
      <c r="O133" s="8">
        <f>IFERROR(N133/N444, "NA")</f>
        <v>-5.7768941749358454E-2</v>
      </c>
      <c r="P133" s="9"/>
      <c r="Q133" s="7">
        <v>11268.24</v>
      </c>
      <c r="R133" s="8">
        <f>IFERROR(Q133/Q444, "NA")</f>
        <v>2.5565963306817492E-2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-11268.24</v>
      </c>
      <c r="X133" s="8">
        <f>IFERROR(W133/W444, "NA")</f>
        <v>-1.8768825890700698</v>
      </c>
      <c r="Y133" s="9"/>
      <c r="Z133" s="7">
        <v>9010.2900000000009</v>
      </c>
      <c r="AA133" s="8">
        <f>IFERROR(Z133/Z444, "NA")</f>
        <v>2.3764298242419008E-2</v>
      </c>
      <c r="AB133" s="9"/>
      <c r="AC133" s="10">
        <f t="shared" si="31"/>
        <v>-2257.9499999999989</v>
      </c>
      <c r="AD133" s="8">
        <f>IFERROR(AC133/AC444, "NA")</f>
        <v>-3.6655472809251258E-2</v>
      </c>
    </row>
    <row r="134" spans="1:30" ht="16.5" customHeight="1" x14ac:dyDescent="0.45">
      <c r="A134" s="12" t="s">
        <v>126</v>
      </c>
      <c r="B134" s="7">
        <v>1011.45</v>
      </c>
      <c r="C134" s="8">
        <f>IFERROR(B134/B444, "NA")</f>
        <v>9.6887863541425985E-3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-1011.45</v>
      </c>
      <c r="I134" s="8">
        <f>IFERROR(H134/H444, "NA")</f>
        <v>4.4849104015601091E-2</v>
      </c>
      <c r="J134" s="9"/>
      <c r="K134" s="7">
        <v>1272.43</v>
      </c>
      <c r="L134" s="8">
        <f>IFERROR(K134/K444, "NA")</f>
        <v>1.1927824303278312E-2</v>
      </c>
      <c r="M134" s="9"/>
      <c r="N134" s="10">
        <f t="shared" si="29"/>
        <v>260.98</v>
      </c>
      <c r="O134" s="8">
        <f>IFERROR(N134/N444, "NA")</f>
        <v>-0.11428546405205853</v>
      </c>
      <c r="P134" s="9"/>
      <c r="Q134" s="7">
        <v>4290.4399999999996</v>
      </c>
      <c r="R134" s="8">
        <f>IFERROR(Q134/Q444, "NA")</f>
        <v>9.7343712602946005E-3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-4290.4399999999996</v>
      </c>
      <c r="X134" s="8">
        <f>IFERROR(W134/W444, "NA")</f>
        <v>-0.71463264320335651</v>
      </c>
      <c r="Y134" s="9"/>
      <c r="Z134" s="7">
        <v>5047.8599999999997</v>
      </c>
      <c r="AA134" s="8">
        <f>IFERROR(Z134/Z444, "NA")</f>
        <v>1.3313539356222407E-2</v>
      </c>
      <c r="AB134" s="9"/>
      <c r="AC134" s="10">
        <f t="shared" si="31"/>
        <v>757.42000000000007</v>
      </c>
      <c r="AD134" s="8">
        <f>IFERROR(AC134/AC444, "NA")</f>
        <v>1.2295926931589762E-2</v>
      </c>
    </row>
    <row r="135" spans="1:30" ht="16.5" customHeight="1" x14ac:dyDescent="0.45">
      <c r="A135" s="12" t="s">
        <v>127</v>
      </c>
      <c r="B135" s="7">
        <v>1004.07</v>
      </c>
      <c r="C135" s="8">
        <f>IFERROR(B135/B444, "NA")</f>
        <v>9.6180925548509169E-3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-1004.07</v>
      </c>
      <c r="I135" s="8">
        <f>IFERROR(H135/H444, "NA")</f>
        <v>4.4521864520188428E-2</v>
      </c>
      <c r="J135" s="9"/>
      <c r="K135" s="7">
        <v>879.38</v>
      </c>
      <c r="L135" s="8">
        <f>IFERROR(K135/K444, "NA")</f>
        <v>8.2433533756802978E-3</v>
      </c>
      <c r="M135" s="9"/>
      <c r="N135" s="10">
        <f t="shared" si="29"/>
        <v>-124.69000000000005</v>
      </c>
      <c r="O135" s="8">
        <f>IFERROR(N135/N444, "NA")</f>
        <v>5.4602860420918012E-2</v>
      </c>
      <c r="P135" s="9"/>
      <c r="Q135" s="7">
        <v>3597.28</v>
      </c>
      <c r="R135" s="8">
        <f>IFERROR(Q135/Q444, "NA")</f>
        <v>8.161694149605301E-3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-3597.28</v>
      </c>
      <c r="X135" s="8">
        <f>IFERROR(W135/W444, "NA")</f>
        <v>-0.59917717407598536</v>
      </c>
      <c r="Y135" s="9"/>
      <c r="Z135" s="7">
        <v>3000.37</v>
      </c>
      <c r="AA135" s="8">
        <f>IFERROR(Z135/Z444, "NA")</f>
        <v>7.9133621134954268E-3</v>
      </c>
      <c r="AB135" s="9"/>
      <c r="AC135" s="10">
        <f t="shared" si="31"/>
        <v>-596.91000000000031</v>
      </c>
      <c r="AD135" s="8">
        <f>IFERROR(AC135/AC444, "NA")</f>
        <v>-9.6902138110100712E-3</v>
      </c>
    </row>
    <row r="136" spans="1:30" ht="16.5" customHeight="1" x14ac:dyDescent="0.45">
      <c r="A136" s="12" t="s">
        <v>128</v>
      </c>
      <c r="B136" s="7">
        <v>1333.01</v>
      </c>
      <c r="C136" s="8">
        <f>IFERROR(B136/B444, "NA")</f>
        <v>1.2769043549296184E-2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-1333.01</v>
      </c>
      <c r="I136" s="8">
        <f>IFERROR(H136/H444, "NA")</f>
        <v>5.9107523005424302E-2</v>
      </c>
      <c r="J136" s="9"/>
      <c r="K136" s="7">
        <v>706.1</v>
      </c>
      <c r="L136" s="8">
        <f>IFERROR(K136/K444, "NA")</f>
        <v>6.6190177381426213E-3</v>
      </c>
      <c r="M136" s="9"/>
      <c r="N136" s="10">
        <f t="shared" si="29"/>
        <v>-626.91</v>
      </c>
      <c r="O136" s="8">
        <f>IFERROR(N136/N444, "NA")</f>
        <v>0.27452946688970803</v>
      </c>
      <c r="P136" s="9"/>
      <c r="Q136" s="7">
        <v>4429.3599999999997</v>
      </c>
      <c r="R136" s="8">
        <f>IFERROR(Q136/Q444, "NA")</f>
        <v>1.0049560111666517E-2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-4429.3599999999997</v>
      </c>
      <c r="X136" s="8">
        <f>IFERROR(W136/W444, "NA")</f>
        <v>-0.73777170744707277</v>
      </c>
      <c r="Y136" s="9"/>
      <c r="Z136" s="7">
        <v>3701.49</v>
      </c>
      <c r="AA136" s="8">
        <f>IFERROR(Z136/Z444, "NA")</f>
        <v>9.7625395299520343E-3</v>
      </c>
      <c r="AB136" s="9"/>
      <c r="AC136" s="10">
        <f t="shared" si="31"/>
        <v>-727.86999999999989</v>
      </c>
      <c r="AD136" s="8">
        <f>IFERROR(AC136/AC444, "NA")</f>
        <v>-1.1816213376589261E-2</v>
      </c>
    </row>
    <row r="137" spans="1:30" ht="16.5" customHeight="1" x14ac:dyDescent="0.45">
      <c r="A137" s="12" t="s">
        <v>129</v>
      </c>
      <c r="B137" s="7">
        <v>692.1</v>
      </c>
      <c r="C137" s="8">
        <f>IFERROR(B137/B444, "NA")</f>
        <v>6.629698982354138E-3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-692.1</v>
      </c>
      <c r="I137" s="8">
        <f>IFERROR(H137/H444, "NA")</f>
        <v>3.0688679508821509E-2</v>
      </c>
      <c r="J137" s="9"/>
      <c r="K137" s="7">
        <v>551.70000000000005</v>
      </c>
      <c r="L137" s="8">
        <f>IFERROR(K137/K444, "NA")</f>
        <v>5.1716641922295485E-3</v>
      </c>
      <c r="M137" s="9"/>
      <c r="N137" s="10">
        <f t="shared" si="29"/>
        <v>-140.39999999999998</v>
      </c>
      <c r="O137" s="8">
        <f>IFERROR(N137/N444, "NA")</f>
        <v>6.1482409199590062E-2</v>
      </c>
      <c r="P137" s="9"/>
      <c r="Q137" s="7">
        <v>2309.29</v>
      </c>
      <c r="R137" s="8">
        <f>IFERROR(Q137/Q444, "NA")</f>
        <v>5.2394360969237937E-3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-2309.29</v>
      </c>
      <c r="X137" s="8">
        <f>IFERROR(W137/W444, "NA")</f>
        <v>-0.38464446924396545</v>
      </c>
      <c r="Y137" s="9"/>
      <c r="Z137" s="7">
        <v>2147.17</v>
      </c>
      <c r="AA137" s="8">
        <f>IFERROR(Z137/Z444, "NA")</f>
        <v>5.6630794632775211E-3</v>
      </c>
      <c r="AB137" s="9"/>
      <c r="AC137" s="10">
        <f t="shared" si="31"/>
        <v>-162.11999999999989</v>
      </c>
      <c r="AD137" s="8">
        <f>IFERROR(AC137/AC444, "NA")</f>
        <v>-2.6318497981956254E-3</v>
      </c>
    </row>
    <row r="138" spans="1:30" ht="16.5" customHeight="1" x14ac:dyDescent="0.45">
      <c r="A138" s="12" t="s">
        <v>130</v>
      </c>
      <c r="B138" s="7">
        <v>7257.65</v>
      </c>
      <c r="C138" s="8">
        <f>IFERROR(B138/B444, "NA")</f>
        <v>6.9521795722124705E-2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-7257.65</v>
      </c>
      <c r="I138" s="8">
        <f>IFERROR(H138/H444, "NA")</f>
        <v>0.32181432572922758</v>
      </c>
      <c r="J138" s="9"/>
      <c r="K138" s="7">
        <v>4984.8999999999996</v>
      </c>
      <c r="L138" s="8">
        <f>IFERROR(K138/K444, "NA")</f>
        <v>4.6728709138744016E-2</v>
      </c>
      <c r="M138" s="9"/>
      <c r="N138" s="10">
        <f t="shared" si="29"/>
        <v>-2272.75</v>
      </c>
      <c r="O138" s="8">
        <f>IFERROR(N138/N444, "NA")</f>
        <v>0.99525744664080007</v>
      </c>
      <c r="P138" s="9"/>
      <c r="Q138" s="7">
        <v>27340.17</v>
      </c>
      <c r="R138" s="8">
        <f>IFERROR(Q138/Q444, "NA")</f>
        <v>6.2030785909969292E-2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-27340.17</v>
      </c>
      <c r="X138" s="8">
        <f>IFERROR(W138/W444, "NA")</f>
        <v>-4.5538867698252652</v>
      </c>
      <c r="Y138" s="9"/>
      <c r="Z138" s="7">
        <v>19997.099999999999</v>
      </c>
      <c r="AA138" s="8">
        <f>IFERROR(Z138/Z444, "NA")</f>
        <v>5.27415930434511E-2</v>
      </c>
      <c r="AB138" s="9"/>
      <c r="AC138" s="10">
        <f t="shared" si="31"/>
        <v>-7343.07</v>
      </c>
      <c r="AD138" s="8">
        <f>IFERROR(AC138/AC444, "NA")</f>
        <v>-0.11920711385169235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52</v>
      </c>
      <c r="AA140" s="8">
        <f>IFERROR(Z140/Z444, "NA")</f>
        <v>1.3714802837708757E-4</v>
      </c>
      <c r="AB140" s="9"/>
      <c r="AC140" s="10">
        <f t="shared" si="31"/>
        <v>52</v>
      </c>
      <c r="AD140" s="8">
        <f>IFERROR(AC140/AC444, "NA")</f>
        <v>8.4416598511085998E-4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28768.909999999996</v>
      </c>
      <c r="C141" s="15">
        <f>IFERROR(B141/B444, "NA")</f>
        <v>0.27558042674532257</v>
      </c>
      <c r="D141" s="2"/>
      <c r="E141" s="14">
        <f>IFERROR(E129+E130+E131+E132+E133+E134+E135+E136+E137+E138+E139+E140, "NA")</f>
        <v>28816.78</v>
      </c>
      <c r="F141" s="15">
        <f>IFERROR(E141/E444, "NA")</f>
        <v>0.22699999535236076</v>
      </c>
      <c r="G141" s="2"/>
      <c r="H141" s="14">
        <f t="shared" si="28"/>
        <v>47.870000000002619</v>
      </c>
      <c r="I141" s="15">
        <f>IFERROR(H141/H444, "NA")</f>
        <v>-2.1226225806781763E-3</v>
      </c>
      <c r="J141" s="2"/>
      <c r="K141" s="14">
        <f>IFERROR(K129+K130+K131+K132+K133+K134+K135+K136+K137+K138+K139+K140, "NA")</f>
        <v>24850.53</v>
      </c>
      <c r="L141" s="15">
        <f>IFERROR(K141/K444, "NA")</f>
        <v>0.23295014710698958</v>
      </c>
      <c r="M141" s="2"/>
      <c r="N141" s="14">
        <f t="shared" si="29"/>
        <v>-3918.3799999999974</v>
      </c>
      <c r="O141" s="15">
        <f>IFERROR(N141/N444, "NA")</f>
        <v>1.7158934655234301</v>
      </c>
      <c r="P141" s="2"/>
      <c r="Q141" s="14">
        <f>IFERROR(Q129+Q130+Q131+Q132+Q133+Q134+Q135+Q136+Q137+Q138+Q139+Q140, "NA")</f>
        <v>111980.28</v>
      </c>
      <c r="R141" s="15">
        <f>IFERROR(Q141/Q444, "NA")</f>
        <v>0.25406662704798166</v>
      </c>
      <c r="S141" s="2"/>
      <c r="T141" s="14">
        <f>IFERROR(T129+T130+T131+T132+T133+T134+T135+T136+T137+T138+T139+T140, "NA")</f>
        <v>103494.03</v>
      </c>
      <c r="U141" s="15">
        <f>IFERROR(T141/T444, "NA")</f>
        <v>0.23805525652531573</v>
      </c>
      <c r="V141" s="2"/>
      <c r="W141" s="14">
        <f t="shared" si="30"/>
        <v>-8486.25</v>
      </c>
      <c r="X141" s="15">
        <f>IFERROR(W141/W444, "NA")</f>
        <v>-1.4135033396072394</v>
      </c>
      <c r="Y141" s="2"/>
      <c r="Z141" s="14">
        <f>IFERROR(Z129+Z130+Z131+Z132+Z133+Z134+Z135+Z136+Z137+Z138+Z139+Z140, "NA")</f>
        <v>95010.37</v>
      </c>
      <c r="AA141" s="15">
        <f>IFERROR(Z141/Z444, "NA")</f>
        <v>0.25058624847841515</v>
      </c>
      <c r="AB141" s="2"/>
      <c r="AC141" s="14">
        <f t="shared" si="31"/>
        <v>-16969.910000000003</v>
      </c>
      <c r="AD141" s="15">
        <f>IFERROR(AC141/AC444, "NA")</f>
        <v>-0.27548886139216611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1654.15</v>
      </c>
      <c r="C144" s="8">
        <f>IFERROR(B144/B444, "NA")</f>
        <v>1.5845277520099836E-2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-1654.15</v>
      </c>
      <c r="I144" s="8">
        <f>IFERROR(H144/H444, "NA")</f>
        <v>7.334731860932972E-2</v>
      </c>
      <c r="J144" s="9"/>
      <c r="K144" s="7">
        <v>1136.54</v>
      </c>
      <c r="L144" s="8">
        <f>IFERROR(K144/K444, "NA")</f>
        <v>1.0653984449948469E-2</v>
      </c>
      <c r="M144" s="9"/>
      <c r="N144" s="10">
        <f t="shared" si="33"/>
        <v>-517.61000000000013</v>
      </c>
      <c r="O144" s="8">
        <f>IFERROR(N144/N444, "NA")</f>
        <v>0.22666602440028366</v>
      </c>
      <c r="P144" s="9"/>
      <c r="Q144" s="7">
        <v>6138.72</v>
      </c>
      <c r="R144" s="8">
        <f>IFERROR(Q144/Q444, "NA")</f>
        <v>1.3927844123911692E-2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-6138.72</v>
      </c>
      <c r="X144" s="8">
        <f>IFERROR(W144/W444, "NA")</f>
        <v>-1.0224894648300196</v>
      </c>
      <c r="Y144" s="9"/>
      <c r="Z144" s="7">
        <v>4330.9399999999996</v>
      </c>
      <c r="AA144" s="8">
        <f>IFERROR(Z144/Z444, "NA")</f>
        <v>1.1422690038835837E-2</v>
      </c>
      <c r="AB144" s="9"/>
      <c r="AC144" s="10">
        <f t="shared" si="35"/>
        <v>-1807.7800000000007</v>
      </c>
      <c r="AD144" s="8">
        <f>IFERROR(AC144/AC444, "NA")</f>
        <v>-2.9347430472379057E-2</v>
      </c>
    </row>
    <row r="145" spans="1:30" ht="16.5" customHeight="1" x14ac:dyDescent="0.45">
      <c r="A145" s="12" t="s">
        <v>136</v>
      </c>
      <c r="B145" s="7">
        <v>-64.06</v>
      </c>
      <c r="C145" s="8">
        <f>IFERROR(B145/B444, "NA")</f>
        <v>-6.1363750442075722E-4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64.06</v>
      </c>
      <c r="I145" s="8">
        <f>IFERROR(H145/H444, "NA")</f>
        <v>-2.8405097664139659E-3</v>
      </c>
      <c r="J145" s="9"/>
      <c r="K145" s="7">
        <v>112.2</v>
      </c>
      <c r="L145" s="8">
        <f>IFERROR(K145/K444, "NA")</f>
        <v>1.0517685741674014E-3</v>
      </c>
      <c r="M145" s="9"/>
      <c r="N145" s="10">
        <f t="shared" si="33"/>
        <v>176.26</v>
      </c>
      <c r="O145" s="8">
        <f>IFERROR(N145/N444, "NA")</f>
        <v>-7.7185822261536641E-2</v>
      </c>
      <c r="P145" s="9"/>
      <c r="Q145" s="7">
        <v>80.64</v>
      </c>
      <c r="R145" s="8">
        <f>IFERROR(Q145/Q444, "NA")</f>
        <v>1.8296018553578576E-4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-80.64</v>
      </c>
      <c r="X145" s="8">
        <f>IFERROR(W145/W444, "NA")</f>
        <v>-1.3431717107783507E-2</v>
      </c>
      <c r="Y145" s="9"/>
      <c r="Z145" s="7">
        <v>292.58999999999997</v>
      </c>
      <c r="AA145" s="8">
        <f>IFERROR(Z145/Z444, "NA")</f>
        <v>7.7169503120869316E-4</v>
      </c>
      <c r="AB145" s="9"/>
      <c r="AC145" s="10">
        <f t="shared" si="35"/>
        <v>211.95</v>
      </c>
      <c r="AD145" s="8">
        <f>IFERROR(AC145/AC444, "NA")</f>
        <v>3.4407880873893607E-3</v>
      </c>
    </row>
    <row r="146" spans="1:30" ht="16.5" customHeight="1" x14ac:dyDescent="0.45">
      <c r="A146" s="12" t="s">
        <v>137</v>
      </c>
      <c r="B146" s="7">
        <v>251.29</v>
      </c>
      <c r="C146" s="8">
        <f>IFERROR(B146/B444, "NA")</f>
        <v>2.4071334449873878E-3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-251.29</v>
      </c>
      <c r="I146" s="8">
        <f>IFERROR(H146/H444, "NA")</f>
        <v>1.1142549160196151E-2</v>
      </c>
      <c r="J146" s="9"/>
      <c r="K146" s="7">
        <v>624.03</v>
      </c>
      <c r="L146" s="8">
        <f>IFERROR(K146/K444, "NA")</f>
        <v>5.8496893345604583E-3</v>
      </c>
      <c r="M146" s="9"/>
      <c r="N146" s="10">
        <f t="shared" si="33"/>
        <v>372.74</v>
      </c>
      <c r="O146" s="8">
        <f>IFERROR(N146/N444, "NA")</f>
        <v>-0.16322616242916813</v>
      </c>
      <c r="P146" s="9"/>
      <c r="Q146" s="7">
        <v>507.62</v>
      </c>
      <c r="R146" s="8">
        <f>IFERROR(Q146/Q444, "NA")</f>
        <v>1.1517144020545085E-3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-507.62</v>
      </c>
      <c r="X146" s="8">
        <f>IFERROR(W146/W444, "NA")</f>
        <v>-8.4551193430717556E-2</v>
      </c>
      <c r="Y146" s="9"/>
      <c r="Z146" s="7">
        <v>1012.79</v>
      </c>
      <c r="AA146" s="8">
        <f>IFERROR(Z146/Z444, "NA")</f>
        <v>2.6711952242313556E-3</v>
      </c>
      <c r="AB146" s="9"/>
      <c r="AC146" s="10">
        <f t="shared" si="35"/>
        <v>505.16999999999996</v>
      </c>
      <c r="AD146" s="8">
        <f>IFERROR(AC146/AC444, "NA")</f>
        <v>8.2009102057394832E-3</v>
      </c>
    </row>
    <row r="147" spans="1:30" ht="16.5" customHeight="1" x14ac:dyDescent="0.45">
      <c r="A147" s="12" t="s">
        <v>138</v>
      </c>
      <c r="B147" s="7">
        <v>20.89</v>
      </c>
      <c r="C147" s="8">
        <f>IFERROR(B147/B444, "NA")</f>
        <v>2.0010751588119916E-4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-20.89</v>
      </c>
      <c r="I147" s="8">
        <f>IFERROR(H147/H444, "NA")</f>
        <v>9.2629174243502577E-4</v>
      </c>
      <c r="J147" s="9"/>
      <c r="K147" s="7">
        <v>28.61</v>
      </c>
      <c r="L147" s="8">
        <f>IFERROR(K147/K444, "NA")</f>
        <v>2.6819161236122415E-4</v>
      </c>
      <c r="M147" s="9"/>
      <c r="N147" s="10">
        <f t="shared" si="33"/>
        <v>7.7199999999999989</v>
      </c>
      <c r="O147" s="8">
        <f>IFERROR(N147/N444, "NA")</f>
        <v>-3.3806566881825874E-3</v>
      </c>
      <c r="P147" s="9"/>
      <c r="Q147" s="7">
        <v>61.04</v>
      </c>
      <c r="R147" s="8">
        <f>IFERROR(Q147/Q444, "NA")</f>
        <v>1.3849069599583782E-4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-61.04</v>
      </c>
      <c r="X147" s="8">
        <f>IFERROR(W147/W444, "NA")</f>
        <v>-1.0167063644086127E-2</v>
      </c>
      <c r="Y147" s="9"/>
      <c r="Z147" s="7">
        <v>160.66999999999999</v>
      </c>
      <c r="AA147" s="8">
        <f>IFERROR(Z147/Z444, "NA")</f>
        <v>4.2376103306435874E-4</v>
      </c>
      <c r="AB147" s="9"/>
      <c r="AC147" s="10">
        <f t="shared" si="35"/>
        <v>99.63</v>
      </c>
      <c r="AD147" s="8">
        <f>IFERROR(AC147/AC444, "NA")</f>
        <v>1.6173895595499033E-3</v>
      </c>
    </row>
    <row r="148" spans="1:30" ht="16.5" customHeight="1" x14ac:dyDescent="0.45">
      <c r="A148" s="13" t="s">
        <v>139</v>
      </c>
      <c r="B148" s="14">
        <f>IFERROR(B143+B144+B145+B146+B147, "NA")</f>
        <v>1862.2700000000002</v>
      </c>
      <c r="C148" s="15">
        <f>IFERROR(B148/B444, "NA")</f>
        <v>1.7838880976547667E-2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-1862.2700000000002</v>
      </c>
      <c r="I148" s="15">
        <f>IFERROR(H148/H444, "NA")</f>
        <v>8.2575649745546931E-2</v>
      </c>
      <c r="J148" s="2"/>
      <c r="K148" s="14">
        <f>IFERROR(K143+K144+K145+K146+K147, "NA")</f>
        <v>1901.3799999999999</v>
      </c>
      <c r="L148" s="15">
        <f>IFERROR(K148/K444, "NA")</f>
        <v>1.7823633971037554E-2</v>
      </c>
      <c r="M148" s="2"/>
      <c r="N148" s="14">
        <f t="shared" si="33"/>
        <v>39.109999999999673</v>
      </c>
      <c r="O148" s="15">
        <f>IFERROR(N148/N444, "NA")</f>
        <v>-1.7126616978603616E-2</v>
      </c>
      <c r="P148" s="2"/>
      <c r="Q148" s="14">
        <f>IFERROR(Q143+Q144+Q145+Q146+Q147, "NA")</f>
        <v>6788.02</v>
      </c>
      <c r="R148" s="15">
        <f>IFERROR(Q148/Q444, "NA")</f>
        <v>1.5401009407497824E-2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-6788.02</v>
      </c>
      <c r="X148" s="15">
        <f>IFERROR(W148/W444, "NA")</f>
        <v>-1.1306394390126067</v>
      </c>
      <c r="Y148" s="2"/>
      <c r="Z148" s="14">
        <f>IFERROR(Z143+Z144+Z145+Z146+Z147, "NA")</f>
        <v>5796.99</v>
      </c>
      <c r="AA148" s="15">
        <f>IFERROR(Z148/Z444, "NA")</f>
        <v>1.5289341327340245E-2</v>
      </c>
      <c r="AB148" s="2"/>
      <c r="AC148" s="14">
        <f t="shared" si="35"/>
        <v>-991.03000000000065</v>
      </c>
      <c r="AD148" s="15">
        <f>IFERROR(AC148/AC444, "NA")</f>
        <v>-1.608834261970031E-2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30631.179999999997</v>
      </c>
      <c r="C149" s="15">
        <f>IFERROR(B149/B444, "NA")</f>
        <v>0.29341930772187025</v>
      </c>
      <c r="D149" s="2"/>
      <c r="E149" s="14">
        <f>IFERROR(E127+E129+E130+E131+E132+E133+E134+E135+E136+E137+E138+E139+E140+E143+E144+E145+E146+E147, "NA")</f>
        <v>28816.78</v>
      </c>
      <c r="F149" s="15">
        <f>IFERROR(E149/E444, "NA")</f>
        <v>0.22699999535236076</v>
      </c>
      <c r="G149" s="2"/>
      <c r="H149" s="14">
        <f t="shared" si="32"/>
        <v>-1814.3999999999978</v>
      </c>
      <c r="I149" s="15">
        <f>IFERROR(H149/H444, "NA")</f>
        <v>8.0453027164868768E-2</v>
      </c>
      <c r="J149" s="2"/>
      <c r="K149" s="14">
        <f>IFERROR(K127+K129+K130+K131+K132+K133+K134+K135+K136+K137+K138+K139+K140+K143+K144+K145+K146+K147, "NA")</f>
        <v>26751.91</v>
      </c>
      <c r="L149" s="15">
        <f>IFERROR(K149/K444, "NA")</f>
        <v>0.25077378107802717</v>
      </c>
      <c r="M149" s="2"/>
      <c r="N149" s="14">
        <f t="shared" si="33"/>
        <v>-3879.2699999999968</v>
      </c>
      <c r="O149" s="15">
        <f>IFERROR(N149/N444, "NA")</f>
        <v>1.698766848544826</v>
      </c>
      <c r="P149" s="2"/>
      <c r="Q149" s="14">
        <f>IFERROR(Q127+Q129+Q130+Q131+Q132+Q133+Q134+Q135+Q136+Q137+Q138+Q139+Q140+Q143+Q144+Q145+Q146+Q147, "NA")</f>
        <v>118768.29999999999</v>
      </c>
      <c r="R149" s="15">
        <f>IFERROR(Q149/Q444, "NA")</f>
        <v>0.26946763645547944</v>
      </c>
      <c r="S149" s="2"/>
      <c r="T149" s="14">
        <f>IFERROR(T127+T129+T130+T131+T132+T133+T134+T135+T136+T137+T138+T139+T140+T143+T144+T145+T146+T147, "NA")</f>
        <v>103494.03</v>
      </c>
      <c r="U149" s="15">
        <f>IFERROR(T149/T444, "NA")</f>
        <v>0.23805525652531573</v>
      </c>
      <c r="V149" s="2"/>
      <c r="W149" s="14">
        <f t="shared" si="34"/>
        <v>-15274.26999999999</v>
      </c>
      <c r="X149" s="15">
        <f>IFERROR(W149/W444, "NA")</f>
        <v>-2.5441427786198445</v>
      </c>
      <c r="Y149" s="2"/>
      <c r="Z149" s="14">
        <f>IFERROR(Z127+Z129+Z130+Z131+Z132+Z133+Z134+Z135+Z136+Z137+Z138+Z139+Z140+Z143+Z144+Z145+Z146+Z147, "NA")</f>
        <v>100807.35999999999</v>
      </c>
      <c r="AA149" s="15">
        <f>IFERROR(Z149/Z444, "NA")</f>
        <v>0.26587558980575537</v>
      </c>
      <c r="AB149" s="2"/>
      <c r="AC149" s="14">
        <f t="shared" si="35"/>
        <v>-17960.940000000002</v>
      </c>
      <c r="AD149" s="15">
        <f>IFERROR(AC149/AC444, "NA")</f>
        <v>-0.29157720401186638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2158.09</v>
      </c>
      <c r="F153" s="8">
        <f>IFERROR(E153/E444, "NA")</f>
        <v>1.700004025328216E-2</v>
      </c>
      <c r="G153" s="9"/>
      <c r="H153" s="10">
        <f t="shared" ref="H153:H158" si="36">IFERROR(-(B153-E153), "NA")</f>
        <v>2158.09</v>
      </c>
      <c r="I153" s="8">
        <f>IFERROR(H153/H444, "NA")</f>
        <v>-9.5692721226979638E-2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7919.61</v>
      </c>
      <c r="U153" s="8">
        <f>IFERROR(T153/T444, "NA")</f>
        <v>1.821655597072078E-2</v>
      </c>
      <c r="V153" s="9"/>
      <c r="W153" s="10">
        <f t="shared" ref="W153:W158" si="38">IFERROR(-(Q153-T153), "NA")</f>
        <v>7919.61</v>
      </c>
      <c r="X153" s="8">
        <f>IFERROR(W153/W444, "NA")</f>
        <v>1.3191215417159392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3515.12</v>
      </c>
      <c r="C154" s="8">
        <f>IFERROR(B154/B444, "NA")</f>
        <v>3.3671705659373899E-2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-3515.12</v>
      </c>
      <c r="I154" s="8">
        <f>IFERROR(H154/H444, "NA")</f>
        <v>0.15586532454132157</v>
      </c>
      <c r="J154" s="9"/>
      <c r="K154" s="7">
        <v>3408</v>
      </c>
      <c r="L154" s="8">
        <f>IFERROR(K154/K444, "NA")</f>
        <v>3.1946767386475082E-2</v>
      </c>
      <c r="M154" s="9"/>
      <c r="N154" s="10">
        <f t="shared" si="37"/>
        <v>-107.11999999999989</v>
      </c>
      <c r="O154" s="8">
        <f>IFERROR(N154/N444, "NA")</f>
        <v>4.6908801093020522E-2</v>
      </c>
      <c r="P154" s="9"/>
      <c r="Q154" s="7">
        <v>14828.43</v>
      </c>
      <c r="R154" s="8">
        <f>IFERROR(Q154/Q444, "NA")</f>
        <v>3.3643505754022966E-2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-14828.43</v>
      </c>
      <c r="X154" s="8">
        <f>IFERROR(W154/W444, "NA")</f>
        <v>-2.4698819061578647</v>
      </c>
      <c r="Y154" s="9"/>
      <c r="Z154" s="7">
        <v>13630.25</v>
      </c>
      <c r="AA154" s="8">
        <f>IFERROR(Z154/Z444, "NA")</f>
        <v>3.5949267572823032E-2</v>
      </c>
      <c r="AB154" s="9"/>
      <c r="AC154" s="10">
        <f t="shared" si="39"/>
        <v>-1198.1800000000003</v>
      </c>
      <c r="AD154" s="8">
        <f>IFERROR(AC154/AC444, "NA")</f>
        <v>-1.9451207693079432E-2</v>
      </c>
    </row>
    <row r="155" spans="1:30" ht="16.5" customHeight="1" x14ac:dyDescent="0.45">
      <c r="A155" s="12" t="s">
        <v>144</v>
      </c>
      <c r="B155" s="7">
        <v>953.73</v>
      </c>
      <c r="C155" s="8">
        <f>IFERROR(B155/B444, "NA")</f>
        <v>9.1358803791946417E-3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-953.73</v>
      </c>
      <c r="I155" s="8">
        <f>IFERROR(H155/H444, "NA")</f>
        <v>4.2289718693755723E-2</v>
      </c>
      <c r="J155" s="9"/>
      <c r="K155" s="7">
        <v>1669.35</v>
      </c>
      <c r="L155" s="8">
        <f>IFERROR(K155/K444, "NA")</f>
        <v>1.5648572810038782E-2</v>
      </c>
      <c r="M155" s="9"/>
      <c r="N155" s="10">
        <f t="shared" si="37"/>
        <v>715.61999999999989</v>
      </c>
      <c r="O155" s="8">
        <f>IFERROR(N155/N444, "NA")</f>
        <v>-0.31337636518098744</v>
      </c>
      <c r="P155" s="9"/>
      <c r="Q155" s="7">
        <v>4382.4399999999996</v>
      </c>
      <c r="R155" s="8">
        <f>IFERROR(Q155/Q444, "NA")</f>
        <v>9.9431055989514985E-3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-4382.4399999999996</v>
      </c>
      <c r="X155" s="8">
        <f>IFERROR(W155/W444, "NA")</f>
        <v>-0.72995652680846668</v>
      </c>
      <c r="Y155" s="9"/>
      <c r="Z155" s="7">
        <v>4500.93</v>
      </c>
      <c r="AA155" s="8">
        <f>IFERROR(Z155/Z444, "NA")</f>
        <v>1.1871032218524707E-2</v>
      </c>
      <c r="AB155" s="9"/>
      <c r="AC155" s="10">
        <f t="shared" si="39"/>
        <v>118.49000000000069</v>
      </c>
      <c r="AD155" s="8">
        <f>IFERROR(AC155/AC444, "NA")</f>
        <v>1.9235620687651227E-3</v>
      </c>
    </row>
    <row r="156" spans="1:30" ht="16.5" hidden="1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0</v>
      </c>
      <c r="AD156" s="8">
        <f>IFERROR(AC156/AC444, "NA")</f>
        <v>0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4468.8500000000004</v>
      </c>
      <c r="C158" s="15">
        <f>IFERROR(B158/B444, "NA")</f>
        <v>4.2807586038568546E-2</v>
      </c>
      <c r="D158" s="2"/>
      <c r="E158" s="14">
        <f>IFERROR(E153+E154+E155+E156+E157, "NA")</f>
        <v>2158.09</v>
      </c>
      <c r="F158" s="15">
        <f>IFERROR(E158/E444, "NA")</f>
        <v>1.700004025328216E-2</v>
      </c>
      <c r="G158" s="2"/>
      <c r="H158" s="14">
        <f t="shared" si="36"/>
        <v>-2310.7600000000002</v>
      </c>
      <c r="I158" s="15">
        <f>IFERROR(H158/H444, "NA")</f>
        <v>0.10246232200809767</v>
      </c>
      <c r="J158" s="2"/>
      <c r="K158" s="14">
        <f>IFERROR(K153+K154+K155+K156+K157, "NA")</f>
        <v>5077.3500000000004</v>
      </c>
      <c r="L158" s="15">
        <f>IFERROR(K158/K444, "NA")</f>
        <v>4.7595340196513868E-2</v>
      </c>
      <c r="M158" s="2"/>
      <c r="N158" s="14">
        <f t="shared" si="37"/>
        <v>608.5</v>
      </c>
      <c r="O158" s="15">
        <f>IFERROR(N158/N444, "NA")</f>
        <v>-0.26646756408796696</v>
      </c>
      <c r="P158" s="2"/>
      <c r="Q158" s="14">
        <f>IFERROR(Q153+Q154+Q155+Q156+Q157, "NA")</f>
        <v>19210.87</v>
      </c>
      <c r="R158" s="15">
        <f>IFERROR(Q158/Q444, "NA")</f>
        <v>4.3586611352974459E-2</v>
      </c>
      <c r="S158" s="2"/>
      <c r="T158" s="14">
        <f>IFERROR(T153+T154+T155+T156+T157, "NA")</f>
        <v>7919.61</v>
      </c>
      <c r="U158" s="15">
        <f>IFERROR(T158/T444, "NA")</f>
        <v>1.821655597072078E-2</v>
      </c>
      <c r="V158" s="2"/>
      <c r="W158" s="14">
        <f t="shared" si="38"/>
        <v>-11291.259999999998</v>
      </c>
      <c r="X158" s="15">
        <f>IFERROR(W158/W444, "NA")</f>
        <v>-1.8807168912503918</v>
      </c>
      <c r="Y158" s="2"/>
      <c r="Z158" s="14">
        <f>IFERROR(Z153+Z154+Z155+Z156+Z157, "NA")</f>
        <v>18131.18</v>
      </c>
      <c r="AA158" s="15">
        <f>IFERROR(Z158/Z444, "NA")</f>
        <v>4.7820299791347741E-2</v>
      </c>
      <c r="AB158" s="2"/>
      <c r="AC158" s="14">
        <f t="shared" si="39"/>
        <v>-1079.6899999999987</v>
      </c>
      <c r="AD158" s="15">
        <f>IFERROR(AC158/AC444, "NA")</f>
        <v>-1.7527645624314293E-2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393.12</v>
      </c>
      <c r="C161" s="8">
        <f>IFERROR(B161/B444, "NA")</f>
        <v>3.765737991537435E-3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-393.12</v>
      </c>
      <c r="I161" s="8">
        <f>IFERROR(H161/H444, "NA")</f>
        <v>1.7431489219054921E-2</v>
      </c>
      <c r="J161" s="9"/>
      <c r="K161" s="7">
        <v>471.12</v>
      </c>
      <c r="L161" s="8">
        <f>IFERROR(K161/K444, "NA")</f>
        <v>4.4163031253275061E-3</v>
      </c>
      <c r="M161" s="9"/>
      <c r="N161" s="10">
        <f t="shared" si="41"/>
        <v>78</v>
      </c>
      <c r="O161" s="8">
        <f>IFERROR(N161/N444, "NA")</f>
        <v>-3.4156893999772259E-2</v>
      </c>
      <c r="P161" s="9"/>
      <c r="Q161" s="7">
        <v>1522.21</v>
      </c>
      <c r="R161" s="8">
        <f>IFERROR(Q161/Q444, "NA")</f>
        <v>3.4536684526838848E-3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-1522.21</v>
      </c>
      <c r="X161" s="8">
        <f>IFERROR(W161/W444, "NA")</f>
        <v>-0.25354531372320355</v>
      </c>
      <c r="Y161" s="9"/>
      <c r="Z161" s="7">
        <v>1503.72</v>
      </c>
      <c r="AA161" s="8">
        <f>IFERROR(Z161/Z444, "NA")</f>
        <v>3.9660044852152711E-3</v>
      </c>
      <c r="AB161" s="9"/>
      <c r="AC161" s="10">
        <f t="shared" si="43"/>
        <v>-18.490000000000009</v>
      </c>
      <c r="AD161" s="8">
        <f>IFERROR(AC161/AC444, "NA")</f>
        <v>-3.001659435519194E-4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393.12</v>
      </c>
      <c r="C166" s="15">
        <f>IFERROR(B166/B444, "NA")</f>
        <v>3.765737991537435E-3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-393.12</v>
      </c>
      <c r="I166" s="15">
        <f>IFERROR(H166/H444, "NA")</f>
        <v>1.7431489219054921E-2</v>
      </c>
      <c r="J166" s="2"/>
      <c r="K166" s="14">
        <f>IFERROR(K160+K161+K162+K163+K164+K165, "NA")</f>
        <v>471.12</v>
      </c>
      <c r="L166" s="15">
        <f>IFERROR(K166/K444, "NA")</f>
        <v>4.4163031253275061E-3</v>
      </c>
      <c r="M166" s="2"/>
      <c r="N166" s="14">
        <f t="shared" si="41"/>
        <v>78</v>
      </c>
      <c r="O166" s="15">
        <f>IFERROR(N166/N444, "NA")</f>
        <v>-3.4156893999772259E-2</v>
      </c>
      <c r="P166" s="2"/>
      <c r="Q166" s="14">
        <f>IFERROR(Q160+Q161+Q162+Q163+Q164+Q165, "NA")</f>
        <v>1522.21</v>
      </c>
      <c r="R166" s="15">
        <f>IFERROR(Q166/Q444, "NA")</f>
        <v>3.4536684526838848E-3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-1522.21</v>
      </c>
      <c r="X166" s="15">
        <f>IFERROR(W166/W444, "NA")</f>
        <v>-0.25354531372320355</v>
      </c>
      <c r="Y166" s="2"/>
      <c r="Z166" s="14">
        <f>IFERROR(Z160+Z161+Z162+Z163+Z164+Z165, "NA")</f>
        <v>1503.72</v>
      </c>
      <c r="AA166" s="15">
        <f>IFERROR(Z166/Z444, "NA")</f>
        <v>3.9660044852152711E-3</v>
      </c>
      <c r="AB166" s="2"/>
      <c r="AC166" s="14">
        <f t="shared" si="43"/>
        <v>-18.490000000000009</v>
      </c>
      <c r="AD166" s="15">
        <f>IFERROR(AC166/AC444, "NA")</f>
        <v>-3.001659435519194E-4</v>
      </c>
    </row>
    <row r="167" spans="1:30" ht="16.5" customHeight="1" x14ac:dyDescent="0.45">
      <c r="A167" s="6" t="s">
        <v>155</v>
      </c>
      <c r="B167" s="7">
        <v>99.81</v>
      </c>
      <c r="C167" s="8">
        <f>IFERROR(B167/B444, "NA")</f>
        <v>9.5609052944482949E-4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-99.81</v>
      </c>
      <c r="I167" s="8">
        <f>IFERROR(H167/H444, "NA")</f>
        <v>4.4257146391785502E-3</v>
      </c>
      <c r="J167" s="9"/>
      <c r="K167" s="7">
        <v>97.82</v>
      </c>
      <c r="L167" s="8">
        <f>IFERROR(K167/K444, "NA")</f>
        <v>9.1696971412705166E-4</v>
      </c>
      <c r="M167" s="9"/>
      <c r="N167" s="10">
        <f t="shared" si="41"/>
        <v>-1.9900000000000091</v>
      </c>
      <c r="O167" s="8">
        <f>IFERROR(N167/N444, "NA")</f>
        <v>8.7143870589162964E-4</v>
      </c>
      <c r="P167" s="9"/>
      <c r="Q167" s="7">
        <v>459.55</v>
      </c>
      <c r="R167" s="8">
        <f>IFERROR(Q167/Q444, "NA")</f>
        <v>1.0426507101062791E-3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-459.55</v>
      </c>
      <c r="X167" s="8">
        <f>IFERROR(W167/W444, "NA")</f>
        <v>-7.6544464247047514E-2</v>
      </c>
      <c r="Y167" s="9"/>
      <c r="Z167" s="7">
        <v>554.83000000000004</v>
      </c>
      <c r="AA167" s="8">
        <f>IFERROR(Z167/Z444, "NA")</f>
        <v>1.4633430881626826E-3</v>
      </c>
      <c r="AB167" s="9"/>
      <c r="AC167" s="10">
        <f t="shared" si="43"/>
        <v>95.28000000000003</v>
      </c>
      <c r="AD167" s="8">
        <f>IFERROR(AC167/AC444, "NA")</f>
        <v>1.5467718281031301E-3</v>
      </c>
    </row>
    <row r="168" spans="1:30" ht="16.5" customHeight="1" x14ac:dyDescent="0.45">
      <c r="A168" s="6" t="s">
        <v>156</v>
      </c>
      <c r="B168" s="7">
        <v>32.6</v>
      </c>
      <c r="C168" s="8">
        <f>IFERROR(B168/B444, "NA")</f>
        <v>3.1227884239957363E-4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-32.6</v>
      </c>
      <c r="I168" s="8">
        <f>IFERROR(H168/H444, "NA")</f>
        <v>1.4455294783811317E-3</v>
      </c>
      <c r="J168" s="9"/>
      <c r="K168" s="7">
        <v>41.6</v>
      </c>
      <c r="L168" s="8">
        <f>IFERROR(K168/K444, "NA")</f>
        <v>3.8996054086777094E-4</v>
      </c>
      <c r="M168" s="9"/>
      <c r="N168" s="10">
        <f t="shared" si="41"/>
        <v>9</v>
      </c>
      <c r="O168" s="8">
        <f>IFERROR(N168/N444, "NA")</f>
        <v>-3.9411800768967995E-3</v>
      </c>
      <c r="P168" s="9"/>
      <c r="Q168" s="7">
        <v>162</v>
      </c>
      <c r="R168" s="8">
        <f>IFERROR(Q168/Q444, "NA")</f>
        <v>3.6755394415671246E-4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-162</v>
      </c>
      <c r="X168" s="8">
        <f>IFERROR(W168/W444, "NA")</f>
        <v>-2.6983360261172224E-2</v>
      </c>
      <c r="Y168" s="9"/>
      <c r="Z168" s="7">
        <v>173.7</v>
      </c>
      <c r="AA168" s="8">
        <f>IFERROR(Z168/Z444, "NA")</f>
        <v>4.5812716402115588E-4</v>
      </c>
      <c r="AB168" s="9"/>
      <c r="AC168" s="10">
        <f t="shared" si="43"/>
        <v>11.699999999999989</v>
      </c>
      <c r="AD168" s="8">
        <f>IFERROR(AC168/AC444, "NA")</f>
        <v>1.8993734664994331E-4</v>
      </c>
    </row>
    <row r="169" spans="1:30" ht="16.5" customHeight="1" x14ac:dyDescent="0.45">
      <c r="A169" s="6" t="s">
        <v>157</v>
      </c>
      <c r="B169" s="7">
        <v>-1195.29</v>
      </c>
      <c r="C169" s="8">
        <f>IFERROR(B169/B444, "NA")</f>
        <v>-1.1449809126741912E-2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1195.29</v>
      </c>
      <c r="I169" s="8">
        <f>IFERROR(H169/H444, "NA")</f>
        <v>-5.3000826080189654E-2</v>
      </c>
      <c r="J169" s="9"/>
      <c r="K169" s="7">
        <v>-3080.85</v>
      </c>
      <c r="L169" s="8">
        <f>IFERROR(K169/K444, "NA")</f>
        <v>-2.8880046450299807E-2</v>
      </c>
      <c r="M169" s="9"/>
      <c r="N169" s="10">
        <f t="shared" si="41"/>
        <v>-1885.56</v>
      </c>
      <c r="O169" s="8">
        <f>IFERROR(N169/N444, "NA")</f>
        <v>0.82570350064372544</v>
      </c>
      <c r="P169" s="9"/>
      <c r="Q169" s="7">
        <v>-11900.41</v>
      </c>
      <c r="R169" s="8">
        <f>IFERROR(Q169/Q444, "NA")</f>
        <v>-2.7000263164086314E-2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11900.41</v>
      </c>
      <c r="X169" s="8">
        <f>IFERROR(W169/W444, "NA")</f>
        <v>1.9821793227509663</v>
      </c>
      <c r="Y169" s="9"/>
      <c r="Z169" s="7">
        <v>-11680.65</v>
      </c>
      <c r="AA169" s="8">
        <f>IFERROR(Z169/Z444, "NA")</f>
        <v>-3.0807271493515916E-2</v>
      </c>
      <c r="AB169" s="9"/>
      <c r="AC169" s="10">
        <f t="shared" si="43"/>
        <v>219.76000000000022</v>
      </c>
      <c r="AD169" s="8">
        <f>IFERROR(AC169/AC444, "NA")</f>
        <v>3.5675753247685149E-3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3799.0900000000011</v>
      </c>
      <c r="C170" s="15">
        <f>IFERROR(B170/B444, "NA")</f>
        <v>3.639188427520848E-2</v>
      </c>
      <c r="D170" s="2"/>
      <c r="E170" s="14">
        <f>IFERROR(E151+E153+E154+E155+E156+E157+E160+E161+E162+E163+E164+E165+E167+E168+E169, "NA")</f>
        <v>2158.09</v>
      </c>
      <c r="F170" s="15">
        <f>IFERROR(E170/E444, "NA")</f>
        <v>1.700004025328216E-2</v>
      </c>
      <c r="G170" s="2"/>
      <c r="H170" s="14">
        <f t="shared" si="40"/>
        <v>-1641.0000000000009</v>
      </c>
      <c r="I170" s="15">
        <f>IFERROR(H170/H444, "NA")</f>
        <v>7.276422926452264E-2</v>
      </c>
      <c r="J170" s="2"/>
      <c r="K170" s="14">
        <f>IFERROR(K151+K153+K154+K155+K156+K157+K160+K161+K162+K163+K164+K165+K167+K168+K169, "NA")</f>
        <v>2607.0400000000004</v>
      </c>
      <c r="L170" s="15">
        <f>IFERROR(K170/K444, "NA")</f>
        <v>2.4438527126536387E-2</v>
      </c>
      <c r="M170" s="2"/>
      <c r="N170" s="14">
        <f t="shared" si="41"/>
        <v>-1192.0500000000006</v>
      </c>
      <c r="O170" s="15">
        <f>IFERROR(N170/N444, "NA")</f>
        <v>0.52200930118498134</v>
      </c>
      <c r="P170" s="2"/>
      <c r="Q170" s="14">
        <f>IFERROR(Q151+Q153+Q154+Q155+Q156+Q157+Q160+Q161+Q162+Q163+Q164+Q165+Q167+Q168+Q169, "NA")</f>
        <v>9454.2199999999975</v>
      </c>
      <c r="R170" s="15">
        <f>IFERROR(Q170/Q444, "NA")</f>
        <v>2.1450221295835022E-2</v>
      </c>
      <c r="S170" s="2"/>
      <c r="T170" s="14">
        <f>IFERROR(T151+T153+T154+T155+T156+T157+T160+T161+T162+T163+T164+T165+T167+T168+T169, "NA")</f>
        <v>7919.61</v>
      </c>
      <c r="U170" s="15">
        <f>IFERROR(T170/T444, "NA")</f>
        <v>1.821655597072078E-2</v>
      </c>
      <c r="V170" s="2"/>
      <c r="W170" s="14">
        <f t="shared" si="42"/>
        <v>-1534.6099999999979</v>
      </c>
      <c r="X170" s="15">
        <f>IFERROR(W170/W444, "NA")</f>
        <v>-0.25561070673084846</v>
      </c>
      <c r="Y170" s="2"/>
      <c r="Z170" s="14">
        <f>IFERROR(Z151+Z153+Z154+Z155+Z156+Z157+Z160+Z161+Z162+Z163+Z164+Z165+Z167+Z168+Z169, "NA")</f>
        <v>8682.7800000000043</v>
      </c>
      <c r="AA170" s="15">
        <f>IFERROR(Z170/Z444, "NA")</f>
        <v>2.2900503035230939E-2</v>
      </c>
      <c r="AB170" s="2"/>
      <c r="AC170" s="14">
        <f t="shared" si="43"/>
        <v>-771.43999999999323</v>
      </c>
      <c r="AD170" s="15">
        <f>IFERROR(AC170/AC444, "NA")</f>
        <v>-1.252352706834454E-2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34430.269999999997</v>
      </c>
      <c r="C171" s="15">
        <f>IFERROR(B171/B444, "NA")</f>
        <v>0.3298111919970787</v>
      </c>
      <c r="D171" s="2"/>
      <c r="E171" s="14">
        <f>IFERROR(E127+E129+E130+E131+E132+E133+E134+E135+E136+E137+E138+E139+E140+E143+E144+E145+E146+E147+E151+E153+E154+E155+E156+E157+E160+E161+E162+E163+E164+E165+E167+E168+E169, "NA")</f>
        <v>30974.87</v>
      </c>
      <c r="F171" s="15">
        <f>IFERROR(E171/E444, "NA")</f>
        <v>0.24400003560564293</v>
      </c>
      <c r="G171" s="2"/>
      <c r="H171" s="14">
        <f t="shared" si="40"/>
        <v>-3455.3999999999978</v>
      </c>
      <c r="I171" s="15">
        <f>IFERROR(H171/H444, "NA")</f>
        <v>0.15321725642939138</v>
      </c>
      <c r="J171" s="2"/>
      <c r="K171" s="14">
        <f>IFERROR(K127+K129+K130+K131+K132+K133+K134+K135+K136+K137+K138+K139+K140+K143+K144+K145+K146+K147+K151+K153+K154+K155+K156+K157+K160+K161+K162+K163+K164+K165+K167+K168+K169, "NA")</f>
        <v>29358.949999999997</v>
      </c>
      <c r="L171" s="15">
        <f>IFERROR(K171/K444, "NA")</f>
        <v>0.27521230820456349</v>
      </c>
      <c r="M171" s="2"/>
      <c r="N171" s="14">
        <f t="shared" si="41"/>
        <v>-5071.32</v>
      </c>
      <c r="O171" s="15">
        <f>IFERROR(N171/N444, "NA")</f>
        <v>2.2207761497298084</v>
      </c>
      <c r="P171" s="2"/>
      <c r="Q171" s="14">
        <f>IFERROR(Q127+Q129+Q130+Q131+Q132+Q133+Q134+Q135+Q136+Q137+Q138+Q139+Q140+Q143+Q144+Q145+Q146+Q147+Q151+Q153+Q154+Q155+Q156+Q157+Q160+Q161+Q162+Q163+Q164+Q165+Q167+Q168+Q169, "NA")</f>
        <v>128222.51999999996</v>
      </c>
      <c r="R171" s="15">
        <f>IFERROR(Q171/Q444, "NA")</f>
        <v>0.2909178577513144</v>
      </c>
      <c r="S171" s="2"/>
      <c r="T171" s="14">
        <f>IFERROR(T127+T129+T130+T131+T132+T133+T134+T135+T136+T137+T138+T139+T140+T143+T144+T145+T146+T147+T151+T153+T154+T155+T156+T157+T160+T161+T162+T163+T164+T165+T167+T168+T169, "NA")</f>
        <v>111413.64</v>
      </c>
      <c r="U171" s="15">
        <f>IFERROR(T171/T444, "NA")</f>
        <v>0.25627181249603648</v>
      </c>
      <c r="V171" s="2"/>
      <c r="W171" s="14">
        <f t="shared" si="42"/>
        <v>-16808.879999999961</v>
      </c>
      <c r="X171" s="15">
        <f>IFERROR(W171/W444, "NA")</f>
        <v>-2.7997534853506885</v>
      </c>
      <c r="Y171" s="2"/>
      <c r="Z171" s="14">
        <f>IFERROR(Z127+Z129+Z130+Z131+Z132+Z133+Z134+Z135+Z136+Z137+Z138+Z139+Z140+Z143+Z144+Z145+Z146+Z147+Z151+Z153+Z154+Z155+Z156+Z157+Z160+Z161+Z162+Z163+Z164+Z165+Z167+Z168+Z169, "NA")</f>
        <v>109490.13999999998</v>
      </c>
      <c r="AA171" s="15">
        <f>IFERROR(Z171/Z444, "NA")</f>
        <v>0.28877609284098632</v>
      </c>
      <c r="AB171" s="2"/>
      <c r="AC171" s="14">
        <f t="shared" si="43"/>
        <v>-18732.379999999976</v>
      </c>
      <c r="AD171" s="15">
        <f>IFERROR(AC171/AC444, "NA")</f>
        <v>-0.30410073108021057</v>
      </c>
    </row>
    <row r="172" spans="1:30" ht="16.5" customHeight="1" x14ac:dyDescent="0.45">
      <c r="A172" s="22" t="s">
        <v>160</v>
      </c>
      <c r="B172" s="23">
        <f>IFERROR(B124-B171, "NA")</f>
        <v>69963.610000000015</v>
      </c>
      <c r="C172" s="24">
        <f>IFERROR(B172/B444, "NA")</f>
        <v>0.67018880800292135</v>
      </c>
      <c r="D172" s="25"/>
      <c r="E172" s="23">
        <f>IFERROR(E124-E171, "NA")</f>
        <v>95971.299999999988</v>
      </c>
      <c r="F172" s="24">
        <f>IFERROR(E172/E444, "NA")</f>
        <v>0.75599996439435702</v>
      </c>
      <c r="G172" s="25"/>
      <c r="H172" s="23">
        <f>IFERROR(B172-E172, "NA")</f>
        <v>-26007.689999999973</v>
      </c>
      <c r="I172" s="24">
        <f>IFERROR(H172/H444, "NA")</f>
        <v>1.1532172564293905</v>
      </c>
      <c r="J172" s="25"/>
      <c r="K172" s="23">
        <f>IFERROR(K124-K171, "NA")</f>
        <v>77318.510000000038</v>
      </c>
      <c r="L172" s="24">
        <f>IFERROR(K172/K444, "NA")</f>
        <v>0.72478769179543678</v>
      </c>
      <c r="M172" s="25"/>
      <c r="N172" s="23">
        <f>IFERROR(B172-K172, "NA")</f>
        <v>-7354.9000000000233</v>
      </c>
      <c r="O172" s="24">
        <f>IFERROR(N172/N444, "NA")</f>
        <v>3.2207761497298177</v>
      </c>
      <c r="P172" s="25"/>
      <c r="Q172" s="23">
        <f>IFERROR(Q124-Q171, "NA")</f>
        <v>312529.11000000004</v>
      </c>
      <c r="R172" s="24">
        <f>IFERROR(Q172/Q444, "NA")</f>
        <v>0.7090821422486856</v>
      </c>
      <c r="S172" s="25"/>
      <c r="T172" s="23">
        <f>IFERROR(T124-T171, "NA")</f>
        <v>323334.28999999998</v>
      </c>
      <c r="U172" s="24">
        <f>IFERROR(T172/T444, "NA")</f>
        <v>0.74372818750396352</v>
      </c>
      <c r="V172" s="25"/>
      <c r="W172" s="23">
        <f>IFERROR(Q172-T172, "NA")</f>
        <v>-10805.179999999935</v>
      </c>
      <c r="X172" s="24">
        <f>IFERROR(W172/W444, "NA")</f>
        <v>-1.799753485350686</v>
      </c>
      <c r="Y172" s="25"/>
      <c r="Z172" s="23">
        <f>IFERROR(Z124-Z171, "NA")</f>
        <v>269662.23</v>
      </c>
      <c r="AA172" s="24">
        <f>IFERROR(Z172/Z444, "NA")</f>
        <v>0.71122390715901362</v>
      </c>
      <c r="AB172" s="25"/>
      <c r="AC172" s="23">
        <f>IFERROR(Q172-Z172, "NA")</f>
        <v>42866.880000000063</v>
      </c>
      <c r="AD172" s="24">
        <f>IFERROR(AC172/AC444, "NA")</f>
        <v>0.69589926891978993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5192.32</v>
      </c>
      <c r="C178" s="8">
        <f>IFERROR(B178/B444, "NA")</f>
        <v>4.9737781563440303E-2</v>
      </c>
      <c r="D178" s="9"/>
      <c r="E178" s="7">
        <v>5461.54</v>
      </c>
      <c r="F178" s="8">
        <f>IFERROR(E178/E444, "NA")</f>
        <v>4.3022487405488481E-2</v>
      </c>
      <c r="G178" s="9"/>
      <c r="H178" s="10">
        <f t="shared" si="44"/>
        <v>269.22000000000025</v>
      </c>
      <c r="I178" s="8">
        <f>IFERROR(H178/H444, "NA")</f>
        <v>-1.1937590373305785E-2</v>
      </c>
      <c r="J178" s="9"/>
      <c r="K178" s="7">
        <v>5192.32</v>
      </c>
      <c r="L178" s="8">
        <f>IFERROR(K178/K444, "NA")</f>
        <v>4.8673074893234233E-2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22067.360000000001</v>
      </c>
      <c r="R178" s="8">
        <f>IFERROR(Q178/Q444, "NA")</f>
        <v>5.0067562994605373E-2</v>
      </c>
      <c r="S178" s="9"/>
      <c r="T178" s="7">
        <v>23211.54</v>
      </c>
      <c r="U178" s="8">
        <f>IFERROR(T178/T444, "NA")</f>
        <v>5.3390800503638973E-2</v>
      </c>
      <c r="V178" s="9"/>
      <c r="W178" s="10">
        <f t="shared" si="46"/>
        <v>1144.1800000000003</v>
      </c>
      <c r="X178" s="8">
        <f>IFERROR(W178/W444, "NA")</f>
        <v>0.1905791428619015</v>
      </c>
      <c r="Y178" s="9"/>
      <c r="Z178" s="7">
        <v>22067.360000000001</v>
      </c>
      <c r="AA178" s="8">
        <f>IFERROR(Z178/Z444, "NA")</f>
        <v>5.8201825297834749E-2</v>
      </c>
      <c r="AB178" s="9"/>
      <c r="AC178" s="10">
        <f t="shared" si="47"/>
        <v>0</v>
      </c>
      <c r="AD178" s="8">
        <f>IFERROR(AC178/AC444,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21771.5</v>
      </c>
      <c r="C180" s="8">
        <f>IFERROR(B180/B444, "NA")</f>
        <v>0.20855149746326124</v>
      </c>
      <c r="D180" s="9"/>
      <c r="E180" s="7">
        <v>26277.86</v>
      </c>
      <c r="F180" s="8">
        <f>IFERROR(E180/E444, "NA")</f>
        <v>0.20700002213536653</v>
      </c>
      <c r="G180" s="9"/>
      <c r="H180" s="10">
        <f t="shared" si="44"/>
        <v>4506.3600000000006</v>
      </c>
      <c r="I180" s="8">
        <f>IFERROR(H180/H444, "NA")</f>
        <v>-0.19981828896311646</v>
      </c>
      <c r="J180" s="9"/>
      <c r="K180" s="7">
        <v>23898.92</v>
      </c>
      <c r="L180" s="8">
        <f>IFERROR(K180/K444, "NA")</f>
        <v>0.22402970599412469</v>
      </c>
      <c r="M180" s="9"/>
      <c r="N180" s="10">
        <f t="shared" si="45"/>
        <v>2127.4199999999983</v>
      </c>
      <c r="O180" s="8">
        <f>IFERROR(N180/N444, "NA")</f>
        <v>-0.93161614657686465</v>
      </c>
      <c r="P180" s="9"/>
      <c r="Q180" s="7">
        <v>90317.2</v>
      </c>
      <c r="R180" s="8">
        <f>IFERROR(Q180/Q444, "NA")</f>
        <v>0.20491631534068291</v>
      </c>
      <c r="S180" s="9"/>
      <c r="T180" s="7">
        <v>94193.51</v>
      </c>
      <c r="U180" s="8">
        <f>IFERROR(T180/T444, "NA")</f>
        <v>0.21666235420603383</v>
      </c>
      <c r="V180" s="9"/>
      <c r="W180" s="10">
        <f t="shared" si="46"/>
        <v>3876.3099999999977</v>
      </c>
      <c r="X180" s="8">
        <f>IFERROR(W180/W444, "NA")</f>
        <v>0.64565351366657064</v>
      </c>
      <c r="Y180" s="9"/>
      <c r="Z180" s="7">
        <v>93159.360000000001</v>
      </c>
      <c r="AA180" s="8">
        <f>IFERROR(Z180/Z444, "NA")</f>
        <v>0.24570427978598683</v>
      </c>
      <c r="AB180" s="9"/>
      <c r="AC180" s="10">
        <f t="shared" si="47"/>
        <v>2842.1600000000035</v>
      </c>
      <c r="AD180" s="8">
        <f>IFERROR(AC180/AC444, "NA")</f>
        <v>4.6139515312359325E-2</v>
      </c>
    </row>
    <row r="181" spans="1:30" ht="16.5" customHeight="1" x14ac:dyDescent="0.45">
      <c r="A181" s="12" t="s">
        <v>166</v>
      </c>
      <c r="B181" s="7">
        <v>-83.42</v>
      </c>
      <c r="C181" s="8">
        <f>IFERROR(B181/B444, "NA")</f>
        <v>-7.9908898874148559E-4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83.42</v>
      </c>
      <c r="I181" s="8">
        <f>IFERROR(H181/H444, "NA")</f>
        <v>-3.6989591744341715E-3</v>
      </c>
      <c r="J181" s="9"/>
      <c r="K181" s="7">
        <v>70.95</v>
      </c>
      <c r="L181" s="8">
        <f>IFERROR(K181/K444, "NA")</f>
        <v>6.6508895131173911E-4</v>
      </c>
      <c r="M181" s="9"/>
      <c r="N181" s="10">
        <f t="shared" si="45"/>
        <v>154.37</v>
      </c>
      <c r="O181" s="8">
        <f>IFERROR(N181/N444, "NA")</f>
        <v>-6.7599996496728765E-2</v>
      </c>
      <c r="P181" s="9"/>
      <c r="Q181" s="7">
        <v>100.61</v>
      </c>
      <c r="R181" s="8">
        <f>IFERROR(Q181/Q444, "NA")</f>
        <v>2.2826915013337556E-4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-100.61</v>
      </c>
      <c r="X181" s="8">
        <f>IFERROR(W181/W444, "NA")</f>
        <v>-1.6757999233805786E-2</v>
      </c>
      <c r="Y181" s="9"/>
      <c r="Z181" s="7">
        <v>492.35</v>
      </c>
      <c r="AA181" s="8">
        <f>IFERROR(Z181/Z444, "NA")</f>
        <v>1.2985544571434435E-3</v>
      </c>
      <c r="AB181" s="9"/>
      <c r="AC181" s="10">
        <f t="shared" si="47"/>
        <v>391.74</v>
      </c>
      <c r="AD181" s="8">
        <f>IFERROR(AC181/AC444, "NA")</f>
        <v>6.3594919809101596E-3</v>
      </c>
    </row>
    <row r="182" spans="1:30" ht="16.5" customHeight="1" x14ac:dyDescent="0.45">
      <c r="A182" s="13" t="s">
        <v>167</v>
      </c>
      <c r="B182" s="14">
        <f>IFERROR(B177+B178+B179+B180+B181, "NA")</f>
        <v>26880.400000000001</v>
      </c>
      <c r="C182" s="15">
        <f>IFERROR(B182/B444, "NA")</f>
        <v>0.25749019003796009</v>
      </c>
      <c r="D182" s="2"/>
      <c r="E182" s="14">
        <f>IFERROR(E177+E178+E179+E180+E181, "NA")</f>
        <v>31739.4</v>
      </c>
      <c r="F182" s="15">
        <f>IFERROR(E182/E444, "NA")</f>
        <v>0.25002250954085503</v>
      </c>
      <c r="G182" s="2"/>
      <c r="H182" s="14">
        <f t="shared" si="44"/>
        <v>4859</v>
      </c>
      <c r="I182" s="15">
        <f>IFERROR(H182/H444, "NA")</f>
        <v>-0.21545483851085639</v>
      </c>
      <c r="J182" s="2"/>
      <c r="K182" s="14">
        <f>IFERROR(K177+K178+K179+K180+K181, "NA")</f>
        <v>29162.19</v>
      </c>
      <c r="L182" s="15">
        <f>IFERROR(K182/K444, "NA")</f>
        <v>0.27336786983867067</v>
      </c>
      <c r="M182" s="2"/>
      <c r="N182" s="14">
        <f t="shared" si="45"/>
        <v>2281.7899999999972</v>
      </c>
      <c r="O182" s="15">
        <f>IFERROR(N182/N444, "NA")</f>
        <v>-0.99921614307359297</v>
      </c>
      <c r="P182" s="2"/>
      <c r="Q182" s="14">
        <f>IFERROR(Q177+Q178+Q179+Q180+Q181, "NA")</f>
        <v>112485.17</v>
      </c>
      <c r="R182" s="15">
        <f>IFERROR(Q182/Q444, "NA")</f>
        <v>0.25521214748542165</v>
      </c>
      <c r="S182" s="2"/>
      <c r="T182" s="14">
        <f>IFERROR(T177+T178+T179+T180+T181, "NA")</f>
        <v>117405.04999999999</v>
      </c>
      <c r="U182" s="15">
        <f>IFERROR(T182/T444, "NA")</f>
        <v>0.27005315470967278</v>
      </c>
      <c r="V182" s="2"/>
      <c r="W182" s="14">
        <f t="shared" si="46"/>
        <v>4919.8799999999901</v>
      </c>
      <c r="X182" s="15">
        <f>IFERROR(W182/W444, "NA")</f>
        <v>0.81947465729466507</v>
      </c>
      <c r="Y182" s="2"/>
      <c r="Z182" s="14">
        <f>IFERROR(Z177+Z178+Z179+Z180+Z181, "NA")</f>
        <v>115719.07</v>
      </c>
      <c r="AA182" s="15">
        <f>IFERROR(Z182/Z444, "NA")</f>
        <v>0.30520465954096504</v>
      </c>
      <c r="AB182" s="2"/>
      <c r="AC182" s="14">
        <f t="shared" si="47"/>
        <v>3233.9000000000087</v>
      </c>
      <c r="AD182" s="15">
        <f>IFERROR(AC182/AC444, "NA")</f>
        <v>5.2499007293269569E-2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4.7895527975394727E-3</v>
      </c>
      <c r="D184" s="9"/>
      <c r="E184" s="7">
        <v>500</v>
      </c>
      <c r="F184" s="8">
        <f>IFERROR(E184/E444, "NA")</f>
        <v>3.9386773149595608E-3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-600</v>
      </c>
      <c r="L184" s="8">
        <f>IFERROR(K184/K444, "NA")</f>
        <v>-5.6244308779005419E-3</v>
      </c>
      <c r="M184" s="9"/>
      <c r="N184" s="10">
        <f t="shared" si="45"/>
        <v>-1100</v>
      </c>
      <c r="O184" s="8">
        <f>IFERROR(N184/N444, "NA")</f>
        <v>0.48169978717627548</v>
      </c>
      <c r="P184" s="9"/>
      <c r="Q184" s="7">
        <v>2000</v>
      </c>
      <c r="R184" s="8">
        <f>IFERROR(Q184/Q444, "NA")</f>
        <v>4.5377030142804012E-3</v>
      </c>
      <c r="S184" s="9"/>
      <c r="T184" s="7">
        <v>2000</v>
      </c>
      <c r="U184" s="8">
        <f>IFERROR(T184/T444, "NA")</f>
        <v>4.600366929866693E-3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800</v>
      </c>
      <c r="AA184" s="8">
        <f>IFERROR(Z184/Z444, "NA")</f>
        <v>2.1099696673398086E-3</v>
      </c>
      <c r="AB184" s="9"/>
      <c r="AC184" s="10">
        <f t="shared" si="47"/>
        <v>-1200</v>
      </c>
      <c r="AD184" s="8">
        <f>IFERROR(AC184/AC444, "NA")</f>
        <v>-1.9480753502558307E-2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2183.39</v>
      </c>
      <c r="C186" s="8">
        <f>IFERROR(B186/B444, "NA")</f>
        <v>2.0914923365239417E-2</v>
      </c>
      <c r="D186" s="9"/>
      <c r="E186" s="7">
        <v>3545.48</v>
      </c>
      <c r="F186" s="8">
        <f>IFERROR(E186/E444, "NA")</f>
        <v>2.792900329328565E-2</v>
      </c>
      <c r="G186" s="9"/>
      <c r="H186" s="10">
        <f t="shared" ref="H186:H197" si="48">IFERROR(-(B186-E186), "NA")</f>
        <v>1362.0900000000001</v>
      </c>
      <c r="I186" s="8">
        <f>IFERROR(H186/H444, "NA")</f>
        <v>-6.0396970773256307E-2</v>
      </c>
      <c r="J186" s="9"/>
      <c r="K186" s="7">
        <v>2962.37</v>
      </c>
      <c r="L186" s="8">
        <f>IFERROR(K186/K444, "NA")</f>
        <v>2.7769408832943713E-2</v>
      </c>
      <c r="M186" s="9"/>
      <c r="N186" s="10">
        <f t="shared" ref="N186:N197" si="49">IFERROR(-(B186-K186), "NA")</f>
        <v>778.98</v>
      </c>
      <c r="O186" s="8">
        <f>IFERROR(N186/N444, "NA")</f>
        <v>-0.34112227292234099</v>
      </c>
      <c r="P186" s="9"/>
      <c r="Q186" s="7">
        <v>10528.04</v>
      </c>
      <c r="R186" s="8">
        <f>IFERROR(Q186/Q444, "NA")</f>
        <v>2.3886559421232318E-2</v>
      </c>
      <c r="S186" s="9"/>
      <c r="T186" s="7">
        <v>14371.48</v>
      </c>
      <c r="U186" s="8">
        <f>IFERROR(T186/T444, "NA")</f>
        <v>3.3057040662620288E-2</v>
      </c>
      <c r="V186" s="9"/>
      <c r="W186" s="10">
        <f t="shared" ref="W186:W197" si="50">IFERROR(-(Q186-T186), "NA")</f>
        <v>3843.4399999999987</v>
      </c>
      <c r="X186" s="8">
        <f>IFERROR(W186/W444, "NA")</f>
        <v>0.64017855655678857</v>
      </c>
      <c r="Y186" s="9"/>
      <c r="Z186" s="7">
        <v>13104.11</v>
      </c>
      <c r="AA186" s="8">
        <f>IFERROR(Z186/Z444, "NA")</f>
        <v>3.4561593271855325E-2</v>
      </c>
      <c r="AB186" s="9"/>
      <c r="AC186" s="10">
        <f t="shared" ref="AC186:AC197" si="51">IFERROR(-(Q186-Z186), "NA")</f>
        <v>2576.0699999999997</v>
      </c>
      <c r="AD186" s="8">
        <f>IFERROR(AC186/AC444, "NA")</f>
        <v>4.1819820562779476E-2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0.01</v>
      </c>
      <c r="L187" s="8">
        <f>IFERROR(K187/K444, "NA")</f>
        <v>9.374051463167571E-8</v>
      </c>
      <c r="M187" s="9"/>
      <c r="N187" s="10">
        <f t="shared" si="49"/>
        <v>0.01</v>
      </c>
      <c r="O187" s="8">
        <f>IFERROR(N187/N444, "NA")</f>
        <v>-4.3790889743297772E-6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0.01</v>
      </c>
      <c r="AA187" s="8">
        <f>IFERROR(Z187/Z444, "NA")</f>
        <v>2.6374620841747608E-8</v>
      </c>
      <c r="AB187" s="9"/>
      <c r="AC187" s="10">
        <f t="shared" si="51"/>
        <v>0.01</v>
      </c>
      <c r="AD187" s="8">
        <f>IFERROR(AC187/AC444, "NA")</f>
        <v>1.6233961252131922E-7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2183.39</v>
      </c>
      <c r="C193" s="15">
        <f>IFERROR(B193/B444, "NA")</f>
        <v>2.0914923365239417E-2</v>
      </c>
      <c r="D193" s="2"/>
      <c r="E193" s="14">
        <f>IFERROR(E186+E187+E188+E189+E190+E191+E192, "NA")</f>
        <v>3545.48</v>
      </c>
      <c r="F193" s="15">
        <f>IFERROR(E193/E444, "NA")</f>
        <v>2.792900329328565E-2</v>
      </c>
      <c r="G193" s="2"/>
      <c r="H193" s="14">
        <f t="shared" si="48"/>
        <v>1362.0900000000001</v>
      </c>
      <c r="I193" s="15">
        <f>IFERROR(H193/H444, "NA")</f>
        <v>-6.0396970773256307E-2</v>
      </c>
      <c r="J193" s="2"/>
      <c r="K193" s="14">
        <f>IFERROR(K186+K187+K188+K189+K190+K191+K192, "NA")</f>
        <v>2962.38</v>
      </c>
      <c r="L193" s="15">
        <f>IFERROR(K193/K444, "NA")</f>
        <v>2.7769502573458348E-2</v>
      </c>
      <c r="M193" s="2"/>
      <c r="N193" s="14">
        <f t="shared" si="49"/>
        <v>778.99000000000024</v>
      </c>
      <c r="O193" s="15">
        <f>IFERROR(N193/N444, "NA")</f>
        <v>-0.34112665201131542</v>
      </c>
      <c r="P193" s="2"/>
      <c r="Q193" s="14">
        <f>IFERROR(Q186+Q187+Q188+Q189+Q190+Q191+Q192, "NA")</f>
        <v>10528.04</v>
      </c>
      <c r="R193" s="15">
        <f>IFERROR(Q193/Q444, "NA")</f>
        <v>2.3886559421232318E-2</v>
      </c>
      <c r="S193" s="2"/>
      <c r="T193" s="14">
        <f>IFERROR(T186+T187+T188+T189+T190+T191+T192, "NA")</f>
        <v>14371.48</v>
      </c>
      <c r="U193" s="15">
        <f>IFERROR(T193/T444, "NA")</f>
        <v>3.3057040662620288E-2</v>
      </c>
      <c r="V193" s="2"/>
      <c r="W193" s="14">
        <f t="shared" si="50"/>
        <v>3843.4399999999987</v>
      </c>
      <c r="X193" s="15">
        <f>IFERROR(W193/W444, "NA")</f>
        <v>0.64017855655678857</v>
      </c>
      <c r="Y193" s="2"/>
      <c r="Z193" s="14">
        <f>IFERROR(Z186+Z187+Z188+Z189+Z190+Z191+Z192, "NA")</f>
        <v>13104.12</v>
      </c>
      <c r="AA193" s="15">
        <f>IFERROR(Z193/Z444, "NA")</f>
        <v>3.4561619646476166E-2</v>
      </c>
      <c r="AB193" s="2"/>
      <c r="AC193" s="14">
        <f t="shared" si="51"/>
        <v>2576.08</v>
      </c>
      <c r="AD193" s="15">
        <f>IFERROR(AC193/AC444, "NA")</f>
        <v>4.1819982902392E-2</v>
      </c>
    </row>
    <row r="194" spans="1:30" ht="16.5" customHeight="1" x14ac:dyDescent="0.45">
      <c r="A194" s="6" t="s">
        <v>178</v>
      </c>
      <c r="B194" s="7">
        <v>275.60000000000002</v>
      </c>
      <c r="C194" s="8">
        <f>IFERROR(B194/B444, "NA")</f>
        <v>2.6400015020037575E-3</v>
      </c>
      <c r="D194" s="9"/>
      <c r="E194" s="7">
        <v>257.92</v>
      </c>
      <c r="F194" s="8">
        <f>IFERROR(E194/E444, "NA")</f>
        <v>2.0317273061487401E-3</v>
      </c>
      <c r="G194" s="9"/>
      <c r="H194" s="10">
        <f t="shared" si="48"/>
        <v>-17.680000000000007</v>
      </c>
      <c r="I194" s="8">
        <f>IFERROR(H194/H444, "NA")</f>
        <v>7.8395586434903118E-4</v>
      </c>
      <c r="J194" s="9"/>
      <c r="K194" s="7">
        <v>0</v>
      </c>
      <c r="L194" s="8">
        <f>IFERROR(K194/K444, "NA")</f>
        <v>0</v>
      </c>
      <c r="M194" s="9"/>
      <c r="N194" s="10">
        <f t="shared" si="49"/>
        <v>-275.60000000000002</v>
      </c>
      <c r="O194" s="8">
        <f>IFERROR(N194/N444, "NA")</f>
        <v>0.12068769213252867</v>
      </c>
      <c r="P194" s="9"/>
      <c r="Q194" s="7">
        <v>1171.96</v>
      </c>
      <c r="R194" s="8">
        <f>IFERROR(Q194/Q444, "NA")</f>
        <v>2.6590032123080293E-3</v>
      </c>
      <c r="S194" s="9"/>
      <c r="T194" s="7">
        <v>955.25</v>
      </c>
      <c r="U194" s="8">
        <f>IFERROR(T194/T444, "NA")</f>
        <v>2.1972502548775795E-3</v>
      </c>
      <c r="V194" s="9"/>
      <c r="W194" s="10">
        <f t="shared" si="50"/>
        <v>-216.71000000000004</v>
      </c>
      <c r="X194" s="8">
        <f>IFERROR(W194/W444, "NA")</f>
        <v>-3.6096074087645889E-2</v>
      </c>
      <c r="Y194" s="9"/>
      <c r="Z194" s="7">
        <v>963.54</v>
      </c>
      <c r="AA194" s="8">
        <f>IFERROR(Z194/Z444, "NA")</f>
        <v>2.5413002165857487E-3</v>
      </c>
      <c r="AB194" s="9"/>
      <c r="AC194" s="10">
        <f t="shared" si="51"/>
        <v>-208.42000000000007</v>
      </c>
      <c r="AD194" s="8">
        <f>IFERROR(AC194/AC444, "NA")</f>
        <v>-3.3834822041693365E-3</v>
      </c>
    </row>
    <row r="195" spans="1:30" ht="16.5" customHeight="1" x14ac:dyDescent="0.45">
      <c r="A195" s="6" t="s">
        <v>179</v>
      </c>
      <c r="B195" s="7">
        <v>1020.53</v>
      </c>
      <c r="C195" s="8">
        <f>IFERROR(B195/B444, "NA")</f>
        <v>9.7757646329459155E-3</v>
      </c>
      <c r="D195" s="9"/>
      <c r="E195" s="7">
        <v>225.68</v>
      </c>
      <c r="F195" s="8">
        <f>IFERROR(E195/E444, "NA")</f>
        <v>1.7777613928801476E-3</v>
      </c>
      <c r="G195" s="9"/>
      <c r="H195" s="10">
        <f t="shared" si="48"/>
        <v>-794.84999999999991</v>
      </c>
      <c r="I195" s="8">
        <f>IFERROR(H195/H444, "NA")</f>
        <v>3.5244757849424609E-2</v>
      </c>
      <c r="J195" s="9"/>
      <c r="K195" s="7">
        <v>814.17</v>
      </c>
      <c r="L195" s="8">
        <f>IFERROR(K195/K444, "NA")</f>
        <v>7.6320714797671399E-3</v>
      </c>
      <c r="M195" s="9"/>
      <c r="N195" s="10">
        <f t="shared" si="49"/>
        <v>-206.36</v>
      </c>
      <c r="O195" s="8">
        <f>IFERROR(N195/N444, "NA")</f>
        <v>9.0366880074269282E-2</v>
      </c>
      <c r="P195" s="9"/>
      <c r="Q195" s="7">
        <v>3528.29</v>
      </c>
      <c r="R195" s="8">
        <f>IFERROR(Q195/Q444, "NA")</f>
        <v>8.0051660841276972E-3</v>
      </c>
      <c r="S195" s="9"/>
      <c r="T195" s="7">
        <v>835.83</v>
      </c>
      <c r="U195" s="8">
        <f>IFERROR(T195/T444, "NA")</f>
        <v>1.9225623454952392E-3</v>
      </c>
      <c r="V195" s="9"/>
      <c r="W195" s="10">
        <f t="shared" si="50"/>
        <v>-2692.46</v>
      </c>
      <c r="X195" s="8">
        <f>IFERROR(W195/W444, "NA")</f>
        <v>-0.44846677881972696</v>
      </c>
      <c r="Y195" s="9"/>
      <c r="Z195" s="7">
        <v>3052.24</v>
      </c>
      <c r="AA195" s="8">
        <f>IFERROR(Z195/Z444, "NA")</f>
        <v>8.0501672718015713E-3</v>
      </c>
      <c r="AB195" s="9"/>
      <c r="AC195" s="10">
        <f t="shared" si="51"/>
        <v>-476.05000000000018</v>
      </c>
      <c r="AD195" s="8">
        <f>IFERROR(AC195/AC444, "NA")</f>
        <v>-7.7281772540774051E-3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30859.919999999998</v>
      </c>
      <c r="C196" s="15">
        <f>IFERROR(B196/B444, "NA")</f>
        <v>0.29561043233568862</v>
      </c>
      <c r="D196" s="2"/>
      <c r="E196" s="14">
        <f>IFERROR(E175+E177+E178+E179+E180+E181+E183+E184+E186+E187+E188+E189+E190+E191+E192+E194+E195, "NA")</f>
        <v>36268.480000000003</v>
      </c>
      <c r="F196" s="15">
        <f>IFERROR(E196/E444, "NA")</f>
        <v>0.28569967884812913</v>
      </c>
      <c r="G196" s="2"/>
      <c r="H196" s="14">
        <f t="shared" si="48"/>
        <v>5408.5600000000049</v>
      </c>
      <c r="I196" s="15">
        <f>IFERROR(H196/H444, "NA")</f>
        <v>-0.23982309557033926</v>
      </c>
      <c r="J196" s="2"/>
      <c r="K196" s="14">
        <f>IFERROR(K175+K177+K178+K179+K180+K181+K183+K184+K186+K187+K188+K189+K190+K191+K192+K194+K195, "NA")</f>
        <v>32338.739999999994</v>
      </c>
      <c r="L196" s="15">
        <f>IFERROR(K196/K444, "NA")</f>
        <v>0.3031450130139956</v>
      </c>
      <c r="M196" s="2"/>
      <c r="N196" s="14">
        <f t="shared" si="49"/>
        <v>1478.8199999999961</v>
      </c>
      <c r="O196" s="15">
        <f>IFERROR(N196/N444, "NA")</f>
        <v>-0.64758843570183433</v>
      </c>
      <c r="P196" s="2"/>
      <c r="Q196" s="14">
        <f>IFERROR(Q175+Q177+Q178+Q179+Q180+Q181+Q183+Q184+Q186+Q187+Q188+Q189+Q190+Q191+Q192+Q194+Q195, "NA")</f>
        <v>129713.45999999999</v>
      </c>
      <c r="R196" s="15">
        <f>IFERROR(Q196/Q444, "NA")</f>
        <v>0.29430057921737007</v>
      </c>
      <c r="S196" s="2"/>
      <c r="T196" s="14">
        <f>IFERROR(T175+T177+T178+T179+T180+T181+T183+T184+T186+T187+T188+T189+T190+T191+T192+T194+T195, "NA")</f>
        <v>135567.60999999999</v>
      </c>
      <c r="U196" s="15">
        <f>IFERROR(T196/T444, "NA")</f>
        <v>0.31183037490253257</v>
      </c>
      <c r="V196" s="2"/>
      <c r="W196" s="14">
        <f t="shared" si="50"/>
        <v>5854.1499999999942</v>
      </c>
      <c r="X196" s="15">
        <f>IFERROR(W196/W444, "NA")</f>
        <v>0.97509036094408164</v>
      </c>
      <c r="Y196" s="2"/>
      <c r="Z196" s="14">
        <f>IFERROR(Z175+Z177+Z178+Z179+Z180+Z181+Z183+Z184+Z186+Z187+Z188+Z189+Z190+Z191+Z192+Z194+Z195, "NA")</f>
        <v>133638.97</v>
      </c>
      <c r="AA196" s="15">
        <f>IFERROR(Z196/Z444, "NA")</f>
        <v>0.35246771634316831</v>
      </c>
      <c r="AB196" s="2"/>
      <c r="AC196" s="14">
        <f t="shared" si="51"/>
        <v>3925.5100000000093</v>
      </c>
      <c r="AD196" s="15">
        <f>IFERROR(AC196/AC444, "NA")</f>
        <v>6.372657723485653E-2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30859.919999999998</v>
      </c>
      <c r="C197" s="15">
        <f>IFERROR(B197/B444, "NA")</f>
        <v>0.29561043233568862</v>
      </c>
      <c r="D197" s="2"/>
      <c r="E197" s="14">
        <f>IFERROR(E175+E177+E178+E179+E180+E181+E183+E184+E186+E187+E188+E189+E190+E191+E192+E194+E195, "NA")</f>
        <v>36268.480000000003</v>
      </c>
      <c r="F197" s="15">
        <f>IFERROR(E197/E444, "NA")</f>
        <v>0.28569967884812913</v>
      </c>
      <c r="G197" s="2"/>
      <c r="H197" s="14">
        <f t="shared" si="48"/>
        <v>5408.5600000000049</v>
      </c>
      <c r="I197" s="15">
        <f>IFERROR(H197/H444, "NA")</f>
        <v>-0.23982309557033926</v>
      </c>
      <c r="J197" s="2"/>
      <c r="K197" s="14">
        <f>IFERROR(K175+K177+K178+K179+K180+K181+K183+K184+K186+K187+K188+K189+K190+K191+K192+K194+K195, "NA")</f>
        <v>32338.739999999994</v>
      </c>
      <c r="L197" s="15">
        <f>IFERROR(K197/K444, "NA")</f>
        <v>0.3031450130139956</v>
      </c>
      <c r="M197" s="2"/>
      <c r="N197" s="14">
        <f t="shared" si="49"/>
        <v>1478.8199999999961</v>
      </c>
      <c r="O197" s="15">
        <f>IFERROR(N197/N444, "NA")</f>
        <v>-0.64758843570183433</v>
      </c>
      <c r="P197" s="2"/>
      <c r="Q197" s="14">
        <f>IFERROR(Q175+Q177+Q178+Q179+Q180+Q181+Q183+Q184+Q186+Q187+Q188+Q189+Q190+Q191+Q192+Q194+Q195, "NA")</f>
        <v>129713.45999999999</v>
      </c>
      <c r="R197" s="15">
        <f>IFERROR(Q197/Q444, "NA")</f>
        <v>0.29430057921737007</v>
      </c>
      <c r="S197" s="2"/>
      <c r="T197" s="14">
        <f>IFERROR(T175+T177+T178+T179+T180+T181+T183+T184+T186+T187+T188+T189+T190+T191+T192+T194+T195, "NA")</f>
        <v>135567.60999999999</v>
      </c>
      <c r="U197" s="15">
        <f>IFERROR(T197/T444, "NA")</f>
        <v>0.31183037490253257</v>
      </c>
      <c r="V197" s="2"/>
      <c r="W197" s="14">
        <f t="shared" si="50"/>
        <v>5854.1499999999942</v>
      </c>
      <c r="X197" s="15">
        <f>IFERROR(W197/W444, "NA")</f>
        <v>0.97509036094408164</v>
      </c>
      <c r="Y197" s="2"/>
      <c r="Z197" s="14">
        <f>IFERROR(Z175+Z177+Z178+Z179+Z180+Z181+Z183+Z184+Z186+Z187+Z188+Z189+Z190+Z191+Z192+Z194+Z195, "NA")</f>
        <v>133638.97</v>
      </c>
      <c r="AA197" s="15">
        <f>IFERROR(Z197/Z444, "NA")</f>
        <v>0.35246771634316831</v>
      </c>
      <c r="AB197" s="2"/>
      <c r="AC197" s="14">
        <f t="shared" si="51"/>
        <v>3925.5100000000093</v>
      </c>
      <c r="AD197" s="15">
        <f>IFERROR(AC197/AC444, "NA")</f>
        <v>6.372657723485653E-2</v>
      </c>
    </row>
    <row r="198" spans="1:30" ht="16.5" customHeight="1" x14ac:dyDescent="0.45">
      <c r="A198" s="22" t="s">
        <v>181</v>
      </c>
      <c r="B198" s="23">
        <f>IFERROR(B172-B197, "NA")</f>
        <v>39103.690000000017</v>
      </c>
      <c r="C198" s="24">
        <f>IFERROR(B198/B444, "NA")</f>
        <v>0.37457837566723273</v>
      </c>
      <c r="D198" s="25"/>
      <c r="E198" s="23">
        <f>IFERROR(E172-E197, "NA")</f>
        <v>59702.819999999985</v>
      </c>
      <c r="F198" s="24">
        <f>IFERROR(E198/E444, "NA")</f>
        <v>0.47030028554622788</v>
      </c>
      <c r="G198" s="25"/>
      <c r="H198" s="23">
        <f>IFERROR(B198-E198, "NA")</f>
        <v>-20599.129999999968</v>
      </c>
      <c r="I198" s="24">
        <f>IFERROR(H198/H444, "NA")</f>
        <v>0.91339416085905134</v>
      </c>
      <c r="J198" s="25"/>
      <c r="K198" s="23">
        <f>IFERROR(K172-K197, "NA")</f>
        <v>44979.770000000048</v>
      </c>
      <c r="L198" s="24">
        <f>IFERROR(K198/K444, "NA")</f>
        <v>0.42164267878144124</v>
      </c>
      <c r="M198" s="25"/>
      <c r="N198" s="23">
        <f>IFERROR(B198-K198, "NA")</f>
        <v>-5876.0800000000309</v>
      </c>
      <c r="O198" s="24">
        <f>IFERROR(N198/N444, "NA")</f>
        <v>2.5731877140279851</v>
      </c>
      <c r="P198" s="25"/>
      <c r="Q198" s="23">
        <f>IFERROR(Q172-Q197, "NA")</f>
        <v>182815.65000000005</v>
      </c>
      <c r="R198" s="24">
        <f>IFERROR(Q198/Q444, "NA")</f>
        <v>0.41478156303131553</v>
      </c>
      <c r="S198" s="25"/>
      <c r="T198" s="23">
        <f>IFERROR(T172-T197, "NA")</f>
        <v>187766.68</v>
      </c>
      <c r="U198" s="24">
        <f>IFERROR(T198/T444, "NA")</f>
        <v>0.4318978126014309</v>
      </c>
      <c r="V198" s="25"/>
      <c r="W198" s="23">
        <f>IFERROR(Q198-T198, "NA")</f>
        <v>-4951.0299999999406</v>
      </c>
      <c r="X198" s="24">
        <f>IFERROR(W198/W444, "NA")</f>
        <v>-0.82466312440660439</v>
      </c>
      <c r="Y198" s="25"/>
      <c r="Z198" s="23">
        <f>IFERROR(Z172-Z197, "NA")</f>
        <v>136023.25999999998</v>
      </c>
      <c r="AA198" s="24">
        <f>IFERROR(Z198/Z444, "NA")</f>
        <v>0.35875619081584531</v>
      </c>
      <c r="AB198" s="25"/>
      <c r="AC198" s="23">
        <f>IFERROR(Q198-Z198, "NA")</f>
        <v>46792.390000000072</v>
      </c>
      <c r="AD198" s="24">
        <f>IFERROR(AC198/AC444, "NA")</f>
        <v>0.75962584615464646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2538.92</v>
      </c>
      <c r="F201" s="8">
        <f>IFERROR(E201/E444, "NA")</f>
        <v>1.999997321699426E-2</v>
      </c>
      <c r="G201" s="9"/>
      <c r="H201" s="10">
        <f t="shared" ref="H201:H209" si="52">IFERROR(-(B201-E201), "NA")</f>
        <v>2538.92</v>
      </c>
      <c r="I201" s="8">
        <f>IFERROR(H201/H444, "NA")</f>
        <v>-0.11257925470096389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8694.9599999999991</v>
      </c>
      <c r="U201" s="8">
        <f>IFERROR(T201/T444, "NA")</f>
        <v>2.000000322025685E-2</v>
      </c>
      <c r="V201" s="9"/>
      <c r="W201" s="10">
        <f t="shared" ref="W201:W209" si="54">IFERROR(-(Q201-T201), "NA")</f>
        <v>8694.9599999999991</v>
      </c>
      <c r="X201" s="8">
        <f>IFERROR(W201/W444, "NA")</f>
        <v>1.4482669020770496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719.35</v>
      </c>
      <c r="C202" s="8">
        <f>IFERROR(B202/B444, "NA")</f>
        <v>6.890729609820039E-3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-719.35</v>
      </c>
      <c r="I202" s="8">
        <f>IFERROR(H202/H444, "NA")</f>
        <v>3.1896982523725984E-2</v>
      </c>
      <c r="J202" s="9"/>
      <c r="K202" s="7">
        <v>824.91</v>
      </c>
      <c r="L202" s="8">
        <f>IFERROR(K202/K444, "NA")</f>
        <v>7.7327487924815598E-3</v>
      </c>
      <c r="M202" s="9"/>
      <c r="N202" s="10">
        <f t="shared" si="53"/>
        <v>105.55999999999995</v>
      </c>
      <c r="O202" s="8">
        <f>IFERROR(N202/N444, "NA")</f>
        <v>-4.6225663213025105E-2</v>
      </c>
      <c r="P202" s="9"/>
      <c r="Q202" s="7">
        <v>3661.72</v>
      </c>
      <c r="R202" s="8">
        <f>IFERROR(Q202/Q444, "NA")</f>
        <v>8.3078989407254136E-3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-3661.72</v>
      </c>
      <c r="X202" s="8">
        <f>IFERROR(W202/W444, "NA")</f>
        <v>-0.60991055515765158</v>
      </c>
      <c r="Y202" s="9"/>
      <c r="Z202" s="7">
        <v>3258.33</v>
      </c>
      <c r="AA202" s="8">
        <f>IFERROR(Z202/Z444, "NA")</f>
        <v>8.5937218327291481E-3</v>
      </c>
      <c r="AB202" s="9"/>
      <c r="AC202" s="10">
        <f t="shared" si="55"/>
        <v>-403.38999999999987</v>
      </c>
      <c r="AD202" s="8">
        <f>IFERROR(AC202/AC444, "NA")</f>
        <v>-6.5486176294974946E-3</v>
      </c>
    </row>
    <row r="203" spans="1:30" ht="16.5" customHeight="1" x14ac:dyDescent="0.45">
      <c r="A203" s="6" t="s">
        <v>185</v>
      </c>
      <c r="B203" s="7">
        <v>781.86</v>
      </c>
      <c r="C203" s="8">
        <f>IFERROR(B203/B444, "NA")</f>
        <v>7.4895195005684236E-3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-781.86</v>
      </c>
      <c r="I203" s="8">
        <f>IFERROR(H203/H444, "NA")</f>
        <v>3.4668763127824277E-2</v>
      </c>
      <c r="J203" s="9"/>
      <c r="K203" s="7">
        <v>595.65</v>
      </c>
      <c r="L203" s="8">
        <f>IFERROR(K203/K444, "NA")</f>
        <v>5.5836537540357627E-3</v>
      </c>
      <c r="M203" s="9"/>
      <c r="N203" s="10">
        <f t="shared" si="53"/>
        <v>-186.21000000000004</v>
      </c>
      <c r="O203" s="8">
        <f>IFERROR(N203/N444, "NA")</f>
        <v>8.1543015790994794E-2</v>
      </c>
      <c r="P203" s="9"/>
      <c r="Q203" s="7">
        <v>3104.88</v>
      </c>
      <c r="R203" s="8">
        <f>IFERROR(Q203/Q444, "NA")</f>
        <v>7.0445116674894654E-3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-3104.88</v>
      </c>
      <c r="X203" s="8">
        <f>IFERROR(W203/W444, "NA")</f>
        <v>-0.51716108399820016</v>
      </c>
      <c r="Y203" s="9"/>
      <c r="Z203" s="7">
        <v>2312.06</v>
      </c>
      <c r="AA203" s="8">
        <f>IFERROR(Z203/Z444, "NA")</f>
        <v>6.0979705863370972E-3</v>
      </c>
      <c r="AB203" s="9"/>
      <c r="AC203" s="10">
        <f t="shared" si="55"/>
        <v>-792.82000000000016</v>
      </c>
      <c r="AD203" s="8">
        <f>IFERROR(AC203/AC444, "NA")</f>
        <v>-1.2870609159915234E-2</v>
      </c>
    </row>
    <row r="204" spans="1:30" ht="16.5" customHeight="1" x14ac:dyDescent="0.45">
      <c r="A204" s="6" t="s">
        <v>186</v>
      </c>
      <c r="B204" s="7">
        <v>33.24</v>
      </c>
      <c r="C204" s="8">
        <f>IFERROR(B204/B444, "NA")</f>
        <v>3.1840946998042412E-4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-33.24</v>
      </c>
      <c r="I204" s="8">
        <f>IFERROR(H204/H444, "NA")</f>
        <v>1.473907971208246E-3</v>
      </c>
      <c r="J204" s="9"/>
      <c r="K204" s="7">
        <v>20.83</v>
      </c>
      <c r="L204" s="8">
        <f>IFERROR(K204/K444, "NA")</f>
        <v>1.9526149197778047E-4</v>
      </c>
      <c r="M204" s="9"/>
      <c r="N204" s="10">
        <f t="shared" si="53"/>
        <v>-12.410000000000004</v>
      </c>
      <c r="O204" s="8">
        <f>IFERROR(N204/N444, "NA")</f>
        <v>5.4344494171432549E-3</v>
      </c>
      <c r="P204" s="9"/>
      <c r="Q204" s="7">
        <v>304.08999999999997</v>
      </c>
      <c r="R204" s="8">
        <f>IFERROR(Q204/Q444, "NA")</f>
        <v>6.899350548062635E-4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-304.08999999999997</v>
      </c>
      <c r="X204" s="8">
        <f>IFERROR(W204/W444, "NA")</f>
        <v>-5.065043223345593E-2</v>
      </c>
      <c r="Y204" s="9"/>
      <c r="Z204" s="7">
        <v>342.99</v>
      </c>
      <c r="AA204" s="8">
        <f>IFERROR(Z204/Z444, "NA")</f>
        <v>9.0462312025110119E-4</v>
      </c>
      <c r="AB204" s="9"/>
      <c r="AC204" s="10">
        <f t="shared" si="55"/>
        <v>38.900000000000034</v>
      </c>
      <c r="AD204" s="8">
        <f>IFERROR(AC204/AC444, "NA")</f>
        <v>6.3150109270793239E-4</v>
      </c>
    </row>
    <row r="205" spans="1:30" ht="16.5" customHeight="1" x14ac:dyDescent="0.45">
      <c r="A205" s="6" t="s">
        <v>187</v>
      </c>
      <c r="B205" s="7">
        <v>364.24</v>
      </c>
      <c r="C205" s="8">
        <f>IFERROR(B205/B444, "NA")</f>
        <v>3.4890934219515548E-3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-364.24</v>
      </c>
      <c r="I205" s="8">
        <f>IFERROR(H205/H444, "NA")</f>
        <v>1.6150909730231391E-2</v>
      </c>
      <c r="J205" s="9"/>
      <c r="K205" s="7">
        <v>449.1</v>
      </c>
      <c r="L205" s="8">
        <f>IFERROR(K205/K444, "NA")</f>
        <v>4.2098865121085556E-3</v>
      </c>
      <c r="M205" s="9"/>
      <c r="N205" s="10">
        <f t="shared" si="53"/>
        <v>84.860000000000014</v>
      </c>
      <c r="O205" s="8">
        <f>IFERROR(N205/N444, "NA")</f>
        <v>-3.7160949036162495E-2</v>
      </c>
      <c r="P205" s="9"/>
      <c r="Q205" s="7">
        <v>1548.02</v>
      </c>
      <c r="R205" s="8">
        <f>IFERROR(Q205/Q444, "NA")</f>
        <v>3.5122275100831729E-3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-1548.02</v>
      </c>
      <c r="X205" s="8">
        <f>IFERROR(W205/W444, "NA")</f>
        <v>-0.25784432933024587</v>
      </c>
      <c r="Y205" s="9"/>
      <c r="Z205" s="7">
        <v>1719.48</v>
      </c>
      <c r="AA205" s="8">
        <f>IFERROR(Z205/Z444, "NA")</f>
        <v>4.5350633044968173E-3</v>
      </c>
      <c r="AB205" s="9"/>
      <c r="AC205" s="10">
        <f t="shared" si="55"/>
        <v>171.46000000000004</v>
      </c>
      <c r="AD205" s="8">
        <f>IFERROR(AC205/AC444, "NA")</f>
        <v>2.7834749962905398E-3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196.18</v>
      </c>
      <c r="L206" s="8">
        <f>IFERROR(K206/K444, "NA")</f>
        <v>1.8390014160442139E-3</v>
      </c>
      <c r="M206" s="9"/>
      <c r="N206" s="10">
        <f t="shared" si="53"/>
        <v>196.18</v>
      </c>
      <c r="O206" s="8">
        <f>IFERROR(N206/N444, "NA")</f>
        <v>-8.5908967498401573E-2</v>
      </c>
      <c r="P206" s="9"/>
      <c r="Q206" s="7">
        <v>135.76</v>
      </c>
      <c r="R206" s="8">
        <f>IFERROR(Q206/Q444, "NA")</f>
        <v>3.080192806093536E-4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-135.76</v>
      </c>
      <c r="X206" s="8">
        <f>IFERROR(W206/W444, "NA")</f>
        <v>-2.2612722154671239E-2</v>
      </c>
      <c r="Y206" s="9"/>
      <c r="Z206" s="7">
        <v>218.64</v>
      </c>
      <c r="AA206" s="8">
        <f>IFERROR(Z206/Z444, "NA")</f>
        <v>5.7665471008396961E-4</v>
      </c>
      <c r="AB206" s="9"/>
      <c r="AC206" s="10">
        <f t="shared" si="55"/>
        <v>82.88</v>
      </c>
      <c r="AD206" s="8">
        <f>IFERROR(AC206/AC444, "NA")</f>
        <v>1.3454707085766937E-3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154.16999999999999</v>
      </c>
      <c r="L207" s="8">
        <f>IFERROR(K207/K444, "NA")</f>
        <v>1.4451975140765442E-3</v>
      </c>
      <c r="M207" s="9"/>
      <c r="N207" s="10">
        <f t="shared" si="53"/>
        <v>154.16999999999999</v>
      </c>
      <c r="O207" s="8">
        <f>IFERROR(N207/N444, "NA")</f>
        <v>-6.7512414717242161E-2</v>
      </c>
      <c r="P207" s="9"/>
      <c r="Q207" s="7">
        <v>99.6</v>
      </c>
      <c r="R207" s="8">
        <f>IFERROR(Q207/Q444, "NA")</f>
        <v>2.2597761011116396E-4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-99.6</v>
      </c>
      <c r="X207" s="8">
        <f>IFERROR(W207/W444, "NA")</f>
        <v>-1.6589769642054032E-2</v>
      </c>
      <c r="Y207" s="9"/>
      <c r="Z207" s="7">
        <v>308.33999999999997</v>
      </c>
      <c r="AA207" s="8">
        <f>IFERROR(Z207/Z444, "NA")</f>
        <v>8.1323505903444567E-4</v>
      </c>
      <c r="AB207" s="9"/>
      <c r="AC207" s="10">
        <f t="shared" si="55"/>
        <v>208.73999999999998</v>
      </c>
      <c r="AD207" s="8">
        <f>IFERROR(AC207/AC444, "NA")</f>
        <v>3.3886770717700171E-3</v>
      </c>
    </row>
    <row r="208" spans="1:30" ht="16.5" customHeight="1" x14ac:dyDescent="0.45">
      <c r="A208" s="6" t="s">
        <v>190</v>
      </c>
      <c r="B208" s="7">
        <v>216.65</v>
      </c>
      <c r="C208" s="8">
        <f>IFERROR(B208/B444, "NA")</f>
        <v>2.0753132271738536E-3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-216.65</v>
      </c>
      <c r="I208" s="8">
        <f>IFERROR(H208/H444, "NA")</f>
        <v>9.6065632359285946E-3</v>
      </c>
      <c r="J208" s="9"/>
      <c r="K208" s="7">
        <v>0</v>
      </c>
      <c r="L208" s="8">
        <f>IFERROR(K208/K444, "NA")</f>
        <v>0</v>
      </c>
      <c r="M208" s="9"/>
      <c r="N208" s="10">
        <f t="shared" si="53"/>
        <v>-216.65</v>
      </c>
      <c r="O208" s="8">
        <f>IFERROR(N208/N444, "NA")</f>
        <v>9.4872962628854626E-2</v>
      </c>
      <c r="P208" s="9"/>
      <c r="Q208" s="7">
        <v>778.63</v>
      </c>
      <c r="R208" s="8">
        <f>IFERROR(Q208/Q444, "NA")</f>
        <v>1.7665958490045743E-3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-778.63</v>
      </c>
      <c r="X208" s="8">
        <f>IFERROR(W208/W444, "NA")</f>
        <v>-0.12969169012442303</v>
      </c>
      <c r="Y208" s="9"/>
      <c r="Z208" s="7">
        <v>262.64999999999998</v>
      </c>
      <c r="AA208" s="8">
        <f>IFERROR(Z208/Z444, "NA")</f>
        <v>6.9272941640850089E-4</v>
      </c>
      <c r="AB208" s="9"/>
      <c r="AC208" s="10">
        <f t="shared" si="55"/>
        <v>-515.98</v>
      </c>
      <c r="AD208" s="8">
        <f>IFERROR(AC208/AC444, "NA")</f>
        <v>-8.3763993268750302E-3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2115.34</v>
      </c>
      <c r="C209" s="15">
        <f>IFERROR(B209/B444, "NA")</f>
        <v>2.0263065229494295E-2</v>
      </c>
      <c r="D209" s="2"/>
      <c r="E209" s="14">
        <f>IFERROR(E201+E202+E203+E204+E205+E206+E207+E208, "NA")</f>
        <v>2538.92</v>
      </c>
      <c r="F209" s="15">
        <f>IFERROR(E209/E444, "NA")</f>
        <v>1.999997321699426E-2</v>
      </c>
      <c r="G209" s="2"/>
      <c r="H209" s="14">
        <f t="shared" si="52"/>
        <v>423.57999999999993</v>
      </c>
      <c r="I209" s="15">
        <f>IFERROR(H209/H444, "NA")</f>
        <v>-1.8782128112045385E-2</v>
      </c>
      <c r="J209" s="2"/>
      <c r="K209" s="14">
        <f>IFERROR(K201+K202+K203+K204+K205+K206+K207+K208, "NA")</f>
        <v>2240.8399999999997</v>
      </c>
      <c r="L209" s="15">
        <f>IFERROR(K209/K444, "NA")</f>
        <v>2.1005749480724416E-2</v>
      </c>
      <c r="M209" s="2"/>
      <c r="N209" s="14">
        <f t="shared" si="53"/>
        <v>125.49999999999955</v>
      </c>
      <c r="O209" s="15">
        <f>IFERROR(N209/N444, "NA")</f>
        <v>-5.4957566627838503E-2</v>
      </c>
      <c r="P209" s="2"/>
      <c r="Q209" s="14">
        <f>IFERROR(Q201+Q202+Q203+Q204+Q205+Q206+Q207+Q208, "NA")</f>
        <v>9632.7000000000007</v>
      </c>
      <c r="R209" s="15">
        <f>IFERROR(Q209/Q444, "NA")</f>
        <v>2.1855165912829412E-2</v>
      </c>
      <c r="S209" s="2"/>
      <c r="T209" s="14">
        <f>IFERROR(T201+T202+T203+T204+T205+T206+T207+T208, "NA")</f>
        <v>8694.9599999999991</v>
      </c>
      <c r="U209" s="15">
        <f>IFERROR(T209/T444, "NA")</f>
        <v>2.000000322025685E-2</v>
      </c>
      <c r="V209" s="2"/>
      <c r="W209" s="14">
        <f t="shared" si="54"/>
        <v>-937.7400000000016</v>
      </c>
      <c r="X209" s="15">
        <f>IFERROR(W209/W444, "NA")</f>
        <v>-0.15619368056365238</v>
      </c>
      <c r="Y209" s="2"/>
      <c r="Z209" s="14">
        <f>IFERROR(Z201+Z202+Z203+Z204+Z205+Z206+Z207+Z208, "NA")</f>
        <v>8422.49</v>
      </c>
      <c r="AA209" s="15">
        <f>IFERROR(Z209/Z444, "NA")</f>
        <v>2.221399802934108E-2</v>
      </c>
      <c r="AB209" s="2"/>
      <c r="AC209" s="14">
        <f t="shared" si="55"/>
        <v>-1210.2100000000009</v>
      </c>
      <c r="AD209" s="15">
        <f>IFERROR(AC209/AC444, "NA")</f>
        <v>-1.9646502246942588E-2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3233.09</v>
      </c>
      <c r="F213" s="8">
        <f>IFERROR(E213/E444, "NA")</f>
        <v>2.5468196480445217E-2</v>
      </c>
      <c r="G213" s="9"/>
      <c r="H213" s="10">
        <f t="shared" ref="H213:H227" si="56">IFERROR(-(B213-E213), "NA")</f>
        <v>3233.09</v>
      </c>
      <c r="I213" s="8">
        <f>IFERROR(H213/H444, "NA")</f>
        <v>-0.14335972089752308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11491.03</v>
      </c>
      <c r="U213" s="8">
        <f>IFERROR(T213/T444, "NA")</f>
        <v>2.6431477201053034E-2</v>
      </c>
      <c r="V213" s="9"/>
      <c r="W213" s="10">
        <f t="shared" ref="W213:W227" si="58">IFERROR(-(Q213-T213), "NA")</f>
        <v>11491.03</v>
      </c>
      <c r="X213" s="8">
        <f>IFERROR(W213/W444, "NA")</f>
        <v>1.913991371987271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1689.96</v>
      </c>
      <c r="C214" s="8">
        <f>IFERROR(B214/B444, "NA")</f>
        <v>1.6188305291459613E-2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-1689.96</v>
      </c>
      <c r="I214" s="8">
        <f>IFERROR(H214/H444, "NA")</f>
        <v>7.4935183965796848E-2</v>
      </c>
      <c r="J214" s="9"/>
      <c r="K214" s="7">
        <v>410</v>
      </c>
      <c r="L214" s="8">
        <f>IFERROR(K214/K444, "NA")</f>
        <v>3.8433610998987039E-3</v>
      </c>
      <c r="M214" s="9"/>
      <c r="N214" s="10">
        <f t="shared" si="57"/>
        <v>-1279.96</v>
      </c>
      <c r="O214" s="8">
        <f>IFERROR(N214/N444, "NA")</f>
        <v>0.56050587235831417</v>
      </c>
      <c r="P214" s="9"/>
      <c r="Q214" s="7">
        <v>9839.15</v>
      </c>
      <c r="R214" s="8">
        <f>IFERROR(Q214/Q444, "NA")</f>
        <v>2.2323570306478503E-2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-9839.15</v>
      </c>
      <c r="X214" s="8">
        <f>IFERROR(W214/W444, "NA")</f>
        <v>-1.6388477105784733</v>
      </c>
      <c r="Y214" s="9"/>
      <c r="Z214" s="7">
        <v>1770</v>
      </c>
      <c r="AA214" s="8">
        <f>IFERROR(Z214/Z444, "NA")</f>
        <v>4.6683078889893266E-3</v>
      </c>
      <c r="AB214" s="9"/>
      <c r="AC214" s="10">
        <f t="shared" si="59"/>
        <v>-8069.15</v>
      </c>
      <c r="AD214" s="8">
        <f>IFERROR(AC214/AC444, "NA")</f>
        <v>-0.13099426843764031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2.1</v>
      </c>
      <c r="R216" s="8">
        <f>IFERROR(Q216/Q444, "NA")</f>
        <v>4.7645881649944208E-6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-2.1</v>
      </c>
      <c r="X216" s="8">
        <f>IFERROR(W216/W444, "NA")</f>
        <v>-3.4978429968186218E-4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-2.1</v>
      </c>
      <c r="AD216" s="8">
        <f>IFERROR(AC216/AC444, "NA")</f>
        <v>-3.409131862947704E-5</v>
      </c>
    </row>
    <row r="217" spans="1:30" ht="16.5" customHeight="1" x14ac:dyDescent="0.45">
      <c r="A217" s="12" t="s">
        <v>197</v>
      </c>
      <c r="B217" s="7">
        <v>1535.86</v>
      </c>
      <c r="C217" s="8">
        <f>IFERROR(B217/B444, "NA")</f>
        <v>1.4712165119257947E-2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-1535.86</v>
      </c>
      <c r="I217" s="8">
        <f>IFERROR(H217/H444, "NA")</f>
        <v>6.8102174989768241E-2</v>
      </c>
      <c r="J217" s="9"/>
      <c r="K217" s="7">
        <v>153.5</v>
      </c>
      <c r="L217" s="8">
        <f>IFERROR(K217/K444, "NA")</f>
        <v>1.4389168995962221E-3</v>
      </c>
      <c r="M217" s="9"/>
      <c r="N217" s="10">
        <f t="shared" si="57"/>
        <v>-1382.36</v>
      </c>
      <c r="O217" s="8">
        <f>IFERROR(N217/N444, "NA")</f>
        <v>0.60534774345545106</v>
      </c>
      <c r="P217" s="9"/>
      <c r="Q217" s="7">
        <v>9184.89</v>
      </c>
      <c r="R217" s="8">
        <f>IFERROR(Q217/Q444, "NA")</f>
        <v>2.0839151519416954E-2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-9184.89</v>
      </c>
      <c r="X217" s="8">
        <f>IFERROR(W217/W444, "NA")</f>
        <v>-1.5298715791928281</v>
      </c>
      <c r="Y217" s="9"/>
      <c r="Z217" s="7">
        <v>889.34</v>
      </c>
      <c r="AA217" s="8">
        <f>IFERROR(Z217/Z444, "NA")</f>
        <v>2.3456005299399819E-3</v>
      </c>
      <c r="AB217" s="9"/>
      <c r="AC217" s="10">
        <f t="shared" si="59"/>
        <v>-8295.5499999999993</v>
      </c>
      <c r="AD217" s="8">
        <f>IFERROR(AC217/AC444, "NA")</f>
        <v>-0.13466963726512296</v>
      </c>
    </row>
    <row r="218" spans="1:30" ht="16.5" customHeight="1" x14ac:dyDescent="0.45">
      <c r="A218" s="13" t="s">
        <v>198</v>
      </c>
      <c r="B218" s="14">
        <f>IFERROR(B213+B214+B215+B216+B217, "NA")</f>
        <v>3225.8199999999997</v>
      </c>
      <c r="C218" s="15">
        <f>IFERROR(B218/B444, "NA")</f>
        <v>3.090047041071756E-2</v>
      </c>
      <c r="D218" s="2"/>
      <c r="E218" s="14">
        <f>IFERROR(E213+E214+E215+E216+E217, "NA")</f>
        <v>3233.09</v>
      </c>
      <c r="F218" s="15">
        <f>IFERROR(E218/E444, "NA")</f>
        <v>2.5468196480445217E-2</v>
      </c>
      <c r="G218" s="2"/>
      <c r="H218" s="14">
        <f t="shared" si="56"/>
        <v>7.2700000000004366</v>
      </c>
      <c r="I218" s="15">
        <f>IFERROR(H218/H444, "NA")</f>
        <v>-3.2236194195802017E-4</v>
      </c>
      <c r="J218" s="2"/>
      <c r="K218" s="14">
        <f>IFERROR(K213+K214+K215+K216+K217, "NA")</f>
        <v>563.5</v>
      </c>
      <c r="L218" s="15">
        <f>IFERROR(K218/K444, "NA")</f>
        <v>5.2822779994949262E-3</v>
      </c>
      <c r="M218" s="2"/>
      <c r="N218" s="14">
        <f t="shared" si="57"/>
        <v>-2662.3199999999997</v>
      </c>
      <c r="O218" s="15">
        <f>IFERROR(N218/N444, "NA")</f>
        <v>1.1658536158137651</v>
      </c>
      <c r="P218" s="2"/>
      <c r="Q218" s="14">
        <f>IFERROR(Q213+Q214+Q215+Q216+Q217, "NA")</f>
        <v>19026.14</v>
      </c>
      <c r="R218" s="15">
        <f>IFERROR(Q218/Q444, "NA")</f>
        <v>4.3167486414060451E-2</v>
      </c>
      <c r="S218" s="2"/>
      <c r="T218" s="14">
        <f>IFERROR(T213+T214+T215+T216+T217, "NA")</f>
        <v>11491.03</v>
      </c>
      <c r="U218" s="15">
        <f>IFERROR(T218/T444, "NA")</f>
        <v>2.6431477201053034E-2</v>
      </c>
      <c r="V218" s="2"/>
      <c r="W218" s="14">
        <f t="shared" si="58"/>
        <v>-7535.1099999999988</v>
      </c>
      <c r="X218" s="15">
        <f>IFERROR(W218/W444, "NA")</f>
        <v>-1.2550777020837125</v>
      </c>
      <c r="Y218" s="2"/>
      <c r="Z218" s="14">
        <f>IFERROR(Z213+Z214+Z215+Z216+Z217, "NA")</f>
        <v>2659.34</v>
      </c>
      <c r="AA218" s="15">
        <f>IFERROR(Z218/Z444, "NA")</f>
        <v>7.0139084189293089E-3</v>
      </c>
      <c r="AB218" s="2"/>
      <c r="AC218" s="14">
        <f t="shared" si="59"/>
        <v>-16366.8</v>
      </c>
      <c r="AD218" s="15">
        <f>IFERROR(AC218/AC444, "NA")</f>
        <v>-0.26569799702139274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59.5</v>
      </c>
      <c r="C222" s="8">
        <f>IFERROR(B222/B444, "NA")</f>
        <v>5.6995678290719723E-4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-59.5</v>
      </c>
      <c r="I222" s="8">
        <f>IFERROR(H222/H444, "NA")</f>
        <v>2.638313005020777E-3</v>
      </c>
      <c r="J222" s="9"/>
      <c r="K222" s="7">
        <v>0</v>
      </c>
      <c r="L222" s="8">
        <f>IFERROR(K222/K444, "NA")</f>
        <v>0</v>
      </c>
      <c r="M222" s="9"/>
      <c r="N222" s="10">
        <f t="shared" si="57"/>
        <v>-59.5</v>
      </c>
      <c r="O222" s="8">
        <f>IFERROR(N222/N444, "NA")</f>
        <v>2.6055579397262173E-2</v>
      </c>
      <c r="P222" s="9"/>
      <c r="Q222" s="7">
        <v>509.06</v>
      </c>
      <c r="R222" s="8">
        <f>IFERROR(Q222/Q444, "NA")</f>
        <v>1.1549815482247905E-3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-509.06</v>
      </c>
      <c r="X222" s="8">
        <f>IFERROR(W222/W444, "NA")</f>
        <v>-8.4791045521927982E-2</v>
      </c>
      <c r="Y222" s="9"/>
      <c r="Z222" s="7">
        <v>0</v>
      </c>
      <c r="AA222" s="8">
        <f>IFERROR(Z222/Z444, "NA")</f>
        <v>0</v>
      </c>
      <c r="AB222" s="9"/>
      <c r="AC222" s="10">
        <f t="shared" si="59"/>
        <v>-509.06</v>
      </c>
      <c r="AD222" s="8">
        <f>IFERROR(AC222/AC444, "NA")</f>
        <v>-8.2640603150102767E-3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126.95</v>
      </c>
      <c r="F226" s="8">
        <f>IFERROR(E226/E444, "NA")</f>
        <v>1.0000301702682327E-3</v>
      </c>
      <c r="G226" s="9"/>
      <c r="H226" s="10">
        <f t="shared" si="56"/>
        <v>126.95</v>
      </c>
      <c r="I226" s="8">
        <f>IFERROR(H226/H444, "NA")</f>
        <v>-5.6291401006283636E-3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434.76</v>
      </c>
      <c r="U226" s="8">
        <f>IFERROR(T226/T444, "NA")</f>
        <v>1.0000277632144217E-3</v>
      </c>
      <c r="V226" s="9"/>
      <c r="W226" s="10">
        <f t="shared" si="58"/>
        <v>434.76</v>
      </c>
      <c r="X226" s="8">
        <f>IFERROR(W226/W444, "NA")</f>
        <v>7.2415343871279236E-2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3285.3199999999997</v>
      </c>
      <c r="C227" s="15">
        <f>IFERROR(B227/B444, "NA")</f>
        <v>3.1470427193624757E-2</v>
      </c>
      <c r="D227" s="2"/>
      <c r="E227" s="14">
        <f>IFERROR(E211+E213+E214+E215+E216+E217+E219+E220+E221+E222+E223+E224+E225+E226, "NA")</f>
        <v>3360.04</v>
      </c>
      <c r="F227" s="15">
        <f>IFERROR(E227/E444, "NA")</f>
        <v>2.6468226650713449E-2</v>
      </c>
      <c r="G227" s="2"/>
      <c r="H227" s="14">
        <f t="shared" si="56"/>
        <v>74.720000000000255</v>
      </c>
      <c r="I227" s="15">
        <f>IFERROR(H227/H444, "NA")</f>
        <v>-3.3131890375655989E-3</v>
      </c>
      <c r="J227" s="2"/>
      <c r="K227" s="14">
        <f>IFERROR(K211+K213+K214+K215+K216+K217+K219+K220+K221+K222+K223+K224+K225+K226, "NA")</f>
        <v>563.5</v>
      </c>
      <c r="L227" s="15">
        <f>IFERROR(K227/K444, "NA")</f>
        <v>5.2822779994949262E-3</v>
      </c>
      <c r="M227" s="2"/>
      <c r="N227" s="14">
        <f t="shared" si="57"/>
        <v>-2721.8199999999997</v>
      </c>
      <c r="O227" s="15">
        <f>IFERROR(N227/N444, "NA")</f>
        <v>1.1919091952110272</v>
      </c>
      <c r="P227" s="2"/>
      <c r="Q227" s="14">
        <f>IFERROR(Q211+Q213+Q214+Q215+Q216+Q217+Q219+Q220+Q221+Q222+Q223+Q224+Q225+Q226, "NA")</f>
        <v>19535.2</v>
      </c>
      <c r="R227" s="15">
        <f>IFERROR(Q227/Q444, "NA")</f>
        <v>4.4322467962285249E-2</v>
      </c>
      <c r="S227" s="2"/>
      <c r="T227" s="14">
        <f>IFERROR(T211+T213+T214+T215+T216+T217+T219+T220+T221+T222+T223+T224+T225+T226, "NA")</f>
        <v>11925.79</v>
      </c>
      <c r="U227" s="15">
        <f>IFERROR(T227/T444, "NA")</f>
        <v>2.7431504964267456E-2</v>
      </c>
      <c r="V227" s="2"/>
      <c r="W227" s="14">
        <f t="shared" si="58"/>
        <v>-7609.41</v>
      </c>
      <c r="X227" s="15">
        <f>IFERROR(W227/W444, "NA")</f>
        <v>-1.2674534037343612</v>
      </c>
      <c r="Y227" s="2"/>
      <c r="Z227" s="14">
        <f>IFERROR(Z211+Z213+Z214+Z215+Z216+Z217+Z219+Z220+Z221+Z222+Z223+Z224+Z225+Z226, "NA")</f>
        <v>2659.34</v>
      </c>
      <c r="AA227" s="15">
        <f>IFERROR(Z227/Z444, "NA")</f>
        <v>7.0139084189293089E-3</v>
      </c>
      <c r="AB227" s="2"/>
      <c r="AC227" s="14">
        <f t="shared" si="59"/>
        <v>-16875.86</v>
      </c>
      <c r="AD227" s="15">
        <f>IFERROR(AC227/AC444, "NA")</f>
        <v>-0.27396205733640305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1868.65</v>
      </c>
      <c r="F229" s="8">
        <f>IFERROR(E229/E444, "NA")</f>
        <v>1.472001872919837E-2</v>
      </c>
      <c r="G229" s="9"/>
      <c r="H229" s="10">
        <f t="shared" ref="H229:H236" si="60">IFERROR(-(B229-E229), "NA")</f>
        <v>1868.65</v>
      </c>
      <c r="I229" s="8">
        <f>IFERROR(H229/H444, "NA")</f>
        <v>-8.285854784591723E-2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6399.5</v>
      </c>
      <c r="U229" s="8">
        <f>IFERROR(T229/T444, "NA")</f>
        <v>1.4720024083840951E-2</v>
      </c>
      <c r="V229" s="9"/>
      <c r="W229" s="10">
        <f t="shared" ref="W229:W236" si="62">IFERROR(-(Q229-T229), "NA")</f>
        <v>6399.5</v>
      </c>
      <c r="X229" s="8">
        <f>IFERROR(W229/W444, "NA")</f>
        <v>1.0659260122924177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-257.66000000000003</v>
      </c>
      <c r="AA230" s="8">
        <f>IFERROR(Z230/Z444, "NA")</f>
        <v>-6.795684806084689E-4</v>
      </c>
      <c r="AB230" s="9"/>
      <c r="AC230" s="10">
        <f t="shared" si="63"/>
        <v>-257.66000000000003</v>
      </c>
      <c r="AD230" s="8">
        <f>IFERROR(AC230/AC444, "NA")</f>
        <v>-4.1828424562243118E-3</v>
      </c>
    </row>
    <row r="231" spans="1:30" ht="16.5" customHeight="1" x14ac:dyDescent="0.45">
      <c r="A231" s="6" t="s">
        <v>210</v>
      </c>
      <c r="B231" s="7">
        <v>224</v>
      </c>
      <c r="C231" s="8">
        <f>IFERROR(B231/B444, "NA")</f>
        <v>2.1457196532976837E-3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-224</v>
      </c>
      <c r="I231" s="8">
        <f>IFERROR(H231/H444, "NA")</f>
        <v>9.9324724894899845E-3</v>
      </c>
      <c r="J231" s="9"/>
      <c r="K231" s="7">
        <v>244.88</v>
      </c>
      <c r="L231" s="8">
        <f>IFERROR(K231/K444, "NA")</f>
        <v>2.2955177223004746E-3</v>
      </c>
      <c r="M231" s="9"/>
      <c r="N231" s="10">
        <f t="shared" si="61"/>
        <v>20.879999999999995</v>
      </c>
      <c r="O231" s="8">
        <f>IFERROR(N231/N444, "NA")</f>
        <v>-9.1435377784005734E-3</v>
      </c>
      <c r="P231" s="9"/>
      <c r="Q231" s="7">
        <v>770.05</v>
      </c>
      <c r="R231" s="8">
        <f>IFERROR(Q231/Q444, "NA")</f>
        <v>1.7471291030733112E-3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-770.05</v>
      </c>
      <c r="X231" s="8">
        <f>IFERROR(W231/W444, "NA")</f>
        <v>-0.12826257141429426</v>
      </c>
      <c r="Y231" s="9"/>
      <c r="Z231" s="7">
        <v>820.77</v>
      </c>
      <c r="AA231" s="8">
        <f>IFERROR(Z231/Z444, "NA")</f>
        <v>2.1647497548281181E-3</v>
      </c>
      <c r="AB231" s="9"/>
      <c r="AC231" s="10">
        <f t="shared" si="63"/>
        <v>50.720000000000027</v>
      </c>
      <c r="AD231" s="8">
        <f>IFERROR(AC231/AC444, "NA")</f>
        <v>8.2338651470813154E-4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1053.1500000000001</v>
      </c>
      <c r="C234" s="8">
        <f>IFERROR(B234/B444, "NA")</f>
        <v>1.0088235057457392E-2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-1053.1500000000001</v>
      </c>
      <c r="I234" s="8">
        <f>IFERROR(H234/H444, "NA")</f>
        <v>4.6698140188867754E-2</v>
      </c>
      <c r="J234" s="9"/>
      <c r="K234" s="7">
        <v>1747.16</v>
      </c>
      <c r="L234" s="8">
        <f>IFERROR(K234/K444, "NA")</f>
        <v>1.6377967754387851E-2</v>
      </c>
      <c r="M234" s="9"/>
      <c r="N234" s="10">
        <f t="shared" si="61"/>
        <v>694.01</v>
      </c>
      <c r="O234" s="8">
        <f>IFERROR(N234/N444, "NA")</f>
        <v>-0.30391315390746088</v>
      </c>
      <c r="P234" s="9"/>
      <c r="Q234" s="7">
        <v>5801.01</v>
      </c>
      <c r="R234" s="8">
        <f>IFERROR(Q234/Q444, "NA")</f>
        <v>1.3161630281435376E-2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-5801.01</v>
      </c>
      <c r="X234" s="8">
        <f>IFERROR(W234/W444, "NA")</f>
        <v>-0.96623915252260917</v>
      </c>
      <c r="Y234" s="9"/>
      <c r="Z234" s="7">
        <v>4153.57</v>
      </c>
      <c r="AA234" s="8">
        <f>IFERROR(Z234/Z444, "NA")</f>
        <v>1.0954883388965759E-2</v>
      </c>
      <c r="AB234" s="9"/>
      <c r="AC234" s="10">
        <f t="shared" si="63"/>
        <v>-1647.4400000000005</v>
      </c>
      <c r="AD234" s="8">
        <f>IFERROR(AC234/AC444, "NA")</f>
        <v>-2.6744477125212222E-2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1277.1500000000001</v>
      </c>
      <c r="C236" s="15">
        <f>IFERROR(B236/B444, "NA")</f>
        <v>1.2233954710755075E-2</v>
      </c>
      <c r="D236" s="2"/>
      <c r="E236" s="14">
        <f>IFERROR(E229+E230+E231+E232+E233+E234+E235, "NA")</f>
        <v>1868.65</v>
      </c>
      <c r="F236" s="15">
        <f>IFERROR(E236/E444, "NA")</f>
        <v>1.472001872919837E-2</v>
      </c>
      <c r="G236" s="2"/>
      <c r="H236" s="14">
        <f t="shared" si="60"/>
        <v>591.5</v>
      </c>
      <c r="I236" s="15">
        <f>IFERROR(H236/H444, "NA")</f>
        <v>-2.6227935167559488E-2</v>
      </c>
      <c r="J236" s="2"/>
      <c r="K236" s="14">
        <f>IFERROR(K229+K230+K231+K232+K233+K234+K235, "NA")</f>
        <v>1992.04</v>
      </c>
      <c r="L236" s="15">
        <f>IFERROR(K236/K444, "NA")</f>
        <v>1.8673485476688328E-2</v>
      </c>
      <c r="M236" s="2"/>
      <c r="N236" s="14">
        <f t="shared" si="61"/>
        <v>714.88999999999987</v>
      </c>
      <c r="O236" s="15">
        <f>IFERROR(N236/N444, "NA")</f>
        <v>-0.31305669168586137</v>
      </c>
      <c r="P236" s="2"/>
      <c r="Q236" s="14">
        <f>IFERROR(Q229+Q230+Q231+Q232+Q233+Q234+Q235, "NA")</f>
        <v>6571.06</v>
      </c>
      <c r="R236" s="15">
        <f>IFERROR(Q236/Q444, "NA")</f>
        <v>1.4908759384508686E-2</v>
      </c>
      <c r="S236" s="2"/>
      <c r="T236" s="14">
        <f>IFERROR(T229+T230+T231+T232+T233+T234+T235, "NA")</f>
        <v>6399.5</v>
      </c>
      <c r="U236" s="15">
        <f>IFERROR(T236/T444, "NA")</f>
        <v>1.4720024083840951E-2</v>
      </c>
      <c r="V236" s="2"/>
      <c r="W236" s="14">
        <f t="shared" si="62"/>
        <v>-171.5600000000004</v>
      </c>
      <c r="X236" s="15">
        <f>IFERROR(W236/W444, "NA")</f>
        <v>-2.8575711644485913E-2</v>
      </c>
      <c r="Y236" s="2"/>
      <c r="Z236" s="14">
        <f>IFERROR(Z229+Z230+Z231+Z232+Z233+Z234+Z235, "NA")</f>
        <v>4716.6799999999994</v>
      </c>
      <c r="AA236" s="15">
        <f>IFERROR(Z236/Z444, "NA")</f>
        <v>1.2440064663185408E-2</v>
      </c>
      <c r="AB236" s="2"/>
      <c r="AC236" s="14">
        <f t="shared" si="63"/>
        <v>-1854.380000000001</v>
      </c>
      <c r="AD236" s="15">
        <f>IFERROR(AC236/AC444, "NA")</f>
        <v>-3.010393306672841E-2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6541.28</v>
      </c>
      <c r="F240" s="8">
        <f>IFERROR(E240/E444, "NA")</f>
        <v>5.1527982293597355E-2</v>
      </c>
      <c r="G240" s="9"/>
      <c r="H240" s="10">
        <f t="shared" ref="H240:H263" si="64">IFERROR(-(B240-E240), "NA")</f>
        <v>6541.28</v>
      </c>
      <c r="I240" s="8">
        <f>IFERROR(H240/H444, "NA")</f>
        <v>-0.29004948056272783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23020.76</v>
      </c>
      <c r="U240" s="8">
        <f>IFERROR(T240/T444, "NA")</f>
        <v>5.2951971502198984E-2</v>
      </c>
      <c r="V240" s="9"/>
      <c r="W240" s="10">
        <f t="shared" ref="W240:W263" si="66">IFERROR(-(Q240-T240), "NA")</f>
        <v>23020.76</v>
      </c>
      <c r="X240" s="8">
        <f>IFERROR(W240/W444, "NA")</f>
        <v>3.8344287689258212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1035.1099999999999</v>
      </c>
      <c r="C242" s="8">
        <f>IFERROR(B242/B444, "NA")</f>
        <v>9.9154279925221661E-3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-1035.1099999999999</v>
      </c>
      <c r="I242" s="8">
        <f>IFERROR(H242/H444, "NA")</f>
        <v>4.5898221422303466E-2</v>
      </c>
      <c r="J242" s="9"/>
      <c r="K242" s="7">
        <v>763.66</v>
      </c>
      <c r="L242" s="8">
        <f>IFERROR(K242/K444, "NA")</f>
        <v>7.1585881403625467E-3</v>
      </c>
      <c r="M242" s="9"/>
      <c r="N242" s="10">
        <f t="shared" si="65"/>
        <v>-271.44999999999993</v>
      </c>
      <c r="O242" s="8">
        <f>IFERROR(N242/N444, "NA")</f>
        <v>0.11887037020818177</v>
      </c>
      <c r="P242" s="9"/>
      <c r="Q242" s="7">
        <v>4462.6400000000003</v>
      </c>
      <c r="R242" s="8">
        <f>IFERROR(Q242/Q444, "NA")</f>
        <v>1.0125067489824145E-2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-4462.6400000000003</v>
      </c>
      <c r="X242" s="8">
        <f>IFERROR(W242/W444, "NA")</f>
        <v>-0.74331495577726925</v>
      </c>
      <c r="Y242" s="9"/>
      <c r="Z242" s="7">
        <v>3512.39</v>
      </c>
      <c r="AA242" s="8">
        <f>IFERROR(Z242/Z444, "NA")</f>
        <v>9.263795449834588E-3</v>
      </c>
      <c r="AB242" s="9"/>
      <c r="AC242" s="10">
        <f t="shared" si="67"/>
        <v>-950.25000000000045</v>
      </c>
      <c r="AD242" s="8">
        <f>IFERROR(AC242/AC444, "NA")</f>
        <v>-1.5426321679838366E-2</v>
      </c>
    </row>
    <row r="243" spans="1:30" ht="16.5" customHeight="1" x14ac:dyDescent="0.45">
      <c r="A243" s="12" t="s">
        <v>220</v>
      </c>
      <c r="B243" s="7">
        <v>2282.66</v>
      </c>
      <c r="C243" s="8">
        <f>IFERROR(B243/B444, "NA")</f>
        <v>2.1865841177662902E-2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-2282.66</v>
      </c>
      <c r="I243" s="8">
        <f>IFERROR(H243/H444, "NA")</f>
        <v>0.10121632880740716</v>
      </c>
      <c r="J243" s="9"/>
      <c r="K243" s="7">
        <v>4309.6400000000003</v>
      </c>
      <c r="L243" s="8">
        <f>IFERROR(K243/K444, "NA")</f>
        <v>4.039878714772549E-2</v>
      </c>
      <c r="M243" s="9"/>
      <c r="N243" s="10">
        <f t="shared" si="65"/>
        <v>2026.9800000000005</v>
      </c>
      <c r="O243" s="8">
        <f>IFERROR(N243/N444, "NA")</f>
        <v>-0.88763257691869735</v>
      </c>
      <c r="P243" s="9"/>
      <c r="Q243" s="7">
        <v>11220.09</v>
      </c>
      <c r="R243" s="8">
        <f>IFERROR(Q243/Q444, "NA")</f>
        <v>2.5456718106748693E-2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-11220.09</v>
      </c>
      <c r="X243" s="8">
        <f>IFERROR(W243/W444, "NA")</f>
        <v>-1.8688625347702215</v>
      </c>
      <c r="Y243" s="9"/>
      <c r="Z243" s="7">
        <v>10209.44</v>
      </c>
      <c r="AA243" s="8">
        <f>IFERROR(Z243/Z444, "NA")</f>
        <v>2.6927010900657172E-2</v>
      </c>
      <c r="AB243" s="9"/>
      <c r="AC243" s="10">
        <f t="shared" si="67"/>
        <v>-1010.6499999999996</v>
      </c>
      <c r="AD243" s="8">
        <f>IFERROR(AC243/AC444, "NA")</f>
        <v>-1.6406852939467122E-2</v>
      </c>
    </row>
    <row r="244" spans="1:30" ht="16.5" customHeight="1" x14ac:dyDescent="0.45">
      <c r="A244" s="12" t="s">
        <v>221</v>
      </c>
      <c r="B244" s="7">
        <v>297.58</v>
      </c>
      <c r="C244" s="8">
        <f>IFERROR(B244/B444, "NA")</f>
        <v>2.8505502429835923E-3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-297.58</v>
      </c>
      <c r="I244" s="8">
        <f>IFERROR(H244/H444, "NA")</f>
        <v>1.3195112336707273E-2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-297.58</v>
      </c>
      <c r="O244" s="8">
        <f>IFERROR(N244/N444, "NA")</f>
        <v>0.13031292969810551</v>
      </c>
      <c r="P244" s="9"/>
      <c r="Q244" s="7">
        <v>297.58</v>
      </c>
      <c r="R244" s="8">
        <f>IFERROR(Q244/Q444, "NA")</f>
        <v>6.7516483149478081E-4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-297.58</v>
      </c>
      <c r="X244" s="8">
        <f>IFERROR(W244/W444, "NA")</f>
        <v>-4.9566100904442162E-2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-297.58</v>
      </c>
      <c r="AD244" s="8">
        <f>IFERROR(AC244/AC444, "NA")</f>
        <v>-4.8309021894094176E-3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430.83</v>
      </c>
      <c r="C246" s="8">
        <f>IFERROR(B246/B444, "NA")</f>
        <v>4.1269660635278619E-3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-430.83</v>
      </c>
      <c r="I246" s="8">
        <f>IFERROR(H246/H444, "NA")</f>
        <v>1.9103603226102543E-2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-430.83</v>
      </c>
      <c r="O246" s="8">
        <f>IFERROR(N246/N444, "NA")</f>
        <v>0.18866429028104978</v>
      </c>
      <c r="P246" s="9"/>
      <c r="Q246" s="7">
        <v>1521.63</v>
      </c>
      <c r="R246" s="8">
        <f>IFERROR(Q246/Q444, "NA")</f>
        <v>3.4523525188097435E-3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-1521.63</v>
      </c>
      <c r="X246" s="8">
        <f>IFERROR(W246/W444, "NA")</f>
        <v>-0.25344870663091046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-1521.63</v>
      </c>
      <c r="AD246" s="8">
        <f>IFERROR(AC246/AC444, "NA")</f>
        <v>-2.4702082460081497E-2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259.55</v>
      </c>
      <c r="C248" s="8">
        <f>IFERROR(B248/B444, "NA")</f>
        <v>2.4862568572027403E-3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-259.55</v>
      </c>
      <c r="I248" s="8">
        <f>IFERROR(H248/H444, "NA")</f>
        <v>1.1508809083246096E-2</v>
      </c>
      <c r="J248" s="9"/>
      <c r="K248" s="7">
        <v>264.92</v>
      </c>
      <c r="L248" s="8">
        <f>IFERROR(K248/K444, "NA")</f>
        <v>2.4833737136223527E-3</v>
      </c>
      <c r="M248" s="9"/>
      <c r="N248" s="10">
        <f t="shared" si="65"/>
        <v>5.3700000000000045</v>
      </c>
      <c r="O248" s="8">
        <f>IFERROR(N248/N444, "NA")</f>
        <v>-2.3515707792150925E-3</v>
      </c>
      <c r="P248" s="9"/>
      <c r="Q248" s="7">
        <v>1088.25</v>
      </c>
      <c r="R248" s="8">
        <f>IFERROR(Q248/Q444, "NA")</f>
        <v>2.4690776526453233E-3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-1088.25</v>
      </c>
      <c r="X248" s="8">
        <f>IFERROR(W248/W444, "NA")</f>
        <v>-0.18126322101370787</v>
      </c>
      <c r="Y248" s="9"/>
      <c r="Z248" s="7">
        <v>918.17</v>
      </c>
      <c r="AA248" s="8">
        <f>IFERROR(Z248/Z444, "NA")</f>
        <v>2.4216385618267399E-3</v>
      </c>
      <c r="AB248" s="9"/>
      <c r="AC248" s="10">
        <f t="shared" si="67"/>
        <v>-170.08000000000004</v>
      </c>
      <c r="AD248" s="8">
        <f>IFERROR(AC248/AC444, "NA")</f>
        <v>-2.7610721297625981E-3</v>
      </c>
    </row>
    <row r="249" spans="1:30" ht="16.5" customHeight="1" x14ac:dyDescent="0.45">
      <c r="A249" s="12" t="s">
        <v>226</v>
      </c>
      <c r="B249" s="7">
        <v>1158.3599999999999</v>
      </c>
      <c r="C249" s="8">
        <f>IFERROR(B249/B444, "NA")</f>
        <v>1.1096052757115645E-2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-1158.3599999999999</v>
      </c>
      <c r="I249" s="8">
        <f>IFERROR(H249/H444, "NA")</f>
        <v>5.1363298361275074E-2</v>
      </c>
      <c r="J249" s="9"/>
      <c r="K249" s="7">
        <v>869.94</v>
      </c>
      <c r="L249" s="8">
        <f>IFERROR(K249/K444, "NA")</f>
        <v>8.1548623298679963E-3</v>
      </c>
      <c r="M249" s="9"/>
      <c r="N249" s="10">
        <f t="shared" si="65"/>
        <v>-288.41999999999985</v>
      </c>
      <c r="O249" s="8">
        <f>IFERROR(N249/N444, "NA")</f>
        <v>0.12630168419761936</v>
      </c>
      <c r="P249" s="9"/>
      <c r="Q249" s="7">
        <v>5945.72</v>
      </c>
      <c r="R249" s="8">
        <f>IFERROR(Q249/Q444, "NA")</f>
        <v>1.3489955783033632E-2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-5945.72</v>
      </c>
      <c r="X249" s="8">
        <f>IFERROR(W249/W444, "NA")</f>
        <v>-0.99034262204973411</v>
      </c>
      <c r="Y249" s="9"/>
      <c r="Z249" s="7">
        <v>4339.54</v>
      </c>
      <c r="AA249" s="8">
        <f>IFERROR(Z249/Z444, "NA")</f>
        <v>1.1445372212759741E-2</v>
      </c>
      <c r="AB249" s="9"/>
      <c r="AC249" s="10">
        <f t="shared" si="67"/>
        <v>-1606.1800000000003</v>
      </c>
      <c r="AD249" s="8">
        <f>IFERROR(AC249/AC444, "NA")</f>
        <v>-2.6074663883949255E-2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696.39</v>
      </c>
      <c r="C254" s="8">
        <f>IFERROR(B254/B444, "NA")</f>
        <v>6.6707933453570263E-3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-696.39</v>
      </c>
      <c r="I254" s="8">
        <f>IFERROR(H254/H444, "NA")</f>
        <v>3.0878904093553258E-2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-696.39</v>
      </c>
      <c r="O254" s="8">
        <f>IFERROR(N254/N444, "NA")</f>
        <v>0.30495537708335135</v>
      </c>
      <c r="P254" s="9"/>
      <c r="Q254" s="7">
        <v>2919.44</v>
      </c>
      <c r="R254" s="8">
        <f>IFERROR(Q254/Q444, "NA")</f>
        <v>6.6237758440053866E-3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-2919.44</v>
      </c>
      <c r="X254" s="8">
        <f>IFERROR(W254/W444, "NA")</f>
        <v>-0.48627346469676941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-2919.44</v>
      </c>
      <c r="AD254" s="8">
        <f>IFERROR(AC254/AC444, "NA")</f>
        <v>-4.7394075837924023E-2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6160.48</v>
      </c>
      <c r="C262" s="15">
        <f>IFERROR(B262/B444, "NA")</f>
        <v>5.9011888436371937E-2</v>
      </c>
      <c r="D262" s="2"/>
      <c r="E262" s="14">
        <f>IFERROR(E240+E241+E242+E243+E244+E245+E246+E247+E248+E249+E250+E251+E252+E253+E254+E255+E256+E257+E258+E259+E260+E261, "NA")</f>
        <v>6541.28</v>
      </c>
      <c r="F262" s="15">
        <f>IFERROR(E262/E444, "NA")</f>
        <v>5.1527982293597355E-2</v>
      </c>
      <c r="G262" s="2"/>
      <c r="H262" s="14">
        <f t="shared" si="64"/>
        <v>380.80000000000018</v>
      </c>
      <c r="I262" s="15">
        <f>IFERROR(H262/H444, "NA")</f>
        <v>-1.6885203232132981E-2</v>
      </c>
      <c r="J262" s="2"/>
      <c r="K262" s="14">
        <f>IFERROR(K240+K241+K242+K243+K244+K245+K246+K247+K248+K249+K250+K251+K252+K253+K254+K255+K256+K257+K258+K259+K260+K261, "NA")</f>
        <v>6208.16</v>
      </c>
      <c r="L262" s="15">
        <f>IFERROR(K262/K444, "NA")</f>
        <v>5.8195611331578384E-2</v>
      </c>
      <c r="M262" s="2"/>
      <c r="N262" s="14">
        <f t="shared" si="65"/>
        <v>47.680000000000291</v>
      </c>
      <c r="O262" s="15">
        <f>IFERROR(N262/N444, "NA")</f>
        <v>-2.0879496229604503E-2</v>
      </c>
      <c r="P262" s="2"/>
      <c r="Q262" s="14">
        <f>IFERROR(Q240+Q241+Q242+Q243+Q244+Q245+Q246+Q247+Q248+Q249+Q250+Q251+Q252+Q253+Q254+Q255+Q256+Q257+Q258+Q259+Q260+Q261, "NA")</f>
        <v>27455.35</v>
      </c>
      <c r="R262" s="15">
        <f>IFERROR(Q262/Q444, "NA")</f>
        <v>6.2292112226561697E-2</v>
      </c>
      <c r="S262" s="2"/>
      <c r="T262" s="14">
        <f>IFERROR(T240+T241+T242+T243+T244+T245+T246+T247+T248+T249+T250+T251+T252+T253+T254+T255+T256+T257+T258+T259+T260+T261, "NA")</f>
        <v>23020.76</v>
      </c>
      <c r="U262" s="15">
        <f>IFERROR(T262/T444, "NA")</f>
        <v>5.2951971502198984E-2</v>
      </c>
      <c r="V262" s="2"/>
      <c r="W262" s="14">
        <f t="shared" si="66"/>
        <v>-4434.59</v>
      </c>
      <c r="X262" s="15">
        <f>IFERROR(W262/W444, "NA")</f>
        <v>-0.73864283691723298</v>
      </c>
      <c r="Y262" s="2"/>
      <c r="Z262" s="14">
        <f>IFERROR(Z240+Z241+Z242+Z243+Z244+Z245+Z246+Z247+Z248+Z249+Z250+Z251+Z252+Z253+Z254+Z255+Z256+Z257+Z258+Z259+Z260+Z261, "NA")</f>
        <v>18979.54</v>
      </c>
      <c r="AA262" s="15">
        <f>IFERROR(Z262/Z444, "NA")</f>
        <v>5.0057817125078237E-2</v>
      </c>
      <c r="AB262" s="2"/>
      <c r="AC262" s="14">
        <f t="shared" si="67"/>
        <v>-8475.8099999999977</v>
      </c>
      <c r="AD262" s="15">
        <f>IFERROR(AC262/AC444, "NA")</f>
        <v>-0.13759597112043223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6160.48</v>
      </c>
      <c r="C263" s="15">
        <f>IFERROR(B263/B444, "NA")</f>
        <v>5.9011888436371937E-2</v>
      </c>
      <c r="D263" s="2"/>
      <c r="E263" s="14">
        <f>IFERROR(E238+E240+E241+E242+E243+E244+E245+E246+E247+E248+E249+E250+E251+E252+E253+E254+E255+E256+E257+E258+E259+E260+E261, "NA")</f>
        <v>6541.28</v>
      </c>
      <c r="F263" s="15">
        <f>IFERROR(E263/E444, "NA")</f>
        <v>5.1527982293597355E-2</v>
      </c>
      <c r="G263" s="2"/>
      <c r="H263" s="14">
        <f t="shared" si="64"/>
        <v>380.80000000000018</v>
      </c>
      <c r="I263" s="15">
        <f>IFERROR(H263/H444, "NA")</f>
        <v>-1.6885203232132981E-2</v>
      </c>
      <c r="J263" s="2"/>
      <c r="K263" s="14">
        <f>IFERROR(K238+K240+K241+K242+K243+K244+K245+K246+K247+K248+K249+K250+K251+K252+K253+K254+K255+K256+K257+K258+K259+K260+K261, "NA")</f>
        <v>6208.16</v>
      </c>
      <c r="L263" s="15">
        <f>IFERROR(K263/K444, "NA")</f>
        <v>5.8195611331578384E-2</v>
      </c>
      <c r="M263" s="2"/>
      <c r="N263" s="14">
        <f t="shared" si="65"/>
        <v>47.680000000000291</v>
      </c>
      <c r="O263" s="15">
        <f>IFERROR(N263/N444, "NA")</f>
        <v>-2.0879496229604503E-2</v>
      </c>
      <c r="P263" s="2"/>
      <c r="Q263" s="14">
        <f>IFERROR(Q238+Q240+Q241+Q242+Q243+Q244+Q245+Q246+Q247+Q248+Q249+Q250+Q251+Q252+Q253+Q254+Q255+Q256+Q257+Q258+Q259+Q260+Q261, "NA")</f>
        <v>27455.35</v>
      </c>
      <c r="R263" s="15">
        <f>IFERROR(Q263/Q444, "NA")</f>
        <v>6.2292112226561697E-2</v>
      </c>
      <c r="S263" s="2"/>
      <c r="T263" s="14">
        <f>IFERROR(T238+T240+T241+T242+T243+T244+T245+T246+T247+T248+T249+T250+T251+T252+T253+T254+T255+T256+T257+T258+T259+T260+T261, "NA")</f>
        <v>23020.76</v>
      </c>
      <c r="U263" s="15">
        <f>IFERROR(T263/T444, "NA")</f>
        <v>5.2951971502198984E-2</v>
      </c>
      <c r="V263" s="2"/>
      <c r="W263" s="14">
        <f t="shared" si="66"/>
        <v>-4434.59</v>
      </c>
      <c r="X263" s="15">
        <f>IFERROR(W263/W444, "NA")</f>
        <v>-0.73864283691723298</v>
      </c>
      <c r="Y263" s="2"/>
      <c r="Z263" s="14">
        <f>IFERROR(Z238+Z240+Z241+Z242+Z243+Z244+Z245+Z246+Z247+Z248+Z249+Z250+Z251+Z252+Z253+Z254+Z255+Z256+Z257+Z258+Z259+Z260+Z261, "NA")</f>
        <v>18979.54</v>
      </c>
      <c r="AA263" s="15">
        <f>IFERROR(Z263/Z444, "NA")</f>
        <v>5.0057817125078237E-2</v>
      </c>
      <c r="AB263" s="2"/>
      <c r="AC263" s="14">
        <f t="shared" si="67"/>
        <v>-8475.8099999999977</v>
      </c>
      <c r="AD263" s="15">
        <f>IFERROR(AC263/AC444, "NA")</f>
        <v>-0.13759597112043223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2801.84</v>
      </c>
      <c r="C265" s="8">
        <f>IFERROR(B265/B444, "NA")</f>
        <v>2.6839121220515991E-2</v>
      </c>
      <c r="D265" s="9"/>
      <c r="E265" s="7">
        <v>3554.49</v>
      </c>
      <c r="F265" s="8">
        <f>IFERROR(E265/E444, "NA")</f>
        <v>2.7999978258501219E-2</v>
      </c>
      <c r="G265" s="9"/>
      <c r="H265" s="10">
        <f>IFERROR(-(B265-E265), "NA")</f>
        <v>752.64999999999964</v>
      </c>
      <c r="I265" s="8">
        <f>IFERROR(H265/H444, "NA")</f>
        <v>-3.337355097863675E-2</v>
      </c>
      <c r="J265" s="9"/>
      <c r="K265" s="7">
        <v>3250.57</v>
      </c>
      <c r="L265" s="8">
        <f>IFERROR(K265/K444, "NA")</f>
        <v>3.047101046462861E-2</v>
      </c>
      <c r="M265" s="9"/>
      <c r="N265" s="10">
        <f>IFERROR(-(B265-K265), "NA")</f>
        <v>448.73</v>
      </c>
      <c r="O265" s="8">
        <f>IFERROR(N265/N444, "NA")</f>
        <v>-0.19650285954510011</v>
      </c>
      <c r="P265" s="9"/>
      <c r="Q265" s="7">
        <v>11451.98</v>
      </c>
      <c r="R265" s="8">
        <f>IFERROR(Q265/Q444, "NA")</f>
        <v>2.5982842082739432E-2</v>
      </c>
      <c r="S265" s="9"/>
      <c r="T265" s="7">
        <v>12349.24</v>
      </c>
      <c r="U265" s="8">
        <f>IFERROR(T265/T444, "NA")</f>
        <v>2.8405517652493481E-2</v>
      </c>
      <c r="V265" s="9"/>
      <c r="W265" s="10">
        <f>IFERROR(-(Q265-T265), "NA")</f>
        <v>897.26000000000022</v>
      </c>
      <c r="X265" s="8">
        <f>IFERROR(W265/W444, "NA")</f>
        <v>0.14945117177740369</v>
      </c>
      <c r="Y265" s="9"/>
      <c r="Z265" s="7">
        <v>11148.53</v>
      </c>
      <c r="AA265" s="8">
        <f>IFERROR(Z265/Z444, "NA")</f>
        <v>2.9403825169284848E-2</v>
      </c>
      <c r="AB265" s="9"/>
      <c r="AC265" s="10">
        <f>IFERROR(-(Q265-Z265), "NA")</f>
        <v>-303.44999999999891</v>
      </c>
      <c r="AD265" s="8">
        <f>IFERROR(AC265/AC444, "NA")</f>
        <v>-4.9261955419594144E-3</v>
      </c>
    </row>
    <row r="266" spans="1:30" ht="16.5" customHeight="1" x14ac:dyDescent="0.45">
      <c r="A266" s="6" t="s">
        <v>242</v>
      </c>
      <c r="B266" s="7">
        <v>42.56</v>
      </c>
      <c r="C266" s="8">
        <f>IFERROR(B266/B444, "NA")</f>
        <v>4.0768673412655993E-4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-42.56</v>
      </c>
      <c r="I266" s="8">
        <f>IFERROR(H266/H444, "NA")</f>
        <v>1.887169773003097E-3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-42.56</v>
      </c>
      <c r="O266" s="8">
        <f>IFERROR(N266/N444, "NA")</f>
        <v>1.8637402674747533E-2</v>
      </c>
      <c r="P266" s="9"/>
      <c r="Q266" s="7">
        <v>74.099999999999994</v>
      </c>
      <c r="R266" s="8">
        <f>IFERROR(Q266/Q444, "NA")</f>
        <v>1.6812189667908883E-4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-74.099999999999994</v>
      </c>
      <c r="X266" s="8">
        <f>IFERROR(W266/W444, "NA")</f>
        <v>-1.2342388860202849E-2</v>
      </c>
      <c r="Y266" s="9"/>
      <c r="Z266" s="7">
        <v>-49.23</v>
      </c>
      <c r="AA266" s="8">
        <f>IFERROR(Z266/Z444, "NA")</f>
        <v>-1.2984225840392347E-4</v>
      </c>
      <c r="AB266" s="9"/>
      <c r="AC266" s="10">
        <f>IFERROR(-(Q266-Z266), "NA")</f>
        <v>-123.32999999999998</v>
      </c>
      <c r="AD266" s="8">
        <f>IFERROR(AC266/AC444, "NA")</f>
        <v>-2.0021344412254299E-3</v>
      </c>
    </row>
    <row r="267" spans="1:30" ht="16.5" customHeight="1" x14ac:dyDescent="0.45">
      <c r="A267" s="19" t="s">
        <v>243</v>
      </c>
      <c r="B267" s="14">
        <f>IFERROR(B265+B266, "NA")</f>
        <v>2844.4</v>
      </c>
      <c r="C267" s="15">
        <f>IFERROR(B267/B444, "NA")</f>
        <v>2.724680795464255E-2</v>
      </c>
      <c r="D267" s="2"/>
      <c r="E267" s="14">
        <f>IFERROR(E265+E266, "NA")</f>
        <v>3554.49</v>
      </c>
      <c r="F267" s="15">
        <f>IFERROR(E267/E444, "NA")</f>
        <v>2.7999978258501219E-2</v>
      </c>
      <c r="G267" s="2"/>
      <c r="H267" s="14">
        <f>IFERROR(-(B267-E267), "NA")</f>
        <v>710.08999999999969</v>
      </c>
      <c r="I267" s="15">
        <f>IFERROR(H267/H444, "NA")</f>
        <v>-3.1486381205633657E-2</v>
      </c>
      <c r="J267" s="2"/>
      <c r="K267" s="14">
        <f>IFERROR(K265+K266, "NA")</f>
        <v>3250.57</v>
      </c>
      <c r="L267" s="15">
        <f>IFERROR(K267/K444, "NA")</f>
        <v>3.047101046462861E-2</v>
      </c>
      <c r="M267" s="2"/>
      <c r="N267" s="14">
        <f>IFERROR(-(B267-K267), "NA")</f>
        <v>406.17000000000007</v>
      </c>
      <c r="O267" s="15">
        <f>IFERROR(N267/N444, "NA")</f>
        <v>-0.1778654568703526</v>
      </c>
      <c r="P267" s="2"/>
      <c r="Q267" s="14">
        <f>IFERROR(Q265+Q266, "NA")</f>
        <v>11526.08</v>
      </c>
      <c r="R267" s="15">
        <f>IFERROR(Q267/Q444, "NA")</f>
        <v>2.6150963979418521E-2</v>
      </c>
      <c r="S267" s="2"/>
      <c r="T267" s="14">
        <f>IFERROR(T265+T266, "NA")</f>
        <v>12349.24</v>
      </c>
      <c r="U267" s="15">
        <f>IFERROR(T267/T444, "NA")</f>
        <v>2.8405517652493481E-2</v>
      </c>
      <c r="V267" s="2"/>
      <c r="W267" s="14">
        <f>IFERROR(-(Q267-T267), "NA")</f>
        <v>823.15999999999985</v>
      </c>
      <c r="X267" s="15">
        <f>IFERROR(W267/W444, "NA")</f>
        <v>0.13710878291720077</v>
      </c>
      <c r="Y267" s="2"/>
      <c r="Z267" s="14">
        <f>IFERROR(Z265+Z266, "NA")</f>
        <v>11099.300000000001</v>
      </c>
      <c r="AA267" s="15">
        <f>IFERROR(Z267/Z444, "NA")</f>
        <v>2.9273982910880923E-2</v>
      </c>
      <c r="AB267" s="2"/>
      <c r="AC267" s="14">
        <f>IFERROR(-(Q267-Z267), "NA")</f>
        <v>-426.77999999999884</v>
      </c>
      <c r="AD267" s="15">
        <f>IFERROR(AC267/AC444, "NA")</f>
        <v>-6.928329983184843E-3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89.79</v>
      </c>
      <c r="C270" s="8">
        <f>IFERROR(B270/B444, "NA")</f>
        <v>8.6010789138213849E-4</v>
      </c>
      <c r="D270" s="9"/>
      <c r="E270" s="7">
        <v>193.44</v>
      </c>
      <c r="F270" s="8">
        <f>IFERROR(E270/E444, "NA")</f>
        <v>1.523795479611555E-3</v>
      </c>
      <c r="G270" s="9"/>
      <c r="H270" s="10">
        <f>IFERROR(-(B270-E270), "NA")</f>
        <v>103.64999999999999</v>
      </c>
      <c r="I270" s="8">
        <f>IFERROR(H270/H444, "NA")</f>
        <v>-4.5959855961412357E-3</v>
      </c>
      <c r="J270" s="9"/>
      <c r="K270" s="7">
        <v>149.08000000000001</v>
      </c>
      <c r="L270" s="8">
        <f>IFERROR(K270/K444, "NA")</f>
        <v>1.3974835921290215E-3</v>
      </c>
      <c r="M270" s="9"/>
      <c r="N270" s="10">
        <f>IFERROR(-(B270-K270), "NA")</f>
        <v>59.290000000000006</v>
      </c>
      <c r="O270" s="8">
        <f>IFERROR(N270/N444, "NA")</f>
        <v>-2.596361852880125E-2</v>
      </c>
      <c r="P270" s="9"/>
      <c r="Q270" s="7">
        <v>617.97</v>
      </c>
      <c r="R270" s="8">
        <f>IFERROR(Q270/Q444, "NA")</f>
        <v>1.4020821658674298E-3</v>
      </c>
      <c r="S270" s="9"/>
      <c r="T270" s="7">
        <v>890.77</v>
      </c>
      <c r="U270" s="8">
        <f>IFERROR(T270/T444, "NA")</f>
        <v>2.0489344250586771E-3</v>
      </c>
      <c r="V270" s="9"/>
      <c r="W270" s="10">
        <f>IFERROR(-(Q270-T270), "NA")</f>
        <v>272.79999999999995</v>
      </c>
      <c r="X270" s="8">
        <f>IFERROR(W270/W444, "NA")</f>
        <v>4.5438646168196185E-2</v>
      </c>
      <c r="Y270" s="9"/>
      <c r="Z270" s="7">
        <v>779.32</v>
      </c>
      <c r="AA270" s="8">
        <f>IFERROR(Z270/Z444, "NA")</f>
        <v>2.0554269514390746E-3</v>
      </c>
      <c r="AB270" s="9"/>
      <c r="AC270" s="10">
        <f>IFERROR(-(Q270-Z270), "NA")</f>
        <v>161.35000000000002</v>
      </c>
      <c r="AD270" s="8">
        <f>IFERROR(AC270/AC444, "NA")</f>
        <v>2.6193496480314861E-3</v>
      </c>
    </row>
    <row r="271" spans="1:30" ht="16.5" customHeight="1" x14ac:dyDescent="0.45">
      <c r="A271" s="6" t="s">
        <v>246</v>
      </c>
      <c r="B271" s="7">
        <v>1039.08</v>
      </c>
      <c r="C271" s="8">
        <f>IFERROR(B271/B444, "NA")</f>
        <v>9.9534570417346285E-3</v>
      </c>
      <c r="D271" s="9"/>
      <c r="E271" s="7">
        <v>888.62</v>
      </c>
      <c r="F271" s="8">
        <f>IFERROR(E271/E444, "NA")</f>
        <v>6.9999748712387304E-3</v>
      </c>
      <c r="G271" s="9"/>
      <c r="H271" s="10">
        <f>IFERROR(-(B271-E271), "NA")</f>
        <v>-150.45999999999992</v>
      </c>
      <c r="I271" s="8">
        <f>IFERROR(H271/H444, "NA")</f>
        <v>6.6716062980743847E-3</v>
      </c>
      <c r="J271" s="9"/>
      <c r="K271" s="7">
        <v>970.58</v>
      </c>
      <c r="L271" s="8">
        <f>IFERROR(K271/K444, "NA")</f>
        <v>9.0982668691211802E-3</v>
      </c>
      <c r="M271" s="9"/>
      <c r="N271" s="10">
        <f>IFERROR(-(B271-K271), "NA")</f>
        <v>-68.499999999999886</v>
      </c>
      <c r="O271" s="8">
        <f>IFERROR(N271/N444, "NA")</f>
        <v>2.9996759474158922E-2</v>
      </c>
      <c r="P271" s="9"/>
      <c r="Q271" s="7">
        <v>3923.78</v>
      </c>
      <c r="R271" s="8">
        <f>IFERROR(Q271/Q444, "NA")</f>
        <v>8.9024741666865765E-3</v>
      </c>
      <c r="S271" s="9"/>
      <c r="T271" s="7">
        <v>3043.24</v>
      </c>
      <c r="U271" s="8">
        <f>IFERROR(T271/T444, "NA")</f>
        <v>7.0000103278237569E-3</v>
      </c>
      <c r="V271" s="9"/>
      <c r="W271" s="10">
        <f>IFERROR(-(Q271-T271), "NA")</f>
        <v>-880.54000000000042</v>
      </c>
      <c r="X271" s="8">
        <f>IFERROR(W271/W444, "NA")</f>
        <v>-0.14666622249612718</v>
      </c>
      <c r="Y271" s="9"/>
      <c r="Z271" s="7">
        <v>3761.12</v>
      </c>
      <c r="AA271" s="8">
        <f>IFERROR(Z271/Z444, "NA")</f>
        <v>9.9198113940313758E-3</v>
      </c>
      <c r="AB271" s="9"/>
      <c r="AC271" s="10">
        <f>IFERROR(-(Q271-Z271), "NA")</f>
        <v>-162.66000000000031</v>
      </c>
      <c r="AD271" s="8">
        <f>IFERROR(AC271/AC444, "NA")</f>
        <v>-2.6406161372717835E-3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1128.8699999999999</v>
      </c>
      <c r="C273" s="15">
        <f>IFERROR(B273/B444, "NA")</f>
        <v>1.0813564933116767E-2</v>
      </c>
      <c r="D273" s="2"/>
      <c r="E273" s="14">
        <f>IFERROR(E269+E270+E271+E272, "NA")</f>
        <v>1082.06</v>
      </c>
      <c r="F273" s="15">
        <f>IFERROR(E273/E444, "NA")</f>
        <v>8.5237703508502845E-3</v>
      </c>
      <c r="G273" s="2"/>
      <c r="H273" s="14">
        <f>IFERROR(-(B273-E273), "NA")</f>
        <v>-46.809999999999945</v>
      </c>
      <c r="I273" s="15">
        <f>IFERROR(H273/H444, "NA")</f>
        <v>2.0756207019331499E-3</v>
      </c>
      <c r="J273" s="2"/>
      <c r="K273" s="14">
        <f>IFERROR(K269+K270+K271+K272, "NA")</f>
        <v>1119.6600000000001</v>
      </c>
      <c r="L273" s="15">
        <f>IFERROR(K273/K444, "NA")</f>
        <v>1.0495750461250203E-2</v>
      </c>
      <c r="M273" s="2"/>
      <c r="N273" s="14">
        <f>IFERROR(-(B273-K273), "NA")</f>
        <v>-9.209999999999809</v>
      </c>
      <c r="O273" s="15">
        <f>IFERROR(N273/N444, "NA")</f>
        <v>4.0331409453576413E-3</v>
      </c>
      <c r="P273" s="2"/>
      <c r="Q273" s="14">
        <f>IFERROR(Q269+Q270+Q271+Q272, "NA")</f>
        <v>4541.75</v>
      </c>
      <c r="R273" s="15">
        <f>IFERROR(Q273/Q444, "NA")</f>
        <v>1.0304556332554005E-2</v>
      </c>
      <c r="S273" s="2"/>
      <c r="T273" s="14">
        <f>IFERROR(T269+T270+T271+T272, "NA")</f>
        <v>3934.0099999999998</v>
      </c>
      <c r="U273" s="15">
        <f>IFERROR(T273/T444, "NA")</f>
        <v>9.048944752882435E-3</v>
      </c>
      <c r="V273" s="2"/>
      <c r="W273" s="14">
        <f>IFERROR(-(Q273-T273), "NA")</f>
        <v>-607.74000000000024</v>
      </c>
      <c r="X273" s="15">
        <f>IFERROR(W273/W444, "NA")</f>
        <v>-0.10122757632793095</v>
      </c>
      <c r="Y273" s="2"/>
      <c r="Z273" s="14">
        <f>IFERROR(Z269+Z270+Z271+Z272, "NA")</f>
        <v>4540.4399999999996</v>
      </c>
      <c r="AA273" s="15">
        <f>IFERROR(Z273/Z444, "NA")</f>
        <v>1.197523834547045E-2</v>
      </c>
      <c r="AB273" s="2"/>
      <c r="AC273" s="14">
        <f>IFERROR(-(Q273-Z273), "NA")</f>
        <v>-1.3100000000004002</v>
      </c>
      <c r="AD273" s="15">
        <f>IFERROR(AC273/AC444, "NA")</f>
        <v>-2.1266489240299314E-5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357</v>
      </c>
      <c r="F287" s="8">
        <f>IFERROR(E287/E444, "NA")</f>
        <v>2.8122156028811268E-3</v>
      </c>
      <c r="G287" s="9"/>
      <c r="H287" s="10">
        <f t="shared" si="72"/>
        <v>357</v>
      </c>
      <c r="I287" s="8">
        <f>IFERROR(H287/H444, "NA")</f>
        <v>-1.5829878030124662E-2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1428</v>
      </c>
      <c r="U287" s="8">
        <f>IFERROR(T287/T444, "NA")</f>
        <v>3.2846619879248191E-3</v>
      </c>
      <c r="V287" s="9"/>
      <c r="W287" s="10">
        <f t="shared" si="74"/>
        <v>1428</v>
      </c>
      <c r="X287" s="8">
        <f>IFERROR(W287/W444, "NA")</f>
        <v>0.23785332378366628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158.33000000000001</v>
      </c>
      <c r="C288" s="8">
        <f>IFERROR(B288/B444, "NA")</f>
        <v>1.5166597888688494E-3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-158.33000000000001</v>
      </c>
      <c r="I288" s="8">
        <f>IFERROR(H288/H444, "NA")</f>
        <v>7.0205730770578094E-3</v>
      </c>
      <c r="J288" s="9"/>
      <c r="K288" s="7">
        <v>158.33000000000001</v>
      </c>
      <c r="L288" s="8">
        <f>IFERROR(K288/K444, "NA")</f>
        <v>1.4841935681633215E-3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633.34</v>
      </c>
      <c r="R288" s="8">
        <f>IFERROR(Q288/Q444, "NA")</f>
        <v>1.4369544135321747E-3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-633.34</v>
      </c>
      <c r="X288" s="8">
        <f>IFERROR(W288/W444, "NA")</f>
        <v>-0.10549161350500505</v>
      </c>
      <c r="Y288" s="9"/>
      <c r="Z288" s="7">
        <v>633.34</v>
      </c>
      <c r="AA288" s="8">
        <f>IFERROR(Z288/Z444, "NA")</f>
        <v>1.6704102363912429E-3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205.73</v>
      </c>
      <c r="C289" s="8">
        <f>IFERROR(B289/B444, "NA")</f>
        <v>1.9707093940755913E-3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-205.73</v>
      </c>
      <c r="I289" s="8">
        <f>IFERROR(H289/H444, "NA")</f>
        <v>9.1223552020659564E-3</v>
      </c>
      <c r="J289" s="9"/>
      <c r="K289" s="7">
        <v>198.68</v>
      </c>
      <c r="L289" s="8">
        <f>IFERROR(K289/K444, "NA")</f>
        <v>1.8624365447021329E-3</v>
      </c>
      <c r="M289" s="9"/>
      <c r="N289" s="10">
        <f t="shared" si="73"/>
        <v>-7.0499999999999829</v>
      </c>
      <c r="O289" s="8">
        <f>IFERROR(N289/N444, "NA")</f>
        <v>3.0872577269024852E-3</v>
      </c>
      <c r="P289" s="9"/>
      <c r="Q289" s="7">
        <v>828.42</v>
      </c>
      <c r="R289" s="8">
        <f>IFERROR(Q289/Q444, "NA")</f>
        <v>1.8795619655450847E-3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-828.42</v>
      </c>
      <c r="X289" s="8">
        <f>IFERROR(W289/W444, "NA")</f>
        <v>-0.13798490930592774</v>
      </c>
      <c r="Y289" s="9"/>
      <c r="Z289" s="7">
        <v>794.72</v>
      </c>
      <c r="AA289" s="8">
        <f>IFERROR(Z289/Z444, "NA")</f>
        <v>2.0960438675353657E-3</v>
      </c>
      <c r="AB289" s="9"/>
      <c r="AC289" s="10">
        <f t="shared" si="75"/>
        <v>-33.699999999999932</v>
      </c>
      <c r="AD289" s="8">
        <f>IFERROR(AC289/AC444, "NA")</f>
        <v>-5.4708449419684467E-4</v>
      </c>
    </row>
    <row r="290" spans="1:30" ht="16.5" customHeight="1" x14ac:dyDescent="0.45">
      <c r="A290" s="6" t="s">
        <v>263</v>
      </c>
      <c r="B290" s="7">
        <v>0</v>
      </c>
      <c r="C290" s="8">
        <f>IFERROR(B290/B444, "NA")</f>
        <v>0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0</v>
      </c>
      <c r="I290" s="8">
        <f>IFERROR(H290/H444, "NA")</f>
        <v>0</v>
      </c>
      <c r="J290" s="9"/>
      <c r="K290" s="7">
        <v>311.73</v>
      </c>
      <c r="L290" s="8">
        <f>IFERROR(K290/K444, "NA")</f>
        <v>2.9221730626132268E-3</v>
      </c>
      <c r="M290" s="9"/>
      <c r="N290" s="10">
        <f t="shared" si="73"/>
        <v>311.73</v>
      </c>
      <c r="O290" s="8">
        <f>IFERROR(N290/N444, "NA")</f>
        <v>-0.13650934059678216</v>
      </c>
      <c r="P290" s="9"/>
      <c r="Q290" s="7">
        <v>0</v>
      </c>
      <c r="R290" s="8">
        <f>IFERROR(Q290/Q444, "NA")</f>
        <v>0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0</v>
      </c>
      <c r="X290" s="8">
        <f>IFERROR(W290/W444, "NA")</f>
        <v>0</v>
      </c>
      <c r="Y290" s="9"/>
      <c r="Z290" s="7">
        <v>507.4</v>
      </c>
      <c r="AA290" s="8">
        <f>IFERROR(Z290/Z444, "NA")</f>
        <v>1.3382482615102735E-3</v>
      </c>
      <c r="AB290" s="9"/>
      <c r="AC290" s="10">
        <f t="shared" si="75"/>
        <v>507.4</v>
      </c>
      <c r="AD290" s="8">
        <f>IFERROR(AC290/AC444, "NA")</f>
        <v>8.2371119393317375E-3</v>
      </c>
    </row>
    <row r="291" spans="1:30" ht="16.5" customHeight="1" x14ac:dyDescent="0.45">
      <c r="A291" s="6" t="s">
        <v>264</v>
      </c>
      <c r="B291" s="7">
        <v>681.31</v>
      </c>
      <c r="C291" s="8">
        <f>IFERROR(B291/B444, "NA")</f>
        <v>6.5263404329832355E-3</v>
      </c>
      <c r="D291" s="9"/>
      <c r="E291" s="7">
        <v>1269.46</v>
      </c>
      <c r="F291" s="8">
        <f>IFERROR(E291/E444, "NA")</f>
        <v>9.9999866084971301E-3</v>
      </c>
      <c r="G291" s="9"/>
      <c r="H291" s="10">
        <f t="shared" si="72"/>
        <v>588.15000000000009</v>
      </c>
      <c r="I291" s="8">
        <f>IFERROR(H291/H444, "NA")</f>
        <v>-2.6079391494167565E-2</v>
      </c>
      <c r="J291" s="9"/>
      <c r="K291" s="7">
        <v>707.5</v>
      </c>
      <c r="L291" s="8">
        <f>IFERROR(K291/K444, "NA")</f>
        <v>6.6321414101910559E-3</v>
      </c>
      <c r="M291" s="9"/>
      <c r="N291" s="10">
        <f t="shared" si="73"/>
        <v>26.190000000000055</v>
      </c>
      <c r="O291" s="8">
        <f>IFERROR(N291/N444, "NA")</f>
        <v>-1.1468834023769711E-2</v>
      </c>
      <c r="P291" s="9"/>
      <c r="Q291" s="7">
        <v>681.31</v>
      </c>
      <c r="R291" s="8">
        <f>IFERROR(Q291/Q444, "NA")</f>
        <v>1.5457912203296897E-3</v>
      </c>
      <c r="S291" s="9"/>
      <c r="T291" s="7">
        <v>4347.4799999999996</v>
      </c>
      <c r="U291" s="8">
        <f>IFERROR(T291/T444, "NA")</f>
        <v>1.0000001610128425E-2</v>
      </c>
      <c r="V291" s="9"/>
      <c r="W291" s="10">
        <f t="shared" si="74"/>
        <v>3666.1699999999996</v>
      </c>
      <c r="X291" s="8">
        <f>IFERROR(W291/W444, "NA")</f>
        <v>0.61065176474507266</v>
      </c>
      <c r="Y291" s="9"/>
      <c r="Z291" s="7">
        <v>913.93</v>
      </c>
      <c r="AA291" s="8">
        <f>IFERROR(Z291/Z444, "NA")</f>
        <v>2.4104557225898388E-3</v>
      </c>
      <c r="AB291" s="9"/>
      <c r="AC291" s="10">
        <f t="shared" si="75"/>
        <v>232.62</v>
      </c>
      <c r="AD291" s="8">
        <f>IFERROR(AC291/AC444, "NA")</f>
        <v>3.7763440664709278E-3</v>
      </c>
    </row>
    <row r="292" spans="1:30" ht="16.5" hidden="1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0</v>
      </c>
      <c r="X292" s="8">
        <f>IFERROR(W292/W444, "NA")</f>
        <v>0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hidden="1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0</v>
      </c>
      <c r="X293" s="8">
        <f>IFERROR(W293/W444, "NA")</f>
        <v>0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324.99</v>
      </c>
      <c r="C294" s="8">
        <f>IFERROR(B294/B444, "NA")</f>
        <v>3.1131135273447063E-3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-324.99</v>
      </c>
      <c r="I294" s="8">
        <f>IFERROR(H294/H444, "NA")</f>
        <v>1.4410509974818526E-2</v>
      </c>
      <c r="J294" s="9"/>
      <c r="K294" s="7">
        <v>124.25</v>
      </c>
      <c r="L294" s="8">
        <f>IFERROR(K294/K444, "NA")</f>
        <v>1.1647258942985707E-3</v>
      </c>
      <c r="M294" s="9"/>
      <c r="N294" s="10">
        <f t="shared" si="73"/>
        <v>-200.74</v>
      </c>
      <c r="O294" s="8">
        <f>IFERROR(N294/N444, "NA")</f>
        <v>8.7905832070695952E-2</v>
      </c>
      <c r="P294" s="9"/>
      <c r="Q294" s="7">
        <v>1498.96</v>
      </c>
      <c r="R294" s="8">
        <f>IFERROR(Q294/Q444, "NA")</f>
        <v>3.4009176551428751E-3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-1498.96</v>
      </c>
      <c r="X294" s="8">
        <f>IFERROR(W294/W444, "NA")</f>
        <v>-0.24967270183386864</v>
      </c>
      <c r="Y294" s="9"/>
      <c r="Z294" s="7">
        <v>497</v>
      </c>
      <c r="AA294" s="8">
        <f>IFERROR(Z294/Z444, "NA")</f>
        <v>1.3108186558348561E-3</v>
      </c>
      <c r="AB294" s="9"/>
      <c r="AC294" s="10">
        <f t="shared" si="75"/>
        <v>-1001.96</v>
      </c>
      <c r="AD294" s="8">
        <f>IFERROR(AC294/AC444, "NA")</f>
        <v>-1.6265779816186102E-2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1370.36</v>
      </c>
      <c r="C295" s="15">
        <f>IFERROR(B295/B444, "NA")</f>
        <v>1.3126823143272381E-2</v>
      </c>
      <c r="D295" s="2"/>
      <c r="E295" s="14">
        <f>IFERROR(E286+E287+E288+E289+E290+E291+E292+E293+E294, "NA")</f>
        <v>1626.46</v>
      </c>
      <c r="F295" s="15">
        <f>IFERROR(E295/E444, "NA")</f>
        <v>1.2812202211378257E-2</v>
      </c>
      <c r="G295" s="2"/>
      <c r="H295" s="14">
        <f t="shared" si="72"/>
        <v>256.10000000000014</v>
      </c>
      <c r="I295" s="15">
        <f>IFERROR(H295/H444, "NA")</f>
        <v>-1.1355831270349939E-2</v>
      </c>
      <c r="J295" s="2"/>
      <c r="K295" s="14">
        <f>IFERROR(K286+K287+K288+K289+K290+K291+K292+K293+K294, "NA")</f>
        <v>1500.49</v>
      </c>
      <c r="L295" s="15">
        <f>IFERROR(K295/K444, "NA")</f>
        <v>1.4065670479968307E-2</v>
      </c>
      <c r="M295" s="2"/>
      <c r="N295" s="14">
        <f t="shared" si="73"/>
        <v>130.13000000000011</v>
      </c>
      <c r="O295" s="15">
        <f>IFERROR(N295/N444, "NA")</f>
        <v>-5.698508482295344E-2</v>
      </c>
      <c r="P295" s="2"/>
      <c r="Q295" s="14">
        <f>IFERROR(Q286+Q287+Q288+Q289+Q290+Q291+Q292+Q293+Q294, "NA")</f>
        <v>3642.0299999999997</v>
      </c>
      <c r="R295" s="15">
        <f>IFERROR(Q295/Q444, "NA")</f>
        <v>8.263225254549823E-3</v>
      </c>
      <c r="S295" s="2"/>
      <c r="T295" s="14">
        <f>IFERROR(T286+T287+T288+T289+T290+T291+T292+T293+T294, "NA")</f>
        <v>5775.48</v>
      </c>
      <c r="U295" s="15">
        <f>IFERROR(T295/T444, "NA")</f>
        <v>1.3284663598053243E-2</v>
      </c>
      <c r="V295" s="2"/>
      <c r="W295" s="14">
        <f t="shared" si="74"/>
        <v>2133.4499999999998</v>
      </c>
      <c r="X295" s="15">
        <f>IFERROR(W295/W444, "NA")</f>
        <v>0.35535586388393753</v>
      </c>
      <c r="Y295" s="2"/>
      <c r="Z295" s="14">
        <f>IFERROR(Z286+Z287+Z288+Z289+Z290+Z291+Z292+Z293+Z294, "NA")</f>
        <v>3346.39</v>
      </c>
      <c r="AA295" s="15">
        <f>IFERROR(Z295/Z444, "NA")</f>
        <v>8.8259767438615775E-3</v>
      </c>
      <c r="AB295" s="2"/>
      <c r="AC295" s="14">
        <f t="shared" si="75"/>
        <v>-295.63999999999987</v>
      </c>
      <c r="AD295" s="15">
        <f>IFERROR(AC295/AC444, "NA")</f>
        <v>-4.7994083045802792E-3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1650.3</v>
      </c>
      <c r="F297" s="8">
        <f>IFERROR(E297/E444, "NA")</f>
        <v>1.2999998345755527E-2</v>
      </c>
      <c r="G297" s="9"/>
      <c r="H297" s="10">
        <f t="shared" ref="H297:H325" si="76">IFERROR(-(B297-E297), "NA")</f>
        <v>1650.3</v>
      </c>
      <c r="I297" s="8">
        <f>IFERROR(H297/H444, "NA")</f>
        <v>-7.3176604238416612E-2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5651.73</v>
      </c>
      <c r="U297" s="8">
        <f>IFERROR(T297/T444, "NA")</f>
        <v>1.3000015894267742E-2</v>
      </c>
      <c r="V297" s="9"/>
      <c r="W297" s="10">
        <f t="shared" ref="W297:W325" si="78">IFERROR(-(Q297-T297), "NA")</f>
        <v>5651.73</v>
      </c>
      <c r="X297" s="8">
        <f>IFERROR(W297/W444, "NA")</f>
        <v>0.94137448573379556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457.63</v>
      </c>
      <c r="C299" s="8">
        <f>IFERROR(B299/B444, "NA")</f>
        <v>4.3836860934759773E-3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-457.63</v>
      </c>
      <c r="I299" s="8">
        <f>IFERROR(H299/H444, "NA")</f>
        <v>2.0291952613237952E-2</v>
      </c>
      <c r="J299" s="9"/>
      <c r="K299" s="7">
        <v>183.75</v>
      </c>
      <c r="L299" s="8">
        <f>IFERROR(K299/K444, "NA")</f>
        <v>1.722481956357041E-3</v>
      </c>
      <c r="M299" s="9"/>
      <c r="N299" s="10">
        <f t="shared" si="77"/>
        <v>-273.88</v>
      </c>
      <c r="O299" s="8">
        <f>IFERROR(N299/N444, "NA")</f>
        <v>0.11993448882894393</v>
      </c>
      <c r="P299" s="9"/>
      <c r="Q299" s="7">
        <v>1865.23</v>
      </c>
      <c r="R299" s="8">
        <f>IFERROR(Q299/Q444, "NA")</f>
        <v>4.2319298966631159E-3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-1865.23</v>
      </c>
      <c r="X299" s="8">
        <f>IFERROR(W299/W444, "NA")</f>
        <v>-0.31068008061695229</v>
      </c>
      <c r="Y299" s="9"/>
      <c r="Z299" s="7">
        <v>735</v>
      </c>
      <c r="AA299" s="8">
        <f>IFERROR(Z299/Z444, "NA")</f>
        <v>1.9385346318684491E-3</v>
      </c>
      <c r="AB299" s="9"/>
      <c r="AC299" s="10">
        <f t="shared" si="79"/>
        <v>-1130.23</v>
      </c>
      <c r="AD299" s="8">
        <f>IFERROR(AC299/AC444, "NA")</f>
        <v>-1.8348110025997063E-2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107.65</v>
      </c>
      <c r="L304" s="8">
        <f>IFERROR(K304/K444, "NA")</f>
        <v>1.009116640009989E-3</v>
      </c>
      <c r="M304" s="9"/>
      <c r="N304" s="10">
        <f t="shared" si="77"/>
        <v>107.65</v>
      </c>
      <c r="O304" s="8">
        <f>IFERROR(N304/N444, "NA")</f>
        <v>-4.7140892808660052E-2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107.65</v>
      </c>
      <c r="AA304" s="8">
        <f>IFERROR(Z304/Z444, "NA")</f>
        <v>2.8392279336141301E-4</v>
      </c>
      <c r="AB304" s="9"/>
      <c r="AC304" s="10">
        <f t="shared" si="79"/>
        <v>107.65</v>
      </c>
      <c r="AD304" s="8">
        <f>IFERROR(AC304/AC444, "NA")</f>
        <v>1.7475859287920015E-3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15.9</v>
      </c>
      <c r="C310" s="8">
        <f>IFERROR(B310/B444, "NA")</f>
        <v>1.5230777896175522E-4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-15.9</v>
      </c>
      <c r="I310" s="8">
        <f>IFERROR(H310/H444, "NA")</f>
        <v>7.0502818117361941E-4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-15.9</v>
      </c>
      <c r="O310" s="8">
        <f>IFERROR(N310/N444, "NA")</f>
        <v>6.9627514691843456E-3</v>
      </c>
      <c r="P310" s="9"/>
      <c r="Q310" s="7">
        <v>15.9</v>
      </c>
      <c r="R310" s="8">
        <f>IFERROR(Q310/Q444, "NA")</f>
        <v>3.6074738963529189E-5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-15.9</v>
      </c>
      <c r="X310" s="8">
        <f>IFERROR(W310/W444, "NA")</f>
        <v>-2.648366840448385E-3</v>
      </c>
      <c r="Y310" s="9"/>
      <c r="Z310" s="7">
        <v>66.22</v>
      </c>
      <c r="AA310" s="8">
        <f>IFERROR(Z310/Z444, "NA")</f>
        <v>1.7465273921405265E-4</v>
      </c>
      <c r="AB310" s="9"/>
      <c r="AC310" s="10">
        <f t="shared" si="79"/>
        <v>50.32</v>
      </c>
      <c r="AD310" s="8">
        <f>IFERROR(AC310/AC444, "NA")</f>
        <v>8.1689293020727834E-4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</v>
      </c>
      <c r="R311" s="8">
        <f>IFERROR(Q311/Q444, "NA")</f>
        <v>6.0578335240643353E-5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-4.4472575245265329E-3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-4.3344676543192231E-4</v>
      </c>
    </row>
    <row r="312" spans="1:30" ht="16.5" customHeight="1" x14ac:dyDescent="0.45">
      <c r="A312" s="6" t="s">
        <v>284</v>
      </c>
      <c r="B312" s="7">
        <v>421.03</v>
      </c>
      <c r="C312" s="8">
        <f>IFERROR(B312/B444, "NA")</f>
        <v>4.0330908286960879E-3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-421.03</v>
      </c>
      <c r="I312" s="8">
        <f>IFERROR(H312/H444, "NA")</f>
        <v>1.8669057554687354E-2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-421.03</v>
      </c>
      <c r="O312" s="8">
        <f>IFERROR(N312/N444, "NA")</f>
        <v>0.18437278308620658</v>
      </c>
      <c r="P312" s="9"/>
      <c r="Q312" s="7">
        <v>1551.49</v>
      </c>
      <c r="R312" s="8">
        <f>IFERROR(Q312/Q444, "NA")</f>
        <v>3.5201004248129495E-3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-1551.49</v>
      </c>
      <c r="X312" s="8">
        <f>IFERROR(W312/W444, "NA")</f>
        <v>-0.25842230624448209</v>
      </c>
      <c r="Y312" s="9"/>
      <c r="Z312" s="7">
        <v>0</v>
      </c>
      <c r="AA312" s="8">
        <f>IFERROR(Z312/Z444, "NA")</f>
        <v>0</v>
      </c>
      <c r="AB312" s="9"/>
      <c r="AC312" s="10">
        <f t="shared" si="79"/>
        <v>-1551.49</v>
      </c>
      <c r="AD312" s="8">
        <f>IFERROR(AC312/AC444, "NA")</f>
        <v>-2.5186828543070156E-2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14</v>
      </c>
      <c r="R313" s="8">
        <f>IFERROR(Q313/Q444, "NA")</f>
        <v>3.1763921099962803E-5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-14</v>
      </c>
      <c r="X313" s="8">
        <f>IFERROR(W313/W444, "NA")</f>
        <v>-2.3318953312124143E-3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-14</v>
      </c>
      <c r="AD313" s="8">
        <f>IFERROR(AC313/AC444, "NA")</f>
        <v>-2.2727545752984692E-4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533.34</v>
      </c>
      <c r="C315" s="8">
        <f>IFERROR(B315/B444, "NA")</f>
        <v>5.1089201780794048E-3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-533.34</v>
      </c>
      <c r="I315" s="8">
        <f>IFERROR(H315/H444, "NA")</f>
        <v>2.3649039631895484E-2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-533.34</v>
      </c>
      <c r="O315" s="8">
        <f>IFERROR(N315/N444, "NA")</f>
        <v>0.23355433135690434</v>
      </c>
      <c r="P315" s="9"/>
      <c r="Q315" s="7">
        <v>533.34</v>
      </c>
      <c r="R315" s="8">
        <f>IFERROR(Q315/Q444, "NA")</f>
        <v>1.2100692628181546E-3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-533.34</v>
      </c>
      <c r="X315" s="8">
        <f>IFERROR(W315/W444, "NA")</f>
        <v>-8.8835218282059231E-2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-533.34</v>
      </c>
      <c r="AD315" s="8">
        <f>IFERROR(AC315/AC444, "NA")</f>
        <v>-8.6582208942120407E-3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469</v>
      </c>
      <c r="F318" s="8">
        <f>IFERROR(E318/E444, "NA")</f>
        <v>3.6944793214320685E-3</v>
      </c>
      <c r="G318" s="9"/>
      <c r="H318" s="10">
        <f t="shared" si="76"/>
        <v>469</v>
      </c>
      <c r="I318" s="8">
        <f>IFERROR(H318/H444, "NA")</f>
        <v>-2.0796114274869652E-2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1876</v>
      </c>
      <c r="U318" s="8">
        <f>IFERROR(T318/T444, "NA")</f>
        <v>4.3151441802149583E-3</v>
      </c>
      <c r="V318" s="9"/>
      <c r="W318" s="10">
        <f t="shared" si="78"/>
        <v>1876</v>
      </c>
      <c r="X318" s="8">
        <f>IFERROR(W318/W444, "NA")</f>
        <v>0.31247397438246355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306.76</v>
      </c>
      <c r="C319" s="8">
        <f>IFERROR(B319/B444, "NA")</f>
        <v>2.9384864323464171E-3</v>
      </c>
      <c r="D319" s="9"/>
      <c r="E319" s="7">
        <v>232</v>
      </c>
      <c r="F319" s="8">
        <f>IFERROR(E319/E444, "NA")</f>
        <v>1.8275462741412364E-3</v>
      </c>
      <c r="G319" s="9"/>
      <c r="H319" s="10">
        <f t="shared" si="76"/>
        <v>-74.759999999999991</v>
      </c>
      <c r="I319" s="8">
        <f>IFERROR(H319/H444, "NA")</f>
        <v>3.3149626933672818E-3</v>
      </c>
      <c r="J319" s="9"/>
      <c r="K319" s="7">
        <v>231.51</v>
      </c>
      <c r="L319" s="8">
        <f>IFERROR(K319/K444, "NA")</f>
        <v>2.170186654237924E-3</v>
      </c>
      <c r="M319" s="9"/>
      <c r="N319" s="10">
        <f t="shared" si="77"/>
        <v>-75.25</v>
      </c>
      <c r="O319" s="8">
        <f>IFERROR(N319/N444, "NA")</f>
        <v>3.2952644531831575E-2</v>
      </c>
      <c r="P319" s="9"/>
      <c r="Q319" s="7">
        <v>1095.08</v>
      </c>
      <c r="R319" s="8">
        <f>IFERROR(Q319/Q444, "NA")</f>
        <v>2.4845739084390903E-3</v>
      </c>
      <c r="S319" s="9"/>
      <c r="T319" s="7">
        <v>928</v>
      </c>
      <c r="U319" s="8">
        <f>IFERROR(T319/T444, "NA")</f>
        <v>2.1345702554581457E-3</v>
      </c>
      <c r="V319" s="9"/>
      <c r="W319" s="10">
        <f t="shared" si="78"/>
        <v>-167.07999999999993</v>
      </c>
      <c r="X319" s="8">
        <f>IFERROR(W319/W444, "NA")</f>
        <v>-2.782950513849786E-2</v>
      </c>
      <c r="Y319" s="9"/>
      <c r="Z319" s="7">
        <v>895.64</v>
      </c>
      <c r="AA319" s="8">
        <f>IFERROR(Z319/Z444, "NA")</f>
        <v>2.3622165410702826E-3</v>
      </c>
      <c r="AB319" s="9"/>
      <c r="AC319" s="10">
        <f t="shared" si="79"/>
        <v>-199.43999999999994</v>
      </c>
      <c r="AD319" s="8">
        <f>IFERROR(AC319/AC444, "NA")</f>
        <v>-3.2377012321251897E-3</v>
      </c>
    </row>
    <row r="320" spans="1:30" ht="16.5" customHeight="1" x14ac:dyDescent="0.45">
      <c r="A320" s="6" t="s">
        <v>292</v>
      </c>
      <c r="B320" s="7">
        <v>1304.6400000000001</v>
      </c>
      <c r="C320" s="8">
        <f>IFERROR(B320/B444, "NA")</f>
        <v>1.2497284323563795E-2</v>
      </c>
      <c r="D320" s="9"/>
      <c r="E320" s="7">
        <v>905</v>
      </c>
      <c r="F320" s="8">
        <f>IFERROR(E320/E444, "NA")</f>
        <v>7.1290059400768062E-3</v>
      </c>
      <c r="G320" s="9"/>
      <c r="H320" s="10">
        <f t="shared" si="76"/>
        <v>-399.6400000000001</v>
      </c>
      <c r="I320" s="8">
        <f>IFERROR(H320/H444, "NA")</f>
        <v>1.772059511473115E-2</v>
      </c>
      <c r="J320" s="9"/>
      <c r="K320" s="7">
        <v>929.4</v>
      </c>
      <c r="L320" s="8">
        <f>IFERROR(K320/K444, "NA")</f>
        <v>8.7122434298679396E-3</v>
      </c>
      <c r="M320" s="9"/>
      <c r="N320" s="10">
        <f t="shared" si="77"/>
        <v>-375.24000000000012</v>
      </c>
      <c r="O320" s="8">
        <f>IFERROR(N320/N444, "NA")</f>
        <v>0.16432093467275061</v>
      </c>
      <c r="P320" s="9"/>
      <c r="Q320" s="7">
        <v>4547.8500000000004</v>
      </c>
      <c r="R320" s="8">
        <f>IFERROR(Q320/Q444, "NA")</f>
        <v>1.0318396326747562E-2</v>
      </c>
      <c r="S320" s="9"/>
      <c r="T320" s="7">
        <v>3620</v>
      </c>
      <c r="U320" s="8">
        <f>IFERROR(T320/T444, "NA")</f>
        <v>8.3266641430587152E-3</v>
      </c>
      <c r="V320" s="9"/>
      <c r="W320" s="10">
        <f t="shared" si="78"/>
        <v>-927.85000000000036</v>
      </c>
      <c r="X320" s="8">
        <f>IFERROR(W320/W444, "NA")</f>
        <v>-0.15454636307610284</v>
      </c>
      <c r="Y320" s="9"/>
      <c r="Z320" s="7">
        <v>3765.92</v>
      </c>
      <c r="AA320" s="8">
        <f>IFERROR(Z320/Z444, "NA")</f>
        <v>9.9324712120354153E-3</v>
      </c>
      <c r="AB320" s="9"/>
      <c r="AC320" s="10">
        <f t="shared" si="79"/>
        <v>-781.93000000000029</v>
      </c>
      <c r="AD320" s="8">
        <f>IFERROR(AC320/AC444, "NA")</f>
        <v>-1.2693821321879519E-2</v>
      </c>
    </row>
    <row r="321" spans="1:30" ht="16.5" customHeight="1" x14ac:dyDescent="0.45">
      <c r="A321" s="6" t="s">
        <v>293</v>
      </c>
      <c r="B321" s="7">
        <v>1195.29</v>
      </c>
      <c r="C321" s="8">
        <f>IFERROR(B321/B444, "NA")</f>
        <v>1.1449809126741912E-2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-1195.29</v>
      </c>
      <c r="I321" s="8">
        <f>IFERROR(H321/H444, "NA")</f>
        <v>5.3000826080189654E-2</v>
      </c>
      <c r="J321" s="9"/>
      <c r="K321" s="7">
        <v>3080.85</v>
      </c>
      <c r="L321" s="8">
        <f>IFERROR(K321/K444, "NA")</f>
        <v>2.8880046450299807E-2</v>
      </c>
      <c r="M321" s="9"/>
      <c r="N321" s="10">
        <f t="shared" si="77"/>
        <v>1885.56</v>
      </c>
      <c r="O321" s="8">
        <f>IFERROR(N321/N444, "NA")</f>
        <v>-0.82570350064372544</v>
      </c>
      <c r="P321" s="9"/>
      <c r="Q321" s="7">
        <v>11900.41</v>
      </c>
      <c r="R321" s="8">
        <f>IFERROR(Q321/Q444, "NA")</f>
        <v>2.7000263164086314E-2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-11900.41</v>
      </c>
      <c r="X321" s="8">
        <f>IFERROR(W321/W444, "NA")</f>
        <v>-1.9821793227509663</v>
      </c>
      <c r="Y321" s="9"/>
      <c r="Z321" s="7">
        <v>11680.65</v>
      </c>
      <c r="AA321" s="8">
        <f>IFERROR(Z321/Z444, "NA")</f>
        <v>3.0807271493515916E-2</v>
      </c>
      <c r="AB321" s="9"/>
      <c r="AC321" s="10">
        <f t="shared" si="79"/>
        <v>-219.76000000000022</v>
      </c>
      <c r="AD321" s="8">
        <f>IFERROR(AC321/AC444, "NA")</f>
        <v>-3.5675753247685149E-3</v>
      </c>
    </row>
    <row r="322" spans="1:30" ht="16.5" customHeight="1" x14ac:dyDescent="0.45">
      <c r="A322" s="6" t="s">
        <v>294</v>
      </c>
      <c r="B322" s="7">
        <v>269.27999999999997</v>
      </c>
      <c r="C322" s="8">
        <f>IFERROR(B322/B444, "NA")</f>
        <v>2.579461554642858E-3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-269.27999999999997</v>
      </c>
      <c r="I322" s="8">
        <f>IFERROR(H322/H444, "NA")</f>
        <v>1.1940250857008314E-2</v>
      </c>
      <c r="J322" s="9"/>
      <c r="K322" s="7">
        <v>712.1</v>
      </c>
      <c r="L322" s="8">
        <f>IFERROR(K322/K444, "NA")</f>
        <v>6.6752620469216267E-3</v>
      </c>
      <c r="M322" s="9"/>
      <c r="N322" s="10">
        <f t="shared" si="77"/>
        <v>442.82000000000005</v>
      </c>
      <c r="O322" s="8">
        <f>IFERROR(N322/N444, "NA")</f>
        <v>-0.19391481796127122</v>
      </c>
      <c r="P322" s="9"/>
      <c r="Q322" s="7">
        <v>1576.88</v>
      </c>
      <c r="R322" s="8">
        <f>IFERROR(Q322/Q444, "NA")</f>
        <v>3.5777065645792396E-3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-1576.88</v>
      </c>
      <c r="X322" s="8">
        <f>IFERROR(W322/W444, "NA")</f>
        <v>-0.26265136499158803</v>
      </c>
      <c r="Y322" s="9"/>
      <c r="Z322" s="7">
        <v>1524.59</v>
      </c>
      <c r="AA322" s="8">
        <f>IFERROR(Z322/Z444, "NA")</f>
        <v>4.0210483189119985E-3</v>
      </c>
      <c r="AB322" s="9"/>
      <c r="AC322" s="10">
        <f t="shared" si="79"/>
        <v>-52.290000000000191</v>
      </c>
      <c r="AD322" s="8">
        <f>IFERROR(AC322/AC444, "NA")</f>
        <v>-8.4887383387398136E-4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4503.87</v>
      </c>
      <c r="C324" s="15">
        <f>IFERROR(B324/B444, "NA")</f>
        <v>4.3143046316508206E-2</v>
      </c>
      <c r="D324" s="2"/>
      <c r="E324" s="14">
        <f>IFERROR(E297+E298+E299+E300+E301+E302+E303+E304+E305+E306+E307+E308+E309+E310+E311+E312+E313+E314+E315+E316+E317+E318+E319+E320+E321+E322+E323, "NA")</f>
        <v>3256.3</v>
      </c>
      <c r="F324" s="15">
        <f>IFERROR(E324/E444, "NA")</f>
        <v>2.5651029881405642E-2</v>
      </c>
      <c r="G324" s="2"/>
      <c r="H324" s="14">
        <f t="shared" si="76"/>
        <v>-1247.5699999999997</v>
      </c>
      <c r="I324" s="15">
        <f>IFERROR(H324/H444, "NA")</f>
        <v>5.5318994213004534E-2</v>
      </c>
      <c r="J324" s="2"/>
      <c r="K324" s="14">
        <f>IFERROR(K297+K298+K299+K300+K301+K302+K303+K304+K305+K306+K307+K308+K309+K310+K311+K312+K313+K314+K315+K316+K317+K318+K319+K320+K321+K322+K323, "NA")</f>
        <v>5245.26</v>
      </c>
      <c r="L324" s="15">
        <f>IFERROR(K324/K444, "NA")</f>
        <v>4.9169337177694332E-2</v>
      </c>
      <c r="M324" s="2"/>
      <c r="N324" s="14">
        <f t="shared" si="77"/>
        <v>741.39000000000033</v>
      </c>
      <c r="O324" s="15">
        <f>IFERROR(N324/N444, "NA")</f>
        <v>-0.32466127746783546</v>
      </c>
      <c r="P324" s="2"/>
      <c r="Q324" s="14">
        <f>IFERROR(Q297+Q298+Q299+Q300+Q301+Q302+Q303+Q304+Q305+Q306+Q307+Q308+Q309+Q310+Q311+Q312+Q313+Q314+Q315+Q316+Q317+Q318+Q319+Q320+Q321+Q322+Q323, "NA")</f>
        <v>23126.880000000001</v>
      </c>
      <c r="R324" s="15">
        <f>IFERROR(Q324/Q444, "NA")</f>
        <v>5.2471456543450562E-2</v>
      </c>
      <c r="S324" s="2"/>
      <c r="T324" s="14">
        <f>IFERROR(T297+T298+T299+T300+T301+T302+T303+T304+T305+T306+T307+T308+T309+T310+T311+T312+T313+T314+T315+T316+T317+T318+T319+T320+T321+T322+T323, "NA")</f>
        <v>12075.73</v>
      </c>
      <c r="U324" s="15">
        <f>IFERROR(T324/T444, "NA")</f>
        <v>2.7776394472999559E-2</v>
      </c>
      <c r="V324" s="2"/>
      <c r="W324" s="14">
        <f t="shared" si="78"/>
        <v>-11051.150000000001</v>
      </c>
      <c r="X324" s="15">
        <f>IFERROR(W324/W444, "NA")</f>
        <v>-1.840723220680577</v>
      </c>
      <c r="Y324" s="2"/>
      <c r="Z324" s="14">
        <f>IFERROR(Z297+Z298+Z299+Z300+Z301+Z302+Z303+Z304+Z305+Z306+Z307+Z308+Z309+Z310+Z311+Z312+Z313+Z314+Z315+Z316+Z317+Z318+Z319+Z320+Z321+Z322+Z323, "NA")</f>
        <v>18775.670000000002</v>
      </c>
      <c r="AA324" s="15">
        <f>IFERROR(Z324/Z444, "NA")</f>
        <v>4.9520117729977532E-2</v>
      </c>
      <c r="AB324" s="2"/>
      <c r="AC324" s="14">
        <f t="shared" si="79"/>
        <v>-4351.2099999999991</v>
      </c>
      <c r="AD324" s="15">
        <f>IFERROR(AC324/AC444, "NA")</f>
        <v>-7.0637374539888928E-2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22685.79</v>
      </c>
      <c r="C325" s="15">
        <f>IFERROR(B325/B444, "NA")</f>
        <v>0.21730957791778599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23828.199999999993</v>
      </c>
      <c r="F325" s="15">
        <f>IFERROR(E325/E444, "NA")</f>
        <v>0.1877031815926388</v>
      </c>
      <c r="G325" s="2"/>
      <c r="H325" s="14">
        <f t="shared" si="76"/>
        <v>1142.4099999999926</v>
      </c>
      <c r="I325" s="15">
        <f>IFERROR(H325/H444, "NA")</f>
        <v>-5.0656053110349014E-2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22120.52</v>
      </c>
      <c r="L325" s="15">
        <f>IFERROR(K325/K444, "NA")</f>
        <v>0.20735889287202749</v>
      </c>
      <c r="M325" s="2"/>
      <c r="N325" s="14">
        <f t="shared" si="77"/>
        <v>-565.27000000000044</v>
      </c>
      <c r="O325" s="15">
        <f>IFERROR(N325/N444, "NA")</f>
        <v>0.24753676245193951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106031.05000000002</v>
      </c>
      <c r="R325" s="15">
        <f>IFERROR(Q325/Q444, "NA")</f>
        <v>0.240568707596158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84175.469999999987</v>
      </c>
      <c r="U325" s="15">
        <f>IFERROR(T325/T444, "NA")</f>
        <v>0.19361902424699293</v>
      </c>
      <c r="V325" s="2"/>
      <c r="W325" s="14">
        <f t="shared" si="78"/>
        <v>-21855.580000000031</v>
      </c>
      <c r="X325" s="15">
        <f>IFERROR(W325/W444, "NA")</f>
        <v>-3.6403517830671066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72539.849999999991</v>
      </c>
      <c r="AA325" s="15">
        <f>IFERROR(Z325/Z444, "NA")</f>
        <v>0.1913211039667245</v>
      </c>
      <c r="AB325" s="2"/>
      <c r="AC325" s="14">
        <f t="shared" si="79"/>
        <v>-33491.200000000026</v>
      </c>
      <c r="AD325" s="15">
        <f>IFERROR(AC325/AC444, "NA")</f>
        <v>-0.54369484308740101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19569.79</v>
      </c>
      <c r="C329" s="8">
        <f>IFERROR(B329/B444, "NA")</f>
        <v>0.18746108488351998</v>
      </c>
      <c r="D329" s="9"/>
      <c r="E329" s="7">
        <v>18062</v>
      </c>
      <c r="F329" s="8">
        <f>IFERROR(E329/E444, "NA")</f>
        <v>0.14228077932559918</v>
      </c>
      <c r="G329" s="9"/>
      <c r="H329" s="10">
        <f t="shared" si="80"/>
        <v>-1507.7900000000009</v>
      </c>
      <c r="I329" s="8">
        <f>IFERROR(H329/H444, "NA")</f>
        <v>6.6857512030929073E-2</v>
      </c>
      <c r="J329" s="9"/>
      <c r="K329" s="7">
        <v>19092.48</v>
      </c>
      <c r="L329" s="8">
        <f>IFERROR(K329/K444, "NA")</f>
        <v>0.17897389007949757</v>
      </c>
      <c r="M329" s="9"/>
      <c r="N329" s="10">
        <f t="shared" si="81"/>
        <v>-477.31000000000131</v>
      </c>
      <c r="O329" s="8">
        <f>IFERROR(N329/N444, "NA")</f>
        <v>0.20901829583373516</v>
      </c>
      <c r="P329" s="9"/>
      <c r="Q329" s="7">
        <v>78279.16</v>
      </c>
      <c r="R329" s="8">
        <f>IFERROR(Q329/Q444, "NA")</f>
        <v>0.17760379014366889</v>
      </c>
      <c r="S329" s="9"/>
      <c r="T329" s="7">
        <v>76769</v>
      </c>
      <c r="U329" s="8">
        <f>IFERROR(T329/T444, "NA")</f>
        <v>0.17658278441946809</v>
      </c>
      <c r="V329" s="9"/>
      <c r="W329" s="10">
        <f t="shared" si="82"/>
        <v>-1510.1600000000035</v>
      </c>
      <c r="X329" s="8">
        <f>IFERROR(W329/W444, "NA")</f>
        <v>-0.25153821809883914</v>
      </c>
      <c r="Y329" s="9"/>
      <c r="Z329" s="7">
        <v>76369.919999999998</v>
      </c>
      <c r="AA329" s="8">
        <f>IFERROR(Z329/Z444, "NA")</f>
        <v>0.20142276837145973</v>
      </c>
      <c r="AB329" s="9"/>
      <c r="AC329" s="10">
        <f t="shared" si="83"/>
        <v>-1909.2400000000052</v>
      </c>
      <c r="AD329" s="8">
        <f>IFERROR(AC329/AC444, "NA")</f>
        <v>-3.0994528181020435E-2</v>
      </c>
    </row>
    <row r="330" spans="1:30" ht="16.5" customHeight="1" x14ac:dyDescent="0.45">
      <c r="A330" s="6" t="s">
        <v>301</v>
      </c>
      <c r="B330" s="7">
        <v>658.51</v>
      </c>
      <c r="C330" s="8">
        <f>IFERROR(B330/B444, "NA")</f>
        <v>6.3079368254154358E-3</v>
      </c>
      <c r="D330" s="9"/>
      <c r="E330" s="7">
        <v>659</v>
      </c>
      <c r="F330" s="8">
        <f>IFERROR(E330/E444, "NA")</f>
        <v>5.1911767011167016E-3</v>
      </c>
      <c r="G330" s="9"/>
      <c r="H330" s="10">
        <f t="shared" si="80"/>
        <v>0.49000000000000909</v>
      </c>
      <c r="I330" s="8">
        <f>IFERROR(H330/H444, "NA")</f>
        <v>-2.1727283570759743E-5</v>
      </c>
      <c r="J330" s="9"/>
      <c r="K330" s="7">
        <v>658.51</v>
      </c>
      <c r="L330" s="8">
        <f>IFERROR(K330/K444, "NA")</f>
        <v>6.1729066290104762E-3</v>
      </c>
      <c r="M330" s="9"/>
      <c r="N330" s="10">
        <f t="shared" si="81"/>
        <v>0</v>
      </c>
      <c r="O330" s="8">
        <f>IFERROR(N330/N444, "NA")</f>
        <v>0</v>
      </c>
      <c r="P330" s="9"/>
      <c r="Q330" s="7">
        <v>2634.04</v>
      </c>
      <c r="R330" s="8">
        <f>IFERROR(Q330/Q444, "NA")</f>
        <v>5.9762456238675737E-3</v>
      </c>
      <c r="S330" s="9"/>
      <c r="T330" s="7">
        <v>2636</v>
      </c>
      <c r="U330" s="8">
        <f>IFERROR(T330/T444, "NA")</f>
        <v>6.0632836135643018E-3</v>
      </c>
      <c r="V330" s="9"/>
      <c r="W330" s="10">
        <f t="shared" si="82"/>
        <v>1.9600000000000364</v>
      </c>
      <c r="X330" s="8">
        <f>IFERROR(W330/W444, "NA")</f>
        <v>3.264653463697441E-4</v>
      </c>
      <c r="Y330" s="9"/>
      <c r="Z330" s="7">
        <v>2685.78</v>
      </c>
      <c r="AA330" s="8">
        <f>IFERROR(Z330/Z444, "NA")</f>
        <v>7.0836429164348892E-3</v>
      </c>
      <c r="AB330" s="9"/>
      <c r="AC330" s="10">
        <f t="shared" si="83"/>
        <v>51.740000000000236</v>
      </c>
      <c r="AD330" s="8">
        <f>IFERROR(AC330/AC444, "NA")</f>
        <v>8.3994515518530952E-4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855.93</v>
      </c>
      <c r="C333" s="8">
        <f>IFERROR(B333/B444, "NA")</f>
        <v>8.1990438519959213E-3</v>
      </c>
      <c r="D333" s="9"/>
      <c r="E333" s="7">
        <v>761</v>
      </c>
      <c r="F333" s="8">
        <f>IFERROR(E333/E444, "NA")</f>
        <v>5.9946668733684523E-3</v>
      </c>
      <c r="G333" s="9"/>
      <c r="H333" s="10">
        <f t="shared" si="80"/>
        <v>-94.92999999999995</v>
      </c>
      <c r="I333" s="8">
        <f>IFERROR(H333/H444, "NA")</f>
        <v>4.2093286313718021E-3</v>
      </c>
      <c r="J333" s="9"/>
      <c r="K333" s="7">
        <v>2645.77</v>
      </c>
      <c r="L333" s="8">
        <f>IFERROR(K333/K444, "NA")</f>
        <v>2.480158413970486E-2</v>
      </c>
      <c r="M333" s="9"/>
      <c r="N333" s="10">
        <f t="shared" si="81"/>
        <v>1789.8400000000001</v>
      </c>
      <c r="O333" s="8">
        <f>IFERROR(N333/N444, "NA")</f>
        <v>-0.7837868609814409</v>
      </c>
      <c r="P333" s="9"/>
      <c r="Q333" s="7">
        <v>3328.43</v>
      </c>
      <c r="R333" s="8">
        <f>IFERROR(Q333/Q444, "NA")</f>
        <v>7.5517134219106573E-3</v>
      </c>
      <c r="S333" s="9"/>
      <c r="T333" s="7">
        <v>3044</v>
      </c>
      <c r="U333" s="8">
        <f>IFERROR(T333/T444, "NA")</f>
        <v>7.0017584672571074E-3</v>
      </c>
      <c r="V333" s="9"/>
      <c r="W333" s="10">
        <f t="shared" si="82"/>
        <v>-284.42999999999984</v>
      </c>
      <c r="X333" s="8">
        <f>IFERROR(W333/W444, "NA")</f>
        <v>-4.7375784932624759E-2</v>
      </c>
      <c r="Y333" s="9"/>
      <c r="Z333" s="7">
        <v>4771.2700000000004</v>
      </c>
      <c r="AA333" s="8">
        <f>IFERROR(Z333/Z444, "NA")</f>
        <v>1.2584043718360511E-2</v>
      </c>
      <c r="AB333" s="9"/>
      <c r="AC333" s="10">
        <f t="shared" si="83"/>
        <v>1442.8400000000006</v>
      </c>
      <c r="AD333" s="8">
        <f>IFERROR(AC333/AC444, "NA")</f>
        <v>2.3423008653026031E-2</v>
      </c>
    </row>
    <row r="334" spans="1:30" ht="16.5" customHeight="1" x14ac:dyDescent="0.45">
      <c r="A334" s="6" t="s">
        <v>305</v>
      </c>
      <c r="B334" s="7">
        <v>-1506.87</v>
      </c>
      <c r="C334" s="8">
        <f>IFERROR(B334/B444, "NA")</f>
        <v>-1.4434466848056609E-2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1506.87</v>
      </c>
      <c r="I334" s="8">
        <f>IFERROR(H334/H444, "NA")</f>
        <v>-6.6816717947490042E-2</v>
      </c>
      <c r="J334" s="9"/>
      <c r="K334" s="7">
        <v>-1470.12</v>
      </c>
      <c r="L334" s="8">
        <f>IFERROR(K334/K444, "NA")</f>
        <v>-1.3780980537031907E-2</v>
      </c>
      <c r="M334" s="9"/>
      <c r="N334" s="10">
        <f t="shared" si="81"/>
        <v>36.75</v>
      </c>
      <c r="O334" s="8">
        <f>IFERROR(N334/N444, "NA")</f>
        <v>-1.609315198066193E-2</v>
      </c>
      <c r="P334" s="9"/>
      <c r="Q334" s="7">
        <v>-1506.87</v>
      </c>
      <c r="R334" s="8">
        <f>IFERROR(Q334/Q444, "NA")</f>
        <v>-3.4188642705643537E-3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1506.87</v>
      </c>
      <c r="X334" s="8">
        <f>IFERROR(W334/W444, "NA")</f>
        <v>0.25099022269600363</v>
      </c>
      <c r="Y334" s="9"/>
      <c r="Z334" s="7">
        <v>-1470.12</v>
      </c>
      <c r="AA334" s="8">
        <f>IFERROR(Z334/Z444, "NA")</f>
        <v>-3.877385759186999E-3</v>
      </c>
      <c r="AB334" s="9"/>
      <c r="AC334" s="10">
        <f t="shared" si="83"/>
        <v>36.75</v>
      </c>
      <c r="AD334" s="8">
        <f>IFERROR(AC334/AC444, "NA")</f>
        <v>5.9659807601584818E-4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5176.8599999999997</v>
      </c>
      <c r="F337" s="8">
        <f>IFERROR(E337/E444, "NA")</f>
        <v>4.0779962089443109E-2</v>
      </c>
      <c r="G337" s="9"/>
      <c r="H337" s="10">
        <f t="shared" ref="H337:H344" si="84">IFERROR(-(B337-E337), "NA")</f>
        <v>5176.8599999999997</v>
      </c>
      <c r="I337" s="8">
        <f>IFERROR(H337/H444, "NA")</f>
        <v>-0.22954919433902282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20707.439999999999</v>
      </c>
      <c r="U337" s="8">
        <f>IFERROR(T337/T444, "NA")</f>
        <v>4.7630911089099379E-2</v>
      </c>
      <c r="V337" s="9"/>
      <c r="W337" s="10">
        <f t="shared" ref="W337:W344" si="86">IFERROR(-(Q337-T337), "NA")</f>
        <v>20707.439999999999</v>
      </c>
      <c r="X337" s="8">
        <f>IFERROR(W337/W444, "NA")</f>
        <v>3.4491130469543712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2071.14</v>
      </c>
      <c r="C338" s="8">
        <f>IFERROR(B338/B444, "NA")</f>
        <v>1.9839668762191804E-2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-2071.14</v>
      </c>
      <c r="I338" s="8">
        <f>IFERROR(H338/H444, "NA")</f>
        <v>9.1837236928045907E-2</v>
      </c>
      <c r="J338" s="9"/>
      <c r="K338" s="7">
        <v>1579.53</v>
      </c>
      <c r="L338" s="8">
        <f>IFERROR(K338/K444, "NA")</f>
        <v>1.4806595507617072E-2</v>
      </c>
      <c r="M338" s="9"/>
      <c r="N338" s="10">
        <f t="shared" si="85"/>
        <v>-491.6099999999999</v>
      </c>
      <c r="O338" s="8">
        <f>IFERROR(N338/N444, "NA")</f>
        <v>0.21528039306702612</v>
      </c>
      <c r="P338" s="9"/>
      <c r="Q338" s="7">
        <v>7452.42</v>
      </c>
      <c r="R338" s="8">
        <f>IFERROR(Q338/Q444, "NA")</f>
        <v>1.6908434348841771E-2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-7452.42</v>
      </c>
      <c r="X338" s="8">
        <f>IFERROR(W338/W444, "NA")</f>
        <v>-1.2413045288738587</v>
      </c>
      <c r="Y338" s="9"/>
      <c r="Z338" s="7">
        <v>6596.57</v>
      </c>
      <c r="AA338" s="8">
        <f>IFERROR(Z338/Z444, "NA")</f>
        <v>1.7398203260604702E-2</v>
      </c>
      <c r="AB338" s="9"/>
      <c r="AC338" s="10">
        <f t="shared" si="87"/>
        <v>-855.85000000000036</v>
      </c>
      <c r="AD338" s="8">
        <f>IFERROR(AC338/AC444, "NA")</f>
        <v>-1.3893835737637111E-2</v>
      </c>
    </row>
    <row r="339" spans="1:30" ht="16.5" customHeight="1" x14ac:dyDescent="0.45">
      <c r="A339" s="12" t="s">
        <v>309</v>
      </c>
      <c r="B339" s="7">
        <v>948.34</v>
      </c>
      <c r="C339" s="8">
        <f>IFERROR(B339/B444, "NA")</f>
        <v>9.0842490000371673E-3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-948.34</v>
      </c>
      <c r="I339" s="8">
        <f>IFERROR(H339/H444, "NA")</f>
        <v>4.2050718574477369E-2</v>
      </c>
      <c r="J339" s="9"/>
      <c r="K339" s="7">
        <v>984.78</v>
      </c>
      <c r="L339" s="8">
        <f>IFERROR(K339/K444, "NA")</f>
        <v>9.2313783998981599E-3</v>
      </c>
      <c r="M339" s="9"/>
      <c r="N339" s="10">
        <f t="shared" si="85"/>
        <v>36.439999999999941</v>
      </c>
      <c r="O339" s="8">
        <f>IFERROR(N339/N444, "NA")</f>
        <v>-1.5957400222457681E-2</v>
      </c>
      <c r="P339" s="9"/>
      <c r="Q339" s="7">
        <v>4688.17</v>
      </c>
      <c r="R339" s="8">
        <f>IFERROR(Q339/Q444, "NA")</f>
        <v>1.0636761570229475E-2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-4688.17</v>
      </c>
      <c r="X339" s="8">
        <f>IFERROR(W339/W444, "NA")</f>
        <v>-0.78088012392357897</v>
      </c>
      <c r="Y339" s="9"/>
      <c r="Z339" s="7">
        <v>4678.41</v>
      </c>
      <c r="AA339" s="8">
        <f>IFERROR(Z339/Z444, "NA")</f>
        <v>1.2339128989224043E-2</v>
      </c>
      <c r="AB339" s="9"/>
      <c r="AC339" s="10">
        <f t="shared" si="87"/>
        <v>-9.7600000000002183</v>
      </c>
      <c r="AD339" s="8">
        <f>IFERROR(AC339/AC444, "NA")</f>
        <v>-1.5844346182081111E-4</v>
      </c>
    </row>
    <row r="340" spans="1:30" ht="16.5" customHeight="1" x14ac:dyDescent="0.45">
      <c r="A340" s="12" t="s">
        <v>310</v>
      </c>
      <c r="B340" s="7">
        <v>986.4</v>
      </c>
      <c r="C340" s="8">
        <f>IFERROR(B340/B444, "NA")</f>
        <v>9.4488297589858713E-3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-986.4</v>
      </c>
      <c r="I340" s="8">
        <f>IFERROR(H340/H444, "NA")</f>
        <v>4.3738352069789821E-2</v>
      </c>
      <c r="J340" s="9"/>
      <c r="K340" s="7">
        <v>830.01</v>
      </c>
      <c r="L340" s="8">
        <f>IFERROR(K340/K444, "NA")</f>
        <v>7.7805564549437147E-3</v>
      </c>
      <c r="M340" s="9"/>
      <c r="N340" s="10">
        <f t="shared" si="85"/>
        <v>-156.38999999999999</v>
      </c>
      <c r="O340" s="8">
        <f>IFERROR(N340/N444, "NA")</f>
        <v>6.8484572469543384E-2</v>
      </c>
      <c r="P340" s="9"/>
      <c r="Q340" s="7">
        <v>3619.55</v>
      </c>
      <c r="R340" s="8">
        <f>IFERROR(Q340/Q444, "NA")</f>
        <v>8.2122214726693121E-3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-3619.55</v>
      </c>
      <c r="X340" s="8">
        <f>IFERROR(W340/W444, "NA")</f>
        <v>-0.60288655329213536</v>
      </c>
      <c r="Y340" s="9"/>
      <c r="Z340" s="7">
        <v>3432.25</v>
      </c>
      <c r="AA340" s="8">
        <f>IFERROR(Z340/Z444, "NA")</f>
        <v>9.0524292384088229E-3</v>
      </c>
      <c r="AB340" s="9"/>
      <c r="AC340" s="10">
        <f t="shared" si="87"/>
        <v>-187.30000000000018</v>
      </c>
      <c r="AD340" s="8">
        <f>IFERROR(AC340/AC444, "NA")</f>
        <v>-3.040620942524312E-3</v>
      </c>
    </row>
    <row r="341" spans="1:30" ht="16.5" customHeight="1" x14ac:dyDescent="0.45">
      <c r="A341" s="12" t="s">
        <v>311</v>
      </c>
      <c r="B341" s="7">
        <v>1012.86</v>
      </c>
      <c r="C341" s="8">
        <f>IFERROR(B341/B444, "NA")</f>
        <v>9.7022928930316603E-3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-1012.86</v>
      </c>
      <c r="I341" s="8">
        <f>IFERROR(H341/H444, "NA")</f>
        <v>4.4911625382610829E-2</v>
      </c>
      <c r="J341" s="9"/>
      <c r="K341" s="7">
        <v>957.58</v>
      </c>
      <c r="L341" s="8">
        <f>IFERROR(K341/K444, "NA")</f>
        <v>8.9764042001000029E-3</v>
      </c>
      <c r="M341" s="9"/>
      <c r="N341" s="10">
        <f t="shared" si="85"/>
        <v>-55.279999999999973</v>
      </c>
      <c r="O341" s="8">
        <f>IFERROR(N341/N444, "NA")</f>
        <v>2.4207603850094996E-2</v>
      </c>
      <c r="P341" s="9"/>
      <c r="Q341" s="7">
        <v>4090.28</v>
      </c>
      <c r="R341" s="8">
        <f>IFERROR(Q341/Q444, "NA")</f>
        <v>9.2802379426254189E-3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-4090.28</v>
      </c>
      <c r="X341" s="8">
        <f>IFERROR(W341/W444, "NA")</f>
        <v>-0.68129320252510828</v>
      </c>
      <c r="Y341" s="9"/>
      <c r="Z341" s="7">
        <v>3830.32</v>
      </c>
      <c r="AA341" s="8">
        <f>IFERROR(Z341/Z444, "NA")</f>
        <v>1.010232377025627E-2</v>
      </c>
      <c r="AB341" s="9"/>
      <c r="AC341" s="10">
        <f t="shared" si="87"/>
        <v>-259.96000000000004</v>
      </c>
      <c r="AD341" s="8">
        <f>IFERROR(AC341/AC444, "NA")</f>
        <v>-4.2201805671042147E-3</v>
      </c>
    </row>
    <row r="342" spans="1:30" ht="16.5" customHeight="1" x14ac:dyDescent="0.45">
      <c r="A342" s="13" t="s">
        <v>312</v>
      </c>
      <c r="B342" s="14">
        <f>IFERROR(B337+B338+B339+B340+B341, "NA")</f>
        <v>5018.74</v>
      </c>
      <c r="C342" s="15">
        <f>IFERROR(B342/B444, "NA")</f>
        <v>4.8075040414246505E-2</v>
      </c>
      <c r="D342" s="2"/>
      <c r="E342" s="14">
        <f>IFERROR(E337+E338+E339+E340+E341, "NA")</f>
        <v>5176.8599999999997</v>
      </c>
      <c r="F342" s="15">
        <f>IFERROR(E342/E444, "NA")</f>
        <v>4.0779962089443109E-2</v>
      </c>
      <c r="G342" s="2"/>
      <c r="H342" s="14">
        <f t="shared" si="84"/>
        <v>158.11999999999989</v>
      </c>
      <c r="I342" s="15">
        <f>IFERROR(H342/H444, "NA")</f>
        <v>-7.0112613840989067E-3</v>
      </c>
      <c r="J342" s="2"/>
      <c r="K342" s="14">
        <f>IFERROR(K337+K338+K339+K340+K341, "NA")</f>
        <v>4351.8999999999996</v>
      </c>
      <c r="L342" s="15">
        <f>IFERROR(K342/K444, "NA")</f>
        <v>4.0794934562558942E-2</v>
      </c>
      <c r="M342" s="2"/>
      <c r="N342" s="14">
        <f t="shared" si="85"/>
        <v>-666.84000000000015</v>
      </c>
      <c r="O342" s="15">
        <f>IFERROR(N342/N444, "NA")</f>
        <v>0.29201516916420694</v>
      </c>
      <c r="P342" s="2"/>
      <c r="Q342" s="14">
        <f>IFERROR(Q337+Q338+Q339+Q340+Q341, "NA")</f>
        <v>19850.419999999998</v>
      </c>
      <c r="R342" s="15">
        <f>IFERROR(Q342/Q444, "NA")</f>
        <v>4.5037655334365975E-2</v>
      </c>
      <c r="S342" s="2"/>
      <c r="T342" s="14">
        <f>IFERROR(T337+T338+T339+T340+T341, "NA")</f>
        <v>20707.439999999999</v>
      </c>
      <c r="U342" s="15">
        <f>IFERROR(T342/T444, "NA")</f>
        <v>4.7630911089099379E-2</v>
      </c>
      <c r="V342" s="2"/>
      <c r="W342" s="14">
        <f t="shared" si="86"/>
        <v>857.02000000000044</v>
      </c>
      <c r="X342" s="15">
        <f>IFERROR(W342/W444, "NA")</f>
        <v>0.14274863833969031</v>
      </c>
      <c r="Y342" s="2"/>
      <c r="Z342" s="14">
        <f>IFERROR(Z337+Z338+Z339+Z340+Z341, "NA")</f>
        <v>18537.55</v>
      </c>
      <c r="AA342" s="15">
        <f>IFERROR(Z342/Z444, "NA")</f>
        <v>4.8892085258493832E-2</v>
      </c>
      <c r="AB342" s="2"/>
      <c r="AC342" s="14">
        <f t="shared" si="87"/>
        <v>-1312.869999999999</v>
      </c>
      <c r="AD342" s="15">
        <f>IFERROR(AC342/AC444, "NA")</f>
        <v>-2.131308070908642E-2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24596.100000000002</v>
      </c>
      <c r="C343" s="15">
        <f>IFERROR(B343/B444, "NA")</f>
        <v>0.23560863912712127</v>
      </c>
      <c r="D343" s="2"/>
      <c r="E343" s="14">
        <f>IFERROR(E328+E329+E330+E331+E332+E333+E334+E335+E337+E338+E339+E340+E341, "NA")</f>
        <v>24658.86</v>
      </c>
      <c r="F343" s="15">
        <f>IFERROR(E343/E444, "NA")</f>
        <v>0.19424658498952746</v>
      </c>
      <c r="G343" s="2"/>
      <c r="H343" s="14">
        <f t="shared" si="84"/>
        <v>62.759999999998399</v>
      </c>
      <c r="I343" s="15">
        <f>IFERROR(H343/H444, "NA")</f>
        <v>-2.782865952858819E-3</v>
      </c>
      <c r="J343" s="2"/>
      <c r="K343" s="14">
        <f>IFERROR(K328+K329+K330+K331+K332+K333+K334+K335+K337+K338+K339+K340+K341, "NA")</f>
        <v>25278.539999999997</v>
      </c>
      <c r="L343" s="15">
        <f>IFERROR(K343/K444, "NA")</f>
        <v>0.23696233487373991</v>
      </c>
      <c r="M343" s="2"/>
      <c r="N343" s="14">
        <f t="shared" si="85"/>
        <v>682.43999999999505</v>
      </c>
      <c r="O343" s="15">
        <f>IFERROR(N343/N444, "NA")</f>
        <v>-0.29884654796415916</v>
      </c>
      <c r="P343" s="2"/>
      <c r="Q343" s="14">
        <f>IFERROR(Q328+Q329+Q330+Q331+Q332+Q333+Q334+Q335+Q337+Q338+Q339+Q340+Q341, "NA")</f>
        <v>102585.18</v>
      </c>
      <c r="R343" s="15">
        <f>IFERROR(Q343/Q444, "NA")</f>
        <v>0.23275054025324873</v>
      </c>
      <c r="S343" s="2"/>
      <c r="T343" s="14">
        <f>IFERROR(T328+T329+T330+T331+T332+T333+T334+T335+T337+T338+T339+T340+T341, "NA")</f>
        <v>103156.44</v>
      </c>
      <c r="U343" s="15">
        <f>IFERROR(T343/T444, "NA")</f>
        <v>0.23727873758938889</v>
      </c>
      <c r="V343" s="2"/>
      <c r="W343" s="14">
        <f t="shared" si="86"/>
        <v>571.26000000000931</v>
      </c>
      <c r="X343" s="15">
        <f>IFERROR(W343/W444, "NA")</f>
        <v>9.5151323350601835E-2</v>
      </c>
      <c r="Y343" s="2"/>
      <c r="Z343" s="14">
        <f>IFERROR(Z328+Z329+Z330+Z331+Z332+Z333+Z334+Z335+Z337+Z338+Z339+Z340+Z341, "NA")</f>
        <v>100894.40000000002</v>
      </c>
      <c r="AA343" s="15">
        <f>IFERROR(Z343/Z444, "NA")</f>
        <v>0.26610515450556205</v>
      </c>
      <c r="AB343" s="2"/>
      <c r="AC343" s="14">
        <f t="shared" si="87"/>
        <v>-1690.7799999999697</v>
      </c>
      <c r="AD343" s="15">
        <f>IFERROR(AC343/AC444, "NA")</f>
        <v>-2.7448057005879122E-2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24596.100000000002</v>
      </c>
      <c r="C344" s="15">
        <f>IFERROR(B344/B444, "NA")</f>
        <v>0.23560863912712127</v>
      </c>
      <c r="D344" s="2"/>
      <c r="E344" s="14">
        <f>IFERROR(E328+E329+E330+E331+E332+E333+E334+E335+E337+E338+E339+E340+E341, "NA")</f>
        <v>24658.86</v>
      </c>
      <c r="F344" s="15">
        <f>IFERROR(E344/E444, "NA")</f>
        <v>0.19424658498952746</v>
      </c>
      <c r="G344" s="2"/>
      <c r="H344" s="14">
        <f t="shared" si="84"/>
        <v>62.759999999998399</v>
      </c>
      <c r="I344" s="15">
        <f>IFERROR(H344/H444, "NA")</f>
        <v>-2.782865952858819E-3</v>
      </c>
      <c r="J344" s="2"/>
      <c r="K344" s="14">
        <f>IFERROR(K328+K329+K330+K331+K332+K333+K334+K335+K337+K338+K339+K340+K341, "NA")</f>
        <v>25278.539999999997</v>
      </c>
      <c r="L344" s="15">
        <f>IFERROR(K344/K444, "NA")</f>
        <v>0.23696233487373991</v>
      </c>
      <c r="M344" s="2"/>
      <c r="N344" s="14">
        <f t="shared" si="85"/>
        <v>682.43999999999505</v>
      </c>
      <c r="O344" s="15">
        <f>IFERROR(N344/N444, "NA")</f>
        <v>-0.29884654796415916</v>
      </c>
      <c r="P344" s="2"/>
      <c r="Q344" s="14">
        <f>IFERROR(Q328+Q329+Q330+Q331+Q332+Q333+Q334+Q335+Q337+Q338+Q339+Q340+Q341, "NA")</f>
        <v>102585.18</v>
      </c>
      <c r="R344" s="15">
        <f>IFERROR(Q344/Q444, "NA")</f>
        <v>0.23275054025324873</v>
      </c>
      <c r="S344" s="2"/>
      <c r="T344" s="14">
        <f>IFERROR(T328+T329+T330+T331+T332+T333+T334+T335+T337+T338+T339+T340+T341, "NA")</f>
        <v>103156.44</v>
      </c>
      <c r="U344" s="15">
        <f>IFERROR(T344/T444, "NA")</f>
        <v>0.23727873758938889</v>
      </c>
      <c r="V344" s="2"/>
      <c r="W344" s="14">
        <f t="shared" si="86"/>
        <v>571.26000000000931</v>
      </c>
      <c r="X344" s="15">
        <f>IFERROR(W344/W444, "NA")</f>
        <v>9.5151323350601835E-2</v>
      </c>
      <c r="Y344" s="2"/>
      <c r="Z344" s="14">
        <f>IFERROR(Z328+Z329+Z330+Z331+Z332+Z333+Z334+Z335+Z337+Z338+Z339+Z340+Z341, "NA")</f>
        <v>100894.40000000002</v>
      </c>
      <c r="AA344" s="15">
        <f>IFERROR(Z344/Z444, "NA")</f>
        <v>0.26610515450556205</v>
      </c>
      <c r="AB344" s="2"/>
      <c r="AC344" s="14">
        <f t="shared" si="87"/>
        <v>-1690.7799999999697</v>
      </c>
      <c r="AD344" s="15">
        <f>IFERROR(AC344/AC444, "NA")</f>
        <v>-2.7448057005879122E-2</v>
      </c>
    </row>
    <row r="345" spans="1:30" ht="16.5" customHeight="1" x14ac:dyDescent="0.45">
      <c r="A345" s="22" t="s">
        <v>315</v>
      </c>
      <c r="B345" s="23">
        <f>IFERROR(B198-B325-B344, "NA")</f>
        <v>-8178.1999999999862</v>
      </c>
      <c r="C345" s="24">
        <f>IFERROR(B345/B444, "NA")</f>
        <v>-7.8339841377674496E-2</v>
      </c>
      <c r="D345" s="25"/>
      <c r="E345" s="23">
        <f>IFERROR(E198-E325-E344, "NA")</f>
        <v>11215.759999999995</v>
      </c>
      <c r="F345" s="24">
        <f>IFERROR(E345/E444, "NA")</f>
        <v>8.8350518964061653E-2</v>
      </c>
      <c r="G345" s="25"/>
      <c r="H345" s="23">
        <f>IFERROR(B345-E345, "NA")</f>
        <v>-19393.959999999981</v>
      </c>
      <c r="I345" s="24">
        <f>IFERROR(H345/H444, "NA")</f>
        <v>0.85995524179584359</v>
      </c>
      <c r="J345" s="25"/>
      <c r="K345" s="23">
        <f>IFERROR(K198-K325-K344, "NA")</f>
        <v>-2419.2899999999499</v>
      </c>
      <c r="L345" s="24">
        <f>IFERROR(K345/K444, "NA")</f>
        <v>-2.2678548964326202E-2</v>
      </c>
      <c r="M345" s="25"/>
      <c r="N345" s="23">
        <f>IFERROR(B345-K345, "NA")</f>
        <v>-5758.9100000000362</v>
      </c>
      <c r="O345" s="24">
        <f>IFERROR(N345/N444, "NA")</f>
        <v>2.5218779285157655</v>
      </c>
      <c r="P345" s="25"/>
      <c r="Q345" s="23">
        <f>IFERROR(Q198-Q325-Q344, "NA")</f>
        <v>-25800.579999999958</v>
      </c>
      <c r="R345" s="24">
        <f>IFERROR(Q345/Q444, "NA")</f>
        <v>-5.8537684818091219E-2</v>
      </c>
      <c r="S345" s="25"/>
      <c r="T345" s="23">
        <f>IFERROR(T198-T325-T344, "NA")</f>
        <v>434.77000000000407</v>
      </c>
      <c r="U345" s="24">
        <f>IFERROR(T345/T444, "NA")</f>
        <v>1.0000507650490805E-3</v>
      </c>
      <c r="V345" s="25"/>
      <c r="W345" s="23">
        <f>IFERROR(Q345-T345, "NA")</f>
        <v>-26235.349999999962</v>
      </c>
      <c r="X345" s="24">
        <f>IFERROR(W345/W444, "NA")</f>
        <v>-4.3698635841231095</v>
      </c>
      <c r="Y345" s="25"/>
      <c r="Z345" s="23">
        <f>IFERROR(Z198-Z325-Z344, "NA")</f>
        <v>-37410.990000000034</v>
      </c>
      <c r="AA345" s="24">
        <f>IFERROR(Z345/Z444, "NA")</f>
        <v>-9.8670067656441221E-2</v>
      </c>
      <c r="AB345" s="25"/>
      <c r="AC345" s="23">
        <f>IFERROR(Q345-Z345, "NA")</f>
        <v>11610.410000000076</v>
      </c>
      <c r="AD345" s="24">
        <f>IFERROR(AC345/AC444, "NA")</f>
        <v>0.18848294606136623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-8178.1999999999862</v>
      </c>
      <c r="C404" s="24">
        <f>IFERROR(B404/B444, "NA")</f>
        <v>-7.8339841377674496E-2</v>
      </c>
      <c r="D404" s="25"/>
      <c r="E404" s="23">
        <f>IFERROR(E345-E403, "NA")</f>
        <v>11215.759999999995</v>
      </c>
      <c r="F404" s="24">
        <f>IFERROR(E404/E444, "NA")</f>
        <v>8.8350518964061653E-2</v>
      </c>
      <c r="G404" s="25"/>
      <c r="H404" s="23">
        <f>IFERROR(B404-E404, "NA")</f>
        <v>-19393.959999999981</v>
      </c>
      <c r="I404" s="24">
        <f>IFERROR(H404/H444, "NA")</f>
        <v>0.85995524179584359</v>
      </c>
      <c r="J404" s="25"/>
      <c r="K404" s="23">
        <f>IFERROR(K345-K403, "NA")</f>
        <v>-2419.2899999999499</v>
      </c>
      <c r="L404" s="24">
        <f>IFERROR(K404/K444, "NA")</f>
        <v>-2.2678548964326202E-2</v>
      </c>
      <c r="M404" s="25"/>
      <c r="N404" s="23">
        <f>IFERROR(B404-K404, "NA")</f>
        <v>-5758.9100000000362</v>
      </c>
      <c r="O404" s="24">
        <f>IFERROR(N404/N444, "NA")</f>
        <v>2.5218779285157655</v>
      </c>
      <c r="P404" s="25"/>
      <c r="Q404" s="23">
        <f>IFERROR(Q345-Q403, "NA")</f>
        <v>-25800.579999999958</v>
      </c>
      <c r="R404" s="24">
        <f>IFERROR(Q404/Q444, "NA")</f>
        <v>-5.8537684818091219E-2</v>
      </c>
      <c r="S404" s="25"/>
      <c r="T404" s="23">
        <f>IFERROR(T345-T403, "NA")</f>
        <v>434.77000000000407</v>
      </c>
      <c r="U404" s="24">
        <f>IFERROR(T404/T444, "NA")</f>
        <v>1.0000507650490805E-3</v>
      </c>
      <c r="V404" s="25"/>
      <c r="W404" s="23">
        <f>IFERROR(Q404-T404, "NA")</f>
        <v>-26235.349999999962</v>
      </c>
      <c r="X404" s="24">
        <f>IFERROR(W404/W444, "NA")</f>
        <v>-4.3698635841231095</v>
      </c>
      <c r="Y404" s="25"/>
      <c r="Z404" s="23">
        <f>IFERROR(Z345-Z403, "NA")</f>
        <v>-37410.990000000034</v>
      </c>
      <c r="AA404" s="24">
        <f>IFERROR(Z404/Z444, "NA")</f>
        <v>-9.8670067656441221E-2</v>
      </c>
      <c r="AB404" s="25"/>
      <c r="AC404" s="23">
        <f>IFERROR(Q404-Z404, "NA")</f>
        <v>11610.410000000076</v>
      </c>
      <c r="AD404" s="24">
        <f>IFERROR(AC404/AC444, "NA")</f>
        <v>0.18848294606136623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1222</v>
      </c>
      <c r="L408" s="8">
        <f>IFERROR(K408/K444, "NA")</f>
        <v>1.1455090887990771E-2</v>
      </c>
      <c r="M408" s="9"/>
      <c r="N408" s="10">
        <f t="shared" si="101"/>
        <v>1222</v>
      </c>
      <c r="O408" s="8">
        <f>IFERROR(N408/N444, "NA")</f>
        <v>-0.53512467266309871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1222</v>
      </c>
      <c r="AA408" s="8">
        <f>IFERROR(Z408/Z444, "NA")</f>
        <v>3.2229786668615578E-3</v>
      </c>
      <c r="AB408" s="9"/>
      <c r="AC408" s="10">
        <f t="shared" si="103"/>
        <v>1222</v>
      </c>
      <c r="AD408" s="8">
        <f>IFERROR(AC408/AC444, "NA")</f>
        <v>1.9837900650105208E-2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9780.9</v>
      </c>
      <c r="C410" s="8">
        <f>IFERROR(B410/B444, "NA")</f>
        <v>9.3692273914907642E-2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-9780.9</v>
      </c>
      <c r="I410" s="8">
        <f>IFERROR(H410/H444, "NA")</f>
        <v>0.43369875076987757</v>
      </c>
      <c r="J410" s="9"/>
      <c r="K410" s="7">
        <v>9542.9</v>
      </c>
      <c r="L410" s="8">
        <f>IFERROR(K410/K444, "NA")</f>
        <v>8.9455635707861803E-2</v>
      </c>
      <c r="M410" s="9"/>
      <c r="N410" s="10">
        <f t="shared" si="101"/>
        <v>-238</v>
      </c>
      <c r="O410" s="8">
        <f>IFERROR(N410/N444, "NA")</f>
        <v>0.10422231758904869</v>
      </c>
      <c r="P410" s="9"/>
      <c r="Q410" s="7">
        <v>39123.589999999997</v>
      </c>
      <c r="R410" s="8">
        <f>IFERROR(Q410/Q444, "NA")</f>
        <v>8.8765616136235265E-2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-39123.589999999997</v>
      </c>
      <c r="X410" s="8">
        <f>IFERROR(W410/W444, "NA")</f>
        <v>-6.5165797758049067</v>
      </c>
      <c r="Y410" s="9"/>
      <c r="Z410" s="7">
        <v>38171.589999999997</v>
      </c>
      <c r="AA410" s="8">
        <f>IFERROR(Z410/Z444, "NA")</f>
        <v>0.10067612131766444</v>
      </c>
      <c r="AB410" s="9"/>
      <c r="AC410" s="10">
        <f t="shared" si="103"/>
        <v>-952</v>
      </c>
      <c r="AD410" s="8">
        <f>IFERROR(AC410/AC444, "NA")</f>
        <v>-1.545473111202959E-2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-71</v>
      </c>
      <c r="C416" s="8">
        <f>IFERROR(B416/B444, "NA")</f>
        <v>-6.8011649725060509E-4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71</v>
      </c>
      <c r="I416" s="8">
        <f>IFERROR(H416/H444, "NA")</f>
        <v>-3.1482390480079858E-3</v>
      </c>
      <c r="J416" s="9"/>
      <c r="K416" s="7">
        <v>-163.06</v>
      </c>
      <c r="L416" s="8">
        <f>IFERROR(K416/K444, "NA")</f>
        <v>-1.5285328315841041E-3</v>
      </c>
      <c r="M416" s="9"/>
      <c r="N416" s="10">
        <f t="shared" si="101"/>
        <v>-92.06</v>
      </c>
      <c r="O416" s="8">
        <f>IFERROR(N416/N444, "NA")</f>
        <v>4.031389309767993E-2</v>
      </c>
      <c r="P416" s="9"/>
      <c r="Q416" s="7">
        <v>224.86</v>
      </c>
      <c r="R416" s="8">
        <f>IFERROR(Q416/Q444, "NA")</f>
        <v>5.1017394989554552E-4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-224.86</v>
      </c>
      <c r="X416" s="8">
        <f>IFERROR(W416/W444, "NA")</f>
        <v>-3.7453570298315968E-2</v>
      </c>
      <c r="Y416" s="9"/>
      <c r="Z416" s="7">
        <v>-211.17</v>
      </c>
      <c r="AA416" s="8">
        <f>IFERROR(Z416/Z444, "NA")</f>
        <v>-5.5695286831518418E-4</v>
      </c>
      <c r="AB416" s="9"/>
      <c r="AC416" s="10">
        <f t="shared" si="103"/>
        <v>-436.03</v>
      </c>
      <c r="AD416" s="8">
        <f>IFERROR(AC416/AC444, "NA")</f>
        <v>-7.0784941247670815E-3</v>
      </c>
    </row>
    <row r="417" spans="1:30" ht="16.5" customHeight="1" x14ac:dyDescent="0.45">
      <c r="A417" s="6" t="s">
        <v>382</v>
      </c>
      <c r="B417" s="7">
        <v>-55.79</v>
      </c>
      <c r="C417" s="8">
        <f>IFERROR(B417/B444, "NA")</f>
        <v>-5.3441830114945427E-4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55.79</v>
      </c>
      <c r="I417" s="8">
        <f>IFERROR(H417/H444, "NA")</f>
        <v>-2.4738064294135991E-3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55.79</v>
      </c>
      <c r="O417" s="8">
        <f>IFERROR(N417/N444, "NA")</f>
        <v>-2.4430937387785828E-2</v>
      </c>
      <c r="P417" s="9"/>
      <c r="Q417" s="7">
        <v>-77.12</v>
      </c>
      <c r="R417" s="8">
        <f>IFERROR(Q417/Q444, "NA")</f>
        <v>-1.7497382823065228E-4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77.12</v>
      </c>
      <c r="X417" s="8">
        <f>IFERROR(W417/W444, "NA")</f>
        <v>1.2845411995935816E-2</v>
      </c>
      <c r="Y417" s="9"/>
      <c r="Z417" s="7">
        <v>0</v>
      </c>
      <c r="AA417" s="8">
        <f>IFERROR(Z417/Z444, "NA")</f>
        <v>0</v>
      </c>
      <c r="AB417" s="9"/>
      <c r="AC417" s="10">
        <f t="shared" si="103"/>
        <v>77.12</v>
      </c>
      <c r="AD417" s="8">
        <f>IFERROR(AC417/AC444, "NA")</f>
        <v>1.251963091764414E-3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24.48</v>
      </c>
      <c r="AA424" s="8">
        <f>IFERROR(Z424/Z444, "NA")</f>
        <v>6.4565071820598137E-5</v>
      </c>
      <c r="AB424" s="9"/>
      <c r="AC424" s="10">
        <f t="shared" si="103"/>
        <v>24.48</v>
      </c>
      <c r="AD424" s="8">
        <f>IFERROR(AC424/AC444, "NA")</f>
        <v>3.9740737145218949E-4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9654.1099999999988</v>
      </c>
      <c r="C428" s="15">
        <f>IFERROR(B428/B444, "NA")</f>
        <v>9.2477739116507585E-2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-9654.1099999999988</v>
      </c>
      <c r="I428" s="15">
        <f>IFERROR(H428/H444, "NA")</f>
        <v>0.42807670529245595</v>
      </c>
      <c r="J428" s="2"/>
      <c r="K428" s="14">
        <f>IFERROR(K407+K408+K409+K410+K411+K412+K413+K414+K415+K416+K417+K418+K419+K420+K421+K422+K423+K424+K425+K426+K427, "NA")</f>
        <v>10601.84</v>
      </c>
      <c r="L428" s="15">
        <f>IFERROR(K428/K444, "NA")</f>
        <v>9.9382193764268476E-2</v>
      </c>
      <c r="M428" s="2"/>
      <c r="N428" s="14">
        <f t="shared" si="101"/>
        <v>947.73000000000138</v>
      </c>
      <c r="O428" s="15">
        <f>IFERROR(N428/N444, "NA")</f>
        <v>-0.41501939936415655</v>
      </c>
      <c r="P428" s="2"/>
      <c r="Q428" s="14">
        <f>IFERROR(Q407+Q408+Q409+Q410+Q411+Q412+Q413+Q414+Q415+Q416+Q417+Q418+Q419+Q420+Q421+Q422+Q423+Q424+Q425+Q426+Q427, "NA")</f>
        <v>39271.329999999994</v>
      </c>
      <c r="R428" s="15">
        <f>IFERROR(Q428/Q444, "NA")</f>
        <v>8.9100816257900159E-2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-39271.329999999994</v>
      </c>
      <c r="X428" s="15">
        <f>IFERROR(W428/W444, "NA")</f>
        <v>-6.5411879341072865</v>
      </c>
      <c r="Y428" s="2"/>
      <c r="Z428" s="14">
        <f>IFERROR(Z407+Z408+Z409+Z410+Z411+Z412+Z413+Z414+Z415+Z416+Z417+Z418+Z419+Z420+Z421+Z422+Z423+Z424+Z425+Z426+Z427, "NA")</f>
        <v>39206.9</v>
      </c>
      <c r="AA428" s="15">
        <f>IFERROR(Z428/Z444, "NA")</f>
        <v>0.10340671218803144</v>
      </c>
      <c r="AB428" s="2"/>
      <c r="AC428" s="14">
        <f t="shared" si="103"/>
        <v>-64.429999999993015</v>
      </c>
      <c r="AD428" s="15">
        <f>IFERROR(AC428/AC444, "NA")</f>
        <v>-1.0459541234747465E-3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9654.1099999999988</v>
      </c>
      <c r="C429" s="15">
        <f>IFERROR(B429/B444, "NA")</f>
        <v>9.2477739116507585E-2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-9654.1099999999988</v>
      </c>
      <c r="I429" s="15">
        <f>IFERROR(H429/H444, "NA")</f>
        <v>0.42807670529245595</v>
      </c>
      <c r="J429" s="2"/>
      <c r="K429" s="14">
        <f>IFERROR(K407+K408+K409+K410+K411+K412+K413+K414+K415+K416+K417+K418+K419+K420+K421+K422+K423+K424+K425+K426+K427, "NA")</f>
        <v>10601.84</v>
      </c>
      <c r="L429" s="15">
        <f>IFERROR(K429/K444, "NA")</f>
        <v>9.9382193764268476E-2</v>
      </c>
      <c r="M429" s="2"/>
      <c r="N429" s="14">
        <f t="shared" si="101"/>
        <v>947.73000000000138</v>
      </c>
      <c r="O429" s="15">
        <f>IFERROR(N429/N444, "NA")</f>
        <v>-0.41501939936415655</v>
      </c>
      <c r="P429" s="2"/>
      <c r="Q429" s="14">
        <f>IFERROR(Q407+Q408+Q409+Q410+Q411+Q412+Q413+Q414+Q415+Q416+Q417+Q418+Q419+Q420+Q421+Q422+Q423+Q424+Q425+Q426+Q427, "NA")</f>
        <v>39271.329999999994</v>
      </c>
      <c r="R429" s="15">
        <f>IFERROR(Q429/Q444, "NA")</f>
        <v>8.9100816257900159E-2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-39271.329999999994</v>
      </c>
      <c r="X429" s="15">
        <f>IFERROR(W429/W444, "NA")</f>
        <v>-6.5411879341072865</v>
      </c>
      <c r="Y429" s="2"/>
      <c r="Z429" s="14">
        <f>IFERROR(Z407+Z408+Z409+Z410+Z411+Z412+Z413+Z414+Z415+Z416+Z417+Z418+Z419+Z420+Z421+Z422+Z423+Z424+Z425+Z426+Z427, "NA")</f>
        <v>39206.9</v>
      </c>
      <c r="AA429" s="15">
        <f>IFERROR(Z429/Z444, "NA")</f>
        <v>0.10340671218803144</v>
      </c>
      <c r="AB429" s="2"/>
      <c r="AC429" s="14">
        <f t="shared" si="103"/>
        <v>-64.429999999993015</v>
      </c>
      <c r="AD429" s="15">
        <f>IFERROR(AC429/AC444, "NA")</f>
        <v>-1.0459541234747465E-3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-17832.309999999983</v>
      </c>
      <c r="C443" s="24">
        <f>IFERROR(B443/B444, "NA")</f>
        <v>-0.17081758049418205</v>
      </c>
      <c r="D443" s="25"/>
      <c r="E443" s="23">
        <f>IFERROR(E404-E429-E442, "NA")</f>
        <v>11215.759999999995</v>
      </c>
      <c r="F443" s="24">
        <f>IFERROR(E443/E444, "NA")</f>
        <v>8.8350518964061653E-2</v>
      </c>
      <c r="G443" s="25"/>
      <c r="H443" s="23">
        <f>IFERROR(B443-E443, "NA")</f>
        <v>-29048.069999999978</v>
      </c>
      <c r="I443" s="24">
        <f>IFERROR(H443/H444, "NA")</f>
        <v>1.2880319470882995</v>
      </c>
      <c r="J443" s="25"/>
      <c r="K443" s="23">
        <f>IFERROR(K404-K429-K442, "NA")</f>
        <v>-13021.12999999995</v>
      </c>
      <c r="L443" s="24">
        <f>IFERROR(K443/K444, "NA")</f>
        <v>-0.12206074272859467</v>
      </c>
      <c r="M443" s="25"/>
      <c r="N443" s="23">
        <f>IFERROR(B443-K443, "NA")</f>
        <v>-4811.180000000033</v>
      </c>
      <c r="O443" s="24">
        <f>IFERROR(N443/N444, "NA")</f>
        <v>2.1068585291516082</v>
      </c>
      <c r="P443" s="25"/>
      <c r="Q443" s="23">
        <f>IFERROR(Q404-Q429-Q442, "NA")</f>
        <v>-65071.909999999953</v>
      </c>
      <c r="R443" s="24">
        <f>IFERROR(Q443/Q444, "NA")</f>
        <v>-0.14763850107599139</v>
      </c>
      <c r="S443" s="25"/>
      <c r="T443" s="23">
        <f>IFERROR(T404-T429-T442, "NA")</f>
        <v>434.77000000000407</v>
      </c>
      <c r="U443" s="24">
        <f>IFERROR(T443/T444, "NA")</f>
        <v>1.0000507650490805E-3</v>
      </c>
      <c r="V443" s="25"/>
      <c r="W443" s="23">
        <f>IFERROR(Q443-T443, "NA")</f>
        <v>-65506.679999999957</v>
      </c>
      <c r="X443" s="24">
        <f>IFERROR(W443/W444, "NA")</f>
        <v>-10.911051518230396</v>
      </c>
      <c r="Y443" s="25"/>
      <c r="Z443" s="23">
        <f>IFERROR(Z404-Z429-Z442, "NA")</f>
        <v>-76617.890000000043</v>
      </c>
      <c r="AA443" s="24">
        <f>IFERROR(Z443/Z444, "NA")</f>
        <v>-0.20207677984447267</v>
      </c>
      <c r="AB443" s="25"/>
      <c r="AC443" s="23">
        <f>IFERROR(Q443-Z443, "NA")</f>
        <v>11545.980000000091</v>
      </c>
      <c r="AD443" s="24">
        <f>IFERROR(AC443/AC444, "NA")</f>
        <v>0.18743699193789159</v>
      </c>
    </row>
    <row r="444" spans="1:30" ht="15.75" hidden="1" x14ac:dyDescent="0.45">
      <c r="A444" s="26" t="s">
        <v>117</v>
      </c>
      <c r="B444" s="7">
        <v>104393.88</v>
      </c>
      <c r="C444" s="27"/>
      <c r="D444" s="9"/>
      <c r="E444" s="7">
        <v>126946.17</v>
      </c>
      <c r="F444" s="27"/>
      <c r="G444" s="9"/>
      <c r="H444" s="10">
        <f>IFERROR(B444-E444, "NA")</f>
        <v>-22552.289999999994</v>
      </c>
      <c r="I444" s="27"/>
      <c r="J444" s="9"/>
      <c r="K444" s="7">
        <v>106677.46</v>
      </c>
      <c r="L444" s="27"/>
      <c r="M444" s="9"/>
      <c r="N444" s="10">
        <f>IFERROR(B444-K444, "NA")</f>
        <v>-2283.5800000000017</v>
      </c>
      <c r="O444" s="27"/>
      <c r="P444" s="9"/>
      <c r="Q444" s="7">
        <v>440751.63</v>
      </c>
      <c r="R444" s="27"/>
      <c r="S444" s="9"/>
      <c r="T444" s="7">
        <v>434747.93</v>
      </c>
      <c r="U444" s="27"/>
      <c r="V444" s="9"/>
      <c r="W444" s="10">
        <f>IFERROR(Q444-T444, "NA")</f>
        <v>6003.7000000000116</v>
      </c>
      <c r="X444" s="27"/>
      <c r="Y444" s="9"/>
      <c r="Z444" s="7">
        <v>379152.37</v>
      </c>
      <c r="AA444" s="27"/>
      <c r="AB444" s="9"/>
      <c r="AC444" s="10">
        <f>IFERROR(Q444-Z444, "NA")</f>
        <v>61599.260000000009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Consolidated</vt:lpstr>
      <vt:lpstr>1 - RASA Worldwide</vt:lpstr>
      <vt:lpstr>2 - RASA - Ballpark</vt:lpstr>
      <vt:lpstr>4 - RASA - MVT</vt:lpstr>
      <vt:lpstr>5 - RASA - National Landin</vt:lpstr>
      <vt:lpstr>6 - RASA - Mosaic</vt:lpstr>
      <vt:lpstr>7 - RASA - Rockville</vt:lpstr>
      <vt:lpstr>'1 - RASA Worldwide'!Print_Titles</vt:lpstr>
      <vt:lpstr>'2 - RASA - Ballpark'!Print_Titles</vt:lpstr>
      <vt:lpstr>'4 - RASA - MVT'!Print_Titles</vt:lpstr>
      <vt:lpstr>'5 - RASA - National Landin'!Print_Titles</vt:lpstr>
      <vt:lpstr>'6 - RASA - Mosaic'!Print_Titles</vt:lpstr>
      <vt:lpstr>'7 - RASA - Rockville'!Print_Titles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Trey Moats</cp:lastModifiedBy>
  <dcterms:created xsi:type="dcterms:W3CDTF">2026-04-07T01:53:00Z</dcterms:created>
  <dcterms:modified xsi:type="dcterms:W3CDTF">2026-04-07T01:53:42Z</dcterms:modified>
</cp:coreProperties>
</file>