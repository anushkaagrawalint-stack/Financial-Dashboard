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0">Consolidated!$1:$5</definedName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</definedNames>
  <calcPr fullCalcOnLoad="1"/>
</workbook>
</file>

<file path=xl/sharedStrings.xml><?xml version="1.0" encoding="utf-8"?>
<sst xmlns="http://schemas.openxmlformats.org/spreadsheetml/2006/main">
  <si>
    <t>P&amp;L - Per. &amp; YTD vs Budget and PY</t>
  </si>
  <si>
    <t>05/24/2026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</si>
  <si>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</si>
  <si>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</si>
  <si>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</si>
  <si>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</si>
  <si>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</si>
  <si>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</si>
  <si>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</si>
  <si>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</si>
  <si>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</si>
  <si>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</si>
  <si>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</si>
  <si>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</si>
  <si>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</si>
  <si>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</si>
  <si>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</si>
  <si>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</si>
  <si>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</si>
  <si>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</si>
  <si>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</si>
  <si>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</si>
  <si>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</si>
  <si>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</si>
  <si>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</si>
  <si>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</si>
  <si>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</si>
  <si>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</si>
  <si>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</si>
  <si>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</si>
  <si>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</si>
  <si>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</si>
  <si>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</si>
  <si>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</si>
  <si>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</si>
  <si>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</si>
  <si>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</si>
  <si>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</si>
  <si>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</si>
  <si>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</si>
  <si>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</si>
  <si>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</si>
  <si>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</si>
  <si>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</si>
  <si>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</si>
  <si>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</si>
  <si>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</si>
  <si>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</si>
  <si>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</si>
  <si>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</si>
  <si>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</si>
  <si>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</si>
  <si>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</si>
  <si>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</si>
  <si>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</si>
  <si>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</si>
  <si>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</si>
  <si>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</si>
  <si>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</si>
  <si>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</si>
  <si>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</si>
  <si>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</si>
  <si>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</si>
  <si>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</si>
  <si>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</si>
  <si>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</si>
  <si>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</si>
  <si>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</si>
  <si>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</si>
  <si>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</si>
  <si>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</si>
  <si>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</si>
  <si>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</si>
  <si>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</si>
  <si>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</si>
  <si>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</si>
  <si>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</si>
  <si>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</si>
  <si>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</si>
  <si>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</si>
  <si>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</si>
  <si>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</si>
  <si>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</si>
  <si>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</si>
  <si>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</si>
  <si>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</si>
  <si>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</si>
  <si>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</si>
  <si>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</si>
  <si>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</si>
  <si>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</si>
  <si>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</si>
  <si>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</si>
  <si>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</si>
  <si>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</si>
  <si>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</si>
  <si>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</si>
  <si>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</si>
  <si>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</si>
  <si>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</si>
  <si>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</si>
  <si>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</si>
  <si>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</si>
  <si>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</si>
  <si>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</si>
  <si>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</si>
  <si>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</si>
  <si>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</si>
  <si>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</si>
  <si>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</si>
  <si>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</si>
  <si>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</si>
  <si>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</si>
  <si>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</si>
  <si>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</si>
  <si>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</si>
  <si>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</si>
  <si>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</si>
  <si>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</si>
  <si>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</si>
  <si>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</si>
  <si>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</si>
  <si>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</si>
  <si>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</si>
  <si>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</si>
  <si>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</si>
  <si>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</si>
  <si>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</si>
  <si>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</si>
  <si>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</si>
  <si>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</si>
  <si>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</si>
  <si>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</si>
  <si>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</si>
  <si>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</si>
  <si>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</si>
  <si>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</si>
  <si>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</si>
  <si>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</si>
  <si>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</si>
  <si>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</si>
  <si>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</si>
  <si>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</si>
  <si>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</si>
  <si>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</si>
  <si>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</si>
  <si>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</si>
  <si>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</si>
  <si>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</si>
  <si>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</si>
  <si>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</si>
  <si>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</si>
  <si>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</si>
  <si>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</si>
  <si>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</si>
  <si>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</si>
  <si>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</si>
  <si>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</si>
  <si>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</si>
  <si>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</si>
  <si>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</si>
  <si>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</si>
  <si>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</si>
  <si>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</si>
  <si>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</si>
  <si>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</si>
  <si>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</si>
  <si>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</si>
  <si>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</si>
  <si>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</si>
  <si>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</si>
  <si>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</si>
  <si>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</si>
  <si>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</si>
  <si>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</si>
  <si>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</si>
  <si>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</si>
  <si>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</si>
  <si>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</si>
  <si>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</si>
  <si>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</si>
  <si>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</si>
  <si>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</si>
  <si>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</si>
  <si>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</si>
  <si>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</si>
  <si>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</si>
  <si>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</si>
  <si>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</si>
  <si>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</si>
  <si>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</si>
  <si>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</si>
  <si>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</si>
  <si>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</si>
  <si>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</si>
  <si>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</si>
  <si>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</si>
  <si>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</si>
  <si>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</si>
  <si>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</si>
  <si>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</si>
  <si>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</si>
  <si>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</si>
  <si>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</si>
  <si>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</si>
  <si>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</si>
  <si>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</si>
  <si>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</si>
  <si>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</si>
  <si>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</si>
  <si>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</si>
  <si>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</si>
  <si>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First Delivery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</si>
  <si>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</si>
  <si>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</si>
  <si>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</si>
  <si>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</si>
  <si>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</si>
  <si>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</si>
  <si>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</si>
  <si>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</si>
  <si>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</si>
  <si>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</si>
  <si>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</si>
  <si>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</si>
  <si>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</si>
  <si>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</si>
  <si>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</si>
  <si>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</si>
  <si>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</si>
  <si>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</si>
  <si>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</si>
  <si>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</si>
  <si>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</si>
  <si>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</si>
  <si>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</si>
  <si>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</si>
  <si>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</si>
  <si>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</si>
  <si>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Foodworks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</si>
  <si>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</si>
  <si>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</si>
  <si>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</si>
  <si>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</si>
  <si>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</si>
  <si>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</si>
  <si>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</si>
  <si>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</si>
  <si>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</si>
  <si>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</si>
  <si>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</si>
  <si>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</si>
  <si>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</si>
  <si>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</si>
  <si>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</si>
  <si>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</si>
  <si>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</si>
  <si>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</si>
  <si>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</si>
  <si>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</si>
  <si>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</si>
  <si>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</si>
  <si>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</si>
  <si>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</si>
  <si>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</si>
  <si>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</si>
  <si>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</si>
  <si>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</si>
  <si>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</si>
  <si>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</si>
  <si>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</si>
  <si>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</si>
  <si>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</si>
  <si>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</si>
  <si>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</si>
  <si>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</si>
  <si>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</si>
  <si>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</si>
  <si>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</si>
  <si>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</si>
  <si>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</si>
  <si>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</si>
  <si>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</si>
  <si>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</si>
  <si>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</si>
  <si>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</si>
  <si>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</si>
  <si>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</si>
  <si>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</si>
  <si>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</si>
  <si>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</si>
  <si>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</si>
  <si>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</si>
  <si>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</si>
  <si>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</si>
  <si>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</si>
  <si>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</si>
  <si>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</si>
  <si>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</si>
  <si>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</si>
  <si>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</si>
  <si>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</si>
  <si>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</si>
  <si>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</si>
  <si>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</si>
  <si>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</si>
  <si>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</si>
  <si>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</si>
  <si>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</si>
  <si>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</si>
  <si>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</si>
  <si>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</si>
  <si>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</si>
  <si>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</si>
  <si>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</si>
  <si>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</si>
  <si>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</si>
  <si>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</si>
  <si>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</si>
  <si>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</si>
  <si>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</si>
  <si>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</si>
  <si>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</si>
  <si>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</si>
  <si>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</si>
  <si>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</si>
  <si>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</si>
  <si>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</si>
  <si>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</si>
  <si>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</si>
  <si>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</si>
  <si>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</si>
  <si>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</si>
  <si>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</si>
  <si>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</si>
  <si>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</si>
  <si>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</si>
  <si>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</si>
  <si>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</si>
  <si>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</si>
  <si>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</si>
  <si>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</si>
  <si>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</si>
  <si>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</si>
  <si>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</si>
  <si>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</si>
  <si>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</si>
  <si>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</si>
  <si>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</si>
  <si>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</si>
  <si>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</si>
  <si>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</si>
  <si>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</si>
  <si>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</si>
  <si>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</si>
  <si>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</si>
  <si>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</si>
  <si>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</si>
  <si>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</si>
  <si>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</si>
  <si>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</si>
  <si>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</si>
  <si>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</si>
  <si>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</si>
  <si>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</si>
  <si>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</si>
  <si>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</si>
  <si>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</si>
  <si>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</si>
  <si>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</si>
  <si>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</si>
  <si>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</si>
  <si>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</si>
  <si>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</si>
  <si>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</si>
  <si>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</si>
  <si>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</si>
  <si>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</si>
  <si>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</si>
  <si>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</si>
  <si>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</si>
  <si>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</si>
  <si>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</si>
  <si>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</si>
  <si>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</si>
  <si>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</si>
  <si>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</si>
  <si>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</si>
  <si>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</si>
  <si>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</si>
  <si>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Store Closing Expense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</si>
  <si>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</si>
  <si>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</si>
  <si>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</si>
  <si>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</si>
  <si>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</si>
  <si>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</si>
  <si>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</si>
  <si>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</si>
  <si>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</si>
  <si>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</si>
  <si>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</si>
  <si>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</si>
  <si>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</si>
  <si>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</si>
  <si>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</si>
  <si>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</si>
  <si>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</si>
  <si>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</si>
  <si>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</si>
  <si>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</si>
  <si>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</si>
  <si>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07/23/2026 08:31 AM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</si>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</sst>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>
  <numFmts count="3">
    <numFmt numFmtId="164" formatCode="#,##0.0%"/>
    <numFmt numFmtId="165" formatCode="#,##0.0%;(#,##0.0%)"/>
    <numFmt numFmtId="166" formatCode="#,##0.0;(#,##0.0)"/>
  </numFmts>
  <fonts count="1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6" fillId="0" borderId="0" xfId="0" applyNumberFormat="1" applyFont="1" applyAlignment="1">
      <alignment horizontal="left" vertical="center" wrapText="1" indent="1"/>
    </xf>
    <xf numFmtId="0" fontId="4" fillId="0" borderId="0" xfId="0" applyNumberFormat="1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NumberFormat="1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 wrapText="1" indent="2"/>
    </xf>
    <xf numFmtId="0" fontId="4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 wrapText="1" indent="3"/>
    </xf>
    <xf numFmtId="0" fontId="4" fillId="0" borderId="0" xfId="0" applyNumberFormat="1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NumberFormat="1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2</v>
      </c>
      <c t="s" r="B3" s="3">
        <v>2</v>
      </c>
      <c t="s" r="C3" s="3">
        <v>2</v>
      </c>
      <c t="s" r="D3" s="3">
        <v>2</v>
      </c>
      <c t="s" r="E3" s="3">
        <v>2</v>
      </c>
      <c t="s" r="F3" s="3">
        <v>2</v>
      </c>
      <c t="s" r="G3" s="3">
        <v>2</v>
      </c>
      <c t="s" r="H3" s="3">
        <v>2</v>
      </c>
      <c t="s" r="I3" s="3">
        <v>2</v>
      </c>
      <c t="s" r="J3" s="3">
        <v>2</v>
      </c>
      <c t="s" r="K3" s="3">
        <v>2</v>
      </c>
      <c t="s" r="L3" s="3">
        <v>2</v>
      </c>
      <c t="s" r="M3" s="3">
        <v>2</v>
      </c>
      <c t="s" r="N3" s="3">
        <v>2</v>
      </c>
      <c t="s" r="O3" s="3">
        <v>2</v>
      </c>
      <c t="s" r="P3" s="3">
        <v>2</v>
      </c>
      <c t="s" r="Q3" s="3">
        <v>2</v>
      </c>
      <c t="s" r="R3" s="3">
        <v>2</v>
      </c>
      <c t="s" r="S3" s="3">
        <v>2</v>
      </c>
      <c t="s" r="T3" s="3">
        <v>2</v>
      </c>
      <c t="s" r="U3" s="3">
        <v>2</v>
      </c>
      <c t="s" r="V3" s="3">
        <v>2</v>
      </c>
      <c t="s" r="W3" s="3">
        <v>2</v>
      </c>
      <c t="s" r="X3" s="3">
        <v>2</v>
      </c>
      <c t="s" r="Y3" s="3">
        <v>2</v>
      </c>
      <c t="s" r="Z3" s="3">
        <v>2</v>
      </c>
      <c t="s" r="AA3" s="3">
        <v>2</v>
      </c>
      <c t="s" r="AB3" s="3">
        <v>2</v>
      </c>
      <c t="s" r="AC3" s="3">
        <v>2</v>
      </c>
      <c t="s" r="AD3" s="3">
        <v>2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275797.43000000005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1286978.21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230612.54999999999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242118.14000000001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1068718.27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1139070.0800000001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25972.049999999999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27533.150000000001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111522.05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121658.73999999999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755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1117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3576.5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6223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100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2255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691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10225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108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349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920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1363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0.67999999999999994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4.6899999999999995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3.0500000000000003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60573.580000000002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286048.73999999999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35025.800000000003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16536.610000000001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177656.89999999999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37069.369999999995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143656.42000000001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4334.6700000000001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3294.8800000000001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22001.77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26665.949999999997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566.17000000000007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3802.5400000000004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7214.2700000000004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2252.0300000000002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45428.739999999998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13782.34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4342.8099999999995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4444.5799999999999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20653.580000000002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21179.32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130910.22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623669.40000000002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51183.450000000012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36557.940000000002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287594.75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255098.06999999998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3602.8099999999995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6651.8299999999999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19695.150000000001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33518.169999999998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58668.589999999997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47460.139999999999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338456.87000000005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334968.73999999999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5706.4399999999996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23109.790000000001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5440.4499999999998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1679.9900000000002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28411.68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153299.34999999998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732621.71999999997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27655.98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32314.529999999999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117222.25000000001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149590.57999999999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t="16.5" customHeight="1">
      <c t="s" r="A47" s="23">
        <v>45</v>
      </c>
      <c r="B47" s="13">
        <v>669.65999999999997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860.07000000000005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1769.8599999999999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5411.3100000000004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79725.529999999999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95499.360000000001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418450.65000000002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432999.31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18633.079999999998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20810.609999999997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t="16.5" customHeight="1">
      <c t="s" r="A50" s="23">
        <v>48</v>
      </c>
      <c r="B50" s="13">
        <v>397.66000000000003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1340.6500000000001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12315.16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7890.5699999999997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t="16.5" customHeight="1">
      <c t="s" r="A51" s="23">
        <v>49</v>
      </c>
      <c r="B51" s="13">
        <v>1782.5599999999999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3032.1100000000001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10773.620000000001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16256.98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28300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t="16.5" customHeight="1">
      <c t="s" r="A53" s="23">
        <v>51</v>
      </c>
      <c r="B53" s="13">
        <v>6870.1499999999996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4000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6870.1499999999996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4000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15.300000000000001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77.75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164.05000000000001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196.19999999999999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6271.7600000000002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1909.3800000000001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16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155.60000000000002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3735.79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3139.4899999999998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155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290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1329.49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49827.029999999999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239189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20140.32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13756.070000000002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102901.48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30554.98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9359.3999999999996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21855.66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74203.820000000007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92657.600000000006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9882.75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12724.02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3016.0499999999997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31152.43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3016.0499999999997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20847.150000000001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4320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22113.5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t="16.5" customHeight="1">
      <c t="s" r="A71" s="18">
        <v>68</v>
      </c>
      <c r="B71" s="13">
        <v>4650.3800000000001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11918.27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7313.5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12836.1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11438.110000000001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54815.639999999999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1930.22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2812.9099999999999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9264.0100000000002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12319.110000000001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t="16.5" customHeight="1">
      <c t="s" r="A78" s="18">
        <v>74</v>
      </c>
      <c r="B78" s="13">
        <v>25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50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75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275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5.1100000000000003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5.1100000000000003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6967.6899999999987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8636.1299999999992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40546.190000000002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38549.309999999998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25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104.8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630.76999999999998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50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50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988.27999999999997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30.290000000000003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-170.06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-268.99000000000001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38.240000000000009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-2041.2400000000002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-33160.43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-155494.10999999999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-5411.2200000000003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-6016.3999999999996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-30784.649999999994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-39075.159999999996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-8092.4099999999999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-9774.3099999999995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-35069.529999999999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-48161.789999999994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-498.88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-1239.21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-4146.7600000000002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-9071.2999999999993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-394.36000000000001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-4410.9399999999996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-5343.1999999999989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-23027.339999999997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-26184.66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-40.560000000000002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-336.56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-1719.1099999999999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-3225.9200000000001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-10886.83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-17312.610000000001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-437.19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-1025.97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-1801.9100000000001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-3933.7400000000002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136547.45999999999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649978.5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31010.190000000002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31670.840000000004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144257.27000000002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160651.27000000002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15754.5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19057.440000000002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79559.830000000002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88748.570000000007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25896.850000000002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29635.140000000003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111046.41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116142.09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13292.82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14197.129999999999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65351.659999999996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66301.869999999995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7178.5900000000001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5375.6099999999997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32384.109999999997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24486.420000000002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4409.8299999999999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4621.5100000000002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23385.080000000002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23876.060000000001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3886.7600000000002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24929.230000000003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2802.29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3333.5099999999998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13926.839999999998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15138.030000000001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35182.720000000001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37168.660000000003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189096.5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166370.04999999999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71.560000000000002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6938.4000000000005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32746.359999999997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6706.8199999999997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8898.1000000000004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34343.940000000002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36050.360000000001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274.94999999999999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1804.9200000000001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1338.51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1937.98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57.289999999999992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783.43999999999994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392.40999999999997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2867.3000000000002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-101.63000000000001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-35.829999999999998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286.64999999999998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506.59000000000003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26645.450000000001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125933.23999999998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17611.23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18753.700000000001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84109.100000000006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90631.820000000007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6332.2400000000007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6326.2600000000002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36866.709999999999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32289.900000000001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271.11000000000001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2208.0599999999999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1938.8500000000001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8409.3400000000001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7953.1700000000001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7.5300000000000002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20.640000000000001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1.3999999999999999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750.47000000000003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724.32999999999993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4194.8299999999999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3906.2100000000005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735.75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193.80000000000001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2621.3000000000002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1010.5999999999999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-5141.0899999999992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-6647.9400000000005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-25661.849999999999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-53840.440000000002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31405.240000000002</v>
      </c>
      <c r="C178" s="14">
        <f>IFERROR(B178/B446, "NA")</f>
      </c>
      <c r="D178" s="15"/>
      <c r="E178" s="13">
        <v>31572.34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31370.799999999999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165838.44</v>
      </c>
      <c r="R178" s="14">
        <f>IFERROR(Q178/Q446, "NA")</f>
      </c>
      <c r="S178" s="15"/>
      <c r="T178" s="13">
        <v>165099.78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164696.69999999998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105215.67000000001</v>
      </c>
      <c r="C180" s="14">
        <f>IFERROR(B180/B446, "NA")</f>
      </c>
      <c r="D180" s="15"/>
      <c r="E180" s="13">
        <v>118507.94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111972.41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517234.68000000005</v>
      </c>
      <c r="R180" s="14">
        <f>IFERROR(Q180/Q446, "NA")</f>
      </c>
      <c r="S180" s="15"/>
      <c r="T180" s="13">
        <v>558728.0199999999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534763.32999999996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1754.5700000000002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2320.21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6460.3600000000006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6768.1100000000006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905</v>
      </c>
      <c r="C184" s="14">
        <f>IFERROR(B184/B446, "NA")</f>
      </c>
      <c r="D184" s="15"/>
      <c r="E184" s="13">
        <v>1995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2950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2567</v>
      </c>
      <c r="R184" s="14">
        <f>IFERROR(Q184/Q446, "NA")</f>
      </c>
      <c r="S184" s="15"/>
      <c r="T184" s="13">
        <v>10702.5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14750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13298.01</v>
      </c>
      <c r="C186" s="14">
        <f>IFERROR(B186/B446, "NA")</f>
      </c>
      <c r="D186" s="15"/>
      <c r="E186" s="13">
        <v>15527.049999999999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14218.700000000001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69381.929999999993</v>
      </c>
      <c r="R186" s="14">
        <f>IFERROR(Q186/Q446, "NA")</f>
      </c>
      <c r="S186" s="15"/>
      <c r="T186" s="13">
        <v>79602.309999999998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74272.809999999998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1216.4200000000001</v>
      </c>
      <c r="C194" s="14">
        <f>IFERROR(B194/B446, "NA")</f>
      </c>
      <c r="D194" s="15"/>
      <c r="E194" s="13">
        <v>1216.5899999999999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1271.9200000000001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6570.9100000000008</v>
      </c>
      <c r="R194" s="14">
        <f>IFERROR(Q194/Q446, "NA")</f>
      </c>
      <c r="S194" s="15"/>
      <c r="T194" s="13">
        <v>5876.2399999999998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6525.3600000000006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1922.6500000000001</v>
      </c>
      <c r="C195" s="14">
        <f>IFERROR(B195/B446, "NA")</f>
      </c>
      <c r="D195" s="15"/>
      <c r="E195" s="13">
        <v>1678.75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1381.05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9226.7099999999991</v>
      </c>
      <c r="R195" s="14">
        <f>IFERROR(Q195/Q446, "NA")</f>
      </c>
      <c r="S195" s="15"/>
      <c r="T195" s="13">
        <v>9200.0900000000001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6941.2800000000007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5844.0799999999999</v>
      </c>
      <c r="C202" s="14">
        <f>IFERROR(B202/B446, "NA")</f>
      </c>
      <c r="D202" s="15"/>
      <c r="E202" s="13">
        <v>5995.71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5894.6499999999996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29364.419999999998</v>
      </c>
      <c r="R202" s="14">
        <f>IFERROR(Q202/Q446, "NA")</f>
      </c>
      <c r="S202" s="15"/>
      <c r="T202" s="13">
        <v>28358.679999999997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28192.470000000001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4623.9300000000003</v>
      </c>
      <c r="C203" s="14">
        <f>IFERROR(B203/B446, "NA")</f>
      </c>
      <c r="D203" s="15"/>
      <c r="E203" s="13">
        <v>4297.4399999999996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3004.7399999999998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21077.919999999998</v>
      </c>
      <c r="R203" s="14">
        <f>IFERROR(Q203/Q446, "NA")</f>
      </c>
      <c r="S203" s="15"/>
      <c r="T203" s="13">
        <v>20324.670000000002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21148.139999999999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1395.02</v>
      </c>
      <c r="C204" s="14">
        <f>IFERROR(B204/B446, "NA")</f>
      </c>
      <c r="D204" s="15"/>
      <c r="E204" s="13">
        <v>1297.3799999999999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1426.2499999999998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4633.7700000000004</v>
      </c>
      <c r="R204" s="14">
        <f>IFERROR(Q204/Q446, "NA")</f>
      </c>
      <c r="S204" s="15"/>
      <c r="T204" s="13">
        <v>6135.6899999999996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3521.1399999999999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2103.8899999999999</v>
      </c>
      <c r="C205" s="14">
        <f>IFERROR(B205/B446, "NA")</f>
      </c>
      <c r="D205" s="15"/>
      <c r="E205" s="13">
        <v>1946.0500000000002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2053.5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10232.950000000001</v>
      </c>
      <c r="R205" s="14">
        <f>IFERROR(Q205/Q446, "NA")</f>
      </c>
      <c r="S205" s="15"/>
      <c r="T205" s="13">
        <v>9203.4700000000012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10408.58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145.59999999999999</v>
      </c>
      <c r="C206" s="14">
        <f>IFERROR(B206/B446, "NA")</f>
      </c>
      <c r="D206" s="15"/>
      <c r="E206" s="13">
        <v>648.67999999999995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1247.73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1766.8599999999997</v>
      </c>
      <c r="R206" s="14">
        <f>IFERROR(Q206/Q446, "NA")</f>
      </c>
      <c r="S206" s="15"/>
      <c r="T206" s="13">
        <v>3067.8199999999997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1731.9599999999998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491.86000000000001</v>
      </c>
      <c r="C207" s="14">
        <f>IFERROR(B207/B446, "NA")</f>
      </c>
      <c r="D207" s="15"/>
      <c r="E207" s="13">
        <v>500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2443.46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1442.4300000000001</v>
      </c>
      <c r="R207" s="14">
        <f>IFERROR(Q207/Q446, "NA")</f>
      </c>
      <c r="S207" s="15"/>
      <c r="T207" s="13">
        <v>2500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2941.4499999999998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432.96000000000004</v>
      </c>
      <c r="C208" s="14">
        <f>IFERROR(B208/B446, "NA")</f>
      </c>
      <c r="D208" s="15"/>
      <c r="E208" s="13">
        <v>500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475.89999999999998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2078.1900000000001</v>
      </c>
      <c r="R208" s="14">
        <f>IFERROR(Q208/Q446, "NA")</f>
      </c>
      <c r="S208" s="15"/>
      <c r="T208" s="13">
        <v>2500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3959.79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21681.830000000002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103354.13999999998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5719.6299999999992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3457.5699999999997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36549.43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63765.199999999997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2626.6500000000001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13282.949999999999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360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321.26999999999998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1378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462.22000000000008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7445.7299999999996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9153.4300000000003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63385.520000000004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69642.429999999993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1065.8499999999999</v>
      </c>
      <c r="C222" s="14">
        <f>IFERROR(B222/B446, "NA")</f>
      </c>
      <c r="D222" s="15"/>
      <c r="E222" s="13">
        <v>500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335.98000000000002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5998.54</v>
      </c>
      <c r="R222" s="14">
        <f>IFERROR(Q222/Q446, "NA")</f>
      </c>
      <c r="S222" s="15"/>
      <c r="T222" s="13">
        <v>2500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4829.79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9889.1000000000022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47273.720000000001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83.950000000000003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1029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574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5586.3000000000002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t="16.5" customHeight="1">
      <c t="s" r="A233" s="12">
        <v>212</v>
      </c>
      <c r="B233" s="13">
        <v>57.899999999999999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382.66000000000003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8524.5100000000002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8819.6499999999996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44786.400000000001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42621.279999999999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255.72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818.94000000000005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42776.409999999996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204257.60999999999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t="16.5" customHeight="1">
      <c t="s" r="A241" s="18">
        <v>218</v>
      </c>
      <c r="B241" s="13">
        <v>114.62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55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304.41000000000003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776.13999999999999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7718.3999999999996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5529.0900000000001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42263.409999999996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32870.309999999998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13726.91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15411.66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73853.300000000003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73357.490000000005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4270.4099999999999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2803.4700000000003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21935.630000000001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6329.3400000000001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753.27999999999997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1943.1599999999999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4012.2199999999998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9686.6200000000008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1237.55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1272.3800000000001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5901.3199999999997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6063.3600000000006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12089.579999999998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7076.1900000000005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62579.959999999999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47589.519999999997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25.210000000000001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28.469999999999999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393.67000000000002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294.09999999999997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933.95000000000005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781.97000000000003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2238.7199999999998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4089.8900000000003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15202.610000000001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15788.470000000001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2261.25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2590.0700000000002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2724.3599999999997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670.16999999999996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6648.9899999999998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670.16999999999996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864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4422.6999999999998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t="16.5" customHeight="1">
      <c t="s" r="A261" s="18">
        <v>238</v>
      </c>
      <c r="B261" s="13">
        <v>1008.64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1442.3499999999999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t="16.5" customHeight="1">
      <c t="s" r="A262" s="18">
        <v>239</v>
      </c>
      <c r="B262" s="13">
        <v>445.68000000000001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445.68000000000001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16187.440000000001</v>
      </c>
      <c r="C266" s="14">
        <f>IFERROR(B266/B446, "NA")</f>
      </c>
      <c r="D266" s="15"/>
      <c r="E266" s="13">
        <v>16937.860000000001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15757.700000000001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78929.440000000002</v>
      </c>
      <c r="R266" s="14">
        <f>IFERROR(Q266/Q446, "NA")</f>
      </c>
      <c r="S266" s="15"/>
      <c r="T266" s="13">
        <v>79701.25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73259.240000000005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147.12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14.839999999999996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517.38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1240.98</v>
      </c>
      <c r="C271" s="14">
        <f>IFERROR(B271/B446, "NA")</f>
      </c>
      <c r="D271" s="15"/>
      <c r="E271" s="13">
        <v>1139.0599999999999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1169.0799999999999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5888.0900000000001</v>
      </c>
      <c r="R271" s="14">
        <f>IFERROR(Q271/Q446, "NA")</f>
      </c>
      <c r="S271" s="15"/>
      <c r="T271" s="13">
        <v>5695.2999999999993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5929.8900000000003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4973.7000000000007</v>
      </c>
      <c r="C272" s="14">
        <f>IFERROR(B272/B446, "NA")</f>
      </c>
      <c r="D272" s="15"/>
      <c r="E272" s="13">
        <v>5130.2199999999993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4964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25013.859999999997</v>
      </c>
      <c r="R272" s="14">
        <f>IFERROR(Q272/Q446, "NA")</f>
      </c>
      <c r="S272" s="15"/>
      <c r="T272" s="13">
        <v>25651.099999999999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24052.799999999999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t="16.5" customHeight="1">
      <c t="s" r="A273" s="12">
        <v>248</v>
      </c>
      <c r="B273" s="13">
        <v>199.27000000000001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996.35000000000002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t="16.5" customHeight="1">
      <c t="s" r="A288" s="12">
        <v>261</v>
      </c>
      <c r="B288" s="13">
        <v>1067.5899999999999</v>
      </c>
      <c r="C288" s="14">
        <f>IFERROR(B288/B446, "NA")</f>
      </c>
      <c r="D288" s="15"/>
      <c r="E288" s="13">
        <v>971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970.52999999999997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5337.9499999999998</v>
      </c>
      <c r="R288" s="14">
        <f>IFERROR(Q288/Q446, "NA")</f>
      </c>
      <c r="S288" s="15"/>
      <c r="T288" s="13">
        <v>4855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4852.6499999999996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839.22000000000003</v>
      </c>
      <c r="C289" s="14">
        <f>IFERROR(B289/B446, "NA")</f>
      </c>
      <c r="D289" s="15"/>
      <c r="E289" s="13">
        <v>843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952.13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4196.1199999999999</v>
      </c>
      <c r="R289" s="14">
        <f>IFERROR(Q289/Q446, "NA")</f>
      </c>
      <c r="S289" s="15"/>
      <c r="T289" s="13">
        <v>4215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4754.0699999999997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1482.3199999999999</v>
      </c>
      <c r="C290" s="14">
        <f>IFERROR(B290/B446, "NA")</f>
      </c>
      <c r="D290" s="15"/>
      <c r="E290" s="13">
        <v>1149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1098.8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6391.4899999999998</v>
      </c>
      <c r="R290" s="14">
        <f>IFERROR(Q290/Q446, "NA")</f>
      </c>
      <c r="S290" s="15"/>
      <c r="T290" s="13">
        <v>5745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5317.1900000000005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4696.1500000000005</v>
      </c>
      <c r="C291" s="14">
        <f>IFERROR(B291/B446, "NA")</f>
      </c>
      <c r="D291" s="15"/>
      <c r="E291" s="13">
        <v>3423.9499999999998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3776.0900000000006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16460.690000000002</v>
      </c>
      <c r="R291" s="14">
        <f>IFERROR(Q291/Q446, "NA")</f>
      </c>
      <c r="S291" s="15"/>
      <c r="T291" s="13">
        <v>15576.650000000001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15962.369999999999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6906.0299999999997</v>
      </c>
      <c r="C292" s="14">
        <f>IFERROR(B292/B446, "NA")</f>
      </c>
      <c r="D292" s="15"/>
      <c r="E292" s="13">
        <v>3355.6799999999998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3150.98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31839.009999999998</v>
      </c>
      <c r="R292" s="14">
        <f>IFERROR(Q292/Q446, "NA")</f>
      </c>
      <c r="S292" s="15"/>
      <c r="T292" s="13">
        <v>16105.230000000001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20304.119999999999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259.94999999999999</v>
      </c>
      <c r="C293" s="14">
        <f>IFERROR(B293/B446, "NA")</f>
      </c>
      <c r="D293" s="15"/>
      <c r="E293" s="13">
        <v>930.00999999999999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500.86000000000001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1586.97</v>
      </c>
      <c r="R293" s="14">
        <f>IFERROR(Q293/Q446, "NA")</f>
      </c>
      <c r="S293" s="15"/>
      <c r="T293" s="13">
        <v>4428.8599999999997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3925.0000000000005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662.88</v>
      </c>
      <c r="C294" s="14">
        <f>IFERROR(B294/B446, "NA")</f>
      </c>
      <c r="D294" s="15"/>
      <c r="E294" s="13">
        <v>886.34999999999991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667.96000000000004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1724.5700000000002</v>
      </c>
      <c r="R294" s="14">
        <f>IFERROR(Q294/Q446, "NA")</f>
      </c>
      <c r="S294" s="15"/>
      <c r="T294" s="13">
        <v>4247.2699999999995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1488.1000000000001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667.99000000000001</v>
      </c>
      <c r="C295" s="14">
        <f>IFERROR(B295/B446, "NA")</f>
      </c>
      <c r="D295" s="15"/>
      <c r="E295" s="13">
        <v>1784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1786.5599999999999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5421.3500000000004</v>
      </c>
      <c r="R295" s="14">
        <f>IFERROR(Q295/Q446, "NA")</f>
      </c>
      <c r="S295" s="15"/>
      <c r="T295" s="13">
        <v>8920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9426.1900000000005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4076.0100000000002</v>
      </c>
      <c r="C300" s="14">
        <f>IFERROR(B300/B446, "NA")</f>
      </c>
      <c r="D300" s="15"/>
      <c r="E300" s="13">
        <v>2209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3437.0299999999997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12832.929999999998</v>
      </c>
      <c r="R300" s="14">
        <f>IFERROR(Q300/Q446, "NA")</f>
      </c>
      <c r="S300" s="15"/>
      <c r="T300" s="13">
        <v>11045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12030.639999999999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80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956.68000000000006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465.25999999999999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320.17999999999995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831.53999999999996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-51.409999999999997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124.51000000000001</v>
      </c>
      <c r="C311" s="14">
        <f>IFERROR(B311/B446, "NA")</f>
      </c>
      <c r="D311" s="15"/>
      <c r="E311" s="13">
        <v>275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530.88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1368.7</v>
      </c>
      <c r="R311" s="14">
        <f>IFERROR(Q311/Q446, "NA")</f>
      </c>
      <c r="S311" s="15"/>
      <c r="T311" s="13">
        <v>1375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1146.3600000000001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167.47999999999999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2936.6599999999999</v>
      </c>
      <c r="C313" s="14">
        <f>IFERROR(B313/B446, "NA")</f>
      </c>
      <c r="D313" s="15"/>
      <c r="E313" s="13">
        <v>175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1434.9400000000001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10780.710000000001</v>
      </c>
      <c r="R313" s="14">
        <f>IFERROR(Q313/Q446, "NA")</f>
      </c>
      <c r="S313" s="15"/>
      <c r="T313" s="13">
        <v>875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4213.75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514.56999999999994</v>
      </c>
      <c r="C314" s="14">
        <f>IFERROR(B314/B446, "NA")</f>
      </c>
      <c r="D314" s="15"/>
      <c r="E314" s="13">
        <v>310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392.97000000000003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2136.0700000000002</v>
      </c>
      <c r="R314" s="14">
        <f>IFERROR(Q314/Q446, "NA")</f>
      </c>
      <c r="S314" s="15"/>
      <c r="T314" s="13">
        <v>1555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1501.77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1690.3800000000001</v>
      </c>
      <c r="C316" s="14">
        <f>IFERROR(B316/B446, "NA")</f>
      </c>
      <c r="D316" s="15"/>
      <c r="E316" s="13">
        <v>1879.1400000000001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1782.9700000000003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8451.8600000000006</v>
      </c>
      <c r="R316" s="14">
        <f>IFERROR(Q316/Q446, "NA")</f>
      </c>
      <c r="S316" s="15"/>
      <c r="T316" s="13">
        <v>8447.5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7314.8299999999999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-8.0500000000000007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1459.77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1319.75</v>
      </c>
      <c r="C319" s="14">
        <f>IFERROR(B319/B446, "NA")</f>
      </c>
      <c r="D319" s="15"/>
      <c r="E319" s="13">
        <v>1321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1319.75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6598.75</v>
      </c>
      <c r="R319" s="14">
        <f>IFERROR(Q319/Q446, "NA")</f>
      </c>
      <c r="S319" s="15"/>
      <c r="T319" s="13">
        <v>6605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6598.75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1347.6199999999999</v>
      </c>
      <c r="C320" s="14">
        <f>IFERROR(B320/B446, "NA")</f>
      </c>
      <c r="D320" s="15"/>
      <c r="E320" s="13">
        <v>1241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1327.52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6578.7299999999996</v>
      </c>
      <c r="R320" s="14">
        <f>IFERROR(Q320/Q446, "NA")</f>
      </c>
      <c r="S320" s="15"/>
      <c r="T320" s="13">
        <v>6205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5975.3699999999999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5539.79</v>
      </c>
      <c r="C321" s="14">
        <f>IFERROR(B321/B446, "NA")</f>
      </c>
      <c r="D321" s="15"/>
      <c r="E321" s="13">
        <v>5783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5568.3100000000004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28902.059999999998</v>
      </c>
      <c r="R321" s="14">
        <f>IFERROR(Q321/Q446, "NA")</f>
      </c>
      <c r="S321" s="15"/>
      <c r="T321" s="13">
        <v>28915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27617.340000000004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5141.0899999999992</v>
      </c>
      <c r="C322" s="14">
        <f>IFERROR(B322/B446, "NA")</f>
      </c>
      <c r="D322" s="15"/>
      <c r="E322" s="13">
        <v>8483.1899999999987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6647.9400000000005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25661.849999999999</v>
      </c>
      <c r="R322" s="14">
        <f>IFERROR(Q322/Q446, "NA")</f>
      </c>
      <c r="S322" s="15"/>
      <c r="T322" s="13">
        <v>39332.25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53840.440000000002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1380.45</v>
      </c>
      <c r="C323" s="14">
        <f>IFERROR(B323/B446, "NA")</f>
      </c>
      <c r="D323" s="15"/>
      <c r="E323" s="13">
        <v>1413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1467.3400000000001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8576.3500000000004</v>
      </c>
      <c r="R323" s="14">
        <f>IFERROR(Q323/Q446, "NA")</f>
      </c>
      <c r="S323" s="15"/>
      <c r="T323" s="13">
        <v>7065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7754.4399999999996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10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13.01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60203.629999999997</v>
      </c>
      <c r="C330" s="14">
        <f>IFERROR(B330/B446, "NA")</f>
      </c>
      <c r="D330" s="15"/>
      <c r="E330" s="13">
        <v>60203.629999999997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58545.110000000001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301018.14999999997</v>
      </c>
      <c r="R330" s="14">
        <f>IFERROR(Q330/Q446, "NA")</f>
      </c>
      <c r="S330" s="15"/>
      <c r="T330" s="13">
        <v>301018.14999999997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275578.96000000002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6690.29</v>
      </c>
      <c r="C331" s="14">
        <f>IFERROR(B331/B446, "NA")</f>
      </c>
      <c r="D331" s="15"/>
      <c r="E331" s="13">
        <v>6433.1300000000001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6547.3200000000006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34851.860000000001</v>
      </c>
      <c r="R331" s="14">
        <f>IFERROR(Q331/Q446, "NA")</f>
      </c>
      <c r="S331" s="15"/>
      <c r="T331" s="13">
        <v>32165.649999999998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30491.169999999998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-99.549999999999997</v>
      </c>
      <c r="C333" s="14">
        <f>IFERROR(B333/B446, "NA")</f>
      </c>
      <c r="D333" s="15"/>
      <c r="E333" s="13">
        <v>313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195.16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2030.71</v>
      </c>
      <c r="R333" s="14">
        <f>IFERROR(Q333/Q446, "NA")</f>
      </c>
      <c r="S333" s="15"/>
      <c r="T333" s="13">
        <v>1565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975.79999999999995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6639.8299999999999</v>
      </c>
      <c r="C334" s="14">
        <f>IFERROR(B334/B446, "NA")</f>
      </c>
      <c r="D334" s="15"/>
      <c r="E334" s="13">
        <v>5619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5618.8900000000003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28274.080000000002</v>
      </c>
      <c r="R334" s="14">
        <f>IFERROR(Q334/Q446, "NA")</f>
      </c>
      <c r="S334" s="15"/>
      <c r="T334" s="13">
        <v>28095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28529.450000000001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-4635.6899999999996</v>
      </c>
      <c r="C335" s="14">
        <f>IFERROR(B335/B446, "NA")</f>
      </c>
      <c r="D335" s="15"/>
      <c r="E335" s="13">
        <v>-4635.6899999999996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-4507.9700000000003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-9271.3799999999992</v>
      </c>
      <c r="R335" s="14">
        <f>IFERROR(Q335/Q446, "NA")</f>
      </c>
      <c r="S335" s="15"/>
      <c r="T335" s="13">
        <v>-9271.3799999999992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-9015.9400000000005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t="16.5" customHeight="1">
      <c t="s" r="A336" s="12">
        <v>307</v>
      </c>
      <c r="B336" s="13">
        <v>1747.6700000000001</v>
      </c>
      <c r="C336" s="14">
        <f>IFERROR(B336/B446, "NA")</f>
      </c>
      <c r="D336" s="15"/>
      <c r="E336" s="13">
        <v>288.88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5257.6800000000003</v>
      </c>
      <c r="R336" s="14">
        <f>IFERROR(Q336/Q446, "NA")</f>
      </c>
      <c r="S336" s="15"/>
      <c r="T336" s="13">
        <v>1439.8399999999999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3309.6199999999999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8907.3199999999997</v>
      </c>
      <c r="C339" s="14">
        <f>IFERROR(B339/B446, "NA")</f>
      </c>
      <c r="D339" s="15"/>
      <c r="E339" s="13">
        <v>10898.689999999999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9442.5100000000002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46219.130000000005</v>
      </c>
      <c r="R339" s="14">
        <f>IFERROR(Q339/Q446, "NA")</f>
      </c>
      <c r="S339" s="15"/>
      <c r="T339" s="13">
        <v>52595.849999999999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48175.799999999996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2400.73</v>
      </c>
      <c r="C340" s="14">
        <f>IFERROR(B340/B446, "NA")</f>
      </c>
      <c r="D340" s="15"/>
      <c r="E340" s="13">
        <v>2537.9200000000001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2176.71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14160.610000000001</v>
      </c>
      <c r="R340" s="14">
        <f>IFERROR(Q340/Q446, "NA")</f>
      </c>
      <c r="S340" s="15"/>
      <c r="T340" s="13">
        <v>12021.119999999999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13203.220000000001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3888.9700000000003</v>
      </c>
      <c r="C341" s="14">
        <f>IFERROR(B341/B446, "NA")</f>
      </c>
      <c r="D341" s="15"/>
      <c r="E341" s="13">
        <v>2828.3599999999997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2711.0500000000002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13577.040000000001</v>
      </c>
      <c r="R341" s="14">
        <f>IFERROR(Q341/Q446, "NA")</f>
      </c>
      <c r="S341" s="15"/>
      <c r="T341" s="13">
        <v>13461.91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13394.59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1951.3600000000001</v>
      </c>
      <c r="C342" s="14">
        <f>IFERROR(B342/B446, "NA")</f>
      </c>
      <c r="D342" s="15"/>
      <c r="E342" s="13">
        <v>2084.5799999999999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1884.1900000000001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9623.2600000000002</v>
      </c>
      <c r="R342" s="14">
        <f>IFERROR(Q342/Q446, "NA")</f>
      </c>
      <c r="S342" s="15"/>
      <c r="T342" s="13">
        <v>9644.5699999999997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9380.4899999999998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t="16.5" customHeight="1">
      <c t="s" r="A351" s="12">
        <v>320</v>
      </c>
      <c r="B351" s="13">
        <v>35384.599999999999</v>
      </c>
      <c r="C351" s="14">
        <f>IFERROR(B351/B446, "NA")</f>
      </c>
      <c r="D351" s="15"/>
      <c r="E351" s="13">
        <v>43307.690000000002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41182.639999999999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185802.82000000001</v>
      </c>
      <c r="R351" s="14">
        <f>IFERROR(Q351/Q446, "NA")</f>
      </c>
      <c r="S351" s="15"/>
      <c r="T351" s="13">
        <v>212942.29999999999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262612.25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6774.8000000000002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t="16.5" customHeight="1">
      <c t="s" r="A355" s="12">
        <v>324</v>
      </c>
      <c r="B355" s="13">
        <v>2833.6500000000001</v>
      </c>
      <c r="C355" s="14">
        <f>IFERROR(B355/B446, "NA")</f>
      </c>
      <c r="D355" s="15"/>
      <c r="E355" s="13">
        <v>3594.54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3454.4499999999998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15216.879999999999</v>
      </c>
      <c r="R355" s="14">
        <f>IFERROR(Q355/Q446, "NA")</f>
      </c>
      <c r="S355" s="15"/>
      <c r="T355" s="13">
        <v>17674.209999999999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23661.43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t="16.5" customHeight="1">
      <c t="s" r="A356" s="12">
        <v>325</v>
      </c>
      <c r="B356" s="13">
        <v>127.83</v>
      </c>
      <c r="C356" s="14">
        <f>IFERROR(B356/B446, "NA")</f>
      </c>
      <c r="D356" s="15"/>
      <c r="E356" s="13">
        <v>212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212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633.87</v>
      </c>
      <c r="R356" s="14">
        <f>IFERROR(Q356/Q446, "NA")</f>
      </c>
      <c r="S356" s="15"/>
      <c r="T356" s="13">
        <v>1081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1219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t="16.5" customHeight="1">
      <c t="s" r="A357" s="12">
        <v>326</v>
      </c>
      <c r="B357" s="13">
        <v>5413</v>
      </c>
      <c r="C357" s="14">
        <f>IFERROR(B357/B446, "NA")</f>
      </c>
      <c r="D357" s="15"/>
      <c r="E357" s="13">
        <v>5413.46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6687.5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26617</v>
      </c>
      <c r="R357" s="14">
        <f>IFERROR(Q357/Q446, "NA")</f>
      </c>
      <c r="S357" s="15"/>
      <c r="T357" s="13">
        <v>26617.790000000001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34050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t="16.5" customHeight="1">
      <c t="s" r="A358" s="12">
        <v>327</v>
      </c>
      <c r="B358" s="13">
        <v>2988.52</v>
      </c>
      <c r="C358" s="14">
        <f>IFERROR(B358/B446, "NA")</f>
      </c>
      <c r="D358" s="15"/>
      <c r="E358" s="13">
        <v>3680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3674.4299999999998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15895.040000000001</v>
      </c>
      <c r="R358" s="14">
        <f>IFERROR(Q358/Q446, "NA")</f>
      </c>
      <c r="S358" s="15"/>
      <c r="T358" s="13">
        <v>18400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17505.029999999999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t="16.5" customHeight="1">
      <c t="s" r="A363" s="12">
        <v>331</v>
      </c>
      <c r="B363" s="13">
        <v>225.99000000000001</v>
      </c>
      <c r="C363" s="14">
        <f>IFERROR(B363/B446, "NA")</f>
      </c>
      <c r="D363" s="15"/>
      <c r="E363" s="13">
        <v>864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679.64999999999998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1595.3499999999999</v>
      </c>
      <c r="R363" s="14">
        <f>IFERROR(Q363/Q446, "NA")</f>
      </c>
      <c r="S363" s="15"/>
      <c r="T363" s="13">
        <v>4536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4176.6000000000004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t="16.5" customHeight="1">
      <c t="s" r="A364" s="12">
        <v>332</v>
      </c>
      <c r="B364" s="13">
        <v>1313.47</v>
      </c>
      <c r="C364" s="14">
        <f>IFERROR(B364/B446, "NA")</f>
      </c>
      <c r="D364" s="15"/>
      <c r="E364" s="13">
        <v>150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1574.0599999999999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4851.4799999999996</v>
      </c>
      <c r="R364" s="14">
        <f>IFERROR(Q364/Q446, "NA")</f>
      </c>
      <c r="S364" s="15"/>
      <c r="T364" s="13">
        <v>825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5001.7600000000002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t="16.5" customHeight="1">
      <c t="s" r="A365" s="12">
        <v>333</v>
      </c>
      <c r="B365" s="13">
        <v>199.72999999999999</v>
      </c>
      <c r="C365" s="14">
        <f>IFERROR(B365/B446, "NA")</f>
      </c>
      <c r="D365" s="15"/>
      <c r="E365" s="13">
        <v>500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1034.8499999999999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792.41999999999996</v>
      </c>
      <c r="R365" s="14">
        <f>IFERROR(Q365/Q446, "NA")</f>
      </c>
      <c r="S365" s="15"/>
      <c r="T365" s="13">
        <v>2900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3959.5999999999999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t="16.5" customHeight="1">
      <c t="s" r="A366" s="12">
        <v>334</v>
      </c>
      <c r="B366" s="13">
        <v>-292</v>
      </c>
      <c r="C366" s="14">
        <f>IFERROR(B366/B446, "NA")</f>
      </c>
      <c r="D366" s="15"/>
      <c r="E366" s="13">
        <v>1125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1823.3199999999999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4375.46</v>
      </c>
      <c r="R366" s="14">
        <f>IFERROR(Q366/Q446, "NA")</f>
      </c>
      <c r="S366" s="15"/>
      <c r="T366" s="13">
        <v>4050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4358.3800000000001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225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1375.5999999999999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2548.4099999999999</v>
      </c>
      <c r="R367" s="14">
        <f>IFERROR(Q367/Q446, "NA")</f>
      </c>
      <c r="S367" s="15"/>
      <c r="T367" s="13">
        <v>1800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2793.5100000000002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t="16.5" customHeight="1">
      <c t="s" r="A368" s="12">
        <v>336</v>
      </c>
      <c r="B368" s="13">
        <v>1212.74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8148.1499999999996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5481.7399999999998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t="16.5" customHeight="1">
      <c t="s" r="A371" s="26">
        <v>339</v>
      </c>
      <c r="B371" s="13">
        <v>110.70999999999999</v>
      </c>
      <c r="C371" s="14">
        <f>IFERROR(B371/B446, "NA")</f>
      </c>
      <c r="D371" s="15"/>
      <c r="E371" s="13">
        <v>100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98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569.65999999999997</v>
      </c>
      <c r="R371" s="14">
        <f>IFERROR(Q371/Q446, "NA")</f>
      </c>
      <c r="S371" s="15"/>
      <c r="T371" s="13">
        <v>1400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1389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t="16.5" customHeight="1">
      <c t="s" r="A372" s="26">
        <v>340</v>
      </c>
      <c r="B372" s="13">
        <v>348.13</v>
      </c>
      <c r="C372" s="14">
        <f>IFERROR(B372/B446, "NA")</f>
      </c>
      <c r="D372" s="15"/>
      <c r="E372" s="13">
        <v>125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1529.3599999999999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1968.74</v>
      </c>
      <c r="R372" s="14">
        <f>IFERROR(Q372/Q446, "NA")</f>
      </c>
      <c r="S372" s="15"/>
      <c r="T372" s="13">
        <v>625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2404.8299999999999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t="16.5" customHeight="1">
      <c t="s" r="A373" s="26">
        <v>341</v>
      </c>
      <c r="B373" s="13">
        <v>781.79999999999995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277.17000000000002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2853.5599999999999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2108.6799999999998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t="16.5" customHeight="1">
      <c t="s" r="A374" s="26">
        <v>342</v>
      </c>
      <c r="B374" s="13">
        <v>677.77999999999997</v>
      </c>
      <c r="C374" s="14">
        <f>IFERROR(B374/B446, "NA")</f>
      </c>
      <c r="D374" s="15"/>
      <c r="E374" s="13">
        <v>629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368.32999999999998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3635.6500000000001</v>
      </c>
      <c r="R374" s="14">
        <f>IFERROR(Q374/Q446, "NA")</f>
      </c>
      <c r="S374" s="15"/>
      <c r="T374" s="13">
        <v>3145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2150.6399999999999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t="16.5" customHeight="1">
      <c t="s" r="A375" s="26">
        <v>343</v>
      </c>
      <c r="B375" s="13">
        <v>2117.8099999999999</v>
      </c>
      <c r="C375" s="14">
        <f>IFERROR(B375/B446, "NA")</f>
      </c>
      <c r="D375" s="15"/>
      <c r="E375" s="13">
        <v>2150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1925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10577.92</v>
      </c>
      <c r="R375" s="14">
        <f>IFERROR(Q375/Q446, "NA")</f>
      </c>
      <c r="S375" s="15"/>
      <c r="T375" s="13">
        <v>10750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9584.0100000000002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t="16.5" customHeight="1">
      <c t="s" r="A376" s="26">
        <v>344</v>
      </c>
      <c r="B376" s="13">
        <v>658.21000000000004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843.21000000000004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205.25999999999999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t="16.5" customHeight="1">
      <c t="s" r="A377" s="26">
        <v>345</v>
      </c>
      <c r="B377" s="13">
        <v>41.719999999999999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180.5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-2413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t="16.5" customHeight="1">
      <c t="s" r="A379" s="26">
        <v>347</v>
      </c>
      <c r="B379" s="13">
        <v>5987.8599999999997</v>
      </c>
      <c r="C379" s="14">
        <f>IFERROR(B379/B446, "NA")</f>
      </c>
      <c r="D379" s="15"/>
      <c r="E379" s="13">
        <v>7184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9061.8999999999996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32404.259999999998</v>
      </c>
      <c r="R379" s="14">
        <f>IFERROR(Q379/Q446, "NA")</f>
      </c>
      <c r="S379" s="15"/>
      <c r="T379" s="13">
        <v>39120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43630.019999999997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t="16.5" customHeight="1">
      <c t="s" r="A380" s="26">
        <v>348</v>
      </c>
      <c r="B380" s="13">
        <v>1113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1217.1900000000001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3033.5599999999999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5028.8299999999999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t="16.5" customHeight="1">
      <c t="s" r="A381" s="26">
        <v>349</v>
      </c>
      <c r="B381" s="13">
        <v>11800</v>
      </c>
      <c r="C381" s="14">
        <f>IFERROR(B381/B446, "NA")</f>
      </c>
      <c r="D381" s="15"/>
      <c r="E381" s="13">
        <v>11800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11500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59055.669999999998</v>
      </c>
      <c r="R381" s="14">
        <f>IFERROR(Q381/Q446, "NA")</f>
      </c>
      <c r="S381" s="15"/>
      <c r="T381" s="13">
        <v>59000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57500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3000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4000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3672.5</v>
      </c>
      <c r="R382" s="14">
        <f>IFERROR(Q382/Q446, "NA")</f>
      </c>
      <c r="S382" s="15"/>
      <c r="T382" s="13">
        <v>14000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30491.509999999998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506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648.72000000000003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2741.6399999999999</v>
      </c>
      <c r="R383" s="14">
        <f>IFERROR(Q383/Q446, "NA")</f>
      </c>
      <c r="S383" s="15"/>
      <c r="T383" s="13">
        <v>2530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2791.7600000000002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t="s" r="A386" s="12">
        <v>353</v>
      </c>
      <c r="B386" s="13">
        <v>419.69</v>
      </c>
      <c r="C386" s="14">
        <f>IFERROR(B386/B446, "NA")</f>
      </c>
      <c r="D386" s="15"/>
      <c r="E386" s="13">
        <v>750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3768.79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11767.120000000001</v>
      </c>
      <c r="R386" s="14">
        <f>IFERROR(Q386/Q446, "NA")</f>
      </c>
      <c r="S386" s="15"/>
      <c r="T386" s="13">
        <v>4500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17586.549999999999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51.469999999999999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13622.389999999999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64424.400000000001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t="16.5" customHeight="1">
      <c t="s" r="A390" s="18">
        <v>356</v>
      </c>
      <c r="B390" s="13">
        <v>6446.9799999999996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4539.0699999999997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33075.360000000001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21081.369999999999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t="16.5" customHeight="1">
      <c t="s" r="A391" s="18">
        <v>357</v>
      </c>
      <c r="B391" s="13">
        <v>3014.1900000000001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9868.8400000000001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26472.189999999999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54838.059999999998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t="16.5" customHeight="1">
      <c t="s" r="A393" s="18">
        <v>359</v>
      </c>
      <c r="B393" s="13">
        <v>2705.8000000000002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4240.2399999999998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17928.029999999999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24215.119999999999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t="16.5" customHeight="1">
      <c t="s" r="A395" s="12">
        <v>361</v>
      </c>
      <c r="B395" s="13">
        <v>5465.5100000000002</v>
      </c>
      <c r="C395" s="14">
        <f>IFERROR(B395/B446, "NA")</f>
      </c>
      <c r="D395" s="15"/>
      <c r="E395" s="13">
        <v>5189.4799999999996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5465.5100000000002</v>
      </c>
      <c r="R395" s="14">
        <f>IFERROR(Q395/Q446, "NA")</f>
      </c>
      <c r="S395" s="15"/>
      <c r="T395" s="13">
        <v>20952.959999999999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6612.0600000000004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t="16.5" customHeight="1">
      <c t="s" r="A396" s="12">
        <v>362</v>
      </c>
      <c r="B396" s="13">
        <v>276.98000000000002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770.52999999999997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t="16.5" customHeight="1">
      <c t="s" r="A398" s="26">
        <v>364</v>
      </c>
      <c r="B398" s="13">
        <v>21896.869999999999</v>
      </c>
      <c r="C398" s="14">
        <f>IFERROR(B398/B446, "NA")</f>
      </c>
      <c r="D398" s="15"/>
      <c r="E398" s="13">
        <v>9200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6516.9899999999998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71508.869999999995</v>
      </c>
      <c r="R398" s="14">
        <f>IFERROR(Q398/Q446, "NA")</f>
      </c>
      <c r="S398" s="15"/>
      <c r="T398" s="13">
        <v>44000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22317.259999999998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t="16.5" customHeight="1">
      <c t="s" r="A399" s="26">
        <v>365</v>
      </c>
      <c r="B399" s="13">
        <v>241.59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120.93000000000001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1247.8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703.84000000000003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t="16.5" customHeight="1">
      <c t="s" r="A400" s="26">
        <v>366</v>
      </c>
      <c r="B400" s="13">
        <v>150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2826.8400000000001</v>
      </c>
      <c r="R400" s="14">
        <f>IFERROR(Q400/Q446, "NA")</f>
      </c>
      <c r="S400" s="15"/>
      <c r="T400" s="13">
        <v>600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500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17073.129999999997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81124.779999999999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t="16.5" customHeight="1">
      <c t="s" r="A409" s="12">
        <v>374</v>
      </c>
      <c r="B409" s="13">
        <v>310.05000000000001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310.05000000000001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32301.48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28107.669999999998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159509.45000000001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140159.70999999999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t="16.5" customHeight="1">
      <c t="s" r="A412" s="12">
        <v>377</v>
      </c>
      <c r="B412" s="13">
        <v>268.37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268.37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1341.8599999999999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1073.48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-255.54999999999998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-56.530000000000001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-901.3599999999999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-67.429999999999978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-14.019999999999998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93.170000000000016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357.49000000000007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-263.29999999999995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-2000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-3725.6900000000001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76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-50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t="16.5" customHeight="1">
      <c t="s" r="A423" s="12">
        <v>388</v>
      </c>
      <c r="B423" s="13">
        <v>-512.16999999999996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5.21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t="16.5" customHeight="1">
      <c t="s" r="A424" s="12">
        <v>389</v>
      </c>
      <c r="B424" s="13">
        <v>-15118.23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-75661.800000000003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-3.8399999999999999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t="16.5" customHeight="1">
      <c t="s" r="A426" s="12">
        <v>391</v>
      </c>
      <c r="B426" s="13">
        <v>67.079999999999998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47.920000000000002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335.39999999999998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239.59999999999999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12875.209999999999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-1165.3899999999999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-16559.610000000001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-7963.5200000000004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-46510.200000000004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594465.71000000008</v>
      </c>
      <c r="C446" s="33"/>
      <c r="D446" s="15"/>
      <c r="E446" s="13">
        <v>648685.29000000004</v>
      </c>
      <c r="F446" s="33"/>
      <c r="G446" s="15"/>
      <c r="H446" s="16">
        <f>IFERROR(B446-E446, "NA")</f>
      </c>
      <c r="I446" s="33"/>
      <c r="J446" s="15"/>
      <c r="K446" s="13">
        <v>594099.44999999995</v>
      </c>
      <c r="L446" s="33"/>
      <c r="M446" s="15"/>
      <c r="N446" s="16">
        <f>IFERROR(B446-K446, "NA")</f>
      </c>
      <c r="O446" s="33"/>
      <c r="P446" s="15"/>
      <c r="Q446" s="13">
        <v>2932966.9299999997</v>
      </c>
      <c r="R446" s="33"/>
      <c r="S446" s="15"/>
      <c r="T446" s="13">
        <v>3067828.5999999996</v>
      </c>
      <c r="U446" s="33"/>
      <c r="V446" s="15"/>
      <c r="W446" s="16">
        <f>IFERROR(Q446-T446, "NA")</f>
      </c>
      <c r="X446" s="33"/>
      <c r="Y446" s="15"/>
      <c r="Z446" s="13">
        <v>2856670.5600000001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413</v>
      </c>
      <c t="s" r="B3" s="3">
        <v>413</v>
      </c>
      <c t="s" r="C3" s="3">
        <v>413</v>
      </c>
      <c t="s" r="D3" s="3">
        <v>413</v>
      </c>
      <c t="s" r="E3" s="3">
        <v>413</v>
      </c>
      <c t="s" r="F3" s="3">
        <v>413</v>
      </c>
      <c t="s" r="G3" s="3">
        <v>413</v>
      </c>
      <c t="s" r="H3" s="3">
        <v>413</v>
      </c>
      <c t="s" r="I3" s="3">
        <v>413</v>
      </c>
      <c t="s" r="J3" s="3">
        <v>413</v>
      </c>
      <c t="s" r="K3" s="3">
        <v>413</v>
      </c>
      <c t="s" r="L3" s="3">
        <v>413</v>
      </c>
      <c t="s" r="M3" s="3">
        <v>413</v>
      </c>
      <c t="s" r="N3" s="3">
        <v>413</v>
      </c>
      <c t="s" r="O3" s="3">
        <v>413</v>
      </c>
      <c t="s" r="P3" s="3">
        <v>413</v>
      </c>
      <c t="s" r="Q3" s="3">
        <v>413</v>
      </c>
      <c t="s" r="R3" s="3">
        <v>413</v>
      </c>
      <c t="s" r="S3" s="3">
        <v>413</v>
      </c>
      <c t="s" r="T3" s="3">
        <v>413</v>
      </c>
      <c t="s" r="U3" s="3">
        <v>413</v>
      </c>
      <c t="s" r="V3" s="3">
        <v>413</v>
      </c>
      <c t="s" r="W3" s="3">
        <v>413</v>
      </c>
      <c t="s" r="X3" s="3">
        <v>413</v>
      </c>
      <c t="s" r="Y3" s="3">
        <v>413</v>
      </c>
      <c t="s" r="Z3" s="3">
        <v>413</v>
      </c>
      <c t="s" r="AA3" s="3">
        <v>413</v>
      </c>
      <c t="s" r="AB3" s="3">
        <v>413</v>
      </c>
      <c t="s" r="AC3" s="3">
        <v>413</v>
      </c>
      <c t="s" r="AD3" s="3">
        <v>413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idden="1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0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0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idden="1" ht="16.5" customHeight="1">
      <c t="s" r="A11" s="18">
        <v>13</v>
      </c>
      <c r="B11" s="13">
        <v>0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0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0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0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idden="1" ht="16.5" customHeight="1">
      <c t="s" r="A12" s="18">
        <v>14</v>
      </c>
      <c r="B12" s="13">
        <v>0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0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0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0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idden="1" ht="16.5" customHeight="1">
      <c t="s" r="A13" s="18">
        <v>15</v>
      </c>
      <c r="B13" s="13">
        <v>0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0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0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0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idden="1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idden="1" ht="16.5" customHeight="1">
      <c t="s" r="A15" s="18">
        <v>17</v>
      </c>
      <c r="B15" s="13">
        <v>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0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0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0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idden="1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idden="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0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0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idden="1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0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0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0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idden="1" ht="16.5" customHeight="1">
      <c t="s" r="A23" s="18">
        <v>24</v>
      </c>
      <c r="B23" s="13">
        <v>0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0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idden="1" ht="16.5" customHeight="1">
      <c t="s" r="A24" s="18">
        <v>25</v>
      </c>
      <c r="B24" s="13">
        <v>0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0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0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0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idden="1" ht="16.5" customHeight="1">
      <c t="s" r="A25" s="18">
        <v>26</v>
      </c>
      <c r="B25" s="13">
        <v>0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0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idden="1" ht="16.5" customHeight="1">
      <c t="s" r="A26" s="18">
        <v>27</v>
      </c>
      <c r="B26" s="13">
        <v>0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0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idden="1" ht="16.5" customHeight="1">
      <c t="s" r="A28" s="18">
        <v>29</v>
      </c>
      <c r="B28" s="13">
        <v>0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0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0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0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idden="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0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0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idden="1" ht="16.5" customHeight="1">
      <c t="s" r="A33" s="18">
        <v>33</v>
      </c>
      <c r="B33" s="13">
        <v>0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0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0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0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idden="1" ht="16.5" customHeight="1">
      <c t="s" r="A35" s="18">
        <v>35</v>
      </c>
      <c r="B35" s="13">
        <v>0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0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0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0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idden="1" ht="16.5" customHeight="1">
      <c t="s" r="A36" s="18">
        <v>36</v>
      </c>
      <c r="B36" s="13">
        <v>0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0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0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0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idden="1" ht="16.5" customHeight="1">
      <c t="s" r="A37" s="18">
        <v>37</v>
      </c>
      <c r="B37" s="13">
        <v>0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0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idden="1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0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0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0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idden="1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0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0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idden="1" ht="16.5" customHeight="1">
      <c t="s" r="A43" s="18">
        <v>42</v>
      </c>
      <c r="B43" s="13">
        <v>0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0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0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0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idden="1" ht="16.5" customHeight="1">
      <c t="s" r="A48" s="23">
        <v>46</v>
      </c>
      <c r="B48" s="13">
        <v>0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0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0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0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idden="1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0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0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idden="1" ht="16.5" customHeight="1">
      <c t="s" r="A65" s="18">
        <v>62</v>
      </c>
      <c r="B65" s="13">
        <v>0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0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idden="1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0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0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idden="1" ht="16.5" customHeight="1">
      <c t="s" r="A77" s="18">
        <v>73</v>
      </c>
      <c r="B77" s="13">
        <v>0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0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0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0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idden="1" ht="16.5" customHeight="1">
      <c t="s" r="A80" s="18">
        <v>76</v>
      </c>
      <c r="B80" s="13">
        <v>0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0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0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0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idden="1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0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0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idden="1" ht="16.5" customHeight="1">
      <c t="s" r="A90" s="12">
        <v>86</v>
      </c>
      <c r="B90" s="13">
        <v>0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0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idden="1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0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0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idden="1" ht="16.5" customHeight="1">
      <c t="s" r="A96" s="18">
        <v>91</v>
      </c>
      <c r="B96" s="13">
        <v>0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0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0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0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idden="1" ht="16.5" customHeight="1">
      <c t="s" r="A98" s="18">
        <v>93</v>
      </c>
      <c r="B98" s="13">
        <v>0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0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0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0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idden="1" ht="16.5" customHeight="1">
      <c t="s" r="A100" s="18">
        <v>95</v>
      </c>
      <c r="B100" s="13">
        <v>0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0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0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0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idden="1" ht="16.5" customHeight="1">
      <c t="s" r="A102" s="18">
        <v>97</v>
      </c>
      <c r="B102" s="13">
        <v>0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0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0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0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idden="1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idden="1" ht="16.5" customHeight="1">
      <c t="s" r="A104" s="18">
        <v>99</v>
      </c>
      <c r="B104" s="13">
        <v>0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0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0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0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idden="1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0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idden="1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0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0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idden="1" ht="16.5" customHeight="1">
      <c t="s" r="A130" s="18">
        <v>122</v>
      </c>
      <c r="B130" s="13">
        <v>0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0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0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0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idden="1" ht="16.5" customHeight="1">
      <c t="s" r="A131" s="18">
        <v>123</v>
      </c>
      <c r="B131" s="13">
        <v>0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0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0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0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idden="1" ht="16.5" customHeight="1">
      <c t="s" r="A132" s="18">
        <v>124</v>
      </c>
      <c r="B132" s="13">
        <v>0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0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0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0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idden="1" ht="16.5" customHeight="1">
      <c t="s" r="A133" s="18">
        <v>125</v>
      </c>
      <c r="B133" s="13">
        <v>0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0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0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0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idden="1" ht="16.5" customHeight="1">
      <c t="s" r="A134" s="18">
        <v>126</v>
      </c>
      <c r="B134" s="13">
        <v>0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0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0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0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idden="1" ht="16.5" customHeight="1">
      <c t="s" r="A135" s="18">
        <v>127</v>
      </c>
      <c r="B135" s="13">
        <v>0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0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0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0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idden="1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0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idden="1" ht="16.5" customHeight="1">
      <c t="s" r="A137" s="18">
        <v>129</v>
      </c>
      <c r="B137" s="13">
        <v>0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0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0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0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idden="1" ht="16.5" customHeight="1">
      <c t="s" r="A138" s="18">
        <v>130</v>
      </c>
      <c r="B138" s="13">
        <v>0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0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0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0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idden="1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0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0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idden="1" ht="16.5" customHeight="1">
      <c t="s" r="A144" s="18">
        <v>135</v>
      </c>
      <c r="B144" s="13">
        <v>0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0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0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0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idden="1" ht="16.5" customHeight="1">
      <c t="s" r="A145" s="18">
        <v>136</v>
      </c>
      <c r="B145" s="13">
        <v>0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0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0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0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idden="1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0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0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0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idden="1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0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0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0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idden="1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0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0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idden="1" ht="16.5" customHeight="1">
      <c t="s" r="A154" s="18">
        <v>143</v>
      </c>
      <c r="B154" s="13">
        <v>0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0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0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0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idden="1" ht="16.5" customHeight="1">
      <c t="s" r="A155" s="18">
        <v>144</v>
      </c>
      <c r="B155" s="13">
        <v>0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0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0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0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idden="1" ht="16.5" customHeight="1">
      <c t="s" r="A161" s="18">
        <v>149</v>
      </c>
      <c r="B161" s="13">
        <v>0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0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0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0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idden="1" ht="16.5" customHeight="1">
      <c t="s" r="A167" s="12">
        <v>155</v>
      </c>
      <c r="B167" s="13">
        <v>0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0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0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0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idden="1" ht="16.5" customHeight="1">
      <c t="s" r="A168" s="12">
        <v>156</v>
      </c>
      <c r="B168" s="13">
        <v>0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0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0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0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idden="1" ht="16.5" customHeight="1">
      <c t="s" r="A169" s="12">
        <v>157</v>
      </c>
      <c r="B169" s="13">
        <v>0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0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0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0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idden="1" ht="16.5" customHeight="1">
      <c t="s" r="A178" s="18">
        <v>163</v>
      </c>
      <c r="B178" s="13">
        <v>0</v>
      </c>
      <c r="C178" s="14">
        <f>IFERROR(B178/B446, "NA")</f>
      </c>
      <c r="D178" s="15"/>
      <c r="E178" s="13">
        <v>0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0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0</v>
      </c>
      <c r="R178" s="14">
        <f>IFERROR(Q178/Q446, "NA")</f>
      </c>
      <c r="S178" s="15"/>
      <c r="T178" s="13">
        <v>0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0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idden="1" ht="16.5" customHeight="1">
      <c t="s" r="A180" s="18">
        <v>165</v>
      </c>
      <c r="B180" s="13">
        <v>0</v>
      </c>
      <c r="C180" s="14">
        <f>IFERROR(B180/B446, "NA")</f>
      </c>
      <c r="D180" s="15"/>
      <c r="E180" s="13">
        <v>0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0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0</v>
      </c>
      <c r="R180" s="14">
        <f>IFERROR(Q180/Q446, "NA")</f>
      </c>
      <c r="S180" s="15"/>
      <c r="T180" s="13">
        <v>0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0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idden="1" ht="16.5" customHeight="1">
      <c t="s" r="A181" s="18">
        <v>166</v>
      </c>
      <c r="B181" s="13">
        <v>0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0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0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idden="1" ht="16.5" customHeight="1">
      <c t="s" r="A184" s="12">
        <v>169</v>
      </c>
      <c r="B184" s="13">
        <v>0</v>
      </c>
      <c r="C184" s="14">
        <f>IFERROR(B184/B446, "NA")</f>
      </c>
      <c r="D184" s="15"/>
      <c r="E184" s="13">
        <v>0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0</v>
      </c>
      <c r="R184" s="14">
        <f>IFERROR(Q184/Q446, "NA")</f>
      </c>
      <c r="S184" s="15"/>
      <c r="T184" s="13">
        <v>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idden="1" ht="16.5" customHeight="1">
      <c t="s" r="A186" s="18">
        <v>170</v>
      </c>
      <c r="B186" s="13">
        <v>0</v>
      </c>
      <c r="C186" s="14">
        <f>IFERROR(B186/B446, "NA")</f>
      </c>
      <c r="D186" s="15"/>
      <c r="E186" s="13">
        <v>0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0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0</v>
      </c>
      <c r="R186" s="14">
        <f>IFERROR(Q186/Q446, "NA")</f>
      </c>
      <c r="S186" s="15"/>
      <c r="T186" s="13">
        <v>0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0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idden="1" ht="16.5" customHeight="1">
      <c t="s" r="A194" s="12">
        <v>178</v>
      </c>
      <c r="B194" s="13">
        <v>0</v>
      </c>
      <c r="C194" s="14">
        <f>IFERROR(B194/B446, "NA")</f>
      </c>
      <c r="D194" s="15"/>
      <c r="E194" s="13">
        <v>0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0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0</v>
      </c>
      <c r="R194" s="14">
        <f>IFERROR(Q194/Q446, "NA")</f>
      </c>
      <c r="S194" s="15"/>
      <c r="T194" s="13">
        <v>0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0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idden="1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0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0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idden="1" ht="16.5" customHeight="1">
      <c t="s" r="A202" s="12">
        <v>184</v>
      </c>
      <c r="B202" s="13">
        <v>0</v>
      </c>
      <c r="C202" s="14">
        <f>IFERROR(B202/B446, "NA")</f>
      </c>
      <c r="D202" s="15"/>
      <c r="E202" s="13">
        <v>0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0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0</v>
      </c>
      <c r="R202" s="14">
        <f>IFERROR(Q202/Q446, "NA")</f>
      </c>
      <c r="S202" s="15"/>
      <c r="T202" s="13">
        <v>0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0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idden="1" ht="16.5" customHeight="1">
      <c t="s" r="A203" s="12">
        <v>185</v>
      </c>
      <c r="B203" s="13">
        <v>0</v>
      </c>
      <c r="C203" s="14">
        <f>IFERROR(B203/B446, "NA")</f>
      </c>
      <c r="D203" s="15"/>
      <c r="E203" s="13">
        <v>0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0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0</v>
      </c>
      <c r="R203" s="14">
        <f>IFERROR(Q203/Q446, "NA")</f>
      </c>
      <c r="S203" s="15"/>
      <c r="T203" s="13">
        <v>0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0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idden="1" ht="16.5" customHeight="1">
      <c t="s" r="A204" s="12">
        <v>186</v>
      </c>
      <c r="B204" s="13">
        <v>0</v>
      </c>
      <c r="C204" s="14">
        <f>IFERROR(B204/B446, "NA")</f>
      </c>
      <c r="D204" s="15"/>
      <c r="E204" s="13">
        <v>0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0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0</v>
      </c>
      <c r="R204" s="14">
        <f>IFERROR(Q204/Q446, "NA")</f>
      </c>
      <c r="S204" s="15"/>
      <c r="T204" s="13">
        <v>0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0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idden="1" ht="16.5" customHeight="1">
      <c t="s" r="A205" s="12">
        <v>187</v>
      </c>
      <c r="B205" s="13">
        <v>0</v>
      </c>
      <c r="C205" s="14">
        <f>IFERROR(B205/B446, "NA")</f>
      </c>
      <c r="D205" s="15"/>
      <c r="E205" s="13">
        <v>0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0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0</v>
      </c>
      <c r="R205" s="14">
        <f>IFERROR(Q205/Q446, "NA")</f>
      </c>
      <c r="S205" s="15"/>
      <c r="T205" s="13">
        <v>0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0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idden="1" ht="16.5" customHeight="1">
      <c t="s" r="A206" s="12">
        <v>188</v>
      </c>
      <c r="B206" s="13">
        <v>0</v>
      </c>
      <c r="C206" s="14">
        <f>IFERROR(B206/B446, "NA")</f>
      </c>
      <c r="D206" s="15"/>
      <c r="E206" s="13">
        <v>0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0</v>
      </c>
      <c r="R206" s="14">
        <f>IFERROR(Q206/Q446, "NA")</f>
      </c>
      <c r="S206" s="15"/>
      <c r="T206" s="13">
        <v>0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idden="1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0</v>
      </c>
      <c r="R207" s="14">
        <f>IFERROR(Q207/Q446, "NA")</f>
      </c>
      <c r="S207" s="15"/>
      <c r="T207" s="13">
        <v>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0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idden="1" ht="16.5" customHeight="1">
      <c t="s" r="A208" s="12">
        <v>190</v>
      </c>
      <c r="B208" s="13">
        <v>0</v>
      </c>
      <c r="C208" s="14">
        <f>IFERROR(B208/B446, "NA")</f>
      </c>
      <c r="D208" s="15"/>
      <c r="E208" s="13">
        <v>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0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0</v>
      </c>
      <c r="R208" s="14">
        <f>IFERROR(Q208/Q446, "NA")</f>
      </c>
      <c r="S208" s="15"/>
      <c r="T208" s="13">
        <v>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0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idden="1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0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0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idden="1" ht="16.5" customHeight="1">
      <c t="s" r="A214" s="18">
        <v>194</v>
      </c>
      <c r="B214" s="13">
        <v>0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0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0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0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idden="1" ht="16.5" customHeight="1">
      <c t="s" r="A215" s="18">
        <v>195</v>
      </c>
      <c r="B215" s="13">
        <v>0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0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idden="1" ht="16.5" customHeight="1">
      <c t="s" r="A216" s="18">
        <v>196</v>
      </c>
      <c r="B216" s="13">
        <v>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idden="1" ht="16.5" customHeight="1">
      <c t="s" r="A217" s="18">
        <v>197</v>
      </c>
      <c r="B217" s="13">
        <v>0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0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0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0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idden="1" ht="16.5" customHeight="1">
      <c t="s" r="A222" s="12">
        <v>202</v>
      </c>
      <c r="B222" s="13">
        <v>0</v>
      </c>
      <c r="C222" s="14">
        <f>IFERROR(B222/B446, "NA")</f>
      </c>
      <c r="D222" s="15"/>
      <c r="E222" s="13">
        <v>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0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0</v>
      </c>
      <c r="R222" s="14">
        <f>IFERROR(Q222/Q446, "NA")</f>
      </c>
      <c r="S222" s="15"/>
      <c r="T222" s="13">
        <v>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0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idden="1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0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0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idden="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0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0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idden="1" ht="16.5" customHeight="1">
      <c t="s" r="A234" s="12">
        <v>213</v>
      </c>
      <c r="B234" s="13">
        <v>0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0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0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0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idden="1" ht="16.5" customHeight="1">
      <c t="s" r="A235" s="12">
        <v>214</v>
      </c>
      <c r="B235" s="13">
        <v>0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0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idden="1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0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0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idden="1" ht="16.5" customHeight="1">
      <c t="s" r="A242" s="18">
        <v>219</v>
      </c>
      <c r="B242" s="13">
        <v>0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0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0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0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idden="1" ht="16.5" customHeight="1">
      <c t="s" r="A243" s="18">
        <v>220</v>
      </c>
      <c r="B243" s="13">
        <v>0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0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0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0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idden="1" ht="16.5" customHeight="1">
      <c t="s" r="A244" s="18">
        <v>221</v>
      </c>
      <c r="B244" s="13">
        <v>0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0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idden="1" ht="16.5" customHeight="1">
      <c t="s" r="A246" s="18">
        <v>223</v>
      </c>
      <c r="B246" s="13">
        <v>0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0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0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0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idden="1" ht="16.5" customHeight="1">
      <c t="s" r="A248" s="18">
        <v>225</v>
      </c>
      <c r="B248" s="13">
        <v>0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0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0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0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idden="1" ht="16.5" customHeight="1">
      <c t="s" r="A249" s="18">
        <v>226</v>
      </c>
      <c r="B249" s="13">
        <v>0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0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0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0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idden="1" ht="16.5" customHeight="1">
      <c t="s" r="A266" s="12">
        <v>242</v>
      </c>
      <c r="B266" s="13">
        <v>0</v>
      </c>
      <c r="C266" s="14">
        <f>IFERROR(B266/B446, "NA")</f>
      </c>
      <c r="D266" s="15"/>
      <c r="E266" s="13">
        <v>0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0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0</v>
      </c>
      <c r="R266" s="14">
        <f>IFERROR(Q266/Q446, "NA")</f>
      </c>
      <c r="S266" s="15"/>
      <c r="T266" s="13">
        <v>0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0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idden="1" ht="16.5" customHeight="1">
      <c t="s" r="A271" s="12">
        <v>246</v>
      </c>
      <c r="B271" s="13">
        <v>0</v>
      </c>
      <c r="C271" s="14">
        <f>IFERROR(B271/B446, "NA")</f>
      </c>
      <c r="D271" s="15"/>
      <c r="E271" s="13">
        <v>0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0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0</v>
      </c>
      <c r="R271" s="14">
        <f>IFERROR(Q271/Q446, "NA")</f>
      </c>
      <c r="S271" s="15"/>
      <c r="T271" s="13">
        <v>0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0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idden="1" ht="16.5" customHeight="1">
      <c t="s" r="A272" s="12">
        <v>247</v>
      </c>
      <c r="B272" s="13">
        <v>0</v>
      </c>
      <c r="C272" s="14">
        <f>IFERROR(B272/B446, "NA")</f>
      </c>
      <c r="D272" s="15"/>
      <c r="E272" s="13">
        <v>0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0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0</v>
      </c>
      <c r="R272" s="14">
        <f>IFERROR(Q272/Q446, "NA")</f>
      </c>
      <c r="S272" s="15"/>
      <c r="T272" s="13">
        <v>0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0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idden="1" ht="16.5" customHeight="1">
      <c t="s" r="A289" s="12">
        <v>262</v>
      </c>
      <c r="B289" s="13">
        <v>0</v>
      </c>
      <c r="C289" s="14">
        <f>IFERROR(B289/B446, "NA")</f>
      </c>
      <c r="D289" s="15"/>
      <c r="E289" s="13">
        <v>0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0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0</v>
      </c>
      <c r="R289" s="14">
        <f>IFERROR(Q289/Q446, "NA")</f>
      </c>
      <c r="S289" s="15"/>
      <c r="T289" s="13">
        <v>0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0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idden="1" ht="16.5" customHeight="1">
      <c t="s" r="A290" s="12">
        <v>263</v>
      </c>
      <c r="B290" s="13">
        <v>0</v>
      </c>
      <c r="C290" s="14">
        <f>IFERROR(B290/B446, "NA")</f>
      </c>
      <c r="D290" s="15"/>
      <c r="E290" s="13">
        <v>0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0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0</v>
      </c>
      <c r="R290" s="14">
        <f>IFERROR(Q290/Q446, "NA")</f>
      </c>
      <c r="S290" s="15"/>
      <c r="T290" s="13">
        <v>0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0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idden="1" ht="16.5" customHeight="1">
      <c t="s" r="A291" s="12">
        <v>264</v>
      </c>
      <c r="B291" s="13">
        <v>0</v>
      </c>
      <c r="C291" s="14">
        <f>IFERROR(B291/B446, "NA")</f>
      </c>
      <c r="D291" s="15"/>
      <c r="E291" s="13">
        <v>0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0</v>
      </c>
      <c r="R291" s="14">
        <f>IFERROR(Q291/Q446, "NA")</f>
      </c>
      <c r="S291" s="15"/>
      <c r="T291" s="13">
        <v>0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0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idden="1" ht="16.5" customHeight="1">
      <c t="s" r="A292" s="12">
        <v>265</v>
      </c>
      <c r="B292" s="13">
        <v>0</v>
      </c>
      <c r="C292" s="14">
        <f>IFERROR(B292/B446, "NA")</f>
      </c>
      <c r="D292" s="15"/>
      <c r="E292" s="13">
        <v>0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0</v>
      </c>
      <c r="R292" s="14">
        <f>IFERROR(Q292/Q446, "NA")</f>
      </c>
      <c r="S292" s="15"/>
      <c r="T292" s="13">
        <v>0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0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idden="1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0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0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idden="1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0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0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idden="1" ht="16.5" customHeight="1">
      <c t="s" r="A295" s="12">
        <v>268</v>
      </c>
      <c r="B295" s="13">
        <v>0</v>
      </c>
      <c r="C295" s="14">
        <f>IFERROR(B295/B446, "NA")</f>
      </c>
      <c r="D295" s="15"/>
      <c r="E295" s="13">
        <v>0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0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0</v>
      </c>
      <c r="R295" s="14">
        <f>IFERROR(Q295/Q446, "NA")</f>
      </c>
      <c r="S295" s="15"/>
      <c r="T295" s="13">
        <v>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0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idden="1" ht="16.5" customHeight="1">
      <c t="s" r="A300" s="12">
        <v>272</v>
      </c>
      <c r="B300" s="13">
        <v>0</v>
      </c>
      <c r="C300" s="14">
        <f>IFERROR(B300/B446, "NA")</f>
      </c>
      <c r="D300" s="15"/>
      <c r="E300" s="13">
        <v>0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0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0</v>
      </c>
      <c r="R300" s="14">
        <f>IFERROR(Q300/Q446, "NA")</f>
      </c>
      <c r="S300" s="15"/>
      <c r="T300" s="13">
        <v>0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0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idden="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0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0</v>
      </c>
      <c r="R311" s="14">
        <f>IFERROR(Q311/Q446, "NA")</f>
      </c>
      <c r="S311" s="15"/>
      <c r="T311" s="13">
        <v>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idden="1" ht="16.5" customHeight="1">
      <c t="s" r="A313" s="12">
        <v>285</v>
      </c>
      <c r="B313" s="13">
        <v>0</v>
      </c>
      <c r="C313" s="14">
        <f>IFERROR(B313/B446, "NA")</f>
      </c>
      <c r="D313" s="15"/>
      <c r="E313" s="13">
        <v>0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0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0</v>
      </c>
      <c r="R313" s="14">
        <f>IFERROR(Q313/Q446, "NA")</f>
      </c>
      <c r="S313" s="15"/>
      <c r="T313" s="13">
        <v>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0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idden="1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0</v>
      </c>
      <c r="R314" s="14">
        <f>IFERROR(Q314/Q446, "NA")</f>
      </c>
      <c r="S314" s="15"/>
      <c r="T314" s="13">
        <v>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0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idden="1" ht="16.5" customHeight="1">
      <c t="s" r="A320" s="12">
        <v>292</v>
      </c>
      <c r="B320" s="13">
        <v>0</v>
      </c>
      <c r="C320" s="14">
        <f>IFERROR(B320/B446, "NA")</f>
      </c>
      <c r="D320" s="15"/>
      <c r="E320" s="13">
        <v>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0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0</v>
      </c>
      <c r="R320" s="14">
        <f>IFERROR(Q320/Q446, "NA")</f>
      </c>
      <c r="S320" s="15"/>
      <c r="T320" s="13">
        <v>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0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idden="1" ht="16.5" customHeight="1">
      <c t="s" r="A321" s="12">
        <v>293</v>
      </c>
      <c r="B321" s="13">
        <v>0</v>
      </c>
      <c r="C321" s="14">
        <f>IFERROR(B321/B446, "NA")</f>
      </c>
      <c r="D321" s="15"/>
      <c r="E321" s="13">
        <v>0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0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0</v>
      </c>
      <c r="R321" s="14">
        <f>IFERROR(Q321/Q446, "NA")</f>
      </c>
      <c r="S321" s="15"/>
      <c r="T321" s="13">
        <v>0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0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idden="1" ht="16.5" customHeight="1">
      <c t="s" r="A322" s="12">
        <v>294</v>
      </c>
      <c r="B322" s="13">
        <v>0</v>
      </c>
      <c r="C322" s="14">
        <f>IFERROR(B322/B446, "NA")</f>
      </c>
      <c r="D322" s="15"/>
      <c r="E322" s="13">
        <v>0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0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0</v>
      </c>
      <c r="R322" s="14">
        <f>IFERROR(Q322/Q446, "NA")</f>
      </c>
      <c r="S322" s="15"/>
      <c r="T322" s="13">
        <v>0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0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idden="1" ht="16.5" customHeight="1">
      <c t="s" r="A323" s="12">
        <v>295</v>
      </c>
      <c r="B323" s="13">
        <v>0</v>
      </c>
      <c r="C323" s="14">
        <f>IFERROR(B323/B446, "NA")</f>
      </c>
      <c r="D323" s="15"/>
      <c r="E323" s="13">
        <v>0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0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0</v>
      </c>
      <c r="R323" s="14">
        <f>IFERROR(Q323/Q446, "NA")</f>
      </c>
      <c r="S323" s="15"/>
      <c r="T323" s="13">
        <v>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0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idden="1" ht="16.5" customHeight="1">
      <c t="s" r="A330" s="12">
        <v>301</v>
      </c>
      <c r="B330" s="13">
        <v>0</v>
      </c>
      <c r="C330" s="14">
        <f>IFERROR(B330/B446, "NA")</f>
      </c>
      <c r="D330" s="15"/>
      <c r="E330" s="13">
        <v>0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0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0</v>
      </c>
      <c r="R330" s="14">
        <f>IFERROR(Q330/Q446, "NA")</f>
      </c>
      <c r="S330" s="15"/>
      <c r="T330" s="13">
        <v>0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0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idden="1" ht="16.5" customHeight="1">
      <c t="s" r="A331" s="12">
        <v>302</v>
      </c>
      <c r="B331" s="13">
        <v>0</v>
      </c>
      <c r="C331" s="14">
        <f>IFERROR(B331/B446, "NA")</f>
      </c>
      <c r="D331" s="15"/>
      <c r="E331" s="13">
        <v>0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0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0</v>
      </c>
      <c r="R331" s="14">
        <f>IFERROR(Q331/Q446, "NA")</f>
      </c>
      <c r="S331" s="15"/>
      <c r="T331" s="13">
        <v>0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0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idden="1" ht="16.5" customHeight="1">
      <c t="s" r="A334" s="12">
        <v>305</v>
      </c>
      <c r="B334" s="13">
        <v>0</v>
      </c>
      <c r="C334" s="14">
        <f>IFERROR(B334/B446, "NA")</f>
      </c>
      <c r="D334" s="15"/>
      <c r="E334" s="13">
        <v>0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0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0</v>
      </c>
      <c r="R334" s="14">
        <f>IFERROR(Q334/Q446, "NA")</f>
      </c>
      <c r="S334" s="15"/>
      <c r="T334" s="13">
        <v>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0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idden="1" ht="16.5" customHeight="1">
      <c t="s" r="A335" s="12">
        <v>306</v>
      </c>
      <c r="B335" s="13">
        <v>0</v>
      </c>
      <c r="C335" s="14">
        <f>IFERROR(B335/B446, "NA")</f>
      </c>
      <c r="D335" s="15"/>
      <c r="E335" s="13">
        <v>0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0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idden="1" ht="16.5" customHeight="1">
      <c t="s" r="A339" s="18">
        <v>309</v>
      </c>
      <c r="B339" s="13">
        <v>0</v>
      </c>
      <c r="C339" s="14">
        <f>IFERROR(B339/B446, "NA")</f>
      </c>
      <c r="D339" s="15"/>
      <c r="E339" s="13">
        <v>0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0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0</v>
      </c>
      <c r="R339" s="14">
        <f>IFERROR(Q339/Q446, "NA")</f>
      </c>
      <c r="S339" s="15"/>
      <c r="T339" s="13">
        <v>0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0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idden="1" ht="16.5" customHeight="1">
      <c t="s" r="A340" s="18">
        <v>310</v>
      </c>
      <c r="B340" s="13">
        <v>0</v>
      </c>
      <c r="C340" s="14">
        <f>IFERROR(B340/B446, "NA")</f>
      </c>
      <c r="D340" s="15"/>
      <c r="E340" s="13">
        <v>0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0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0</v>
      </c>
      <c r="R340" s="14">
        <f>IFERROR(Q340/Q446, "NA")</f>
      </c>
      <c r="S340" s="15"/>
      <c r="T340" s="13">
        <v>0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0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idden="1" ht="16.5" customHeight="1">
      <c t="s" r="A341" s="18">
        <v>311</v>
      </c>
      <c r="B341" s="13">
        <v>0</v>
      </c>
      <c r="C341" s="14">
        <f>IFERROR(B341/B446, "NA")</f>
      </c>
      <c r="D341" s="15"/>
      <c r="E341" s="13">
        <v>0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0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0</v>
      </c>
      <c r="R341" s="14">
        <f>IFERROR(Q341/Q446, "NA")</f>
      </c>
      <c r="S341" s="15"/>
      <c r="T341" s="13">
        <v>0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0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t="16.5" customHeight="1">
      <c t="s" r="A351" s="12">
        <v>320</v>
      </c>
      <c r="B351" s="13">
        <v>35384.599999999999</v>
      </c>
      <c r="C351" s="14">
        <f>IFERROR(B351/B446, "NA")</f>
      </c>
      <c r="D351" s="15"/>
      <c r="E351" s="13">
        <v>43307.690000000002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41182.639999999999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185802.82000000001</v>
      </c>
      <c r="R351" s="14">
        <f>IFERROR(Q351/Q446, "NA")</f>
      </c>
      <c r="S351" s="15"/>
      <c r="T351" s="13">
        <v>212942.29999999999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262612.25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6774.8000000000002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t="16.5" customHeight="1">
      <c t="s" r="A355" s="12">
        <v>324</v>
      </c>
      <c r="B355" s="13">
        <v>2833.6500000000001</v>
      </c>
      <c r="C355" s="14">
        <f>IFERROR(B355/B446, "NA")</f>
      </c>
      <c r="D355" s="15"/>
      <c r="E355" s="13">
        <v>3594.54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3454.4499999999998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15216.879999999999</v>
      </c>
      <c r="R355" s="14">
        <f>IFERROR(Q355/Q446, "NA")</f>
      </c>
      <c r="S355" s="15"/>
      <c r="T355" s="13">
        <v>17674.209999999999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23661.43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t="16.5" customHeight="1">
      <c t="s" r="A356" s="12">
        <v>325</v>
      </c>
      <c r="B356" s="13">
        <v>127.83</v>
      </c>
      <c r="C356" s="14">
        <f>IFERROR(B356/B446, "NA")</f>
      </c>
      <c r="D356" s="15"/>
      <c r="E356" s="13">
        <v>212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212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633.87</v>
      </c>
      <c r="R356" s="14">
        <f>IFERROR(Q356/Q446, "NA")</f>
      </c>
      <c r="S356" s="15"/>
      <c r="T356" s="13">
        <v>1081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1219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t="16.5" customHeight="1">
      <c t="s" r="A357" s="12">
        <v>326</v>
      </c>
      <c r="B357" s="13">
        <v>5413</v>
      </c>
      <c r="C357" s="14">
        <f>IFERROR(B357/B446, "NA")</f>
      </c>
      <c r="D357" s="15"/>
      <c r="E357" s="13">
        <v>5413.46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6687.5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26617</v>
      </c>
      <c r="R357" s="14">
        <f>IFERROR(Q357/Q446, "NA")</f>
      </c>
      <c r="S357" s="15"/>
      <c r="T357" s="13">
        <v>26617.790000000001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34050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t="16.5" customHeight="1">
      <c t="s" r="A358" s="12">
        <v>327</v>
      </c>
      <c r="B358" s="13">
        <v>2988.52</v>
      </c>
      <c r="C358" s="14">
        <f>IFERROR(B358/B446, "NA")</f>
      </c>
      <c r="D358" s="15"/>
      <c r="E358" s="13">
        <v>3680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3674.4299999999998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15895.040000000001</v>
      </c>
      <c r="R358" s="14">
        <f>IFERROR(Q358/Q446, "NA")</f>
      </c>
      <c r="S358" s="15"/>
      <c r="T358" s="13">
        <v>18400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17505.029999999999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t="16.5" customHeight="1">
      <c t="s" r="A363" s="12">
        <v>331</v>
      </c>
      <c r="B363" s="13">
        <v>225.99000000000001</v>
      </c>
      <c r="C363" s="14">
        <f>IFERROR(B363/B446, "NA")</f>
      </c>
      <c r="D363" s="15"/>
      <c r="E363" s="13">
        <v>864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679.64999999999998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1595.3499999999999</v>
      </c>
      <c r="R363" s="14">
        <f>IFERROR(Q363/Q446, "NA")</f>
      </c>
      <c r="S363" s="15"/>
      <c r="T363" s="13">
        <v>4536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4176.6000000000004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t="16.5" customHeight="1">
      <c t="s" r="A364" s="12">
        <v>332</v>
      </c>
      <c r="B364" s="13">
        <v>1313.47</v>
      </c>
      <c r="C364" s="14">
        <f>IFERROR(B364/B446, "NA")</f>
      </c>
      <c r="D364" s="15"/>
      <c r="E364" s="13">
        <v>150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1574.0599999999999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4851.4799999999996</v>
      </c>
      <c r="R364" s="14">
        <f>IFERROR(Q364/Q446, "NA")</f>
      </c>
      <c r="S364" s="15"/>
      <c r="T364" s="13">
        <v>825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5001.7600000000002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t="16.5" customHeight="1">
      <c t="s" r="A365" s="12">
        <v>333</v>
      </c>
      <c r="B365" s="13">
        <v>199.72999999999999</v>
      </c>
      <c r="C365" s="14">
        <f>IFERROR(B365/B446, "NA")</f>
      </c>
      <c r="D365" s="15"/>
      <c r="E365" s="13">
        <v>500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1034.8499999999999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792.41999999999996</v>
      </c>
      <c r="R365" s="14">
        <f>IFERROR(Q365/Q446, "NA")</f>
      </c>
      <c r="S365" s="15"/>
      <c r="T365" s="13">
        <v>2900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3959.5999999999999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t="16.5" customHeight="1">
      <c t="s" r="A366" s="12">
        <v>334</v>
      </c>
      <c r="B366" s="13">
        <v>-292</v>
      </c>
      <c r="C366" s="14">
        <f>IFERROR(B366/B446, "NA")</f>
      </c>
      <c r="D366" s="15"/>
      <c r="E366" s="13">
        <v>1125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1823.3199999999999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4375.46</v>
      </c>
      <c r="R366" s="14">
        <f>IFERROR(Q366/Q446, "NA")</f>
      </c>
      <c r="S366" s="15"/>
      <c r="T366" s="13">
        <v>4050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4358.3800000000001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225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1375.5999999999999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2548.4099999999999</v>
      </c>
      <c r="R367" s="14">
        <f>IFERROR(Q367/Q446, "NA")</f>
      </c>
      <c r="S367" s="15"/>
      <c r="T367" s="13">
        <v>1800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2793.5100000000002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t="16.5" customHeight="1">
      <c t="s" r="A368" s="12">
        <v>336</v>
      </c>
      <c r="B368" s="13">
        <v>1212.74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8148.1499999999996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5481.7399999999998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t="16.5" customHeight="1">
      <c t="s" r="A371" s="26">
        <v>339</v>
      </c>
      <c r="B371" s="13">
        <v>110.70999999999999</v>
      </c>
      <c r="C371" s="14">
        <f>IFERROR(B371/B446, "NA")</f>
      </c>
      <c r="D371" s="15"/>
      <c r="E371" s="13">
        <v>100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98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569.65999999999997</v>
      </c>
      <c r="R371" s="14">
        <f>IFERROR(Q371/Q446, "NA")</f>
      </c>
      <c r="S371" s="15"/>
      <c r="T371" s="13">
        <v>1400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1389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t="16.5" customHeight="1">
      <c t="s" r="A372" s="26">
        <v>340</v>
      </c>
      <c r="B372" s="13">
        <v>348.13</v>
      </c>
      <c r="C372" s="14">
        <f>IFERROR(B372/B446, "NA")</f>
      </c>
      <c r="D372" s="15"/>
      <c r="E372" s="13">
        <v>125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1529.3599999999999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1968.74</v>
      </c>
      <c r="R372" s="14">
        <f>IFERROR(Q372/Q446, "NA")</f>
      </c>
      <c r="S372" s="15"/>
      <c r="T372" s="13">
        <v>625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2404.8299999999999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t="16.5" customHeight="1">
      <c t="s" r="A373" s="26">
        <v>341</v>
      </c>
      <c r="B373" s="13">
        <v>781.79999999999995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277.17000000000002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2853.5599999999999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2108.6799999999998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t="16.5" customHeight="1">
      <c t="s" r="A374" s="26">
        <v>342</v>
      </c>
      <c r="B374" s="13">
        <v>677.77999999999997</v>
      </c>
      <c r="C374" s="14">
        <f>IFERROR(B374/B446, "NA")</f>
      </c>
      <c r="D374" s="15"/>
      <c r="E374" s="13">
        <v>629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368.32999999999998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3635.6500000000001</v>
      </c>
      <c r="R374" s="14">
        <f>IFERROR(Q374/Q446, "NA")</f>
      </c>
      <c r="S374" s="15"/>
      <c r="T374" s="13">
        <v>3145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2150.6399999999999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t="16.5" customHeight="1">
      <c t="s" r="A375" s="26">
        <v>343</v>
      </c>
      <c r="B375" s="13">
        <v>2117.8099999999999</v>
      </c>
      <c r="C375" s="14">
        <f>IFERROR(B375/B446, "NA")</f>
      </c>
      <c r="D375" s="15"/>
      <c r="E375" s="13">
        <v>2150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1925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10577.92</v>
      </c>
      <c r="R375" s="14">
        <f>IFERROR(Q375/Q446, "NA")</f>
      </c>
      <c r="S375" s="15"/>
      <c r="T375" s="13">
        <v>10750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9584.0100000000002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t="16.5" customHeight="1">
      <c t="s" r="A376" s="26">
        <v>344</v>
      </c>
      <c r="B376" s="13">
        <v>658.21000000000004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843.21000000000004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205.25999999999999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t="16.5" customHeight="1">
      <c t="s" r="A377" s="26">
        <v>345</v>
      </c>
      <c r="B377" s="13">
        <v>41.719999999999999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180.5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-2413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t="16.5" customHeight="1">
      <c t="s" r="A379" s="26">
        <v>347</v>
      </c>
      <c r="B379" s="13">
        <v>5987.8599999999997</v>
      </c>
      <c r="C379" s="14">
        <f>IFERROR(B379/B446, "NA")</f>
      </c>
      <c r="D379" s="15"/>
      <c r="E379" s="13">
        <v>7184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9061.8999999999996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32404.259999999998</v>
      </c>
      <c r="R379" s="14">
        <f>IFERROR(Q379/Q446, "NA")</f>
      </c>
      <c r="S379" s="15"/>
      <c r="T379" s="13">
        <v>39120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43630.019999999997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t="16.5" customHeight="1">
      <c t="s" r="A380" s="26">
        <v>348</v>
      </c>
      <c r="B380" s="13">
        <v>1113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1217.1900000000001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3033.5599999999999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5028.8299999999999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t="16.5" customHeight="1">
      <c t="s" r="A381" s="26">
        <v>349</v>
      </c>
      <c r="B381" s="13">
        <v>11800</v>
      </c>
      <c r="C381" s="14">
        <f>IFERROR(B381/B446, "NA")</f>
      </c>
      <c r="D381" s="15"/>
      <c r="E381" s="13">
        <v>11800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11500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59055.669999999998</v>
      </c>
      <c r="R381" s="14">
        <f>IFERROR(Q381/Q446, "NA")</f>
      </c>
      <c r="S381" s="15"/>
      <c r="T381" s="13">
        <v>59000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57500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3000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4000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3672.5</v>
      </c>
      <c r="R382" s="14">
        <f>IFERROR(Q382/Q446, "NA")</f>
      </c>
      <c r="S382" s="15"/>
      <c r="T382" s="13">
        <v>14000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30491.509999999998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506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648.72000000000003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2741.6399999999999</v>
      </c>
      <c r="R383" s="14">
        <f>IFERROR(Q383/Q446, "NA")</f>
      </c>
      <c r="S383" s="15"/>
      <c r="T383" s="13">
        <v>2530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2791.7600000000002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t="s" r="A386" s="12">
        <v>353</v>
      </c>
      <c r="B386" s="13">
        <v>419.69</v>
      </c>
      <c r="C386" s="14">
        <f>IFERROR(B386/B446, "NA")</f>
      </c>
      <c r="D386" s="15"/>
      <c r="E386" s="13">
        <v>750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3768.79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11767.120000000001</v>
      </c>
      <c r="R386" s="14">
        <f>IFERROR(Q386/Q446, "NA")</f>
      </c>
      <c r="S386" s="15"/>
      <c r="T386" s="13">
        <v>4500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17586.549999999999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51.469999999999999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13622.389999999999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64424.400000000001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t="16.5" customHeight="1">
      <c t="s" r="A390" s="18">
        <v>356</v>
      </c>
      <c r="B390" s="13">
        <v>6446.9799999999996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4539.0699999999997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33075.360000000001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21081.369999999999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t="16.5" customHeight="1">
      <c t="s" r="A391" s="18">
        <v>357</v>
      </c>
      <c r="B391" s="13">
        <v>3014.1900000000001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9868.8400000000001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26472.189999999999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54838.059999999998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t="16.5" customHeight="1">
      <c t="s" r="A393" s="18">
        <v>359</v>
      </c>
      <c r="B393" s="13">
        <v>2705.8000000000002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4240.2399999999998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17928.029999999999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24215.119999999999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t="16.5" customHeight="1">
      <c t="s" r="A395" s="12">
        <v>361</v>
      </c>
      <c r="B395" s="13">
        <v>5465.5100000000002</v>
      </c>
      <c r="C395" s="14">
        <f>IFERROR(B395/B446, "NA")</f>
      </c>
      <c r="D395" s="15"/>
      <c r="E395" s="13">
        <v>5189.4799999999996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5465.5100000000002</v>
      </c>
      <c r="R395" s="14">
        <f>IFERROR(Q395/Q446, "NA")</f>
      </c>
      <c r="S395" s="15"/>
      <c r="T395" s="13">
        <v>20952.959999999999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6612.0600000000004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t="16.5" customHeight="1">
      <c t="s" r="A396" s="12">
        <v>362</v>
      </c>
      <c r="B396" s="13">
        <v>276.98000000000002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770.52999999999997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t="16.5" customHeight="1">
      <c t="s" r="A398" s="26">
        <v>364</v>
      </c>
      <c r="B398" s="13">
        <v>21896.869999999999</v>
      </c>
      <c r="C398" s="14">
        <f>IFERROR(B398/B446, "NA")</f>
      </c>
      <c r="D398" s="15"/>
      <c r="E398" s="13">
        <v>9200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6516.9899999999998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71508.869999999995</v>
      </c>
      <c r="R398" s="14">
        <f>IFERROR(Q398/Q446, "NA")</f>
      </c>
      <c r="S398" s="15"/>
      <c r="T398" s="13">
        <v>44000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22317.259999999998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t="16.5" customHeight="1">
      <c t="s" r="A399" s="26">
        <v>365</v>
      </c>
      <c r="B399" s="13">
        <v>241.59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120.93000000000001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1247.8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703.84000000000003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t="16.5" customHeight="1">
      <c t="s" r="A400" s="26">
        <v>366</v>
      </c>
      <c r="B400" s="13">
        <v>150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2826.8400000000001</v>
      </c>
      <c r="R400" s="14">
        <f>IFERROR(Q400/Q446, "NA")</f>
      </c>
      <c r="S400" s="15"/>
      <c r="T400" s="13">
        <v>600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500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-13500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-67500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59.700000000000003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59.700000000000003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298.5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423.69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t="16.5" customHeight="1">
      <c t="s" r="A412" s="12">
        <v>377</v>
      </c>
      <c r="B412" s="13">
        <v>268.37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268.37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1341.8599999999999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1073.48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idden="1" ht="16.5" customHeight="1">
      <c t="s" r="A418" s="12">
        <v>383</v>
      </c>
      <c r="B418" s="13">
        <v>0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0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0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0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-2000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-3725.6900000000001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t="16.5" customHeight="1">
      <c t="s" r="A423" s="12">
        <v>388</v>
      </c>
      <c r="B423" s="13">
        <v>-512.16999999999996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5.21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t="16.5" customHeight="1">
      <c t="s" r="A424" s="12">
        <v>389</v>
      </c>
      <c r="B424" s="13">
        <v>-15118.23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-75661.800000000003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-3.8399999999999999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-1055.52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-16428.299999999999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-7409.0799999999999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-45843.370000000003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0</v>
      </c>
      <c r="C446" s="33"/>
      <c r="D446" s="15"/>
      <c r="E446" s="13">
        <v>0</v>
      </c>
      <c r="F446" s="33"/>
      <c r="G446" s="15"/>
      <c r="H446" s="16">
        <f>IFERROR(B446-E446, "NA")</f>
      </c>
      <c r="I446" s="33"/>
      <c r="J446" s="15"/>
      <c r="K446" s="13">
        <v>0</v>
      </c>
      <c r="L446" s="33"/>
      <c r="M446" s="15"/>
      <c r="N446" s="16">
        <f>IFERROR(B446-K446, "NA")</f>
      </c>
      <c r="O446" s="33"/>
      <c r="P446" s="15"/>
      <c r="Q446" s="13">
        <v>0</v>
      </c>
      <c r="R446" s="33"/>
      <c r="S446" s="15"/>
      <c r="T446" s="13">
        <v>0</v>
      </c>
      <c r="U446" s="33"/>
      <c r="V446" s="15"/>
      <c r="W446" s="16">
        <f>IFERROR(Q446-T446, "NA")</f>
      </c>
      <c r="X446" s="33"/>
      <c r="Y446" s="15"/>
      <c r="Z446" s="13">
        <v>0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414</v>
      </c>
      <c t="s" r="B3" s="3">
        <v>414</v>
      </c>
      <c t="s" r="C3" s="3">
        <v>414</v>
      </c>
      <c t="s" r="D3" s="3">
        <v>414</v>
      </c>
      <c t="s" r="E3" s="3">
        <v>414</v>
      </c>
      <c t="s" r="F3" s="3">
        <v>414</v>
      </c>
      <c t="s" r="G3" s="3">
        <v>414</v>
      </c>
      <c t="s" r="H3" s="3">
        <v>414</v>
      </c>
      <c t="s" r="I3" s="3">
        <v>414</v>
      </c>
      <c t="s" r="J3" s="3">
        <v>414</v>
      </c>
      <c t="s" r="K3" s="3">
        <v>414</v>
      </c>
      <c t="s" r="L3" s="3">
        <v>414</v>
      </c>
      <c t="s" r="M3" s="3">
        <v>414</v>
      </c>
      <c t="s" r="N3" s="3">
        <v>414</v>
      </c>
      <c t="s" r="O3" s="3">
        <v>414</v>
      </c>
      <c t="s" r="P3" s="3">
        <v>414</v>
      </c>
      <c t="s" r="Q3" s="3">
        <v>414</v>
      </c>
      <c t="s" r="R3" s="3">
        <v>414</v>
      </c>
      <c t="s" r="S3" s="3">
        <v>414</v>
      </c>
      <c t="s" r="T3" s="3">
        <v>414</v>
      </c>
      <c t="s" r="U3" s="3">
        <v>414</v>
      </c>
      <c t="s" r="V3" s="3">
        <v>414</v>
      </c>
      <c t="s" r="W3" s="3">
        <v>414</v>
      </c>
      <c t="s" r="X3" s="3">
        <v>414</v>
      </c>
      <c t="s" r="Y3" s="3">
        <v>414</v>
      </c>
      <c t="s" r="Z3" s="3">
        <v>414</v>
      </c>
      <c t="s" r="AA3" s="3">
        <v>414</v>
      </c>
      <c t="s" r="AB3" s="3">
        <v>414</v>
      </c>
      <c t="s" r="AC3" s="3">
        <v>414</v>
      </c>
      <c t="s" r="AD3" s="3">
        <v>414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42826.139999999999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202428.98000000001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38915.940000000002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40108.669999999998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177442.91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188503.07999999999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4536.8500000000004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4432.1000000000004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18362.75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19815.400000000001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151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363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901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1039.5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10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320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256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1565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5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29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262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187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0.31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3.6099999999999999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1.3500000000000001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9330.3099999999995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44102.169999999998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6218.3000000000002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1956.45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32706.150000000001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5978.3500000000004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25033.32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726.97000000000003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396.93000000000001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3460.8699999999999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3059.1300000000001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104.08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951.05999999999995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1655.24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8008.6999999999998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886.51999999999998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910.48000000000002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4133.1000000000004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4127.1099999999997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17727.599999999999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83794.130000000005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4981.0699999999997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3001.9299999999998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27691.259999999998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26394.310000000001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317.83999999999997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395.5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2167.9499999999998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2688.1599999999999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9046.8899999999994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7704.1599999999999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53510.980000000003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52835.75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407.44999999999999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2227.48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527.20000000000005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116.34999999999999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3090.8000000000002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18660.630000000001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88204.350000000006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5148.3000000000002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5601.6999999999998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22770.209999999999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28282.560000000001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t="16.5" customHeight="1">
      <c t="s" r="A47" s="23">
        <v>45</v>
      </c>
      <c r="B47" s="13">
        <v>669.65999999999997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860.07000000000005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1769.8599999999999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5411.3100000000004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2533.1500000000001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2874.8499999999999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8337.7399999999998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30309.950000000001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27.5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27.5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t="16.5" customHeight="1">
      <c t="s" r="A50" s="23">
        <v>48</v>
      </c>
      <c r="B50" s="13">
        <v>397.66000000000003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1340.6500000000001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12315.16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7890.5699999999997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5331.9300000000003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334.29000000000002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54.950000000000003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3735.79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3139.4899999999998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9516.9200000000001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44984.220000000001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7793.5699999999997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8552.2399999999998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39057.309999999998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10630.629999999999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2790.3600000000001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6091.6800000000003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1338.05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2177.6999999999998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4884.8199999999997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2177.6999999999998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18980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4320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19829.5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746.42999999999995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3528.1700000000001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197.30000000000001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343.07999999999998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1337.74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1014.9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t="16.5" customHeight="1">
      <c t="s" r="A78" s="18">
        <v>74</v>
      </c>
      <c r="B78" s="13">
        <v>25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50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75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275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233.97999999999999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257.87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817.38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2792.04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25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35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50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50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49.719999999999999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-368.50999999999999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33.710000000000001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-445.67000000000002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-5504.8900000000003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-26020.290000000001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-567.65999999999997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-819.20000000000005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-4843.8299999999999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-6051.8900000000003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-1392.5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-1699.8599999999999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-6328.4399999999996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-8715.4500000000007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-3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0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-376.38999999999999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-1296.1500000000001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-64.439999999999998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-722.64999999999998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-583.95000000000005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-4380.0100000000002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-4512.3299999999999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-48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-316.56999999999999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-342.32999999999998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-1611.6700000000001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-2298.98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-130.72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-532.22000000000003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-421.69999999999999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-768.09000000000003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19780.27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94021.229999999996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4569.4899999999998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4579.1999999999998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21216.98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22940.48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2333.2199999999998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3097.5100000000002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12412.84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12772.950000000001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4163.6199999999999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4798.9700000000003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18625.369999999999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17838.139999999999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1699.78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2126.1599999999999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9293.8799999999992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8587.0100000000002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1054.7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738.51999999999998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4688.9200000000001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3411.75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578.52999999999997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623.79999999999995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3198.9299999999998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3323.8000000000002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647.47000000000003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4803.46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570.92999999999995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539.45000000000005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2379.1799999999998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2308.25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5153.4399999999996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4519.54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28772.689999999999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22756.049999999999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1119.6400000000001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5292.2700000000004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799.21000000000004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1341.5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5687.5799999999999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5602.8599999999997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-31.710000000000001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193.30000000000001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394.79000000000002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660.33000000000004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111.37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33.32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499.49000000000001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-123.14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54.810000000000002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44.799999999999997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156.25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3732.1300000000001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17640.869999999999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2632.6700000000001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3031.1700000000001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13120.530000000001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14040.129999999999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671.48000000000002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617.67999999999995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6817.5600000000004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3255.0900000000001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74.200000000000003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514.46000000000004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233.56999999999999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2344.5700000000002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1512.0799999999999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2.3300000000000001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35.420000000000002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77.670000000000002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317.02999999999997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437.66000000000003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127.75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17.800000000000001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436.44999999999999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133.80000000000001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-783.28999999999996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-994.39999999999998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-4407.2200000000003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-8822.6800000000003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4649.8400000000001</v>
      </c>
      <c r="C178" s="14">
        <f>IFERROR(B178/B446, "NA")</f>
      </c>
      <c r="D178" s="15"/>
      <c r="E178" s="13">
        <v>4615.3999999999996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4615.3999999999996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25372.59</v>
      </c>
      <c r="R178" s="14">
        <f>IFERROR(Q178/Q446, "NA")</f>
      </c>
      <c r="S178" s="15"/>
      <c r="T178" s="13">
        <v>24230.849999999999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24230.849999999999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17652.630000000001</v>
      </c>
      <c r="C180" s="14">
        <f>IFERROR(B180/B446, "NA")</f>
      </c>
      <c r="D180" s="15"/>
      <c r="E180" s="13">
        <v>20340.09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19094.16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89020.5</v>
      </c>
      <c r="R180" s="14">
        <f>IFERROR(Q180/Q446, "NA")</f>
      </c>
      <c r="S180" s="15"/>
      <c r="T180" s="13">
        <v>89808.289999999994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84855.279999999999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30.93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625.75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236.21000000000001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810</v>
      </c>
      <c r="C184" s="14">
        <f>IFERROR(B184/B446, "NA")</f>
      </c>
      <c r="D184" s="15"/>
      <c r="E184" s="13">
        <v>165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300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1180</v>
      </c>
      <c r="R184" s="14">
        <f>IFERROR(Q184/Q446, "NA")</f>
      </c>
      <c r="S184" s="15"/>
      <c r="T184" s="13">
        <v>935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1500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2342.52</v>
      </c>
      <c r="C186" s="14">
        <f>IFERROR(B186/B446, "NA")</f>
      </c>
      <c r="D186" s="15"/>
      <c r="E186" s="13">
        <v>2865.7600000000002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2620.1199999999999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12987.93</v>
      </c>
      <c r="R186" s="14">
        <f>IFERROR(Q186/Q446, "NA")</f>
      </c>
      <c r="S186" s="15"/>
      <c r="T186" s="13">
        <v>15237.959999999999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14247.43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230.61000000000001</v>
      </c>
      <c r="C194" s="14">
        <f>IFERROR(B194/B446, "NA")</f>
      </c>
      <c r="D194" s="15"/>
      <c r="E194" s="13">
        <v>200.96000000000001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224.72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1385.4300000000001</v>
      </c>
      <c r="R194" s="14">
        <f>IFERROR(Q194/Q446, "NA")</f>
      </c>
      <c r="S194" s="15"/>
      <c r="T194" s="13">
        <v>919.78999999999996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1188.26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3.5699999999999998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-172.78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7.1299999999999999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-918.32000000000005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314.19999999999999</v>
      </c>
      <c r="C202" s="14">
        <f>IFERROR(B202/B446, "NA")</f>
      </c>
      <c r="D202" s="15"/>
      <c r="E202" s="13">
        <v>746.42999999999995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526.16999999999996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2042.4000000000001</v>
      </c>
      <c r="R202" s="14">
        <f>IFERROR(Q202/Q446, "NA")</f>
      </c>
      <c r="S202" s="15"/>
      <c r="T202" s="13">
        <v>3528.1700000000001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3392.0599999999999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401.27999999999997</v>
      </c>
      <c r="C203" s="14">
        <f>IFERROR(B203/B446, "NA")</f>
      </c>
      <c r="D203" s="15"/>
      <c r="E203" s="13">
        <v>839.73000000000002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491.16000000000003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3035.8899999999999</v>
      </c>
      <c r="R203" s="14">
        <f>IFERROR(Q203/Q446, "NA")</f>
      </c>
      <c r="S203" s="15"/>
      <c r="T203" s="13">
        <v>3969.1999999999998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3708.4899999999998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285.38999999999999</v>
      </c>
      <c r="C204" s="14">
        <f>IFERROR(B204/B446, "NA")</f>
      </c>
      <c r="D204" s="15"/>
      <c r="E204" s="13">
        <v>186.61000000000001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351.13999999999999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1021.8</v>
      </c>
      <c r="R204" s="14">
        <f>IFERROR(Q204/Q446, "NA")</f>
      </c>
      <c r="S204" s="15"/>
      <c r="T204" s="13">
        <v>882.04999999999995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839.47000000000003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356.38999999999999</v>
      </c>
      <c r="C205" s="14">
        <f>IFERROR(B205/B446, "NA")</f>
      </c>
      <c r="D205" s="15"/>
      <c r="E205" s="13">
        <v>279.91000000000003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358.88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1766.95</v>
      </c>
      <c r="R205" s="14">
        <f>IFERROR(Q205/Q446, "NA")</f>
      </c>
      <c r="S205" s="15"/>
      <c r="T205" s="13">
        <v>1323.0599999999999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1807.6199999999999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5.0499999999999998</v>
      </c>
      <c r="C206" s="14">
        <f>IFERROR(B206/B446, "NA")</f>
      </c>
      <c r="D206" s="15"/>
      <c r="E206" s="13">
        <v>93.299999999999997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238.53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631.89999999999998</v>
      </c>
      <c r="R206" s="14">
        <f>IFERROR(Q206/Q446, "NA")</f>
      </c>
      <c r="S206" s="15"/>
      <c r="T206" s="13">
        <v>441.01999999999998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249.33000000000001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488.66000000000003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156.74000000000001</v>
      </c>
      <c r="R207" s="14">
        <f>IFERROR(Q207/Q446, "NA")</f>
      </c>
      <c r="S207" s="15"/>
      <c r="T207" s="13">
        <v>500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588.25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0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32.869999999999997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170.28999999999999</v>
      </c>
      <c r="R208" s="14">
        <f>IFERROR(Q208/Q446, "NA")</f>
      </c>
      <c r="S208" s="15"/>
      <c r="T208" s="13">
        <v>500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943.90999999999997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2705.79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12789.629999999999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557.73000000000002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284.38999999999999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3345.2199999999998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6082.4700000000003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idden="1" ht="16.5" customHeight="1">
      <c t="s" r="A215" s="18">
        <v>195</v>
      </c>
      <c r="B215" s="13">
        <v>0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0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40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45.380000000000003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230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61.090000000000003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1326.97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1420.05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10317.57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10618.940000000001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218.16999999999999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62.5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1038.76</v>
      </c>
      <c r="R222" s="14">
        <f>IFERROR(Q222/Q446, "NA")</f>
      </c>
      <c r="S222" s="15"/>
      <c r="T222" s="13">
        <v>500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693.45000000000005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746.42999999999995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3528.1700000000001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83.950000000000003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91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126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608.04999999999995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467.92000000000002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433.48000000000002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2512.46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3514.46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24.879999999999999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97.890000000000001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5038.3699999999999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23815.169999999998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t="16.5" customHeight="1">
      <c t="s" r="A241" s="18">
        <v>218</v>
      </c>
      <c r="B241" s="13">
        <v>114.62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55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304.41000000000003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776.13999999999999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598.92999999999995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379.06999999999999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3281.4299999999998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2807.3499999999999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415.75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425.48000000000002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1396.8900000000001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4828.29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1613.71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1744.1400000000001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7874.4499999999998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2181.3600000000001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70.689999999999998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115.67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482.75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728.58000000000004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205.72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211.28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1018.1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1016.71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1876.75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1103.1900000000001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9788.0300000000007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7429.2700000000004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271.29000000000002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29.09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933.95000000000005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781.97000000000003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279.11000000000001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649.26999999999998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267.61000000000001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544.41999999999996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755.17999999999995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544.41999999999996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864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3965.9000000000001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2522.0999999999999</v>
      </c>
      <c r="C266" s="14">
        <f>IFERROR(B266/B446, "NA")</f>
      </c>
      <c r="D266" s="15"/>
      <c r="E266" s="13">
        <v>2519.1799999999998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2396.3299999999999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11861.379999999999</v>
      </c>
      <c r="R266" s="14">
        <f>IFERROR(Q266/Q446, "NA")</f>
      </c>
      <c r="S266" s="15"/>
      <c r="T266" s="13">
        <v>11907.58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11261.1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139.86000000000001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398.48000000000002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267</v>
      </c>
      <c r="C271" s="14">
        <f>IFERROR(B271/B446, "NA")</f>
      </c>
      <c r="D271" s="15"/>
      <c r="E271" s="13">
        <v>236.72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218.47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1335</v>
      </c>
      <c r="R271" s="14">
        <f>IFERROR(Q271/Q446, "NA")</f>
      </c>
      <c r="S271" s="15"/>
      <c r="T271" s="13">
        <v>1183.5999999999999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1092.3499999999999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1142.46</v>
      </c>
      <c r="C272" s="14">
        <f>IFERROR(B272/B446, "NA")</f>
      </c>
      <c r="D272" s="15"/>
      <c r="E272" s="13">
        <v>1078.3299999999999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1196.0699999999999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5712.3000000000002</v>
      </c>
      <c r="R272" s="14">
        <f>IFERROR(Q272/Q446, "NA")</f>
      </c>
      <c r="S272" s="15"/>
      <c r="T272" s="13">
        <v>5391.6499999999996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6024.6099999999997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t="16.5" customHeight="1">
      <c t="s" r="A288" s="12">
        <v>261</v>
      </c>
      <c r="B288" s="13">
        <v>1067.5899999999999</v>
      </c>
      <c r="C288" s="14">
        <f>IFERROR(B288/B446, "NA")</f>
      </c>
      <c r="D288" s="15"/>
      <c r="E288" s="13">
        <v>971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970.52999999999997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5337.9499999999998</v>
      </c>
      <c r="R288" s="14">
        <f>IFERROR(Q288/Q446, "NA")</f>
      </c>
      <c r="S288" s="15"/>
      <c r="T288" s="13">
        <v>4855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4852.6499999999996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260.13</v>
      </c>
      <c r="C289" s="14">
        <f>IFERROR(B289/B446, "NA")</f>
      </c>
      <c r="D289" s="15"/>
      <c r="E289" s="13">
        <v>263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371.94999999999999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1300.6500000000001</v>
      </c>
      <c r="R289" s="14">
        <f>IFERROR(Q289/Q446, "NA")</f>
      </c>
      <c r="S289" s="15"/>
      <c r="T289" s="13">
        <v>1315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1859.75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242.33000000000001</v>
      </c>
      <c r="C290" s="14">
        <f>IFERROR(B290/B446, "NA")</f>
      </c>
      <c r="D290" s="15"/>
      <c r="E290" s="13">
        <v>224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218.66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1431.8599999999999</v>
      </c>
      <c r="R290" s="14">
        <f>IFERROR(Q290/Q446, "NA")</f>
      </c>
      <c r="S290" s="15"/>
      <c r="T290" s="13">
        <v>1120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1228.1800000000001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0</v>
      </c>
      <c r="C291" s="14">
        <f>IFERROR(B291/B446, "NA")</f>
      </c>
      <c r="D291" s="15"/>
      <c r="E291" s="13">
        <v>373.20999999999998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250.96000000000001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2665.6599999999999</v>
      </c>
      <c r="R291" s="14">
        <f>IFERROR(Q291/Q446, "NA")</f>
      </c>
      <c r="S291" s="15"/>
      <c r="T291" s="13">
        <v>1650.6300000000001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1353.6700000000001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775.72000000000003</v>
      </c>
      <c r="C292" s="14">
        <f>IFERROR(B292/B446, "NA")</f>
      </c>
      <c r="D292" s="15"/>
      <c r="E292" s="13">
        <v>373.20999999999998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7292.3500000000004</v>
      </c>
      <c r="R292" s="14">
        <f>IFERROR(Q292/Q446, "NA")</f>
      </c>
      <c r="S292" s="15"/>
      <c r="T292" s="13">
        <v>1764.0899999999999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1684.8299999999999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279.91000000000003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1323.0599999999999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1703.6900000000001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139.94999999999999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661.51999999999998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300</v>
      </c>
      <c r="C295" s="14">
        <f>IFERROR(B295/B446, "NA")</f>
      </c>
      <c r="D295" s="15"/>
      <c r="E295" s="13">
        <v>350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408.32999999999998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1499.97</v>
      </c>
      <c r="R295" s="14">
        <f>IFERROR(Q295/Q446, "NA")</f>
      </c>
      <c r="S295" s="15"/>
      <c r="T295" s="13">
        <v>1750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1880.6099999999999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510.39999999999998</v>
      </c>
      <c r="C300" s="14">
        <f>IFERROR(B300/B446, "NA")</f>
      </c>
      <c r="D300" s="15"/>
      <c r="E300" s="13">
        <v>489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1380.4200000000001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2509.0700000000002</v>
      </c>
      <c r="R300" s="14">
        <f>IFERROR(Q300/Q446, "NA")</f>
      </c>
      <c r="S300" s="15"/>
      <c r="T300" s="13">
        <v>2445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3634.48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35.880000000000003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134.63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-57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281.54000000000002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87.969999999999999</v>
      </c>
      <c r="R311" s="14">
        <f>IFERROR(Q311/Q446, "NA")</f>
      </c>
      <c r="S311" s="15"/>
      <c r="T311" s="13">
        <v>275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525.00999999999999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26.73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182.08000000000001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220.71000000000001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2340.5</v>
      </c>
      <c r="R313" s="14">
        <f>IFERROR(Q313/Q446, "NA")</f>
      </c>
      <c r="S313" s="15"/>
      <c r="T313" s="13">
        <v>175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414.19999999999999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8.3699999999999992</v>
      </c>
      <c r="C314" s="14">
        <f>IFERROR(B314/B446, "NA")</f>
      </c>
      <c r="D314" s="15"/>
      <c r="E314" s="13">
        <v>25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28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135.91999999999999</v>
      </c>
      <c r="R314" s="14">
        <f>IFERROR(Q314/Q446, "NA")</f>
      </c>
      <c r="S314" s="15"/>
      <c r="T314" s="13">
        <v>125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103.05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-1.6100000000000001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290.20999999999998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414.56999999999999</v>
      </c>
      <c r="C319" s="14">
        <f>IFERROR(B319/B446, "NA")</f>
      </c>
      <c r="D319" s="15"/>
      <c r="E319" s="13">
        <v>415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414.56999999999999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2072.8499999999999</v>
      </c>
      <c r="R319" s="14">
        <f>IFERROR(Q319/Q446, "NA")</f>
      </c>
      <c r="S319" s="15"/>
      <c r="T319" s="13">
        <v>2075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2072.8499999999999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149.56</v>
      </c>
      <c r="C320" s="14">
        <f>IFERROR(B320/B446, "NA")</f>
      </c>
      <c r="D320" s="15"/>
      <c r="E320" s="13">
        <v>150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149.55000000000001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748.07000000000005</v>
      </c>
      <c r="R320" s="14">
        <f>IFERROR(Q320/Q446, "NA")</f>
      </c>
      <c r="S320" s="15"/>
      <c r="T320" s="13">
        <v>750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747.83000000000004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1472.0999999999999</v>
      </c>
      <c r="C321" s="14">
        <f>IFERROR(B321/B446, "NA")</f>
      </c>
      <c r="D321" s="15"/>
      <c r="E321" s="13">
        <v>1242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1088.49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7398.0100000000002</v>
      </c>
      <c r="R321" s="14">
        <f>IFERROR(Q321/Q446, "NA")</f>
      </c>
      <c r="S321" s="15"/>
      <c r="T321" s="13">
        <v>6210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5335.5100000000002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783.28999999999996</v>
      </c>
      <c r="C322" s="14">
        <f>IFERROR(B322/B446, "NA")</f>
      </c>
      <c r="D322" s="15"/>
      <c r="E322" s="13">
        <v>1399.55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994.39999999999998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4407.2200000000003</v>
      </c>
      <c r="R322" s="14">
        <f>IFERROR(Q322/Q446, "NA")</f>
      </c>
      <c r="S322" s="15"/>
      <c r="T322" s="13">
        <v>6549.75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8822.6800000000003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138.44999999999999</v>
      </c>
      <c r="C323" s="14">
        <f>IFERROR(B323/B446, "NA")</f>
      </c>
      <c r="D323" s="15"/>
      <c r="E323" s="13">
        <v>250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162.27000000000001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1221.6900000000001</v>
      </c>
      <c r="R323" s="14">
        <f>IFERROR(Q323/Q446, "NA")</f>
      </c>
      <c r="S323" s="15"/>
      <c r="T323" s="13">
        <v>1250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1591.47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4735.6999999999998</v>
      </c>
      <c r="C330" s="14">
        <f>IFERROR(B330/B446, "NA")</f>
      </c>
      <c r="D330" s="15"/>
      <c r="E330" s="13">
        <v>4735.6999999999998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4597.7600000000002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23678.5</v>
      </c>
      <c r="R330" s="14">
        <f>IFERROR(Q330/Q446, "NA")</f>
      </c>
      <c r="S330" s="15"/>
      <c r="T330" s="13">
        <v>23678.5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22988.799999999999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1736.5999999999999</v>
      </c>
      <c r="C331" s="14">
        <f>IFERROR(B331/B446, "NA")</f>
      </c>
      <c r="D331" s="15"/>
      <c r="E331" s="13">
        <v>1736.5999999999999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1686.02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11540.59</v>
      </c>
      <c r="R331" s="14">
        <f>IFERROR(Q331/Q446, "NA")</f>
      </c>
      <c r="S331" s="15"/>
      <c r="T331" s="13">
        <v>8683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9681.2099999999991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1881.98</v>
      </c>
      <c r="C334" s="14">
        <f>IFERROR(B334/B446, "NA")</f>
      </c>
      <c r="D334" s="15"/>
      <c r="E334" s="13">
        <v>1914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1913.97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9025.6900000000005</v>
      </c>
      <c r="R334" s="14">
        <f>IFERROR(Q334/Q446, "NA")</f>
      </c>
      <c r="S334" s="15"/>
      <c r="T334" s="13">
        <v>9570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8811.1100000000006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-364.64999999999998</v>
      </c>
      <c r="C335" s="14">
        <f>IFERROR(B335/B446, "NA")</f>
      </c>
      <c r="D335" s="15"/>
      <c r="E335" s="13">
        <v>-364.64999999999998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-354.02999999999997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-729.29999999999995</v>
      </c>
      <c r="R335" s="14">
        <f>IFERROR(Q335/Q446, "NA")</f>
      </c>
      <c r="S335" s="15"/>
      <c r="T335" s="13">
        <v>-729.29999999999995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-708.05999999999995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2113.3699999999999</v>
      </c>
      <c r="C339" s="14">
        <f>IFERROR(B339/B446, "NA")</f>
      </c>
      <c r="D339" s="15"/>
      <c r="E339" s="13">
        <v>2705.79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2674.6900000000001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11182.26</v>
      </c>
      <c r="R339" s="14">
        <f>IFERROR(Q339/Q446, "NA")</f>
      </c>
      <c r="S339" s="15"/>
      <c r="T339" s="13">
        <v>12789.629999999999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12003.209999999999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382.41000000000003</v>
      </c>
      <c r="C340" s="14">
        <f>IFERROR(B340/B446, "NA")</f>
      </c>
      <c r="D340" s="15"/>
      <c r="E340" s="13">
        <v>373.20999999999998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340.29000000000002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2051.46</v>
      </c>
      <c r="R340" s="14">
        <f>IFERROR(Q340/Q446, "NA")</f>
      </c>
      <c r="S340" s="15"/>
      <c r="T340" s="13">
        <v>1764.0899999999999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1620.48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803.12</v>
      </c>
      <c r="C341" s="14">
        <f>IFERROR(B341/B446, "NA")</f>
      </c>
      <c r="D341" s="15"/>
      <c r="E341" s="13">
        <v>373.20999999999998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461.55000000000001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3069.96</v>
      </c>
      <c r="R341" s="14">
        <f>IFERROR(Q341/Q446, "NA")</f>
      </c>
      <c r="S341" s="15"/>
      <c r="T341" s="13">
        <v>1764.0899999999999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2164.21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4147.8999999999996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20342.599999999999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5570.3199999999997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3879.2600000000002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26008.119999999999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19303.75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-21.239999999999998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-95.769999999999996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-3.5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-85.299999999999997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112.19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t="16.5" customHeight="1">
      <c t="s" r="A426" s="12">
        <v>391</v>
      </c>
      <c r="B426" s="13">
        <v>67.079999999999998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47.920000000000002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335.39999999999998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239.59999999999999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12875.209999999999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-109.87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-131.31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-554.44000000000005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-666.83000000000004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87280.789999999994</v>
      </c>
      <c r="C446" s="33"/>
      <c r="D446" s="15"/>
      <c r="E446" s="13">
        <v>93303.139999999999</v>
      </c>
      <c r="F446" s="33"/>
      <c r="G446" s="15"/>
      <c r="H446" s="16">
        <f>IFERROR(B446-E446, "NA")</f>
      </c>
      <c r="I446" s="33"/>
      <c r="J446" s="15"/>
      <c r="K446" s="13">
        <v>85305.729999999996</v>
      </c>
      <c r="L446" s="33"/>
      <c r="M446" s="15"/>
      <c r="N446" s="16">
        <f>IFERROR(B446-K446, "NA")</f>
      </c>
      <c r="O446" s="33"/>
      <c r="P446" s="15"/>
      <c r="Q446" s="13">
        <v>447342.79999999999</v>
      </c>
      <c r="R446" s="33"/>
      <c r="S446" s="15"/>
      <c r="T446" s="13">
        <v>441021.72999999998</v>
      </c>
      <c r="U446" s="33"/>
      <c r="V446" s="15"/>
      <c r="W446" s="16">
        <f>IFERROR(Q446-T446, "NA")</f>
      </c>
      <c r="X446" s="33"/>
      <c r="Y446" s="15"/>
      <c r="Z446" s="13">
        <v>410508.90999999997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415</v>
      </c>
      <c t="s" r="B3" s="3">
        <v>415</v>
      </c>
      <c t="s" r="C3" s="3">
        <v>415</v>
      </c>
      <c t="s" r="D3" s="3">
        <v>415</v>
      </c>
      <c t="s" r="E3" s="3">
        <v>415</v>
      </c>
      <c t="s" r="F3" s="3">
        <v>415</v>
      </c>
      <c t="s" r="G3" s="3">
        <v>415</v>
      </c>
      <c t="s" r="H3" s="3">
        <v>415</v>
      </c>
      <c t="s" r="I3" s="3">
        <v>415</v>
      </c>
      <c t="s" r="J3" s="3">
        <v>415</v>
      </c>
      <c t="s" r="K3" s="3">
        <v>415</v>
      </c>
      <c t="s" r="L3" s="3">
        <v>415</v>
      </c>
      <c t="s" r="M3" s="3">
        <v>415</v>
      </c>
      <c t="s" r="N3" s="3">
        <v>415</v>
      </c>
      <c t="s" r="O3" s="3">
        <v>415</v>
      </c>
      <c t="s" r="P3" s="3">
        <v>415</v>
      </c>
      <c t="s" r="Q3" s="3">
        <v>415</v>
      </c>
      <c t="s" r="R3" s="3">
        <v>415</v>
      </c>
      <c t="s" r="S3" s="3">
        <v>415</v>
      </c>
      <c t="s" r="T3" s="3">
        <v>415</v>
      </c>
      <c t="s" r="U3" s="3">
        <v>415</v>
      </c>
      <c t="s" r="V3" s="3">
        <v>415</v>
      </c>
      <c t="s" r="W3" s="3">
        <v>415</v>
      </c>
      <c t="s" r="X3" s="3">
        <v>415</v>
      </c>
      <c t="s" r="Y3" s="3">
        <v>415</v>
      </c>
      <c t="s" r="Z3" s="3">
        <v>415</v>
      </c>
      <c t="s" r="AA3" s="3">
        <v>415</v>
      </c>
      <c t="s" r="AB3" s="3">
        <v>415</v>
      </c>
      <c t="s" r="AC3" s="3">
        <v>415</v>
      </c>
      <c t="s" r="AD3" s="3">
        <v>415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53923.480000000003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268770.69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44342.989999999998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46276.470000000001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224651.76999999999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225047.56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5320.4499999999998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5300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23722.25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21051.490000000002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160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231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706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1628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10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645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140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2285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65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192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225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506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0.47999999999999998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0.59999999999999998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15984.459999999999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79671.320000000007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6732.0500000000002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4179.4499999999998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35195.300000000003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8516.1599999999999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32654.830000000002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1056.6300000000001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1229.0599999999999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6473.2700000000004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7807.7399999999998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254.84999999999999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1418.28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1727.9200000000001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2252.0300000000002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14254.85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13782.34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898.5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808.64999999999998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4336.7600000000002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3953.4000000000001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42753.610000000001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213096.75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15806.719999999999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12426.48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98915.259999999995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94142.979999999996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1124.24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2724.5999999999999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6609.7700000000004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11951.559999999999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22877.560000000001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16780.939999999999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138667.75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111225.31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2151.3299999999999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8325.7199999999993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2664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904.59000000000003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11874.75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65671.089999999997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327324.28999999998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9852.8700000000008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14130.15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47471.860000000001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66330.309999999998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33137.980000000003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45401.290000000001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214116.57999999999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205148.73000000001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2141.23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t="16.5" customHeight="1">
      <c t="s" r="A51" s="23">
        <v>49</v>
      </c>
      <c r="B51" s="13">
        <v>1782.5599999999999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3032.1100000000001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10773.620000000001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16256.98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12600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4000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4000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11.65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15.65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11.65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155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290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16754.790000000001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83510.880000000005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3505.4200000000001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15529.27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2925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9359.3999999999996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12827.48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61464.459999999999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55281.019999999997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9882.75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760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2284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1353.8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5392.3500000000004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26877.07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897.96000000000004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1380.6900000000001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4281.3199999999997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6134.7600000000002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2810.9299999999998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4422.1599999999999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20859.389999999999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18815.110000000001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988.27999999999997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-51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15.99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35.75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-536.59000000000003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-7895.9399999999996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-39355.699999999997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-1004.35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-1731.25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-6170.3800000000001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-10933.4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-1924.4000000000001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-1987.3699999999999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-7769.5200000000004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-9470.0799999999999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-228.71000000000001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-425.87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-2417.5500000000002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-2514.3899999999999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-78.069999999999993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-1840.52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-2080.8299999999999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-9772.3799999999992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-8425.3099999999995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-22.649999999999999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-108.65000000000001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-361.49000000000001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-709.41999999999996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-2984.21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-3435.5599999999999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-121.47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-75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-847.22000000000003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-1762.0599999999999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39287.110000000001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197382.5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8333.8799999999992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9346.6599999999999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44617.18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48058.510000000002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4234.4300000000003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4702.2700000000004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24081.98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24869.66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6630.0799999999999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8104.3100000000004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33606.169999999998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34693.610000000001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3577.5500000000002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3869.4099999999999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19725.799999999999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19012.41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2001.5899999999999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1502.6099999999999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9679.8899999999994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7401.5600000000004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1447.6800000000001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1575.54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9134.7900000000009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8362.9699999999993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947.37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6328.6499999999996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637.04999999999995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826.29999999999995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3727.5599999999999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3986.5799999999999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9234.8799999999992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10632.73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55751.300000000003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48828.639999999999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1733.25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8639.0499999999993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1750.53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2169.75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9637.6399999999994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8395.6900000000005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30.739999999999998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1413.78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191.86000000000001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482.39999999999998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2.3999999999999999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190.03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18.390000000000001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1049.54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14.16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54.509999999999998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71.909999999999997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141.71000000000001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7895.9399999999996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39355.699999999997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4425.3599999999997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5096.6700000000001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23396.459999999999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23977.73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2285.3099999999999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2568.1100000000001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14327.49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13937.559999999999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118.69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263.89999999999998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178.50999999999999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1369.05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786.75999999999999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132.83000000000001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179.97999999999999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939.82000000000005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712.21000000000004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188.5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59.600000000000001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696.67999999999995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274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-1370.23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-1743.47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-7052.6199999999999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-12275.02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10076.92</v>
      </c>
      <c r="C178" s="14">
        <f>IFERROR(B178/B446, "NA")</f>
      </c>
      <c r="D178" s="15"/>
      <c r="E178" s="13">
        <v>10278.459999999999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10076.92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52903.830000000002</v>
      </c>
      <c r="R178" s="14">
        <f>IFERROR(Q178/Q446, "NA")</f>
      </c>
      <c r="S178" s="15"/>
      <c r="T178" s="13">
        <v>53306.910000000003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52903.830000000002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24135.490000000002</v>
      </c>
      <c r="C180" s="14">
        <f>IFERROR(B180/B446, "NA")</f>
      </c>
      <c r="D180" s="15"/>
      <c r="E180" s="13">
        <v>30428.25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29076.75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137436.82000000001</v>
      </c>
      <c r="R180" s="14">
        <f>IFERROR(Q180/Q446, "NA")</f>
      </c>
      <c r="S180" s="15"/>
      <c r="T180" s="13">
        <v>149002.44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141373.10000000001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774.22000000000003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487.19999999999999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3249.8099999999999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3150.0100000000002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624</v>
      </c>
      <c r="C184" s="14">
        <f>IFERROR(B184/B446, "NA")</f>
      </c>
      <c r="D184" s="15"/>
      <c r="E184" s="13">
        <v>862.5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1150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1576</v>
      </c>
      <c r="R184" s="14">
        <f>IFERROR(Q184/Q446, "NA")</f>
      </c>
      <c r="S184" s="15"/>
      <c r="T184" s="13">
        <v>4462.5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5750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3596.7399999999998</v>
      </c>
      <c r="C186" s="14">
        <f>IFERROR(B186/B446, "NA")</f>
      </c>
      <c r="D186" s="15"/>
      <c r="E186" s="13">
        <v>4178.8599999999997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3832.0599999999999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21419.540000000001</v>
      </c>
      <c r="R186" s="14">
        <f>IFERROR(Q186/Q446, "NA")</f>
      </c>
      <c r="S186" s="15"/>
      <c r="T186" s="13">
        <v>22010.610000000001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20481.040000000001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242.03999999999999</v>
      </c>
      <c r="C194" s="14">
        <f>IFERROR(B194/B446, "NA")</f>
      </c>
      <c r="D194" s="15"/>
      <c r="E194" s="13">
        <v>332.55000000000001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275.60000000000002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1318.05</v>
      </c>
      <c r="R194" s="14">
        <f>IFERROR(Q194/Q446, "NA")</f>
      </c>
      <c r="S194" s="15"/>
      <c r="T194" s="13">
        <v>1654.1700000000001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1387.54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239.37</v>
      </c>
      <c r="C195" s="14">
        <f>IFERROR(B195/B446, "NA")</f>
      </c>
      <c r="D195" s="15"/>
      <c r="E195" s="13">
        <v>577.75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381.85000000000002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1135.5999999999999</v>
      </c>
      <c r="R195" s="14">
        <f>IFERROR(Q195/Q446, "NA")</f>
      </c>
      <c r="S195" s="15"/>
      <c r="T195" s="13">
        <v>2879.6799999999998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1909.25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1549.72</v>
      </c>
      <c r="C202" s="14">
        <f>IFERROR(B202/B446, "NA")</f>
      </c>
      <c r="D202" s="15"/>
      <c r="E202" s="13">
        <v>1733.25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1632.1300000000001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9519.4200000000001</v>
      </c>
      <c r="R202" s="14">
        <f>IFERROR(Q202/Q446, "NA")</f>
      </c>
      <c r="S202" s="15"/>
      <c r="T202" s="13">
        <v>8639.0499999999993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7009.6400000000003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831.39999999999998</v>
      </c>
      <c r="C203" s="14">
        <f>IFERROR(B203/B446, "NA")</f>
      </c>
      <c r="D203" s="15"/>
      <c r="E203" s="13">
        <v>1155.5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975.08000000000004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5265.9399999999996</v>
      </c>
      <c r="R203" s="14">
        <f>IFERROR(Q203/Q446, "NA")</f>
      </c>
      <c r="S203" s="15"/>
      <c r="T203" s="13">
        <v>5759.3800000000001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6506.25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316.00999999999999</v>
      </c>
      <c r="C204" s="14">
        <f>IFERROR(B204/B446, "NA")</f>
      </c>
      <c r="D204" s="15"/>
      <c r="E204" s="13">
        <v>385.17000000000002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359.13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1490</v>
      </c>
      <c r="R204" s="14">
        <f>IFERROR(Q204/Q446, "NA")</f>
      </c>
      <c r="S204" s="15"/>
      <c r="T204" s="13">
        <v>1919.8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771.72000000000003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697.03999999999996</v>
      </c>
      <c r="C205" s="14">
        <f>IFERROR(B205/B446, "NA")</f>
      </c>
      <c r="D205" s="15"/>
      <c r="E205" s="13">
        <v>577.75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739.02999999999997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3108.6900000000001</v>
      </c>
      <c r="R205" s="14">
        <f>IFERROR(Q205/Q446, "NA")</f>
      </c>
      <c r="S205" s="15"/>
      <c r="T205" s="13">
        <v>2879.6799999999998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3734.0700000000002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26.940000000000001</v>
      </c>
      <c r="C206" s="14">
        <f>IFERROR(B206/B446, "NA")</f>
      </c>
      <c r="D206" s="15"/>
      <c r="E206" s="13">
        <v>192.58000000000001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293.61000000000001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498.70999999999998</v>
      </c>
      <c r="R206" s="14">
        <f>IFERROR(Q206/Q446, "NA")</f>
      </c>
      <c r="S206" s="15"/>
      <c r="T206" s="13">
        <v>959.88999999999999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587.42999999999995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488.69999999999999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247.78</v>
      </c>
      <c r="R207" s="14">
        <f>IFERROR(Q207/Q446, "NA")</f>
      </c>
      <c r="S207" s="15"/>
      <c r="T207" s="13">
        <v>500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588.29999999999995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181.22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282.13999999999999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944.20000000000005</v>
      </c>
      <c r="R208" s="14">
        <f>IFERROR(Q208/Q446, "NA")</f>
      </c>
      <c r="S208" s="15"/>
      <c r="T208" s="13">
        <v>500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918.71000000000004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7318.1899999999996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36476.040000000001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1599.97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1103.73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13278.77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22327.630000000001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900.12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6182.6899999999996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120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275.88999999999999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478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390.88999999999999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2319.4299999999998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3207.5500000000002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25081.419999999998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23576.889999999999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243.16999999999999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87.5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2010.3199999999999</v>
      </c>
      <c r="R222" s="14">
        <f>IFERROR(Q222/Q446, "NA")</f>
      </c>
      <c r="S222" s="15"/>
      <c r="T222" s="13">
        <v>500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1441.3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4236.8400000000001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21117.689999999999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427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2003.8099999999999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t="16.5" customHeight="1">
      <c t="s" r="A233" s="12">
        <v>212</v>
      </c>
      <c r="B233" s="13">
        <v>57.899999999999999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382.66000000000003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3621.6300000000001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3919.04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20930.110000000001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18543.810000000001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100.48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291.19999999999999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16369.629999999999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81591.100000000006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2432.9000000000001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1895.4300000000001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14556.370000000001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12284.200000000001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5281.1599999999999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7464.7700000000004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36215.68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34080.120000000003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734.34000000000003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3224.1300000000001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590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240.83000000000001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809.65999999999997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1348.4100000000001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3537.5999999999999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267.5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246.65000000000001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1065.3599999999999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976.39999999999998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4756.8400000000001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2872.5799999999999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25515.959999999999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18197.049999999999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2238.7199999999998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2565.52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12659.370000000001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10974.5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328.81999999999999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456.80000000000001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4384.1800000000003</v>
      </c>
      <c r="C266" s="14">
        <f>IFERROR(B266/B446, "NA")</f>
      </c>
      <c r="D266" s="15"/>
      <c r="E266" s="13">
        <v>4622.0100000000002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4478.5100000000002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24765.580000000002</v>
      </c>
      <c r="R266" s="14">
        <f>IFERROR(Q266/Q446, "NA")</f>
      </c>
      <c r="S266" s="15"/>
      <c r="T266" s="13">
        <v>23037.490000000002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21469.02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241.5</v>
      </c>
      <c r="C271" s="14">
        <f>IFERROR(B271/B446, "NA")</f>
      </c>
      <c r="D271" s="15"/>
      <c r="E271" s="13">
        <v>236.63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229.69999999999999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1207.5</v>
      </c>
      <c r="R271" s="14">
        <f>IFERROR(Q271/Q446, "NA")</f>
      </c>
      <c r="S271" s="15"/>
      <c r="T271" s="13">
        <v>1183.1500000000001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1148.5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1068.3</v>
      </c>
      <c r="C272" s="14">
        <f>IFERROR(B272/B446, "NA")</f>
      </c>
      <c r="D272" s="15"/>
      <c r="E272" s="13">
        <v>1068.3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852.79999999999995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5341.5</v>
      </c>
      <c r="R272" s="14">
        <f>IFERROR(Q272/Q446, "NA")</f>
      </c>
      <c r="S272" s="15"/>
      <c r="T272" s="13">
        <v>5341.5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4264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t="16.5" customHeight="1">
      <c t="s" r="A273" s="12">
        <v>248</v>
      </c>
      <c r="B273" s="13">
        <v>199.27000000000001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996.35000000000002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145.75</v>
      </c>
      <c r="C289" s="14">
        <f>IFERROR(B289/B446, "NA")</f>
      </c>
      <c r="D289" s="15"/>
      <c r="E289" s="13">
        <v>146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146.84999999999999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728.75</v>
      </c>
      <c r="R289" s="14">
        <f>IFERROR(Q289/Q446, "NA")</f>
      </c>
      <c r="S289" s="15"/>
      <c r="T289" s="13">
        <v>730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727.64999999999998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505.94</v>
      </c>
      <c r="C290" s="14">
        <f>IFERROR(B290/B446, "NA")</f>
      </c>
      <c r="D290" s="15"/>
      <c r="E290" s="13">
        <v>247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228.97999999999999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1542.5699999999999</v>
      </c>
      <c r="R290" s="14">
        <f>IFERROR(Q290/Q446, "NA")</f>
      </c>
      <c r="S290" s="15"/>
      <c r="T290" s="13">
        <v>1235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1107.0999999999999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3893.0999999999999</v>
      </c>
      <c r="C291" s="14">
        <f>IFERROR(B291/B446, "NA")</f>
      </c>
      <c r="D291" s="15"/>
      <c r="E291" s="13">
        <v>1155.5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1058.55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7419.6000000000004</v>
      </c>
      <c r="R291" s="14">
        <f>IFERROR(Q291/Q446, "NA")</f>
      </c>
      <c r="S291" s="15"/>
      <c r="T291" s="13">
        <v>5516.8599999999997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6625.04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1980.28</v>
      </c>
      <c r="C292" s="14">
        <f>IFERROR(B292/B446, "NA")</f>
      </c>
      <c r="D292" s="15"/>
      <c r="E292" s="13">
        <v>962.91999999999996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860.72000000000003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7070.6099999999997</v>
      </c>
      <c r="R292" s="14">
        <f>IFERROR(Q292/Q446, "NA")</f>
      </c>
      <c r="S292" s="15"/>
      <c r="T292" s="13">
        <v>4799.4700000000003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7193.4700000000003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192.58000000000001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804.07000000000005</v>
      </c>
      <c r="R293" s="14">
        <f>IFERROR(Q293/Q446, "NA")</f>
      </c>
      <c r="S293" s="15"/>
      <c r="T293" s="13">
        <v>959.88999999999999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681.63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662.88</v>
      </c>
      <c r="C294" s="14">
        <f>IFERROR(B294/B446, "NA")</f>
      </c>
      <c r="D294" s="15"/>
      <c r="E294" s="13">
        <v>288.88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375.22000000000003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872.84000000000003</v>
      </c>
      <c r="R294" s="14">
        <f>IFERROR(Q294/Q446, "NA")</f>
      </c>
      <c r="S294" s="15"/>
      <c r="T294" s="13">
        <v>1439.8399999999999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825.42999999999995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300</v>
      </c>
      <c r="C295" s="14">
        <f>IFERROR(B295/B446, "NA")</f>
      </c>
      <c r="D295" s="15"/>
      <c r="E295" s="13">
        <v>311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325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1499.97</v>
      </c>
      <c r="R295" s="14">
        <f>IFERROR(Q295/Q446, "NA")</f>
      </c>
      <c r="S295" s="15"/>
      <c r="T295" s="13">
        <v>1555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1838.98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2556.77</v>
      </c>
      <c r="C300" s="14">
        <f>IFERROR(B300/B446, "NA")</f>
      </c>
      <c r="D300" s="15"/>
      <c r="E300" s="13">
        <v>517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1088.8599999999999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4658.7399999999998</v>
      </c>
      <c r="R300" s="14">
        <f>IFERROR(Q300/Q446, "NA")</f>
      </c>
      <c r="S300" s="15"/>
      <c r="T300" s="13">
        <v>2585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4326.1599999999999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55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515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40.479999999999997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60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107.95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679.74000000000001</v>
      </c>
      <c r="R311" s="14">
        <f>IFERROR(Q311/Q446, "NA")</f>
      </c>
      <c r="S311" s="15"/>
      <c r="T311" s="13">
        <v>275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329.77999999999997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26.73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262.38999999999999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576.87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3084.3600000000001</v>
      </c>
      <c r="R313" s="14">
        <f>IFERROR(Q313/Q446, "NA")</f>
      </c>
      <c r="S313" s="15"/>
      <c r="T313" s="13">
        <v>175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1359.75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458.19999999999999</v>
      </c>
      <c r="C314" s="14">
        <f>IFERROR(B314/B446, "NA")</f>
      </c>
      <c r="D314" s="15"/>
      <c r="E314" s="13">
        <v>250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308.97000000000003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1890.1500000000001</v>
      </c>
      <c r="R314" s="14">
        <f>IFERROR(Q314/Q446, "NA")</f>
      </c>
      <c r="S314" s="15"/>
      <c r="T314" s="13">
        <v>1250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1283.97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-1.6100000000000001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292.38999999999999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323.88</v>
      </c>
      <c r="C320" s="14">
        <f>IFERROR(B320/B446, "NA")</f>
      </c>
      <c r="D320" s="15"/>
      <c r="E320" s="13">
        <v>314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313.20999999999998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1619.5799999999999</v>
      </c>
      <c r="R320" s="14">
        <f>IFERROR(Q320/Q446, "NA")</f>
      </c>
      <c r="S320" s="15"/>
      <c r="T320" s="13">
        <v>1570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1573.8499999999999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986.12</v>
      </c>
      <c r="C321" s="14">
        <f>IFERROR(B321/B446, "NA")</f>
      </c>
      <c r="D321" s="15"/>
      <c r="E321" s="13">
        <v>1101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1063.6900000000001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5200.5200000000004</v>
      </c>
      <c r="R321" s="14">
        <f>IFERROR(Q321/Q446, "NA")</f>
      </c>
      <c r="S321" s="15"/>
      <c r="T321" s="13">
        <v>5505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5198.75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1370.23</v>
      </c>
      <c r="C322" s="14">
        <f>IFERROR(B322/B446, "NA")</f>
      </c>
      <c r="D322" s="15"/>
      <c r="E322" s="13">
        <v>1925.8399999999999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1743.47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7052.6199999999999</v>
      </c>
      <c r="R322" s="14">
        <f>IFERROR(Q322/Q446, "NA")</f>
      </c>
      <c r="S322" s="15"/>
      <c r="T322" s="13">
        <v>9456.7800000000007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12275.02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174.5</v>
      </c>
      <c r="C323" s="14">
        <f>IFERROR(B323/B446, "NA")</f>
      </c>
      <c r="D323" s="15"/>
      <c r="E323" s="13">
        <v>191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214.38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1618.3199999999999</v>
      </c>
      <c r="R323" s="14">
        <f>IFERROR(Q323/Q446, "NA")</f>
      </c>
      <c r="S323" s="15"/>
      <c r="T323" s="13">
        <v>955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947.88999999999999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3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10440.49</v>
      </c>
      <c r="C330" s="14">
        <f>IFERROR(B330/B446, "NA")</f>
      </c>
      <c r="D330" s="15"/>
      <c r="E330" s="13">
        <v>10440.49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10136.4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52202.449999999997</v>
      </c>
      <c r="R330" s="14">
        <f>IFERROR(Q330/Q446, "NA")</f>
      </c>
      <c r="S330" s="15"/>
      <c r="T330" s="13">
        <v>52202.449999999997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50682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728.64999999999998</v>
      </c>
      <c r="C331" s="14">
        <f>IFERROR(B331/B446, "NA")</f>
      </c>
      <c r="D331" s="15"/>
      <c r="E331" s="13">
        <v>728.64999999999998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728.64999999999998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3333.8200000000002</v>
      </c>
      <c r="R331" s="14">
        <f>IFERROR(Q331/Q446, "NA")</f>
      </c>
      <c r="S331" s="15"/>
      <c r="T331" s="13">
        <v>3643.25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3643.25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15.16</v>
      </c>
      <c r="C333" s="14">
        <f>IFERROR(B333/B446, "NA")</f>
      </c>
      <c r="D333" s="15"/>
      <c r="E333" s="13">
        <v>133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15.16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1425.4200000000001</v>
      </c>
      <c r="R333" s="14">
        <f>IFERROR(Q333/Q446, "NA")</f>
      </c>
      <c r="S333" s="15"/>
      <c r="T333" s="13">
        <v>665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75.799999999999997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964.13999999999999</v>
      </c>
      <c r="C334" s="14">
        <f>IFERROR(B334/B446, "NA")</f>
      </c>
      <c r="D334" s="15"/>
      <c r="E334" s="13">
        <v>964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964.13999999999999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4820.6999999999998</v>
      </c>
      <c r="R334" s="14">
        <f>IFERROR(Q334/Q446, "NA")</f>
      </c>
      <c r="S334" s="15"/>
      <c r="T334" s="13">
        <v>4820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4820.6999999999998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-803.91999999999996</v>
      </c>
      <c r="C335" s="14">
        <f>IFERROR(B335/B446, "NA")</f>
      </c>
      <c r="D335" s="15"/>
      <c r="E335" s="13">
        <v>-803.91999999999996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-780.5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-1607.8399999999999</v>
      </c>
      <c r="R335" s="14">
        <f>IFERROR(Q335/Q446, "NA")</f>
      </c>
      <c r="S335" s="15"/>
      <c r="T335" s="13">
        <v>-1607.8399999999999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-1561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t="16.5" customHeight="1">
      <c t="s" r="A336" s="12">
        <v>307</v>
      </c>
      <c r="B336" s="13">
        <v>1747.6700000000001</v>
      </c>
      <c r="C336" s="14">
        <f>IFERROR(B336/B446, "NA")</f>
      </c>
      <c r="D336" s="15"/>
      <c r="E336" s="13">
        <v>288.88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5257.6800000000003</v>
      </c>
      <c r="R336" s="14">
        <f>IFERROR(Q336/Q446, "NA")</f>
      </c>
      <c r="S336" s="15"/>
      <c r="T336" s="13">
        <v>1439.8399999999999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3309.6199999999999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2969.9000000000001</v>
      </c>
      <c r="C339" s="14">
        <f>IFERROR(B339/B446, "NA")</f>
      </c>
      <c r="D339" s="15"/>
      <c r="E339" s="13">
        <v>3851.6799999999998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3096.77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17556.790000000001</v>
      </c>
      <c r="R339" s="14">
        <f>IFERROR(Q339/Q446, "NA")</f>
      </c>
      <c r="S339" s="15"/>
      <c r="T339" s="13">
        <v>19197.91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19830.700000000001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424.47000000000003</v>
      </c>
      <c r="C340" s="14">
        <f>IFERROR(B340/B446, "NA")</f>
      </c>
      <c r="D340" s="15"/>
      <c r="E340" s="13">
        <v>385.17000000000002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373.99000000000001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2035.22</v>
      </c>
      <c r="R340" s="14">
        <f>IFERROR(Q340/Q446, "NA")</f>
      </c>
      <c r="S340" s="15"/>
      <c r="T340" s="13">
        <v>1919.8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1669.6400000000001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1481.3</v>
      </c>
      <c r="C341" s="14">
        <f>IFERROR(B341/B446, "NA")</f>
      </c>
      <c r="D341" s="15"/>
      <c r="E341" s="13">
        <v>770.34000000000003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702.41999999999996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3564.6500000000001</v>
      </c>
      <c r="R341" s="14">
        <f>IFERROR(Q341/Q446, "NA")</f>
      </c>
      <c r="S341" s="15"/>
      <c r="T341" s="13">
        <v>3839.5900000000001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2887.77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395.63</v>
      </c>
      <c r="C342" s="14">
        <f>IFERROR(B342/B446, "NA")</f>
      </c>
      <c r="D342" s="15"/>
      <c r="E342" s="13">
        <v>385.17000000000002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380.17000000000002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1947.23</v>
      </c>
      <c r="R342" s="14">
        <f>IFERROR(Q342/Q446, "NA")</f>
      </c>
      <c r="S342" s="15"/>
      <c r="T342" s="13">
        <v>1919.8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1900.8499999999999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3922.6799999999998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17373.169999999998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t="16.5" customHeight="1">
      <c t="s" r="A409" s="12">
        <v>374</v>
      </c>
      <c r="B409" s="13">
        <v>310.05000000000001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310.05000000000001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4203.6099999999997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3345.1700000000001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20822.529999999999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16169.440000000001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8.3599999999999994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251.97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-83.209999999999994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67.5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76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-50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160191.63</v>
      </c>
      <c r="C446" s="33"/>
      <c r="D446" s="15"/>
      <c r="E446" s="13">
        <v>192583.84</v>
      </c>
      <c r="F446" s="33"/>
      <c r="G446" s="15"/>
      <c r="H446" s="16">
        <f>IFERROR(B446-E446, "NA")</f>
      </c>
      <c r="I446" s="33"/>
      <c r="J446" s="15"/>
      <c r="K446" s="13">
        <v>176601.42000000001</v>
      </c>
      <c r="L446" s="33"/>
      <c r="M446" s="15"/>
      <c r="N446" s="16">
        <f>IFERROR(B446-K446, "NA")</f>
      </c>
      <c r="O446" s="33"/>
      <c r="P446" s="15"/>
      <c r="Q446" s="13">
        <v>926944.76000000001</v>
      </c>
      <c r="R446" s="33"/>
      <c r="S446" s="15"/>
      <c r="T446" s="13">
        <v>959895.30000000005</v>
      </c>
      <c r="U446" s="33"/>
      <c r="V446" s="15"/>
      <c r="W446" s="16">
        <f>IFERROR(Q446-T446, "NA")</f>
      </c>
      <c r="X446" s="33"/>
      <c r="Y446" s="15"/>
      <c r="Z446" s="13">
        <v>892160.33999999997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416</v>
      </c>
      <c t="s" r="B3" s="3">
        <v>416</v>
      </c>
      <c t="s" r="C3" s="3">
        <v>416</v>
      </c>
      <c t="s" r="D3" s="3">
        <v>416</v>
      </c>
      <c t="s" r="E3" s="3">
        <v>416</v>
      </c>
      <c t="s" r="F3" s="3">
        <v>416</v>
      </c>
      <c t="s" r="G3" s="3">
        <v>416</v>
      </c>
      <c t="s" r="H3" s="3">
        <v>416</v>
      </c>
      <c t="s" r="I3" s="3">
        <v>416</v>
      </c>
      <c t="s" r="J3" s="3">
        <v>416</v>
      </c>
      <c t="s" r="K3" s="3">
        <v>416</v>
      </c>
      <c t="s" r="L3" s="3">
        <v>416</v>
      </c>
      <c t="s" r="M3" s="3">
        <v>416</v>
      </c>
      <c t="s" r="N3" s="3">
        <v>416</v>
      </c>
      <c t="s" r="O3" s="3">
        <v>416</v>
      </c>
      <c t="s" r="P3" s="3">
        <v>416</v>
      </c>
      <c t="s" r="Q3" s="3">
        <v>416</v>
      </c>
      <c t="s" r="R3" s="3">
        <v>416</v>
      </c>
      <c t="s" r="S3" s="3">
        <v>416</v>
      </c>
      <c t="s" r="T3" s="3">
        <v>416</v>
      </c>
      <c t="s" r="U3" s="3">
        <v>416</v>
      </c>
      <c t="s" r="V3" s="3">
        <v>416</v>
      </c>
      <c t="s" r="W3" s="3">
        <v>416</v>
      </c>
      <c t="s" r="X3" s="3">
        <v>416</v>
      </c>
      <c t="s" r="Y3" s="3">
        <v>416</v>
      </c>
      <c t="s" r="Z3" s="3">
        <v>416</v>
      </c>
      <c t="s" r="AA3" s="3">
        <v>416</v>
      </c>
      <c t="s" r="AB3" s="3">
        <v>416</v>
      </c>
      <c t="s" r="AC3" s="3">
        <v>416</v>
      </c>
      <c t="s" r="AD3" s="3">
        <v>416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40353.139999999999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204054.98999999999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44047.589999999997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41511.199999999997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195933.17999999999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197605.79000000001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4665.4499999999998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4263.8000000000002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18737.299999999999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19467.5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175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177.5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644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694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80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345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215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1490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5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172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112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1.1000000000000001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8714.7600000000002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44068.209999999999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6014.75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2374.6799999999998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28803.75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5597.3400000000001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23299.790000000001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1142.3499999999999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720.38999999999999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5425.8599999999997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5431.8599999999997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19.5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357.13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1407.02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9297.3999999999996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880.59000000000003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904.49000000000001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4049.3000000000002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4323.46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22923.619999999999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115918.58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12105.59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7163.6400000000003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61343.639999999999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51038.019999999997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847.27999999999997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1366.23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4566.0799999999999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7037.7799999999997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10198.83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9278.1000000000004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63653.720000000001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75749.320000000007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1337.7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3799.8699999999999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630.25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137.65000000000001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4324.9300000000003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18660.959999999999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94363.460000000006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4922.8000000000002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7079.0200000000004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17219.07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21901.439999999999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13963.719999999999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8161.5299999999997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68363.929999999993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35153.919999999998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470.48000000000002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475.48000000000002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7900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15.300000000000001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31.149999999999999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164.05000000000001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186.19999999999999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939.83000000000004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1523.6900000000001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1329.49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7672.7799999999997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38799.190000000002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3730.5100000000002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2056.77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13575.200000000001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10057.26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5261.8000000000002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14526.65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1125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1353.8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1353.8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1420.8900000000001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7185.04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187.28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579.13999999999999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1326.8900000000001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2055.98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1311.53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809.19000000000005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6743.6700000000001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3881.71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104.8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595.76999999999998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-16.91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-74.040000000000006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-126.63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-10.32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-243.65000000000001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-5020.46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-25387.130000000001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-2138.6900000000001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-1748.1500000000001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-8829.1700000000001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-8966.2999999999993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-1085.1900000000001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-1363.0599999999999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-5025.5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-7433.25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-43.840000000000003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-713.20000000000005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-771.98000000000002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-1754.02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-57.25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-947.70000000000005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-696.85000000000002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-3988.6799999999998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-3554.5999999999999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-30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-62.939999999999998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-531.22000000000003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-339.77999999999997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-2550.1599999999999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-62.25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-50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-62.25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19987.119999999999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101478.66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5647.8500000000004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4533.5100000000002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23929.139999999999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24101.869999999999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2701.5700000000002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3031.7600000000002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13198.92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13540.91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4684.3800000000001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4074.8000000000002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18325.580000000002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17285.939999999999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2284.54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2224.4899999999998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11043.389999999999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10604.67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999.27999999999997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1099.3499999999999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5122.25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3970.27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686.23000000000002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714.19000000000005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3530.0700000000002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3820.5300000000002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576.28999999999996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3954.02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460.79000000000002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678.42999999999995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2526.4000000000001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2532.6700000000001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6168.04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4800.21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32563.060000000001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24962.759999999998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71.560000000000002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1136.71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5748.0299999999997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1290.02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1766.21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6209.1999999999998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6828.9300000000003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60.509999999999998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61.649999999999999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209.37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251.15000000000001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29.899999999999999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159.84999999999999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404.10000000000002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-113.56999999999999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0.089999999999999997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62.990000000000002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40.68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3883.75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19639.099999999999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3228.3699999999999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2856.1399999999999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14763.709999999999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15380.1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1090.76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785.05999999999995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5170.4300000000003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3802.5500000000002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57.619999999999997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404.99000000000001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275.56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1439.1800000000001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1317.25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7.5300000000000002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14.81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383.49000000000001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238.31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1712.9400000000001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1551.3099999999999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120.75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35.799999999999997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462.81999999999999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175.59999999999999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-1069.5899999999999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-1267.8499999999999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-4575.29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-8528.8500000000004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5640</v>
      </c>
      <c r="C178" s="14">
        <f>IFERROR(B178/B446, "NA")</f>
      </c>
      <c r="D178" s="15"/>
      <c r="E178" s="13">
        <v>5640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5640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29610</v>
      </c>
      <c r="R178" s="14">
        <f>IFERROR(Q178/Q446, "NA")</f>
      </c>
      <c r="S178" s="15"/>
      <c r="T178" s="13">
        <v>29610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29610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20494.490000000002</v>
      </c>
      <c r="C180" s="14">
        <f>IFERROR(B180/B446, "NA")</f>
      </c>
      <c r="D180" s="15"/>
      <c r="E180" s="13">
        <v>20081.849999999999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19462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91935.889999999999</v>
      </c>
      <c r="R180" s="14">
        <f>IFERROR(Q180/Q446, "NA")</f>
      </c>
      <c r="S180" s="15"/>
      <c r="T180" s="13">
        <v>97110.970000000001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94623.089999999997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42.450000000000003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-84.170000000000002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475.85000000000002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971.63999999999999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1159</v>
      </c>
      <c r="C184" s="14">
        <f>IFERROR(B184/B446, "NA")</f>
      </c>
      <c r="D184" s="15"/>
      <c r="E184" s="13">
        <v>292.5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1461</v>
      </c>
      <c r="R184" s="14">
        <f>IFERROR(Q184/Q446, "NA")</f>
      </c>
      <c r="S184" s="15"/>
      <c r="T184" s="13">
        <v>1592.5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2500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2453.73</v>
      </c>
      <c r="C186" s="14">
        <f>IFERROR(B186/B446, "NA")</f>
      </c>
      <c r="D186" s="15"/>
      <c r="E186" s="13">
        <v>2410.5700000000002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2203.9499999999998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11240.559999999999</v>
      </c>
      <c r="R186" s="14">
        <f>IFERROR(Q186/Q446, "NA")</f>
      </c>
      <c r="S186" s="15"/>
      <c r="T186" s="13">
        <v>12240.09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11416.139999999999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239.12</v>
      </c>
      <c r="C194" s="14">
        <f>IFERROR(B194/B446, "NA")</f>
      </c>
      <c r="D194" s="15"/>
      <c r="E194" s="13">
        <v>208.11000000000001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248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1309.9400000000001</v>
      </c>
      <c r="R194" s="14">
        <f>IFERROR(Q194/Q446, "NA")</f>
      </c>
      <c r="S194" s="15"/>
      <c r="T194" s="13">
        <v>1026.51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1338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idden="1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0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0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1615.22</v>
      </c>
      <c r="C202" s="14">
        <f>IFERROR(B202/B446, "NA")</f>
      </c>
      <c r="D202" s="15"/>
      <c r="E202" s="13">
        <v>852.52999999999997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840.95000000000005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5783.4799999999996</v>
      </c>
      <c r="R202" s="14">
        <f>IFERROR(Q202/Q446, "NA")</f>
      </c>
      <c r="S202" s="15"/>
      <c r="T202" s="13">
        <v>4311.0200000000004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4599.5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508.42000000000002</v>
      </c>
      <c r="C203" s="14">
        <f>IFERROR(B203/B446, "NA")</f>
      </c>
      <c r="D203" s="15"/>
      <c r="E203" s="13">
        <v>568.35000000000002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303.27999999999997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2862.4099999999999</v>
      </c>
      <c r="R203" s="14">
        <f>IFERROR(Q203/Q446, "NA")</f>
      </c>
      <c r="S203" s="15"/>
      <c r="T203" s="13">
        <v>2874.0100000000002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3252.7199999999998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340.02999999999997</v>
      </c>
      <c r="C204" s="14">
        <f>IFERROR(B204/B446, "NA")</f>
      </c>
      <c r="D204" s="15"/>
      <c r="E204" s="13">
        <v>189.44999999999999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331.62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828.24000000000001</v>
      </c>
      <c r="R204" s="14">
        <f>IFERROR(Q204/Q446, "NA")</f>
      </c>
      <c r="S204" s="15"/>
      <c r="T204" s="13">
        <v>958.00999999999999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604.37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357.51999999999998</v>
      </c>
      <c r="C205" s="14">
        <f>IFERROR(B205/B446, "NA")</f>
      </c>
      <c r="D205" s="15"/>
      <c r="E205" s="13">
        <v>284.18000000000001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348.95999999999998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1999.8299999999999</v>
      </c>
      <c r="R205" s="14">
        <f>IFERROR(Q205/Q446, "NA")</f>
      </c>
      <c r="S205" s="15"/>
      <c r="T205" s="13">
        <v>1437.02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1739.8599999999999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100.98</v>
      </c>
      <c r="C206" s="14">
        <f>IFERROR(B206/B446, "NA")</f>
      </c>
      <c r="D206" s="15"/>
      <c r="E206" s="13">
        <v>94.730000000000004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238.53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325.08999999999997</v>
      </c>
      <c r="R206" s="14">
        <f>IFERROR(Q206/Q446, "NA")</f>
      </c>
      <c r="S206" s="15"/>
      <c r="T206" s="13">
        <v>479.00999999999999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249.33000000000001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150.36000000000001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488.69999999999999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295.43000000000001</v>
      </c>
      <c r="R207" s="14">
        <f>IFERROR(Q207/Q446, "NA")</f>
      </c>
      <c r="S207" s="15"/>
      <c r="T207" s="13">
        <v>500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588.29999999999995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0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52.630000000000003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206.34</v>
      </c>
      <c r="R208" s="14">
        <f>IFERROR(Q208/Q446, "NA")</f>
      </c>
      <c r="S208" s="15"/>
      <c r="T208" s="13">
        <v>500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633.33000000000004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3883.75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19639.099999999999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1599.9000000000001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710.30999999999995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8212.2299999999996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13646.219999999999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868.63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4193.5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70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280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5.7300000000000004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1503.1400000000001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1620.1099999999999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12937.200000000001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15008.32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151.5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0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550.17999999999995</v>
      </c>
      <c r="R222" s="14">
        <f>IFERROR(Q222/Q446, "NA")</f>
      </c>
      <c r="S222" s="15"/>
      <c r="T222" s="13">
        <v>500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758.74000000000001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1420.8900000000001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7185.04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182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217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1221.1300000000001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1673.1099999999999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1387.28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8150.4300000000003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5569.9399999999996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36.799999999999997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139.61000000000001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6157.1700000000001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31135.150000000001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1847.3299999999999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1098.0599999999999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9302.1499999999996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6613.7700000000004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2357.4099999999999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1335.1900000000001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11463.83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6581.6800000000003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928.59000000000003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465.54000000000002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3783.8699999999999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2329.9699999999998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170.65000000000001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396.56999999999999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910.11000000000001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2006.5999999999999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263.13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270.29000000000002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1269.04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1329.9000000000001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2050.3000000000002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1314.02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11581.559999999999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9655.5400000000009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25.210000000000001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28.469999999999999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122.38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265.00999999999999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1395.53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4007.75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2833.48</v>
      </c>
      <c r="C266" s="14">
        <f>IFERROR(B266/B446, "NA")</f>
      </c>
      <c r="D266" s="15"/>
      <c r="E266" s="13">
        <v>2273.4200000000001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2295.1599999999999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13065.879999999999</v>
      </c>
      <c r="R266" s="14">
        <f>IFERROR(Q266/Q446, "NA")</f>
      </c>
      <c r="S266" s="15"/>
      <c r="T266" s="13">
        <v>11496.059999999999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10622.17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-17.960000000000001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307.92000000000002</v>
      </c>
      <c r="C271" s="14">
        <f>IFERROR(B271/B446, "NA")</f>
      </c>
      <c r="D271" s="15"/>
      <c r="E271" s="13">
        <v>354.13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429.37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1539.5999999999999</v>
      </c>
      <c r="R271" s="14">
        <f>IFERROR(Q271/Q446, "NA")</f>
      </c>
      <c r="S271" s="15"/>
      <c r="T271" s="13">
        <v>1770.6500000000001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1972.6099999999999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793.90999999999997</v>
      </c>
      <c r="C272" s="14">
        <f>IFERROR(B272/B446, "NA")</f>
      </c>
      <c r="D272" s="15"/>
      <c r="E272" s="13">
        <v>905.40999999999997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952.74000000000001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3973.5500000000002</v>
      </c>
      <c r="R272" s="14">
        <f>IFERROR(Q272/Q446, "NA")</f>
      </c>
      <c r="S272" s="15"/>
      <c r="T272" s="13">
        <v>4527.0500000000002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4763.6999999999998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137.5</v>
      </c>
      <c r="C289" s="14">
        <f>IFERROR(B289/B446, "NA")</f>
      </c>
      <c r="D289" s="15"/>
      <c r="E289" s="13">
        <v>138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137.5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687.5</v>
      </c>
      <c r="R289" s="14">
        <f>IFERROR(Q289/Q446, "NA")</f>
      </c>
      <c r="S289" s="15"/>
      <c r="T289" s="13">
        <v>690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687.5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253.13999999999999</v>
      </c>
      <c r="C290" s="14">
        <f>IFERROR(B290/B446, "NA")</f>
      </c>
      <c r="D290" s="15"/>
      <c r="E290" s="13">
        <v>234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228.86000000000001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1247.4100000000001</v>
      </c>
      <c r="R290" s="14">
        <f>IFERROR(Q290/Q446, "NA")</f>
      </c>
      <c r="S290" s="15"/>
      <c r="T290" s="13">
        <v>1170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1106.5599999999999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395</v>
      </c>
      <c r="C291" s="14">
        <f>IFERROR(B291/B446, "NA")</f>
      </c>
      <c r="D291" s="15"/>
      <c r="E291" s="13">
        <v>663.08000000000004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2214.6700000000001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3801.4299999999998</v>
      </c>
      <c r="R291" s="14">
        <f>IFERROR(Q291/Q446, "NA")</f>
      </c>
      <c r="S291" s="15"/>
      <c r="T291" s="13">
        <v>3224.3000000000002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4767.1199999999999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1746.1500000000001</v>
      </c>
      <c r="C292" s="14">
        <f>IFERROR(B292/B446, "NA")</f>
      </c>
      <c r="D292" s="15"/>
      <c r="E292" s="13">
        <v>947.25999999999999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1954.26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7893.8500000000004</v>
      </c>
      <c r="R292" s="14">
        <f>IFERROR(Q292/Q446, "NA")</f>
      </c>
      <c r="S292" s="15"/>
      <c r="T292" s="13">
        <v>4790.0299999999997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8433.4799999999996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259.94999999999999</v>
      </c>
      <c r="C293" s="14">
        <f>IFERROR(B293/B446, "NA")</f>
      </c>
      <c r="D293" s="15"/>
      <c r="E293" s="13">
        <v>189.44999999999999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259.94999999999999</v>
      </c>
      <c r="R293" s="14">
        <f>IFERROR(Q293/Q446, "NA")</f>
      </c>
      <c r="S293" s="15"/>
      <c r="T293" s="13">
        <v>958.00999999999999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1038.8199999999999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189.44999999999999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292.74000000000001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958.00999999999999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292.74000000000001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67.989999999999995</v>
      </c>
      <c r="C295" s="14">
        <f>IFERROR(B295/B446, "NA")</f>
      </c>
      <c r="D295" s="15"/>
      <c r="E295" s="13">
        <v>365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312.5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977.44000000000005</v>
      </c>
      <c r="R295" s="14">
        <f>IFERROR(Q295/Q446, "NA")</f>
      </c>
      <c r="S295" s="15"/>
      <c r="T295" s="13">
        <v>1825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1997.95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159</v>
      </c>
      <c r="C300" s="14">
        <f>IFERROR(B300/B446, "NA")</f>
      </c>
      <c r="D300" s="15"/>
      <c r="E300" s="13">
        <v>159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0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795</v>
      </c>
      <c r="R300" s="14">
        <f>IFERROR(Q300/Q446, "NA")</f>
      </c>
      <c r="S300" s="15"/>
      <c r="T300" s="13">
        <v>795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411.64999999999998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268.25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137.38999999999999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349.32999999999998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5.5899999999999999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278.95999999999998</v>
      </c>
      <c r="R311" s="14">
        <f>IFERROR(Q311/Q446, "NA")</f>
      </c>
      <c r="S311" s="15"/>
      <c r="T311" s="13">
        <v>275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52.789999999999999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60.619999999999997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522.95000000000005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42.75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922.92999999999995</v>
      </c>
      <c r="R313" s="14">
        <f>IFERROR(Q313/Q446, "NA")</f>
      </c>
      <c r="S313" s="15"/>
      <c r="T313" s="13">
        <v>175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81.129999999999995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48</v>
      </c>
      <c r="C314" s="14">
        <f>IFERROR(B314/B446, "NA")</f>
      </c>
      <c r="D314" s="15"/>
      <c r="E314" s="13">
        <v>15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10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88</v>
      </c>
      <c r="R314" s="14">
        <f>IFERROR(Q314/Q446, "NA")</f>
      </c>
      <c r="S314" s="15"/>
      <c r="T314" s="13">
        <v>75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34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408.06999999999999</v>
      </c>
      <c r="C316" s="14">
        <f>IFERROR(B316/B446, "NA")</f>
      </c>
      <c r="D316" s="15"/>
      <c r="E316" s="13">
        <v>378.89999999999998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455.51999999999998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2040.3499999999999</v>
      </c>
      <c r="R316" s="14">
        <f>IFERROR(Q316/Q446, "NA")</f>
      </c>
      <c r="S316" s="15"/>
      <c r="T316" s="13">
        <v>1916.01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2277.5999999999999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-1.6100000000000001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292.38999999999999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414.57999999999998</v>
      </c>
      <c r="C319" s="14">
        <f>IFERROR(B319/B446, "NA")</f>
      </c>
      <c r="D319" s="15"/>
      <c r="E319" s="13">
        <v>415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414.57999999999998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2072.9000000000001</v>
      </c>
      <c r="R319" s="14">
        <f>IFERROR(Q319/Q446, "NA")</f>
      </c>
      <c r="S319" s="15"/>
      <c r="T319" s="13">
        <v>2075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2072.9000000000001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318.45999999999998</v>
      </c>
      <c r="C320" s="14">
        <f>IFERROR(B320/B446, "NA")</f>
      </c>
      <c r="D320" s="15"/>
      <c r="E320" s="13">
        <v>309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267.91000000000003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1592.55</v>
      </c>
      <c r="R320" s="14">
        <f>IFERROR(Q320/Q446, "NA")</f>
      </c>
      <c r="S320" s="15"/>
      <c r="T320" s="13">
        <v>1545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1321.0699999999999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1010.77</v>
      </c>
      <c r="C321" s="14">
        <f>IFERROR(B321/B446, "NA")</f>
      </c>
      <c r="D321" s="15"/>
      <c r="E321" s="13">
        <v>1133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1138.71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5361.1199999999999</v>
      </c>
      <c r="R321" s="14">
        <f>IFERROR(Q321/Q446, "NA")</f>
      </c>
      <c r="S321" s="15"/>
      <c r="T321" s="13">
        <v>5665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5909.96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1069.5899999999999</v>
      </c>
      <c r="C322" s="14">
        <f>IFERROR(B322/B446, "NA")</f>
      </c>
      <c r="D322" s="15"/>
      <c r="E322" s="13">
        <v>1136.71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1267.8499999999999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4575.29</v>
      </c>
      <c r="R322" s="14">
        <f>IFERROR(Q322/Q446, "NA")</f>
      </c>
      <c r="S322" s="15"/>
      <c r="T322" s="13">
        <v>5679.8400000000001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8528.8500000000004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401.61000000000001</v>
      </c>
      <c r="C323" s="14">
        <f>IFERROR(B323/B446, "NA")</f>
      </c>
      <c r="D323" s="15"/>
      <c r="E323" s="13">
        <v>354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331.29000000000002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1977.5699999999999</v>
      </c>
      <c r="R323" s="14">
        <f>IFERROR(Q323/Q446, "NA")</f>
      </c>
      <c r="S323" s="15"/>
      <c r="T323" s="13">
        <v>1770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1830.5899999999999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11441.92</v>
      </c>
      <c r="C330" s="14">
        <f>IFERROR(B330/B446, "NA")</f>
      </c>
      <c r="D330" s="15"/>
      <c r="E330" s="13">
        <v>11441.92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11108.66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57209.599999999999</v>
      </c>
      <c r="R330" s="14">
        <f>IFERROR(Q330/Q446, "NA")</f>
      </c>
      <c r="S330" s="15"/>
      <c r="T330" s="13">
        <v>57209.599999999999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38396.709999999999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1183.3699999999999</v>
      </c>
      <c r="C331" s="14">
        <f>IFERROR(B331/B446, "NA")</f>
      </c>
      <c r="D331" s="15"/>
      <c r="E331" s="13">
        <v>1183.3699999999999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1026.4300000000001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5797.7399999999998</v>
      </c>
      <c r="R331" s="14">
        <f>IFERROR(Q331/Q446, "NA")</f>
      </c>
      <c r="S331" s="15"/>
      <c r="T331" s="13">
        <v>5916.8500000000004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2922.4499999999998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781.75999999999999</v>
      </c>
      <c r="C334" s="14">
        <f>IFERROR(B334/B446, "NA")</f>
      </c>
      <c r="D334" s="15"/>
      <c r="E334" s="13">
        <v>860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860.15999999999997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2976.02</v>
      </c>
      <c r="R334" s="14">
        <f>IFERROR(Q334/Q446, "NA")</f>
      </c>
      <c r="S334" s="15"/>
      <c r="T334" s="13">
        <v>4300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5589.8299999999999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-881.02999999999997</v>
      </c>
      <c r="C335" s="14">
        <f>IFERROR(B335/B446, "NA")</f>
      </c>
      <c r="D335" s="15"/>
      <c r="E335" s="13">
        <v>-881.02999999999997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-855.37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-1762.0599999999999</v>
      </c>
      <c r="R335" s="14">
        <f>IFERROR(Q335/Q446, "NA")</f>
      </c>
      <c r="S335" s="15"/>
      <c r="T335" s="13">
        <v>-1762.0599999999999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-1710.74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1418.4000000000001</v>
      </c>
      <c r="C339" s="14">
        <f>IFERROR(B339/B446, "NA")</f>
      </c>
      <c r="D339" s="15"/>
      <c r="E339" s="13">
        <v>1136.71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1160.55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5764.1999999999998</v>
      </c>
      <c r="R339" s="14">
        <f>IFERROR(Q339/Q446, "NA")</f>
      </c>
      <c r="S339" s="15"/>
      <c r="T339" s="13">
        <v>5748.0299999999997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4848.9300000000003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343.06</v>
      </c>
      <c r="C340" s="14">
        <f>IFERROR(B340/B446, "NA")</f>
      </c>
      <c r="D340" s="15"/>
      <c r="E340" s="13">
        <v>473.63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358.54000000000002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2561.3800000000001</v>
      </c>
      <c r="R340" s="14">
        <f>IFERROR(Q340/Q446, "NA")</f>
      </c>
      <c r="S340" s="15"/>
      <c r="T340" s="13">
        <v>2395.0100000000002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2795.0500000000002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418.32999999999998</v>
      </c>
      <c r="C341" s="14">
        <f>IFERROR(B341/B446, "NA")</f>
      </c>
      <c r="D341" s="15"/>
      <c r="E341" s="13">
        <v>378.89999999999998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376.75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2178.79</v>
      </c>
      <c r="R341" s="14">
        <f>IFERROR(Q341/Q446, "NA")</f>
      </c>
      <c r="S341" s="15"/>
      <c r="T341" s="13">
        <v>1916.01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1813.55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3137.1599999999999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15867.559999999999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3311.04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2891.9200000000001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16598.41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14902.18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-32.289999999999999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-145.44999999999999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-112.63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190.59999999999999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-23.66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252.61000000000001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48.270000000000003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109215.85000000001</v>
      </c>
      <c r="C446" s="33"/>
      <c r="D446" s="15"/>
      <c r="E446" s="13">
        <v>94725.690000000002</v>
      </c>
      <c r="F446" s="33"/>
      <c r="G446" s="15"/>
      <c r="H446" s="16">
        <f>IFERROR(B446-E446, "NA")</f>
      </c>
      <c r="I446" s="33"/>
      <c r="J446" s="15"/>
      <c r="K446" s="13">
        <v>86606.339999999997</v>
      </c>
      <c r="L446" s="33"/>
      <c r="M446" s="15"/>
      <c r="N446" s="16">
        <f>IFERROR(B446-K446, "NA")</f>
      </c>
      <c r="O446" s="33"/>
      <c r="P446" s="15"/>
      <c r="Q446" s="13">
        <v>509595.84999999998</v>
      </c>
      <c r="R446" s="33"/>
      <c r="S446" s="15"/>
      <c r="T446" s="13">
        <v>479002.34000000003</v>
      </c>
      <c r="U446" s="33"/>
      <c r="V446" s="15"/>
      <c r="W446" s="16">
        <f>IFERROR(Q446-T446, "NA")</f>
      </c>
      <c r="X446" s="33"/>
      <c r="Y446" s="15"/>
      <c r="Z446" s="13">
        <v>446712.92999999999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417</v>
      </c>
      <c t="s" r="B3" s="3">
        <v>417</v>
      </c>
      <c t="s" r="C3" s="3">
        <v>417</v>
      </c>
      <c t="s" r="D3" s="3">
        <v>417</v>
      </c>
      <c t="s" r="E3" s="3">
        <v>417</v>
      </c>
      <c t="s" r="F3" s="3">
        <v>417</v>
      </c>
      <c t="s" r="G3" s="3">
        <v>417</v>
      </c>
      <c t="s" r="H3" s="3">
        <v>417</v>
      </c>
      <c t="s" r="I3" s="3">
        <v>417</v>
      </c>
      <c t="s" r="J3" s="3">
        <v>417</v>
      </c>
      <c t="s" r="K3" s="3">
        <v>417</v>
      </c>
      <c t="s" r="L3" s="3">
        <v>417</v>
      </c>
      <c t="s" r="M3" s="3">
        <v>417</v>
      </c>
      <c t="s" r="N3" s="3">
        <v>417</v>
      </c>
      <c t="s" r="O3" s="3">
        <v>417</v>
      </c>
      <c t="s" r="P3" s="3">
        <v>417</v>
      </c>
      <c t="s" r="Q3" s="3">
        <v>417</v>
      </c>
      <c t="s" r="R3" s="3">
        <v>417</v>
      </c>
      <c t="s" r="S3" s="3">
        <v>417</v>
      </c>
      <c t="s" r="T3" s="3">
        <v>417</v>
      </c>
      <c t="s" r="U3" s="3">
        <v>417</v>
      </c>
      <c t="s" r="V3" s="3">
        <v>417</v>
      </c>
      <c t="s" r="W3" s="3">
        <v>417</v>
      </c>
      <c t="s" r="X3" s="3">
        <v>417</v>
      </c>
      <c t="s" r="Y3" s="3">
        <v>417</v>
      </c>
      <c t="s" r="Z3" s="3">
        <v>417</v>
      </c>
      <c t="s" r="AA3" s="3">
        <v>417</v>
      </c>
      <c t="s" r="AB3" s="3">
        <v>417</v>
      </c>
      <c t="s" r="AC3" s="3">
        <v>417</v>
      </c>
      <c t="s" r="AD3" s="3">
        <v>417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78741.699999999997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327492.21999999997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58395.199999999997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68242.350000000006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244830.44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286857.76000000001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6246.1000000000004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7765.1000000000004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25708.049999999999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32292.700000000001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110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204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515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2034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455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2895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33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42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165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314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0.029999999999999999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0.10000000000000001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13123.620000000001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54582.040000000001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8065.1999999999998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2793.4400000000001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36379.550000000003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7138.8500000000004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27975.25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576.24000000000001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352.85000000000002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3253.04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4903.46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14.300000000000001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335.83999999999997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1269.95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7001.3599999999997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766.72000000000003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922.46000000000004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3791.6700000000001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4432.6000000000004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24678.110000000001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102637.97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9283.5499999999993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7656.6999999999998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47251.470000000001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43398.769999999997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605.35000000000002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920.24000000000001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2661.5700000000002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5336.2299999999996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6526.0900000000001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6202.6700000000001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33315.459999999999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42871.669999999998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652.29999999999995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4572.79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753.35000000000002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0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4358.4499999999998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27103.119999999999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112723.77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4707.8699999999999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1312.5899999999999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15146.1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11621.01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14247.35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14520.67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72088.070000000007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77590.910000000003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18135.099999999999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18153.549999999999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7800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t="16.5" customHeight="1">
      <c t="s" r="A53" s="23">
        <v>51</v>
      </c>
      <c r="B53" s="13">
        <v>6870.1499999999996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6870.1499999999996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11.65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32.799999999999997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5848.5699999999997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24324.599999999999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1577.28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8.0299999999999994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14193.59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2609.5900000000001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t="16.5" customHeight="1">
      <c t="s" r="A71" s="18">
        <v>68</v>
      </c>
      <c r="B71" s="13">
        <v>4650.3800000000001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11918.27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1997.0699999999999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8305.9599999999991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415.88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159.16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1229.1400000000001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1336.4300000000001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5.1100000000000003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5.1100000000000003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1140.1900000000001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1134.21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6803.0100000000002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6473.5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47.200000000000003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-62.43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226.09999999999999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-2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-356.62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-8844.1800000000003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-36783.550000000003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-818.98000000000002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-1401.9000000000001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-4655.3699999999999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-7082.4700000000003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-1451.3199999999999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-2387.27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-6644.46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-10502.09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-218.33000000000001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-28.300000000000001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-319.60000000000002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-620.67999999999995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-89.090000000000003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-541.51999999999998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-1253.25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-3454.9899999999998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-7969.6300000000001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-7.9100000000000001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-47.909999999999997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-532.55999999999995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-911.50999999999999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-3052.3499999999999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-5242.6800000000003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-351.5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-203.47999999999999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-1196.24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30526.669999999998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127794.75999999999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6473.71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6689.7200000000003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26913.900000000001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31637.900000000001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3593.8600000000001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4413.7600000000002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15305.98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19138.990000000002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5480.96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6540.1499999999996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20120.32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23466.669999999998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3181.46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3009.75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12635.24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13862.219999999999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1557.6700000000001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974.01999999999998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6156.7799999999997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4351.29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803.90999999999997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826.95000000000005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3634.7600000000002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3890.4499999999998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919.07000000000005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4617.1800000000003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609.27999999999997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650.19000000000005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2677.73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3362.0999999999999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7019.3000000000002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8260.9799999999996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34420.239999999998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33527.230000000003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1569.1300000000001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6526.1199999999999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1444.9400000000001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1815.8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6344.4499999999998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7279.3199999999997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175.34999999999999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64.459999999999994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311.43000000000001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391.73000000000002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24.989999999999998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194.81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54.890000000000001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796.84000000000003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7.3499999999999996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-146.66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80.170000000000002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105.48999999999999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5991.2200000000003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24917.900000000001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3648.1100000000001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4216.0200000000004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15886.379999999999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18851.73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1301.98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1046.6700000000001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6153.4899999999998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5603.5200000000004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20.600000000000001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613.16999999999996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181.06999999999999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1866.8699999999999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1744.73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99.950000000000003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125.36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596.97000000000003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642.47000000000003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157.75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44.799999999999997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525.00999999999999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229.40000000000001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-889.32000000000005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-1569.79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-4567.8999999999996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-11241.049999999999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5846.1599999999999</v>
      </c>
      <c r="C178" s="14">
        <f>IFERROR(B178/B446, "NA")</f>
      </c>
      <c r="D178" s="15"/>
      <c r="E178" s="13">
        <v>5846.1599999999999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5846.1599999999999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30692.34</v>
      </c>
      <c r="R178" s="14">
        <f>IFERROR(Q178/Q446, "NA")</f>
      </c>
      <c r="S178" s="15"/>
      <c r="T178" s="13">
        <v>30692.34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30692.34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20292.380000000001</v>
      </c>
      <c r="C180" s="14">
        <f>IFERROR(B180/B446, "NA")</f>
      </c>
      <c r="D180" s="15"/>
      <c r="E180" s="13">
        <v>22823.68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20923.98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91773.75</v>
      </c>
      <c r="R180" s="14">
        <f>IFERROR(Q180/Q446, "NA")</f>
      </c>
      <c r="S180" s="15"/>
      <c r="T180" s="13">
        <v>105874.86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100179.14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553.52999999999997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1547.8199999999999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1431.22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1940.28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-875</v>
      </c>
      <c r="C184" s="14">
        <f>IFERROR(B184/B446, "NA")</f>
      </c>
      <c r="D184" s="15"/>
      <c r="E184" s="13">
        <v>350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-800</v>
      </c>
      <c r="R184" s="14">
        <f>IFERROR(Q184/Q446, "NA")</f>
      </c>
      <c r="S184" s="15"/>
      <c r="T184" s="13">
        <v>1925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2500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2347.2800000000002</v>
      </c>
      <c r="C186" s="14">
        <f>IFERROR(B186/B446, "NA")</f>
      </c>
      <c r="D186" s="15"/>
      <c r="E186" s="13">
        <v>3207.8099999999999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2936.21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11089.51</v>
      </c>
      <c r="R186" s="14">
        <f>IFERROR(Q186/Q446, "NA")</f>
      </c>
      <c r="S186" s="15"/>
      <c r="T186" s="13">
        <v>16066.209999999999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14973.799999999999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228.34</v>
      </c>
      <c r="C194" s="14">
        <f>IFERROR(B194/B446, "NA")</f>
      </c>
      <c r="D194" s="15"/>
      <c r="E194" s="13">
        <v>232.16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248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1145.52</v>
      </c>
      <c r="R194" s="14">
        <f>IFERROR(Q194/Q446, "NA")</f>
      </c>
      <c r="S194" s="15"/>
      <c r="T194" s="13">
        <v>1107.9400000000001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1164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1679.71</v>
      </c>
      <c r="C195" s="14">
        <f>IFERROR(B195/B446, "NA")</f>
      </c>
      <c r="D195" s="15"/>
      <c r="E195" s="13">
        <v>227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300.83999999999997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8083.9799999999996</v>
      </c>
      <c r="R195" s="14">
        <f>IFERROR(Q195/Q446, "NA")</f>
      </c>
      <c r="S195" s="15"/>
      <c r="T195" s="13">
        <v>1395.96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1550.9200000000001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1326.1700000000001</v>
      </c>
      <c r="C202" s="14">
        <f>IFERROR(B202/B446, "NA")</f>
      </c>
      <c r="D202" s="15"/>
      <c r="E202" s="13">
        <v>1283.8299999999999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1627.45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6830.1300000000001</v>
      </c>
      <c r="R202" s="14">
        <f>IFERROR(Q202/Q446, "NA")</f>
      </c>
      <c r="S202" s="15"/>
      <c r="T202" s="13">
        <v>5339.5500000000002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8261.6000000000004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2177.6500000000001</v>
      </c>
      <c r="C203" s="14">
        <f>IFERROR(B203/B446, "NA")</f>
      </c>
      <c r="D203" s="15"/>
      <c r="E203" s="13">
        <v>855.88999999999999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601.73000000000002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4527.25</v>
      </c>
      <c r="R203" s="14">
        <f>IFERROR(Q203/Q446, "NA")</f>
      </c>
      <c r="S203" s="15"/>
      <c r="T203" s="13">
        <v>3559.6999999999998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3942.3099999999999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417.07999999999998</v>
      </c>
      <c r="C204" s="14">
        <f>IFERROR(B204/B446, "NA")</f>
      </c>
      <c r="D204" s="15"/>
      <c r="E204" s="13">
        <v>285.30000000000001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364.00999999999999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1027.76</v>
      </c>
      <c r="R204" s="14">
        <f>IFERROR(Q204/Q446, "NA")</f>
      </c>
      <c r="S204" s="15"/>
      <c r="T204" s="13">
        <v>1186.5699999999999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981.13999999999999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237.63999999999999</v>
      </c>
      <c r="C205" s="14">
        <f>IFERROR(B205/B446, "NA")</f>
      </c>
      <c r="D205" s="15"/>
      <c r="E205" s="13">
        <v>427.94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242.38999999999999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1261.76</v>
      </c>
      <c r="R205" s="14">
        <f>IFERROR(Q205/Q446, "NA")</f>
      </c>
      <c r="S205" s="15"/>
      <c r="T205" s="13">
        <v>1779.8399999999999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1214.77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0</v>
      </c>
      <c r="C206" s="14">
        <f>IFERROR(B206/B446, "NA")</f>
      </c>
      <c r="D206" s="15"/>
      <c r="E206" s="13">
        <v>142.65000000000001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238.53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248.09999999999999</v>
      </c>
      <c r="R206" s="14">
        <f>IFERROR(Q206/Q446, "NA")</f>
      </c>
      <c r="S206" s="15"/>
      <c r="T206" s="13">
        <v>593.27999999999997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271.57999999999998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193.24000000000001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488.69999999999999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594.22000000000003</v>
      </c>
      <c r="R207" s="14">
        <f>IFERROR(Q207/Q446, "NA")</f>
      </c>
      <c r="S207" s="15"/>
      <c r="T207" s="13">
        <v>500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588.29999999999995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166.34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12.84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269.18000000000001</v>
      </c>
      <c r="R208" s="14">
        <f>IFERROR(Q208/Q446, "NA")</f>
      </c>
      <c r="S208" s="15"/>
      <c r="T208" s="13">
        <v>500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589.78999999999996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4136.79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17205.209999999999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1104.6300000000001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747.05999999999995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5657.3400000000001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11257.65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359.26999999999998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1583.27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60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170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2.4100000000000001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1027.0799999999999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1237.29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6751.5799999999999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9584.9599999999991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301.50999999999999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185.97999999999999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2045.1900000000001</v>
      </c>
      <c r="R222" s="14">
        <f>IFERROR(Q222/Q446, "NA")</f>
      </c>
      <c r="S222" s="15"/>
      <c r="T222" s="13">
        <v>500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1427.24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1854.4200000000001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7712.6800000000003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126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780.25999999999999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1625.95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1294.29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7574.8199999999997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7406.5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30.84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103.84999999999999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7560.3400000000001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31443.990000000002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1422.71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1165.1199999999999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7185.1800000000003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5710.9399999999996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2656.5300000000002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2047.22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13594.26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12508.309999999999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265.06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2820.29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336.63999999999999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118.8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263.73000000000002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524.33000000000004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1534.6800000000001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229.12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275.66000000000003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1192.0699999999999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1383.5999999999999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1356.98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814.84000000000003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6355.0500000000002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5390.3800000000001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2261.25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2261.25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t="16.5" customHeight="1">
      <c t="s" r="A261" s="18">
        <v>238</v>
      </c>
      <c r="B261" s="13">
        <v>1008.64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1442.3499999999999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t="16.5" customHeight="1">
      <c t="s" r="A262" s="18">
        <v>239</v>
      </c>
      <c r="B262" s="13">
        <v>445.68000000000001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445.68000000000001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3412.1900000000001</v>
      </c>
      <c r="C266" s="14">
        <f>IFERROR(B266/B446, "NA")</f>
      </c>
      <c r="D266" s="15"/>
      <c r="E266" s="13">
        <v>4136.79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3437.02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15082.85</v>
      </c>
      <c r="R266" s="14">
        <f>IFERROR(Q266/Q446, "NA")</f>
      </c>
      <c r="S266" s="15"/>
      <c r="T266" s="13">
        <v>17205.209999999999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15304.290000000001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7.2599999999999998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32.799999999999997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44.799999999999997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197.91999999999999</v>
      </c>
      <c r="C271" s="14">
        <f>IFERROR(B271/B446, "NA")</f>
      </c>
      <c r="D271" s="15"/>
      <c r="E271" s="13">
        <v>200.19999999999999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201.75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989.44000000000005</v>
      </c>
      <c r="R271" s="14">
        <f>IFERROR(Q271/Q446, "NA")</f>
      </c>
      <c r="S271" s="15"/>
      <c r="T271" s="13">
        <v>1001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1008.67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894.47000000000003</v>
      </c>
      <c r="C272" s="14">
        <f>IFERROR(B272/B446, "NA")</f>
      </c>
      <c r="D272" s="15"/>
      <c r="E272" s="13">
        <v>894.42999999999995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778.63999999999999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4472.1899999999996</v>
      </c>
      <c r="R272" s="14">
        <f>IFERROR(Q272/Q446, "NA")</f>
      </c>
      <c r="S272" s="15"/>
      <c r="T272" s="13">
        <v>4472.1499999999996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3892.96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137.5</v>
      </c>
      <c r="C289" s="14">
        <f>IFERROR(B289/B446, "NA")</f>
      </c>
      <c r="D289" s="15"/>
      <c r="E289" s="13">
        <v>138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137.5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687.5</v>
      </c>
      <c r="R289" s="14">
        <f>IFERROR(Q289/Q446, "NA")</f>
      </c>
      <c r="S289" s="15"/>
      <c r="T289" s="13">
        <v>690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687.5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228.61000000000001</v>
      </c>
      <c r="C290" s="14">
        <f>IFERROR(B290/B446, "NA")</f>
      </c>
      <c r="D290" s="15"/>
      <c r="E290" s="13">
        <v>211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206.28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925.39999999999998</v>
      </c>
      <c r="R290" s="14">
        <f>IFERROR(Q290/Q446, "NA")</f>
      </c>
      <c r="S290" s="15"/>
      <c r="T290" s="13">
        <v>1055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830.90999999999997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408.05000000000001</v>
      </c>
      <c r="C291" s="14">
        <f>IFERROR(B291/B446, "NA")</f>
      </c>
      <c r="D291" s="15"/>
      <c r="E291" s="13">
        <v>855.88999999999999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42.780000000000001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1277.25</v>
      </c>
      <c r="R291" s="14">
        <f>IFERROR(Q291/Q446, "NA")</f>
      </c>
      <c r="S291" s="15"/>
      <c r="T291" s="13">
        <v>3559.6999999999998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3007.4099999999999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2403.8800000000001</v>
      </c>
      <c r="C292" s="14">
        <f>IFERROR(B292/B446, "NA")</f>
      </c>
      <c r="D292" s="15"/>
      <c r="E292" s="13">
        <v>570.59000000000003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4342.3199999999997</v>
      </c>
      <c r="R292" s="14">
        <f>IFERROR(Q292/Q446, "NA")</f>
      </c>
      <c r="S292" s="15"/>
      <c r="T292" s="13">
        <v>2373.1300000000001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1975.03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142.65000000000001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500.86000000000001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593.27999999999997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500.86000000000001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142.65000000000001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851.73000000000002</v>
      </c>
      <c r="R294" s="14">
        <f>IFERROR(Q294/Q446, "NA")</f>
      </c>
      <c r="S294" s="15"/>
      <c r="T294" s="13">
        <v>593.27999999999997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369.93000000000001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0</v>
      </c>
      <c r="C295" s="14">
        <f>IFERROR(B295/B446, "NA")</f>
      </c>
      <c r="D295" s="15"/>
      <c r="E295" s="13">
        <v>346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310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629.99000000000001</v>
      </c>
      <c r="R295" s="14">
        <f>IFERROR(Q295/Q446, "NA")</f>
      </c>
      <c r="S295" s="15"/>
      <c r="T295" s="13">
        <v>1730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1778.96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359.80000000000001</v>
      </c>
      <c r="C300" s="14">
        <f>IFERROR(B300/B446, "NA")</f>
      </c>
      <c r="D300" s="15"/>
      <c r="E300" s="13">
        <v>575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695.86000000000001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2460.4499999999998</v>
      </c>
      <c r="R300" s="14">
        <f>IFERROR(Q300/Q446, "NA")</f>
      </c>
      <c r="S300" s="15"/>
      <c r="T300" s="13">
        <v>2875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1521.23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150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197.00999999999999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141.38999999999999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144.08000000000001</v>
      </c>
      <c r="R311" s="14">
        <f>IFERROR(Q311/Q446, "NA")</f>
      </c>
      <c r="S311" s="15"/>
      <c r="T311" s="13">
        <v>275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222.88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26.699999999999999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910.44000000000005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214.49000000000001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1976.4400000000001</v>
      </c>
      <c r="R313" s="14">
        <f>IFERROR(Q313/Q446, "NA")</f>
      </c>
      <c r="S313" s="15"/>
      <c r="T313" s="13">
        <v>175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427.06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27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12</v>
      </c>
      <c r="R314" s="14">
        <f>IFERROR(Q314/Q446, "NA")</f>
      </c>
      <c r="S314" s="15"/>
      <c r="T314" s="13">
        <v>50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47.75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748.97000000000003</v>
      </c>
      <c r="C316" s="14">
        <f>IFERROR(B316/B446, "NA")</f>
      </c>
      <c r="D316" s="15"/>
      <c r="E316" s="13">
        <v>998.53999999999996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794.11000000000001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3744.8499999999999</v>
      </c>
      <c r="R316" s="14">
        <f>IFERROR(Q316/Q446, "NA")</f>
      </c>
      <c r="S316" s="15"/>
      <c r="T316" s="13">
        <v>4152.9799999999996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3970.5500000000002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-1.6100000000000001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292.38999999999999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490.60000000000002</v>
      </c>
      <c r="C319" s="14">
        <f>IFERROR(B319/B446, "NA")</f>
      </c>
      <c r="D319" s="15"/>
      <c r="E319" s="13">
        <v>491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490.60000000000002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2453</v>
      </c>
      <c r="R319" s="14">
        <f>IFERROR(Q319/Q446, "NA")</f>
      </c>
      <c r="S319" s="15"/>
      <c r="T319" s="13">
        <v>2455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2453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160.27000000000001</v>
      </c>
      <c r="C320" s="14">
        <f>IFERROR(B320/B446, "NA")</f>
      </c>
      <c r="D320" s="15"/>
      <c r="E320" s="13">
        <v>160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290.20999999999998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801.67999999999995</v>
      </c>
      <c r="R320" s="14">
        <f>IFERROR(Q320/Q446, "NA")</f>
      </c>
      <c r="S320" s="15"/>
      <c r="T320" s="13">
        <v>800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930.89999999999998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1009.47</v>
      </c>
      <c r="C321" s="14">
        <f>IFERROR(B321/B446, "NA")</f>
      </c>
      <c r="D321" s="15"/>
      <c r="E321" s="13">
        <v>1121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1113.71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5325.4899999999998</v>
      </c>
      <c r="R321" s="14">
        <f>IFERROR(Q321/Q446, "NA")</f>
      </c>
      <c r="S321" s="15"/>
      <c r="T321" s="13">
        <v>5605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5461.5600000000004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889.32000000000005</v>
      </c>
      <c r="C322" s="14">
        <f>IFERROR(B322/B446, "NA")</f>
      </c>
      <c r="D322" s="15"/>
      <c r="E322" s="13">
        <v>2139.7199999999998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1569.79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4567.8999999999996</v>
      </c>
      <c r="R322" s="14">
        <f>IFERROR(Q322/Q446, "NA")</f>
      </c>
      <c r="S322" s="15"/>
      <c r="T322" s="13">
        <v>8823.5900000000001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11241.049999999999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280.20999999999998</v>
      </c>
      <c r="C323" s="14">
        <f>IFERROR(B323/B446, "NA")</f>
      </c>
      <c r="D323" s="15"/>
      <c r="E323" s="13">
        <v>366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338.98000000000002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1401.05</v>
      </c>
      <c r="R323" s="14">
        <f>IFERROR(Q323/Q446, "NA")</f>
      </c>
      <c r="S323" s="15"/>
      <c r="T323" s="13">
        <v>1830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1387.1900000000001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10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10.01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13526.48</v>
      </c>
      <c r="C330" s="14">
        <f>IFERROR(B330/B446, "NA")</f>
      </c>
      <c r="D330" s="15"/>
      <c r="E330" s="13">
        <v>13526.48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13132.5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67632.399999999994</v>
      </c>
      <c r="R330" s="14">
        <f>IFERROR(Q330/Q446, "NA")</f>
      </c>
      <c r="S330" s="15"/>
      <c r="T330" s="13">
        <v>67632.399999999994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65662.5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2516.3899999999999</v>
      </c>
      <c r="C331" s="14">
        <f>IFERROR(B331/B446, "NA")</f>
      </c>
      <c r="D331" s="15"/>
      <c r="E331" s="13">
        <v>2126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2126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11020.389999999999</v>
      </c>
      <c r="R331" s="14">
        <f>IFERROR(Q331/Q446, "NA")</f>
      </c>
      <c r="S331" s="15"/>
      <c r="T331" s="13">
        <v>10630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10630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-114.70999999999999</v>
      </c>
      <c r="C333" s="14">
        <f>IFERROR(B333/B446, "NA")</f>
      </c>
      <c r="D333" s="15"/>
      <c r="E333" s="13">
        <v>180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180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605.28999999999996</v>
      </c>
      <c r="R333" s="14">
        <f>IFERROR(Q333/Q446, "NA")</f>
      </c>
      <c r="S333" s="15"/>
      <c r="T333" s="13">
        <v>900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900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1254</v>
      </c>
      <c r="C334" s="14">
        <f>IFERROR(B334/B446, "NA")</f>
      </c>
      <c r="D334" s="15"/>
      <c r="E334" s="13">
        <v>1025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1024.6900000000001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6270</v>
      </c>
      <c r="R334" s="14">
        <f>IFERROR(Q334/Q446, "NA")</f>
      </c>
      <c r="S334" s="15"/>
      <c r="T334" s="13">
        <v>5125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5123.4499999999998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-1041.54</v>
      </c>
      <c r="C335" s="14">
        <f>IFERROR(B335/B446, "NA")</f>
      </c>
      <c r="D335" s="15"/>
      <c r="E335" s="13">
        <v>-1041.54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-1011.2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-2083.0799999999999</v>
      </c>
      <c r="R335" s="14">
        <f>IFERROR(Q335/Q446, "NA")</f>
      </c>
      <c r="S335" s="15"/>
      <c r="T335" s="13">
        <v>-2083.0799999999999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-2022.4000000000001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350</v>
      </c>
      <c r="C339" s="14">
        <f>IFERROR(B339/B446, "NA")</f>
      </c>
      <c r="D339" s="15"/>
      <c r="E339" s="13">
        <v>570.59000000000003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400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1721.1500000000001</v>
      </c>
      <c r="R339" s="14">
        <f>IFERROR(Q339/Q446, "NA")</f>
      </c>
      <c r="S339" s="15"/>
      <c r="T339" s="13">
        <v>2373.1300000000001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1930.04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436.48000000000002</v>
      </c>
      <c r="C340" s="14">
        <f>IFERROR(B340/B446, "NA")</f>
      </c>
      <c r="D340" s="15"/>
      <c r="E340" s="13">
        <v>427.94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404.13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2191.6199999999999</v>
      </c>
      <c r="R340" s="14">
        <f>IFERROR(Q340/Q446, "NA")</f>
      </c>
      <c r="S340" s="15"/>
      <c r="T340" s="13">
        <v>1779.8399999999999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1730.1199999999999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378</v>
      </c>
      <c r="C341" s="14">
        <f>IFERROR(B341/B446, "NA")</f>
      </c>
      <c r="D341" s="15"/>
      <c r="E341" s="13">
        <v>427.94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390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636.84000000000003</v>
      </c>
      <c r="R341" s="14">
        <f>IFERROR(Q341/Q446, "NA")</f>
      </c>
      <c r="S341" s="15"/>
      <c r="T341" s="13">
        <v>1779.8399999999999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2129.1799999999998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489.54000000000002</v>
      </c>
      <c r="C342" s="14">
        <f>IFERROR(B342/B446, "NA")</f>
      </c>
      <c r="D342" s="15"/>
      <c r="E342" s="13">
        <v>570.59000000000003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472.02999999999997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2413.48</v>
      </c>
      <c r="R342" s="14">
        <f>IFERROR(Q342/Q446, "NA")</f>
      </c>
      <c r="S342" s="15"/>
      <c r="T342" s="13">
        <v>2373.1300000000001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2357.3699999999999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8826.7399999999998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42810.580000000002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8507.9500000000007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8150.7200000000003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42538.220000000001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40456.160000000003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-168.53999999999999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-577.16999999999996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-123.13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-102.27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-71.319999999999993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396.47000000000003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-353.81999999999999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121654.16</v>
      </c>
      <c r="C446" s="33"/>
      <c r="D446" s="15"/>
      <c r="E446" s="13">
        <v>142648.01000000001</v>
      </c>
      <c r="F446" s="33"/>
      <c r="G446" s="15"/>
      <c r="H446" s="16">
        <f>IFERROR(B446-E446, "NA")</f>
      </c>
      <c r="I446" s="33"/>
      <c r="J446" s="15"/>
      <c r="K446" s="13">
        <v>130570.25999999999</v>
      </c>
      <c r="L446" s="33"/>
      <c r="M446" s="15"/>
      <c r="N446" s="16">
        <f>IFERROR(B446-K446, "NA")</f>
      </c>
      <c r="O446" s="33"/>
      <c r="P446" s="15"/>
      <c r="Q446" s="13">
        <v>521332.51000000001</v>
      </c>
      <c r="R446" s="33"/>
      <c r="S446" s="15"/>
      <c r="T446" s="13">
        <v>593283.01000000001</v>
      </c>
      <c r="U446" s="33"/>
      <c r="V446" s="15"/>
      <c r="W446" s="16">
        <f>IFERROR(Q446-T446, "NA")</f>
      </c>
      <c r="X446" s="33"/>
      <c r="Y446" s="15"/>
      <c r="Z446" s="13">
        <v>551521.05000000005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418</v>
      </c>
      <c t="s" r="B3" s="3">
        <v>418</v>
      </c>
      <c t="s" r="C3" s="3">
        <v>418</v>
      </c>
      <c t="s" r="D3" s="3">
        <v>418</v>
      </c>
      <c t="s" r="E3" s="3">
        <v>418</v>
      </c>
      <c t="s" r="F3" s="3">
        <v>418</v>
      </c>
      <c t="s" r="G3" s="3">
        <v>418</v>
      </c>
      <c t="s" r="H3" s="3">
        <v>418</v>
      </c>
      <c t="s" r="I3" s="3">
        <v>418</v>
      </c>
      <c t="s" r="J3" s="3">
        <v>418</v>
      </c>
      <c t="s" r="K3" s="3">
        <v>418</v>
      </c>
      <c t="s" r="L3" s="3">
        <v>418</v>
      </c>
      <c t="s" r="M3" s="3">
        <v>418</v>
      </c>
      <c t="s" r="N3" s="3">
        <v>418</v>
      </c>
      <c t="s" r="O3" s="3">
        <v>418</v>
      </c>
      <c t="s" r="P3" s="3">
        <v>418</v>
      </c>
      <c t="s" r="Q3" s="3">
        <v>418</v>
      </c>
      <c t="s" r="R3" s="3">
        <v>418</v>
      </c>
      <c t="s" r="S3" s="3">
        <v>418</v>
      </c>
      <c t="s" r="T3" s="3">
        <v>418</v>
      </c>
      <c t="s" r="U3" s="3">
        <v>418</v>
      </c>
      <c t="s" r="V3" s="3">
        <v>418</v>
      </c>
      <c t="s" r="W3" s="3">
        <v>418</v>
      </c>
      <c t="s" r="X3" s="3">
        <v>418</v>
      </c>
      <c t="s" r="Y3" s="3">
        <v>418</v>
      </c>
      <c t="s" r="Z3" s="3">
        <v>418</v>
      </c>
      <c t="s" r="AA3" s="3">
        <v>418</v>
      </c>
      <c t="s" r="AB3" s="3">
        <v>418</v>
      </c>
      <c t="s" r="AC3" s="3">
        <v>418</v>
      </c>
      <c t="s" r="AD3" s="3">
        <v>418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59952.970000000001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284231.33000000002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44910.830000000002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45979.449999999997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225859.97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241055.89000000001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5203.1999999999998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5772.1499999999996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24991.700000000001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29031.650000000001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159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141.5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810.5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827.5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490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80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1990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5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81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96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244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0.34000000000000002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0.5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13420.43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63625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7995.5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5232.5900000000001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44572.150000000001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9838.6700000000001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34693.230000000003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832.48000000000002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595.64999999999998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3388.73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5463.7600000000002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173.44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740.23000000000002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1154.1400000000001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6866.4300000000003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910.48000000000002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898.5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4342.75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4342.75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22827.279999999999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108221.97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9006.5200000000004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6309.1899999999996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52393.120000000003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40123.989999999998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708.10000000000002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1245.26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3689.7800000000002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6504.4399999999996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10019.219999999999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7494.2700000000004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49308.959999999999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52286.690000000002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1157.6600000000001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4183.9300000000003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865.64999999999998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521.39999999999998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4762.75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23203.549999999999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110005.85000000001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3024.1399999999999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4191.0699999999997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14615.01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21455.259999999998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15843.33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24541.02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55544.330000000002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84795.800000000003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12.85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23.300000000000001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10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35.75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16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56.200000000000003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10033.969999999999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47570.110000000001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3533.54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3139.0300000000002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20546.110000000001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4332.5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6237.8199999999997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12739.360000000001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31284.900000000001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6124.1700000000001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838.35000000000002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11740.959999999999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838.35000000000002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-17.850000000000001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5959.6999999999998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10128.5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1881.3699999999999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8919.3999999999996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231.80000000000001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350.83999999999997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1088.9200000000001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1777.04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1471.0599999999999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2012.7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5322.7399999999998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6586.9499999999998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-32.310000000000002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-15.94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-18.899999999999999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-458.70999999999998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-5894.96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-27947.439999999999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-881.53999999999996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-315.89999999999998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-6285.8999999999996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-6041.1000000000004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-2239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-2336.75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-9301.6100000000006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-12040.92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-5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-71.840000000000003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-261.24000000000001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-2886.0599999999999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-105.51000000000001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-358.55000000000001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-728.32000000000005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-1431.28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-1722.79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-10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-102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-445.55000000000001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-731.44000000000005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-2898.8200000000002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-3785.23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-185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-5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-279.50999999999999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-145.09999999999999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26966.290000000001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129301.35000000001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5985.2600000000002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6521.75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27580.07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33912.510000000002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2891.4200000000001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3812.1399999999999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14560.110000000001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18426.060000000001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4937.8100000000004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6116.9099999999999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20368.970000000001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22857.73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2549.4899999999998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2967.3200000000002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12653.35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14235.559999999999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1565.3499999999999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1061.1099999999999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6736.2700000000004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5351.5500000000002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893.48000000000002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881.02999999999997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3886.5300000000002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4478.3100000000004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796.55999999999995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5225.9200000000001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524.24000000000001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639.13999999999999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2615.9699999999998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2948.4299999999998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7607.0600000000004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8955.2000000000007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37589.209999999999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36295.370000000003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1379.6700000000001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6540.8900000000003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1422.1199999999999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1804.8399999999999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6465.0699999999997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7943.5600000000004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40.060000000000002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71.730000000000004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231.06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152.37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127.38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-118.29000000000001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635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1.4199999999999999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26.780000000000001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62.460000000000001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5142.4099999999999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24379.669999999998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3676.7199999999998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3553.6999999999998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16942.02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18382.130000000001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982.71000000000004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1308.74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4397.7399999999998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5691.1800000000003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411.54000000000002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1070.1400000000001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1389.6700000000001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2592.3499999999999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3.5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1.3999999999999999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98.780000000000001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103.01000000000001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628.07000000000005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562.55999999999995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141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35.799999999999997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500.33999999999997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197.80000000000001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-1028.6600000000001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-1072.4300000000001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-5058.8199999999997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-12972.84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5192.3199999999997</v>
      </c>
      <c r="C178" s="14">
        <f>IFERROR(B178/B446, "NA")</f>
      </c>
      <c r="D178" s="15"/>
      <c r="E178" s="13">
        <v>5192.3199999999997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5192.3199999999997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27259.68</v>
      </c>
      <c r="R178" s="14">
        <f>IFERROR(Q178/Q446, "NA")</f>
      </c>
      <c r="S178" s="15"/>
      <c r="T178" s="13">
        <v>27259.68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27259.68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22640.68</v>
      </c>
      <c r="C180" s="14">
        <f>IFERROR(B180/B446, "NA")</f>
      </c>
      <c r="D180" s="15"/>
      <c r="E180" s="13">
        <v>24834.07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23415.52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107067.72</v>
      </c>
      <c r="R180" s="14">
        <f>IFERROR(Q180/Q446, "NA")</f>
      </c>
      <c r="S180" s="15"/>
      <c r="T180" s="13">
        <v>116931.46000000001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113732.72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353.44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369.36000000000001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677.73000000000002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469.97000000000003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-813</v>
      </c>
      <c r="C184" s="14">
        <f>IFERROR(B184/B446, "NA")</f>
      </c>
      <c r="D184" s="15"/>
      <c r="E184" s="13">
        <v>325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-850</v>
      </c>
      <c r="R184" s="14">
        <f>IFERROR(Q184/Q446, "NA")</f>
      </c>
      <c r="S184" s="15"/>
      <c r="T184" s="13">
        <v>1787.5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2500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2557.7399999999998</v>
      </c>
      <c r="C186" s="14">
        <f>IFERROR(B186/B446, "NA")</f>
      </c>
      <c r="D186" s="15"/>
      <c r="E186" s="13">
        <v>2864.0500000000002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2626.3600000000001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12644.389999999999</v>
      </c>
      <c r="R186" s="14">
        <f>IFERROR(Q186/Q446, "NA")</f>
      </c>
      <c r="S186" s="15"/>
      <c r="T186" s="13">
        <v>14047.440000000001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13154.4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276.31</v>
      </c>
      <c r="C194" s="14">
        <f>IFERROR(B194/B446, "NA")</f>
      </c>
      <c r="D194" s="15"/>
      <c r="E194" s="13">
        <v>242.81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275.60000000000002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1411.97</v>
      </c>
      <c r="R194" s="14">
        <f>IFERROR(Q194/Q446, "NA")</f>
      </c>
      <c r="S194" s="15"/>
      <c r="T194" s="13">
        <v>1167.8299999999999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1447.5599999999999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874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871.13999999999999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4924.4499999999998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4399.4300000000003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1038.77</v>
      </c>
      <c r="C202" s="14">
        <f>IFERROR(B202/B446, "NA")</f>
      </c>
      <c r="D202" s="15"/>
      <c r="E202" s="13">
        <v>1379.6700000000001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1267.95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5188.9899999999998</v>
      </c>
      <c r="R202" s="14">
        <f>IFERROR(Q202/Q446, "NA")</f>
      </c>
      <c r="S202" s="15"/>
      <c r="T202" s="13">
        <v>6540.8900000000003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4929.6700000000001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705.17999999999995</v>
      </c>
      <c r="C203" s="14">
        <f>IFERROR(B203/B446, "NA")</f>
      </c>
      <c r="D203" s="15"/>
      <c r="E203" s="13">
        <v>877.97000000000003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633.49000000000001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5386.4300000000003</v>
      </c>
      <c r="R203" s="14">
        <f>IFERROR(Q203/Q446, "NA")</f>
      </c>
      <c r="S203" s="15"/>
      <c r="T203" s="13">
        <v>4162.3800000000001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3738.3699999999999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36.509999999999998</v>
      </c>
      <c r="C204" s="14">
        <f>IFERROR(B204/B446, "NA")</f>
      </c>
      <c r="D204" s="15"/>
      <c r="E204" s="13">
        <v>250.84999999999999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20.350000000000001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265.97000000000003</v>
      </c>
      <c r="R204" s="14">
        <f>IFERROR(Q204/Q446, "NA")</f>
      </c>
      <c r="S204" s="15"/>
      <c r="T204" s="13">
        <v>1189.26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324.44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455.30000000000001</v>
      </c>
      <c r="C205" s="14">
        <f>IFERROR(B205/B446, "NA")</f>
      </c>
      <c r="D205" s="15"/>
      <c r="E205" s="13">
        <v>376.26999999999998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364.24000000000001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2095.7199999999998</v>
      </c>
      <c r="R205" s="14">
        <f>IFERROR(Q205/Q446, "NA")</f>
      </c>
      <c r="S205" s="15"/>
      <c r="T205" s="13">
        <v>1783.8699999999999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1912.26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12.630000000000001</v>
      </c>
      <c r="C206" s="14">
        <f>IFERROR(B206/B446, "NA")</f>
      </c>
      <c r="D206" s="15"/>
      <c r="E206" s="13">
        <v>125.42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238.53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63.060000000000002</v>
      </c>
      <c r="R206" s="14">
        <f>IFERROR(Q206/Q446, "NA")</f>
      </c>
      <c r="S206" s="15"/>
      <c r="T206" s="13">
        <v>594.62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374.29000000000002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148.25999999999999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488.69999999999999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148.25999999999999</v>
      </c>
      <c r="R207" s="14">
        <f>IFERROR(Q207/Q446, "NA")</f>
      </c>
      <c r="S207" s="15"/>
      <c r="T207" s="13">
        <v>500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588.29999999999995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85.400000000000006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95.420000000000002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488.18000000000001</v>
      </c>
      <c r="R208" s="14">
        <f>IFERROR(Q208/Q446, "NA")</f>
      </c>
      <c r="S208" s="15"/>
      <c r="T208" s="13">
        <v>500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874.04999999999995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3637.3099999999999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17244.16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857.39999999999998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612.08000000000004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6055.8699999999999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10451.23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498.63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1323.49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70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220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2.1000000000000001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1269.1099999999999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1668.4300000000001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8297.75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10853.32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151.5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0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354.08999999999997</v>
      </c>
      <c r="R222" s="14">
        <f>IFERROR(Q222/Q446, "NA")</f>
      </c>
      <c r="S222" s="15"/>
      <c r="T222" s="13">
        <v>500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509.06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1630.52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7730.1400000000003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203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231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973.04999999999995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1135.9000000000001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1785.5599999999999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5618.5799999999999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7586.5699999999997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62.719999999999999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186.38999999999999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7650.8999999999996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36272.199999999997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1416.53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991.40999999999997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7938.2799999999997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5454.0500000000002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3016.0599999999999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4139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11182.639999999999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15359.09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728.71000000000004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593.78999999999996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4232.8900000000003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891.37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152.31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357.52999999999997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746.62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1879.1600000000001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272.07999999999998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268.5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1356.75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1356.75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2048.71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971.55999999999995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9339.3600000000006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6917.2799999999997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1245.26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2543.2399999999998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4164.6999999999998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1061.22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125.75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1886.0599999999999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125.75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3035.4899999999998</v>
      </c>
      <c r="C266" s="14">
        <f>IFERROR(B266/B446, "NA")</f>
      </c>
      <c r="D266" s="15"/>
      <c r="E266" s="13">
        <v>3386.46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3150.6799999999998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14153.75</v>
      </c>
      <c r="R266" s="14">
        <f>IFERROR(Q266/Q446, "NA")</f>
      </c>
      <c r="S266" s="15"/>
      <c r="T266" s="13">
        <v>16054.91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14602.66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74.099999999999994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226.63999999999999</v>
      </c>
      <c r="C271" s="14">
        <f>IFERROR(B271/B446, "NA")</f>
      </c>
      <c r="D271" s="15"/>
      <c r="E271" s="13">
        <v>111.38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89.790000000000006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816.54999999999995</v>
      </c>
      <c r="R271" s="14">
        <f>IFERROR(Q271/Q446, "NA")</f>
      </c>
      <c r="S271" s="15"/>
      <c r="T271" s="13">
        <v>556.89999999999998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707.75999999999999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1074.5599999999999</v>
      </c>
      <c r="C272" s="14">
        <f>IFERROR(B272/B446, "NA")</f>
      </c>
      <c r="D272" s="15"/>
      <c r="E272" s="13">
        <v>1183.75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1183.75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5514.3199999999997</v>
      </c>
      <c r="R272" s="14">
        <f>IFERROR(Q272/Q446, "NA")</f>
      </c>
      <c r="S272" s="15"/>
      <c r="T272" s="13">
        <v>5918.75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5107.5299999999997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158.34</v>
      </c>
      <c r="C289" s="14">
        <f>IFERROR(B289/B446, "NA")</f>
      </c>
      <c r="D289" s="15"/>
      <c r="E289" s="13">
        <v>158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158.33000000000001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791.72000000000003</v>
      </c>
      <c r="R289" s="14">
        <f>IFERROR(Q289/Q446, "NA")</f>
      </c>
      <c r="S289" s="15"/>
      <c r="T289" s="13">
        <v>790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791.66999999999996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252.30000000000001</v>
      </c>
      <c r="C290" s="14">
        <f>IFERROR(B290/B446, "NA")</f>
      </c>
      <c r="D290" s="15"/>
      <c r="E290" s="13">
        <v>233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216.02000000000001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1244.25</v>
      </c>
      <c r="R290" s="14">
        <f>IFERROR(Q290/Q446, "NA")</f>
      </c>
      <c r="S290" s="15"/>
      <c r="T290" s="13">
        <v>1165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1044.4400000000001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0</v>
      </c>
      <c r="C291" s="14">
        <f>IFERROR(B291/B446, "NA")</f>
      </c>
      <c r="D291" s="15"/>
      <c r="E291" s="13">
        <v>376.26999999999998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209.13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1296.75</v>
      </c>
      <c r="R291" s="14">
        <f>IFERROR(Q291/Q446, "NA")</f>
      </c>
      <c r="S291" s="15"/>
      <c r="T291" s="13">
        <v>1625.1600000000001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209.13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0</v>
      </c>
      <c r="C292" s="14">
        <f>IFERROR(B292/B446, "NA")</f>
      </c>
      <c r="D292" s="15"/>
      <c r="E292" s="13">
        <v>501.69999999999999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336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5239.8800000000001</v>
      </c>
      <c r="R292" s="14">
        <f>IFERROR(Q292/Q446, "NA")</f>
      </c>
      <c r="S292" s="15"/>
      <c r="T292" s="13">
        <v>2378.5100000000002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1017.3099999999999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125.42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522.95000000000005</v>
      </c>
      <c r="R293" s="14">
        <f>IFERROR(Q293/Q446, "NA")</f>
      </c>
      <c r="S293" s="15"/>
      <c r="T293" s="13">
        <v>594.62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125.42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594.62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0</v>
      </c>
      <c r="C295" s="14">
        <f>IFERROR(B295/B446, "NA")</f>
      </c>
      <c r="D295" s="15"/>
      <c r="E295" s="13">
        <v>412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430.73000000000002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813.98000000000002</v>
      </c>
      <c r="R295" s="14">
        <f>IFERROR(Q295/Q446, "NA")</f>
      </c>
      <c r="S295" s="15"/>
      <c r="T295" s="13">
        <v>2060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1929.6900000000001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490.04000000000002</v>
      </c>
      <c r="C300" s="14">
        <f>IFERROR(B300/B446, "NA")</f>
      </c>
      <c r="D300" s="15"/>
      <c r="E300" s="13">
        <v>469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271.88999999999999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2409.6700000000001</v>
      </c>
      <c r="R300" s="14">
        <f>IFERROR(Q300/Q446, "NA")</f>
      </c>
      <c r="S300" s="15"/>
      <c r="T300" s="13">
        <v>2345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2137.1199999999999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25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291.68000000000001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146.91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307.10000000000002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64.510000000000005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177.94999999999999</v>
      </c>
      <c r="R311" s="14">
        <f>IFERROR(Q311/Q446, "NA")</f>
      </c>
      <c r="S311" s="15"/>
      <c r="T311" s="13">
        <v>275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15.9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26.699999999999999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1058.8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380.12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2456.48</v>
      </c>
      <c r="R313" s="14">
        <f>IFERROR(Q313/Q446, "NA")</f>
      </c>
      <c r="S313" s="15"/>
      <c r="T313" s="13">
        <v>175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1931.6099999999999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19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10</v>
      </c>
      <c r="R314" s="14">
        <f>IFERROR(Q314/Q446, "NA")</f>
      </c>
      <c r="S314" s="15"/>
      <c r="T314" s="13">
        <v>55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33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533.34000000000003</v>
      </c>
      <c r="C316" s="14">
        <f>IFERROR(B316/B446, "NA")</f>
      </c>
      <c r="D316" s="15"/>
      <c r="E316" s="13">
        <v>501.69999999999999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533.34000000000003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2666.6599999999999</v>
      </c>
      <c r="R316" s="14">
        <f>IFERROR(Q316/Q446, "NA")</f>
      </c>
      <c r="S316" s="15"/>
      <c r="T316" s="13">
        <v>2378.5100000000002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1066.6800000000001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-1.6100000000000001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292.38999999999999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395.44999999999999</v>
      </c>
      <c r="C320" s="14">
        <f>IFERROR(B320/B446, "NA")</f>
      </c>
      <c r="D320" s="15"/>
      <c r="E320" s="13">
        <v>308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306.63999999999999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1816.8499999999999</v>
      </c>
      <c r="R320" s="14">
        <f>IFERROR(Q320/Q446, "NA")</f>
      </c>
      <c r="S320" s="15"/>
      <c r="T320" s="13">
        <v>1540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1401.72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1061.3299999999999</v>
      </c>
      <c r="C321" s="14">
        <f>IFERROR(B321/B446, "NA")</f>
      </c>
      <c r="D321" s="15"/>
      <c r="E321" s="13">
        <v>1186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1163.71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5616.9200000000001</v>
      </c>
      <c r="R321" s="14">
        <f>IFERROR(Q321/Q446, "NA")</f>
      </c>
      <c r="S321" s="15"/>
      <c r="T321" s="13">
        <v>5930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5711.5600000000004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1028.6600000000001</v>
      </c>
      <c r="C322" s="14">
        <f>IFERROR(B322/B446, "NA")</f>
      </c>
      <c r="D322" s="15"/>
      <c r="E322" s="13">
        <v>1881.3699999999999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1072.4300000000001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5058.8199999999997</v>
      </c>
      <c r="R322" s="14">
        <f>IFERROR(Q322/Q446, "NA")</f>
      </c>
      <c r="S322" s="15"/>
      <c r="T322" s="13">
        <v>8822.2900000000009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12972.84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385.68000000000001</v>
      </c>
      <c r="C323" s="14">
        <f>IFERROR(B323/B446, "NA")</f>
      </c>
      <c r="D323" s="15"/>
      <c r="E323" s="13">
        <v>252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420.42000000000002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2357.7199999999998</v>
      </c>
      <c r="R323" s="14">
        <f>IFERROR(Q323/Q446, "NA")</f>
      </c>
      <c r="S323" s="15"/>
      <c r="T323" s="13">
        <v>1260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1997.3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20059.040000000001</v>
      </c>
      <c r="C330" s="14">
        <f>IFERROR(B330/B446, "NA")</f>
      </c>
      <c r="D330" s="15"/>
      <c r="E330" s="13">
        <v>20059.040000000001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19569.790000000001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100295.2</v>
      </c>
      <c r="R330" s="14">
        <f>IFERROR(Q330/Q446, "NA")</f>
      </c>
      <c r="S330" s="15"/>
      <c r="T330" s="13">
        <v>100295.2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97848.949999999997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525.27999999999997</v>
      </c>
      <c r="C331" s="14">
        <f>IFERROR(B331/B446, "NA")</f>
      </c>
      <c r="D331" s="15"/>
      <c r="E331" s="13">
        <v>658.50999999999999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980.22000000000003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3159.3200000000002</v>
      </c>
      <c r="R331" s="14">
        <f>IFERROR(Q331/Q446, "NA")</f>
      </c>
      <c r="S331" s="15"/>
      <c r="T331" s="13">
        <v>3292.5500000000002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3614.2600000000002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1757.95</v>
      </c>
      <c r="C334" s="14">
        <f>IFERROR(B334/B446, "NA")</f>
      </c>
      <c r="D334" s="15"/>
      <c r="E334" s="13">
        <v>856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855.92999999999995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5181.6700000000001</v>
      </c>
      <c r="R334" s="14">
        <f>IFERROR(Q334/Q446, "NA")</f>
      </c>
      <c r="S334" s="15"/>
      <c r="T334" s="13">
        <v>4280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4184.3599999999997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-1544.55</v>
      </c>
      <c r="C335" s="14">
        <f>IFERROR(B335/B446, "NA")</f>
      </c>
      <c r="D335" s="15"/>
      <c r="E335" s="13">
        <v>-1544.55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-1506.8699999999999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-3089.0999999999999</v>
      </c>
      <c r="R335" s="14">
        <f>IFERROR(Q335/Q446, "NA")</f>
      </c>
      <c r="S335" s="15"/>
      <c r="T335" s="13">
        <v>-3089.0999999999999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-3013.7399999999998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2055.6500000000001</v>
      </c>
      <c r="C339" s="14">
        <f>IFERROR(B339/B446, "NA")</f>
      </c>
      <c r="D339" s="15"/>
      <c r="E339" s="13">
        <v>2633.9200000000001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2110.5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9994.7299999999996</v>
      </c>
      <c r="R339" s="14">
        <f>IFERROR(Q339/Q446, "NA")</f>
      </c>
      <c r="S339" s="15"/>
      <c r="T339" s="13">
        <v>12487.15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9562.9200000000001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814.30999999999995</v>
      </c>
      <c r="C340" s="14">
        <f>IFERROR(B340/B446, "NA")</f>
      </c>
      <c r="D340" s="15"/>
      <c r="E340" s="13">
        <v>877.97000000000003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699.75999999999999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5320.9300000000003</v>
      </c>
      <c r="R340" s="14">
        <f>IFERROR(Q340/Q446, "NA")</f>
      </c>
      <c r="S340" s="15"/>
      <c r="T340" s="13">
        <v>4162.3800000000001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5387.9300000000003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808.22000000000003</v>
      </c>
      <c r="C341" s="14">
        <f>IFERROR(B341/B446, "NA")</f>
      </c>
      <c r="D341" s="15"/>
      <c r="E341" s="13">
        <v>877.97000000000003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780.33000000000004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4126.8000000000002</v>
      </c>
      <c r="R341" s="14">
        <f>IFERROR(Q341/Q446, "NA")</f>
      </c>
      <c r="S341" s="15"/>
      <c r="T341" s="13">
        <v>4162.3800000000001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4399.8800000000001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1066.1900000000001</v>
      </c>
      <c r="C342" s="14">
        <f>IFERROR(B342/B446, "NA")</f>
      </c>
      <c r="D342" s="15"/>
      <c r="E342" s="13">
        <v>1128.8199999999999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1031.99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5262.5500000000002</v>
      </c>
      <c r="R342" s="14">
        <f>IFERROR(Q342/Q446, "NA")</f>
      </c>
      <c r="S342" s="15"/>
      <c r="T342" s="13">
        <v>5351.6400000000003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5122.2700000000004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10538.65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52230.870000000003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10648.860000000001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9780.8999999999996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53243.669999999998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48904.489999999998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-54.719999999999999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-56.530000000000001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-157.5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168.33000000000001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-14.94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-60.32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-123.08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-137.44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116123.28</v>
      </c>
      <c r="C446" s="33"/>
      <c r="D446" s="15"/>
      <c r="E446" s="13">
        <v>125424.61</v>
      </c>
      <c r="F446" s="33"/>
      <c r="G446" s="15"/>
      <c r="H446" s="16">
        <f>IFERROR(B446-E446, "NA")</f>
      </c>
      <c r="I446" s="33"/>
      <c r="J446" s="15"/>
      <c r="K446" s="13">
        <v>115015.7</v>
      </c>
      <c r="L446" s="33"/>
      <c r="M446" s="15"/>
      <c r="N446" s="16">
        <f>IFERROR(B446-K446, "NA")</f>
      </c>
      <c r="O446" s="33"/>
      <c r="P446" s="15"/>
      <c r="Q446" s="13">
        <v>527751.01000000001</v>
      </c>
      <c r="R446" s="33"/>
      <c r="S446" s="15"/>
      <c r="T446" s="13">
        <v>594626.21999999997</v>
      </c>
      <c r="U446" s="33"/>
      <c r="V446" s="15"/>
      <c r="W446" s="16">
        <f>IFERROR(Q446-T446, "NA")</f>
      </c>
      <c r="X446" s="33"/>
      <c r="Y446" s="15"/>
      <c r="Z446" s="13">
        <v>555767.32999999996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2026-07-23T15:31:03Z</dcterms:created>
  <dcterms:modified xsi:type="dcterms:W3CDTF">2026-07-23T15:31:03Z</dcterms:modified>
</cp:coreProperties>
</file>