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E9228927-3B5A-4DBC-9AA9-B30A0150C7D9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Z442" i="7"/>
  <c r="AA442" i="7" s="1"/>
  <c r="T442" i="7"/>
  <c r="U442" i="7" s="1"/>
  <c r="Q442" i="7"/>
  <c r="R442" i="7" s="1"/>
  <c r="L442" i="7"/>
  <c r="K442" i="7"/>
  <c r="H442" i="7"/>
  <c r="I442" i="7" s="1"/>
  <c r="E442" i="7"/>
  <c r="F442" i="7" s="1"/>
  <c r="B442" i="7"/>
  <c r="C442" i="7" s="1"/>
  <c r="Z441" i="7"/>
  <c r="AA441" i="7" s="1"/>
  <c r="T441" i="7"/>
  <c r="W441" i="7" s="1"/>
  <c r="X441" i="7" s="1"/>
  <c r="R441" i="7"/>
  <c r="Q441" i="7"/>
  <c r="K441" i="7"/>
  <c r="L441" i="7" s="1"/>
  <c r="F441" i="7"/>
  <c r="E441" i="7"/>
  <c r="B441" i="7"/>
  <c r="AC440" i="7"/>
  <c r="AD440" i="7" s="1"/>
  <c r="AA440" i="7"/>
  <c r="W440" i="7"/>
  <c r="X440" i="7" s="1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X439" i="7"/>
  <c r="W439" i="7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X438" i="7"/>
  <c r="W438" i="7"/>
  <c r="U438" i="7"/>
  <c r="R438" i="7"/>
  <c r="N438" i="7"/>
  <c r="O438" i="7" s="1"/>
  <c r="L438" i="7"/>
  <c r="H438" i="7"/>
  <c r="I438" i="7" s="1"/>
  <c r="F438" i="7"/>
  <c r="C438" i="7"/>
  <c r="AC437" i="7"/>
  <c r="AD437" i="7" s="1"/>
  <c r="AA437" i="7"/>
  <c r="W437" i="7"/>
  <c r="X437" i="7" s="1"/>
  <c r="U437" i="7"/>
  <c r="R437" i="7"/>
  <c r="O437" i="7"/>
  <c r="N437" i="7"/>
  <c r="L437" i="7"/>
  <c r="I437" i="7"/>
  <c r="H437" i="7"/>
  <c r="F437" i="7"/>
  <c r="C437" i="7"/>
  <c r="AC436" i="7"/>
  <c r="AD436" i="7" s="1"/>
  <c r="AA436" i="7"/>
  <c r="W436" i="7"/>
  <c r="X436" i="7" s="1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X435" i="7"/>
  <c r="W435" i="7"/>
  <c r="U435" i="7"/>
  <c r="R435" i="7"/>
  <c r="N435" i="7"/>
  <c r="O435" i="7" s="1"/>
  <c r="L435" i="7"/>
  <c r="H435" i="7"/>
  <c r="I435" i="7" s="1"/>
  <c r="F435" i="7"/>
  <c r="C435" i="7"/>
  <c r="AD434" i="7"/>
  <c r="AC434" i="7"/>
  <c r="AA434" i="7"/>
  <c r="X434" i="7"/>
  <c r="W434" i="7"/>
  <c r="U434" i="7"/>
  <c r="R434" i="7"/>
  <c r="N434" i="7"/>
  <c r="O434" i="7" s="1"/>
  <c r="L434" i="7"/>
  <c r="H434" i="7"/>
  <c r="I434" i="7" s="1"/>
  <c r="F434" i="7"/>
  <c r="C434" i="7"/>
  <c r="AC433" i="7"/>
  <c r="AD433" i="7" s="1"/>
  <c r="AA433" i="7"/>
  <c r="W433" i="7"/>
  <c r="X433" i="7" s="1"/>
  <c r="U433" i="7"/>
  <c r="R433" i="7"/>
  <c r="O433" i="7"/>
  <c r="N433" i="7"/>
  <c r="L433" i="7"/>
  <c r="I433" i="7"/>
  <c r="H433" i="7"/>
  <c r="F433" i="7"/>
  <c r="C433" i="7"/>
  <c r="AC432" i="7"/>
  <c r="AD432" i="7" s="1"/>
  <c r="AA432" i="7"/>
  <c r="W432" i="7"/>
  <c r="X432" i="7" s="1"/>
  <c r="U432" i="7"/>
  <c r="R432" i="7"/>
  <c r="O432" i="7"/>
  <c r="N432" i="7"/>
  <c r="L432" i="7"/>
  <c r="H432" i="7"/>
  <c r="I432" i="7" s="1"/>
  <c r="F432" i="7"/>
  <c r="C432" i="7"/>
  <c r="AC429" i="7"/>
  <c r="AD429" i="7" s="1"/>
  <c r="Z429" i="7"/>
  <c r="AA429" i="7" s="1"/>
  <c r="U429" i="7"/>
  <c r="T429" i="7"/>
  <c r="Q429" i="7"/>
  <c r="W429" i="7" s="1"/>
  <c r="X429" i="7" s="1"/>
  <c r="K429" i="7"/>
  <c r="L429" i="7" s="1"/>
  <c r="E429" i="7"/>
  <c r="F429" i="7" s="1"/>
  <c r="B429" i="7"/>
  <c r="C429" i="7" s="1"/>
  <c r="AA428" i="7"/>
  <c r="Z428" i="7"/>
  <c r="W428" i="7"/>
  <c r="X428" i="7" s="1"/>
  <c r="T428" i="7"/>
  <c r="U428" i="7" s="1"/>
  <c r="Q428" i="7"/>
  <c r="R428" i="7" s="1"/>
  <c r="L428" i="7"/>
  <c r="K428" i="7"/>
  <c r="H428" i="7"/>
  <c r="I428" i="7" s="1"/>
  <c r="E428" i="7"/>
  <c r="F428" i="7" s="1"/>
  <c r="C428" i="7"/>
  <c r="B428" i="7"/>
  <c r="AD427" i="7"/>
  <c r="AC427" i="7"/>
  <c r="AA427" i="7"/>
  <c r="X427" i="7"/>
  <c r="W427" i="7"/>
  <c r="U427" i="7"/>
  <c r="R427" i="7"/>
  <c r="N427" i="7"/>
  <c r="O427" i="7" s="1"/>
  <c r="L427" i="7"/>
  <c r="H427" i="7"/>
  <c r="I427" i="7" s="1"/>
  <c r="F427" i="7"/>
  <c r="C427" i="7"/>
  <c r="AD426" i="7"/>
  <c r="AC426" i="7"/>
  <c r="AA426" i="7"/>
  <c r="X426" i="7"/>
  <c r="W426" i="7"/>
  <c r="U426" i="7"/>
  <c r="R426" i="7"/>
  <c r="N426" i="7"/>
  <c r="O426" i="7" s="1"/>
  <c r="L426" i="7"/>
  <c r="I426" i="7"/>
  <c r="H426" i="7"/>
  <c r="F426" i="7"/>
  <c r="C426" i="7"/>
  <c r="AC425" i="7"/>
  <c r="AD425" i="7" s="1"/>
  <c r="AA425" i="7"/>
  <c r="W425" i="7"/>
  <c r="X425" i="7" s="1"/>
  <c r="U425" i="7"/>
  <c r="R425" i="7"/>
  <c r="O425" i="7"/>
  <c r="N425" i="7"/>
  <c r="L425" i="7"/>
  <c r="I425" i="7"/>
  <c r="H425" i="7"/>
  <c r="F425" i="7"/>
  <c r="C425" i="7"/>
  <c r="AC424" i="7"/>
  <c r="AD424" i="7" s="1"/>
  <c r="AA424" i="7"/>
  <c r="W424" i="7"/>
  <c r="X424" i="7" s="1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X423" i="7"/>
  <c r="W423" i="7"/>
  <c r="U423" i="7"/>
  <c r="R423" i="7"/>
  <c r="N423" i="7"/>
  <c r="O423" i="7" s="1"/>
  <c r="L423" i="7"/>
  <c r="H423" i="7"/>
  <c r="I423" i="7" s="1"/>
  <c r="F423" i="7"/>
  <c r="C423" i="7"/>
  <c r="AD422" i="7"/>
  <c r="AC422" i="7"/>
  <c r="AA422" i="7"/>
  <c r="X422" i="7"/>
  <c r="W422" i="7"/>
  <c r="U422" i="7"/>
  <c r="R422" i="7"/>
  <c r="N422" i="7"/>
  <c r="O422" i="7" s="1"/>
  <c r="L422" i="7"/>
  <c r="I422" i="7"/>
  <c r="H422" i="7"/>
  <c r="F422" i="7"/>
  <c r="C422" i="7"/>
  <c r="AC421" i="7"/>
  <c r="AD421" i="7" s="1"/>
  <c r="AA421" i="7"/>
  <c r="W421" i="7"/>
  <c r="X421" i="7" s="1"/>
  <c r="U421" i="7"/>
  <c r="R421" i="7"/>
  <c r="O421" i="7"/>
  <c r="N421" i="7"/>
  <c r="L421" i="7"/>
  <c r="I421" i="7"/>
  <c r="H421" i="7"/>
  <c r="F421" i="7"/>
  <c r="C421" i="7"/>
  <c r="AC420" i="7"/>
  <c r="AD420" i="7" s="1"/>
  <c r="AA420" i="7"/>
  <c r="W420" i="7"/>
  <c r="X420" i="7" s="1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X419" i="7"/>
  <c r="W419" i="7"/>
  <c r="U419" i="7"/>
  <c r="R419" i="7"/>
  <c r="N419" i="7"/>
  <c r="O419" i="7" s="1"/>
  <c r="L419" i="7"/>
  <c r="H419" i="7"/>
  <c r="I419" i="7" s="1"/>
  <c r="F419" i="7"/>
  <c r="C419" i="7"/>
  <c r="AD418" i="7"/>
  <c r="AC418" i="7"/>
  <c r="AA418" i="7"/>
  <c r="X418" i="7"/>
  <c r="W418" i="7"/>
  <c r="U418" i="7"/>
  <c r="R418" i="7"/>
  <c r="N418" i="7"/>
  <c r="O418" i="7" s="1"/>
  <c r="L418" i="7"/>
  <c r="I418" i="7"/>
  <c r="H418" i="7"/>
  <c r="F418" i="7"/>
  <c r="C418" i="7"/>
  <c r="AC417" i="7"/>
  <c r="AD417" i="7" s="1"/>
  <c r="AA417" i="7"/>
  <c r="W417" i="7"/>
  <c r="X417" i="7" s="1"/>
  <c r="U417" i="7"/>
  <c r="R417" i="7"/>
  <c r="O417" i="7"/>
  <c r="N417" i="7"/>
  <c r="L417" i="7"/>
  <c r="I417" i="7"/>
  <c r="H417" i="7"/>
  <c r="F417" i="7"/>
  <c r="C417" i="7"/>
  <c r="AC416" i="7"/>
  <c r="AD416" i="7" s="1"/>
  <c r="AA416" i="7"/>
  <c r="W416" i="7"/>
  <c r="X416" i="7" s="1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X415" i="7"/>
  <c r="W415" i="7"/>
  <c r="U415" i="7"/>
  <c r="R415" i="7"/>
  <c r="N415" i="7"/>
  <c r="O415" i="7" s="1"/>
  <c r="L415" i="7"/>
  <c r="H415" i="7"/>
  <c r="I415" i="7" s="1"/>
  <c r="F415" i="7"/>
  <c r="C415" i="7"/>
  <c r="AD414" i="7"/>
  <c r="AC414" i="7"/>
  <c r="AA414" i="7"/>
  <c r="X414" i="7"/>
  <c r="W414" i="7"/>
  <c r="U414" i="7"/>
  <c r="R414" i="7"/>
  <c r="N414" i="7"/>
  <c r="O414" i="7" s="1"/>
  <c r="L414" i="7"/>
  <c r="I414" i="7"/>
  <c r="H414" i="7"/>
  <c r="F414" i="7"/>
  <c r="C414" i="7"/>
  <c r="AC413" i="7"/>
  <c r="AD413" i="7" s="1"/>
  <c r="AA413" i="7"/>
  <c r="W413" i="7"/>
  <c r="X413" i="7" s="1"/>
  <c r="U413" i="7"/>
  <c r="R413" i="7"/>
  <c r="O413" i="7"/>
  <c r="N413" i="7"/>
  <c r="L413" i="7"/>
  <c r="I413" i="7"/>
  <c r="H413" i="7"/>
  <c r="F413" i="7"/>
  <c r="C413" i="7"/>
  <c r="AC412" i="7"/>
  <c r="AD412" i="7" s="1"/>
  <c r="AA412" i="7"/>
  <c r="W412" i="7"/>
  <c r="X412" i="7" s="1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X411" i="7"/>
  <c r="W411" i="7"/>
  <c r="U411" i="7"/>
  <c r="R411" i="7"/>
  <c r="N411" i="7"/>
  <c r="O411" i="7" s="1"/>
  <c r="L411" i="7"/>
  <c r="H411" i="7"/>
  <c r="I411" i="7" s="1"/>
  <c r="F411" i="7"/>
  <c r="C411" i="7"/>
  <c r="AD410" i="7"/>
  <c r="AC410" i="7"/>
  <c r="AA410" i="7"/>
  <c r="X410" i="7"/>
  <c r="W410" i="7"/>
  <c r="U410" i="7"/>
  <c r="R410" i="7"/>
  <c r="N410" i="7"/>
  <c r="O410" i="7" s="1"/>
  <c r="L410" i="7"/>
  <c r="I410" i="7"/>
  <c r="H410" i="7"/>
  <c r="F410" i="7"/>
  <c r="C410" i="7"/>
  <c r="AC409" i="7"/>
  <c r="AD409" i="7" s="1"/>
  <c r="AA409" i="7"/>
  <c r="W409" i="7"/>
  <c r="X409" i="7" s="1"/>
  <c r="U409" i="7"/>
  <c r="R409" i="7"/>
  <c r="O409" i="7"/>
  <c r="N409" i="7"/>
  <c r="L409" i="7"/>
  <c r="I409" i="7"/>
  <c r="H409" i="7"/>
  <c r="F409" i="7"/>
  <c r="C409" i="7"/>
  <c r="AC408" i="7"/>
  <c r="AD408" i="7" s="1"/>
  <c r="AA408" i="7"/>
  <c r="W408" i="7"/>
  <c r="X408" i="7" s="1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X407" i="7"/>
  <c r="W407" i="7"/>
  <c r="U407" i="7"/>
  <c r="R407" i="7"/>
  <c r="N407" i="7"/>
  <c r="O407" i="7" s="1"/>
  <c r="L407" i="7"/>
  <c r="H407" i="7"/>
  <c r="I407" i="7" s="1"/>
  <c r="F407" i="7"/>
  <c r="C407" i="7"/>
  <c r="Z403" i="7"/>
  <c r="AA403" i="7" s="1"/>
  <c r="T403" i="7"/>
  <c r="U403" i="7" s="1"/>
  <c r="Q403" i="7"/>
  <c r="R403" i="7" s="1"/>
  <c r="L403" i="7"/>
  <c r="K403" i="7"/>
  <c r="H403" i="7"/>
  <c r="I403" i="7" s="1"/>
  <c r="E403" i="7"/>
  <c r="F403" i="7" s="1"/>
  <c r="B403" i="7"/>
  <c r="C403" i="7" s="1"/>
  <c r="AD402" i="7"/>
  <c r="AC402" i="7"/>
  <c r="AA402" i="7"/>
  <c r="X402" i="7"/>
  <c r="W402" i="7"/>
  <c r="U402" i="7"/>
  <c r="R402" i="7"/>
  <c r="N402" i="7"/>
  <c r="O402" i="7" s="1"/>
  <c r="L402" i="7"/>
  <c r="I402" i="7"/>
  <c r="H402" i="7"/>
  <c r="F402" i="7"/>
  <c r="C402" i="7"/>
  <c r="AC401" i="7"/>
  <c r="AD401" i="7" s="1"/>
  <c r="AA401" i="7"/>
  <c r="W401" i="7"/>
  <c r="X401" i="7" s="1"/>
  <c r="U401" i="7"/>
  <c r="R401" i="7"/>
  <c r="O401" i="7"/>
  <c r="N401" i="7"/>
  <c r="L401" i="7"/>
  <c r="I401" i="7"/>
  <c r="H401" i="7"/>
  <c r="F401" i="7"/>
  <c r="C401" i="7"/>
  <c r="AC400" i="7"/>
  <c r="AD400" i="7" s="1"/>
  <c r="AA400" i="7"/>
  <c r="W400" i="7"/>
  <c r="X400" i="7" s="1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X399" i="7"/>
  <c r="W399" i="7"/>
  <c r="U399" i="7"/>
  <c r="R399" i="7"/>
  <c r="N399" i="7"/>
  <c r="O399" i="7" s="1"/>
  <c r="L399" i="7"/>
  <c r="H399" i="7"/>
  <c r="I399" i="7" s="1"/>
  <c r="F399" i="7"/>
  <c r="C399" i="7"/>
  <c r="AD398" i="7"/>
  <c r="AC398" i="7"/>
  <c r="AA398" i="7"/>
  <c r="X398" i="7"/>
  <c r="W398" i="7"/>
  <c r="U398" i="7"/>
  <c r="R398" i="7"/>
  <c r="N398" i="7"/>
  <c r="O398" i="7" s="1"/>
  <c r="L398" i="7"/>
  <c r="I398" i="7"/>
  <c r="H398" i="7"/>
  <c r="F398" i="7"/>
  <c r="C398" i="7"/>
  <c r="AC397" i="7"/>
  <c r="AD397" i="7" s="1"/>
  <c r="AA397" i="7"/>
  <c r="W397" i="7"/>
  <c r="X397" i="7" s="1"/>
  <c r="U397" i="7"/>
  <c r="R397" i="7"/>
  <c r="O397" i="7"/>
  <c r="N397" i="7"/>
  <c r="L397" i="7"/>
  <c r="I397" i="7"/>
  <c r="H397" i="7"/>
  <c r="F397" i="7"/>
  <c r="C397" i="7"/>
  <c r="Z396" i="7"/>
  <c r="AA396" i="7" s="1"/>
  <c r="T396" i="7"/>
  <c r="U396" i="7" s="1"/>
  <c r="Q396" i="7"/>
  <c r="R396" i="7" s="1"/>
  <c r="L396" i="7"/>
  <c r="K396" i="7"/>
  <c r="H396" i="7"/>
  <c r="I396" i="7" s="1"/>
  <c r="E396" i="7"/>
  <c r="F396" i="7" s="1"/>
  <c r="B396" i="7"/>
  <c r="C396" i="7" s="1"/>
  <c r="AD395" i="7"/>
  <c r="AC395" i="7"/>
  <c r="AA395" i="7"/>
  <c r="X395" i="7"/>
  <c r="W395" i="7"/>
  <c r="U395" i="7"/>
  <c r="R395" i="7"/>
  <c r="N395" i="7"/>
  <c r="O395" i="7" s="1"/>
  <c r="L395" i="7"/>
  <c r="H395" i="7"/>
  <c r="I395" i="7" s="1"/>
  <c r="F395" i="7"/>
  <c r="C395" i="7"/>
  <c r="AC394" i="7"/>
  <c r="AD394" i="7" s="1"/>
  <c r="AA394" i="7"/>
  <c r="W394" i="7"/>
  <c r="X394" i="7" s="1"/>
  <c r="U394" i="7"/>
  <c r="R394" i="7"/>
  <c r="O394" i="7"/>
  <c r="N394" i="7"/>
  <c r="L394" i="7"/>
  <c r="I394" i="7"/>
  <c r="H394" i="7"/>
  <c r="F394" i="7"/>
  <c r="C394" i="7"/>
  <c r="Z393" i="7"/>
  <c r="AA393" i="7" s="1"/>
  <c r="U393" i="7"/>
  <c r="T393" i="7"/>
  <c r="Q393" i="7"/>
  <c r="R393" i="7" s="1"/>
  <c r="L393" i="7"/>
  <c r="K393" i="7"/>
  <c r="H393" i="7"/>
  <c r="I393" i="7" s="1"/>
  <c r="E393" i="7"/>
  <c r="F393" i="7" s="1"/>
  <c r="B393" i="7"/>
  <c r="C393" i="7" s="1"/>
  <c r="AD392" i="7"/>
  <c r="AC392" i="7"/>
  <c r="AA392" i="7"/>
  <c r="X392" i="7"/>
  <c r="W392" i="7"/>
  <c r="U392" i="7"/>
  <c r="R392" i="7"/>
  <c r="N392" i="7"/>
  <c r="O392" i="7" s="1"/>
  <c r="L392" i="7"/>
  <c r="H392" i="7"/>
  <c r="I392" i="7" s="1"/>
  <c r="F392" i="7"/>
  <c r="C392" i="7"/>
  <c r="AC391" i="7"/>
  <c r="AD391" i="7" s="1"/>
  <c r="AA391" i="7"/>
  <c r="W391" i="7"/>
  <c r="X391" i="7" s="1"/>
  <c r="U391" i="7"/>
  <c r="R391" i="7"/>
  <c r="O391" i="7"/>
  <c r="N391" i="7"/>
  <c r="L391" i="7"/>
  <c r="I391" i="7"/>
  <c r="H391" i="7"/>
  <c r="F391" i="7"/>
  <c r="C391" i="7"/>
  <c r="AC390" i="7"/>
  <c r="AD390" i="7" s="1"/>
  <c r="AA390" i="7"/>
  <c r="W390" i="7"/>
  <c r="X390" i="7" s="1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X389" i="7"/>
  <c r="W389" i="7"/>
  <c r="U389" i="7"/>
  <c r="R389" i="7"/>
  <c r="N389" i="7"/>
  <c r="O389" i="7" s="1"/>
  <c r="L389" i="7"/>
  <c r="H389" i="7"/>
  <c r="I389" i="7" s="1"/>
  <c r="F389" i="7"/>
  <c r="C389" i="7"/>
  <c r="AD388" i="7"/>
  <c r="AC388" i="7"/>
  <c r="AA388" i="7"/>
  <c r="X388" i="7"/>
  <c r="W388" i="7"/>
  <c r="U388" i="7"/>
  <c r="R388" i="7"/>
  <c r="N388" i="7"/>
  <c r="O388" i="7" s="1"/>
  <c r="L388" i="7"/>
  <c r="H388" i="7"/>
  <c r="I388" i="7" s="1"/>
  <c r="F388" i="7"/>
  <c r="C388" i="7"/>
  <c r="AC386" i="7"/>
  <c r="AD386" i="7" s="1"/>
  <c r="AA386" i="7"/>
  <c r="W386" i="7"/>
  <c r="X386" i="7" s="1"/>
  <c r="U386" i="7"/>
  <c r="R386" i="7"/>
  <c r="O386" i="7"/>
  <c r="N386" i="7"/>
  <c r="L386" i="7"/>
  <c r="I386" i="7"/>
  <c r="H386" i="7"/>
  <c r="F386" i="7"/>
  <c r="C386" i="7"/>
  <c r="AC385" i="7"/>
  <c r="AD385" i="7" s="1"/>
  <c r="AA385" i="7"/>
  <c r="W385" i="7"/>
  <c r="X385" i="7" s="1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X383" i="7"/>
  <c r="W383" i="7"/>
  <c r="U383" i="7"/>
  <c r="R383" i="7"/>
  <c r="N383" i="7"/>
  <c r="O383" i="7" s="1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N382" i="7"/>
  <c r="O382" i="7" s="1"/>
  <c r="L382" i="7"/>
  <c r="H382" i="7"/>
  <c r="I382" i="7" s="1"/>
  <c r="F382" i="7"/>
  <c r="C382" i="7"/>
  <c r="AC381" i="7"/>
  <c r="AD381" i="7" s="1"/>
  <c r="AA381" i="7"/>
  <c r="W381" i="7"/>
  <c r="X381" i="7" s="1"/>
  <c r="U381" i="7"/>
  <c r="R381" i="7"/>
  <c r="O381" i="7"/>
  <c r="N381" i="7"/>
  <c r="L381" i="7"/>
  <c r="I381" i="7"/>
  <c r="H381" i="7"/>
  <c r="F381" i="7"/>
  <c r="C381" i="7"/>
  <c r="AC380" i="7"/>
  <c r="AD380" i="7" s="1"/>
  <c r="AA380" i="7"/>
  <c r="W380" i="7"/>
  <c r="X380" i="7" s="1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X379" i="7"/>
  <c r="W379" i="7"/>
  <c r="U379" i="7"/>
  <c r="R379" i="7"/>
  <c r="N379" i="7"/>
  <c r="O379" i="7" s="1"/>
  <c r="L379" i="7"/>
  <c r="H379" i="7"/>
  <c r="I379" i="7" s="1"/>
  <c r="F379" i="7"/>
  <c r="C379" i="7"/>
  <c r="AD378" i="7"/>
  <c r="AC378" i="7"/>
  <c r="AA378" i="7"/>
  <c r="X378" i="7"/>
  <c r="W378" i="7"/>
  <c r="U378" i="7"/>
  <c r="R378" i="7"/>
  <c r="N378" i="7"/>
  <c r="O378" i="7" s="1"/>
  <c r="L378" i="7"/>
  <c r="H378" i="7"/>
  <c r="I378" i="7" s="1"/>
  <c r="F378" i="7"/>
  <c r="C378" i="7"/>
  <c r="AC377" i="7"/>
  <c r="AD377" i="7" s="1"/>
  <c r="AA377" i="7"/>
  <c r="W377" i="7"/>
  <c r="X377" i="7" s="1"/>
  <c r="U377" i="7"/>
  <c r="R377" i="7"/>
  <c r="O377" i="7"/>
  <c r="N377" i="7"/>
  <c r="L377" i="7"/>
  <c r="I377" i="7"/>
  <c r="H377" i="7"/>
  <c r="F377" i="7"/>
  <c r="C377" i="7"/>
  <c r="AC376" i="7"/>
  <c r="AD376" i="7" s="1"/>
  <c r="AA376" i="7"/>
  <c r="W376" i="7"/>
  <c r="X376" i="7" s="1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X375" i="7"/>
  <c r="W375" i="7"/>
  <c r="U375" i="7"/>
  <c r="R375" i="7"/>
  <c r="N375" i="7"/>
  <c r="O375" i="7" s="1"/>
  <c r="L375" i="7"/>
  <c r="H375" i="7"/>
  <c r="I375" i="7" s="1"/>
  <c r="F375" i="7"/>
  <c r="C375" i="7"/>
  <c r="AD374" i="7"/>
  <c r="AC374" i="7"/>
  <c r="AA374" i="7"/>
  <c r="X374" i="7"/>
  <c r="W374" i="7"/>
  <c r="U374" i="7"/>
  <c r="R374" i="7"/>
  <c r="N374" i="7"/>
  <c r="O374" i="7" s="1"/>
  <c r="L374" i="7"/>
  <c r="H374" i="7"/>
  <c r="I374" i="7" s="1"/>
  <c r="F374" i="7"/>
  <c r="C374" i="7"/>
  <c r="AC373" i="7"/>
  <c r="AD373" i="7" s="1"/>
  <c r="AA373" i="7"/>
  <c r="W373" i="7"/>
  <c r="X373" i="7" s="1"/>
  <c r="U373" i="7"/>
  <c r="R373" i="7"/>
  <c r="O373" i="7"/>
  <c r="N373" i="7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H372" i="7"/>
  <c r="I372" i="7" s="1"/>
  <c r="F372" i="7"/>
  <c r="C372" i="7"/>
  <c r="AC371" i="7"/>
  <c r="AD371" i="7" s="1"/>
  <c r="AA371" i="7"/>
  <c r="X371" i="7"/>
  <c r="W371" i="7"/>
  <c r="U371" i="7"/>
  <c r="R371" i="7"/>
  <c r="N371" i="7"/>
  <c r="O371" i="7" s="1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N370" i="7"/>
  <c r="O370" i="7" s="1"/>
  <c r="L370" i="7"/>
  <c r="H370" i="7"/>
  <c r="I370" i="7" s="1"/>
  <c r="F370" i="7"/>
  <c r="C370" i="7"/>
  <c r="AC369" i="7"/>
  <c r="AD369" i="7" s="1"/>
  <c r="AA369" i="7"/>
  <c r="W369" i="7"/>
  <c r="X369" i="7" s="1"/>
  <c r="U369" i="7"/>
  <c r="R369" i="7"/>
  <c r="O369" i="7"/>
  <c r="N369" i="7"/>
  <c r="L369" i="7"/>
  <c r="I369" i="7"/>
  <c r="H369" i="7"/>
  <c r="F369" i="7"/>
  <c r="C369" i="7"/>
  <c r="Z368" i="7"/>
  <c r="AA368" i="7" s="1"/>
  <c r="T368" i="7"/>
  <c r="U368" i="7" s="1"/>
  <c r="Q368" i="7"/>
  <c r="R368" i="7" s="1"/>
  <c r="L368" i="7"/>
  <c r="K368" i="7"/>
  <c r="I368" i="7"/>
  <c r="H368" i="7"/>
  <c r="E368" i="7"/>
  <c r="F368" i="7" s="1"/>
  <c r="B368" i="7"/>
  <c r="C368" i="7" s="1"/>
  <c r="AD367" i="7"/>
  <c r="AC367" i="7"/>
  <c r="AA367" i="7"/>
  <c r="X367" i="7"/>
  <c r="W367" i="7"/>
  <c r="U367" i="7"/>
  <c r="R367" i="7"/>
  <c r="N367" i="7"/>
  <c r="O367" i="7" s="1"/>
  <c r="L367" i="7"/>
  <c r="H367" i="7"/>
  <c r="I367" i="7" s="1"/>
  <c r="F367" i="7"/>
  <c r="C367" i="7"/>
  <c r="AC366" i="7"/>
  <c r="AD366" i="7" s="1"/>
  <c r="AA366" i="7"/>
  <c r="W366" i="7"/>
  <c r="X366" i="7" s="1"/>
  <c r="U366" i="7"/>
  <c r="R366" i="7"/>
  <c r="O366" i="7"/>
  <c r="N366" i="7"/>
  <c r="L366" i="7"/>
  <c r="I366" i="7"/>
  <c r="H366" i="7"/>
  <c r="F366" i="7"/>
  <c r="C366" i="7"/>
  <c r="AC365" i="7"/>
  <c r="AD365" i="7" s="1"/>
  <c r="AA365" i="7"/>
  <c r="W365" i="7"/>
  <c r="X365" i="7" s="1"/>
  <c r="U365" i="7"/>
  <c r="R365" i="7"/>
  <c r="O365" i="7"/>
  <c r="N365" i="7"/>
  <c r="L365" i="7"/>
  <c r="H365" i="7"/>
  <c r="I365" i="7" s="1"/>
  <c r="F365" i="7"/>
  <c r="C365" i="7"/>
  <c r="AD364" i="7"/>
  <c r="AC364" i="7"/>
  <c r="AA364" i="7"/>
  <c r="X364" i="7"/>
  <c r="W364" i="7"/>
  <c r="U364" i="7"/>
  <c r="R364" i="7"/>
  <c r="N364" i="7"/>
  <c r="O364" i="7" s="1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N363" i="7"/>
  <c r="O363" i="7" s="1"/>
  <c r="L363" i="7"/>
  <c r="H363" i="7"/>
  <c r="I363" i="7" s="1"/>
  <c r="F363" i="7"/>
  <c r="C363" i="7"/>
  <c r="AC362" i="7"/>
  <c r="AD362" i="7" s="1"/>
  <c r="AA362" i="7"/>
  <c r="W362" i="7"/>
  <c r="X362" i="7" s="1"/>
  <c r="U362" i="7"/>
  <c r="R362" i="7"/>
  <c r="O362" i="7"/>
  <c r="N362" i="7"/>
  <c r="L362" i="7"/>
  <c r="I362" i="7"/>
  <c r="H362" i="7"/>
  <c r="F362" i="7"/>
  <c r="C362" i="7"/>
  <c r="AC361" i="7"/>
  <c r="AD361" i="7" s="1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D360" i="7"/>
  <c r="AC360" i="7"/>
  <c r="AA360" i="7"/>
  <c r="X360" i="7"/>
  <c r="W360" i="7"/>
  <c r="U360" i="7"/>
  <c r="R360" i="7"/>
  <c r="N360" i="7"/>
  <c r="O360" i="7" s="1"/>
  <c r="L360" i="7"/>
  <c r="H360" i="7"/>
  <c r="I360" i="7" s="1"/>
  <c r="F360" i="7"/>
  <c r="C360" i="7"/>
  <c r="AA358" i="7"/>
  <c r="Z358" i="7"/>
  <c r="T358" i="7"/>
  <c r="W358" i="7" s="1"/>
  <c r="X358" i="7" s="1"/>
  <c r="R358" i="7"/>
  <c r="Q358" i="7"/>
  <c r="K358" i="7"/>
  <c r="L358" i="7" s="1"/>
  <c r="F358" i="7"/>
  <c r="E358" i="7"/>
  <c r="C358" i="7"/>
  <c r="B358" i="7"/>
  <c r="H358" i="7" s="1"/>
  <c r="I358" i="7" s="1"/>
  <c r="AC357" i="7"/>
  <c r="AD357" i="7" s="1"/>
  <c r="AA357" i="7"/>
  <c r="W357" i="7"/>
  <c r="X357" i="7" s="1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X356" i="7"/>
  <c r="W356" i="7"/>
  <c r="U356" i="7"/>
  <c r="R356" i="7"/>
  <c r="N356" i="7"/>
  <c r="O356" i="7" s="1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N355" i="7"/>
  <c r="O355" i="7" s="1"/>
  <c r="L355" i="7"/>
  <c r="I355" i="7"/>
  <c r="H355" i="7"/>
  <c r="F355" i="7"/>
  <c r="C355" i="7"/>
  <c r="AC354" i="7"/>
  <c r="AD354" i="7" s="1"/>
  <c r="AA354" i="7"/>
  <c r="W354" i="7"/>
  <c r="X354" i="7" s="1"/>
  <c r="U354" i="7"/>
  <c r="R354" i="7"/>
  <c r="O354" i="7"/>
  <c r="N354" i="7"/>
  <c r="L354" i="7"/>
  <c r="I354" i="7"/>
  <c r="H354" i="7"/>
  <c r="F354" i="7"/>
  <c r="C354" i="7"/>
  <c r="AC353" i="7"/>
  <c r="AD353" i="7" s="1"/>
  <c r="AA353" i="7"/>
  <c r="W353" i="7"/>
  <c r="X353" i="7" s="1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X352" i="7"/>
  <c r="W352" i="7"/>
  <c r="U352" i="7"/>
  <c r="R352" i="7"/>
  <c r="N352" i="7"/>
  <c r="O352" i="7" s="1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I351" i="7"/>
  <c r="H351" i="7"/>
  <c r="F351" i="7"/>
  <c r="C351" i="7"/>
  <c r="AC350" i="7"/>
  <c r="AD350" i="7" s="1"/>
  <c r="AA350" i="7"/>
  <c r="W350" i="7"/>
  <c r="X350" i="7" s="1"/>
  <c r="U350" i="7"/>
  <c r="R350" i="7"/>
  <c r="O350" i="7"/>
  <c r="N350" i="7"/>
  <c r="L350" i="7"/>
  <c r="I350" i="7"/>
  <c r="H350" i="7"/>
  <c r="F350" i="7"/>
  <c r="C350" i="7"/>
  <c r="AC349" i="7"/>
  <c r="AD349" i="7" s="1"/>
  <c r="AA349" i="7"/>
  <c r="W349" i="7"/>
  <c r="X349" i="7" s="1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X347" i="7"/>
  <c r="W347" i="7"/>
  <c r="U347" i="7"/>
  <c r="R347" i="7"/>
  <c r="N347" i="7"/>
  <c r="O347" i="7" s="1"/>
  <c r="L347" i="7"/>
  <c r="H347" i="7"/>
  <c r="I347" i="7" s="1"/>
  <c r="F347" i="7"/>
  <c r="C347" i="7"/>
  <c r="Z344" i="7"/>
  <c r="AA344" i="7" s="1"/>
  <c r="U344" i="7"/>
  <c r="T344" i="7"/>
  <c r="Q344" i="7"/>
  <c r="R344" i="7" s="1"/>
  <c r="L344" i="7"/>
  <c r="K344" i="7"/>
  <c r="E344" i="7"/>
  <c r="F344" i="7" s="1"/>
  <c r="B344" i="7"/>
  <c r="C344" i="7" s="1"/>
  <c r="Z343" i="7"/>
  <c r="AA343" i="7" s="1"/>
  <c r="T343" i="7"/>
  <c r="R343" i="7"/>
  <c r="Q343" i="7"/>
  <c r="O343" i="7"/>
  <c r="N343" i="7"/>
  <c r="K343" i="7"/>
  <c r="L343" i="7" s="1"/>
  <c r="H343" i="7"/>
  <c r="I343" i="7" s="1"/>
  <c r="F343" i="7"/>
  <c r="E343" i="7"/>
  <c r="C343" i="7"/>
  <c r="B343" i="7"/>
  <c r="Z342" i="7"/>
  <c r="AA342" i="7" s="1"/>
  <c r="U342" i="7"/>
  <c r="T342" i="7"/>
  <c r="Q342" i="7"/>
  <c r="R342" i="7" s="1"/>
  <c r="L342" i="7"/>
  <c r="K342" i="7"/>
  <c r="I342" i="7"/>
  <c r="H342" i="7"/>
  <c r="E342" i="7"/>
  <c r="F342" i="7" s="1"/>
  <c r="B342" i="7"/>
  <c r="C342" i="7" s="1"/>
  <c r="AD341" i="7"/>
  <c r="AC341" i="7"/>
  <c r="AA341" i="7"/>
  <c r="X341" i="7"/>
  <c r="W341" i="7"/>
  <c r="U341" i="7"/>
  <c r="R341" i="7"/>
  <c r="N341" i="7"/>
  <c r="O341" i="7" s="1"/>
  <c r="L341" i="7"/>
  <c r="I341" i="7"/>
  <c r="H341" i="7"/>
  <c r="F341" i="7"/>
  <c r="C341" i="7"/>
  <c r="AC340" i="7"/>
  <c r="AD340" i="7" s="1"/>
  <c r="AA340" i="7"/>
  <c r="W340" i="7"/>
  <c r="X340" i="7" s="1"/>
  <c r="U340" i="7"/>
  <c r="R340" i="7"/>
  <c r="N340" i="7"/>
  <c r="O340" i="7" s="1"/>
  <c r="L340" i="7"/>
  <c r="I340" i="7"/>
  <c r="H340" i="7"/>
  <c r="F340" i="7"/>
  <c r="C340" i="7"/>
  <c r="AC339" i="7"/>
  <c r="AD339" i="7" s="1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D338" i="7"/>
  <c r="AC338" i="7"/>
  <c r="AA338" i="7"/>
  <c r="W338" i="7"/>
  <c r="X338" i="7" s="1"/>
  <c r="U338" i="7"/>
  <c r="R338" i="7"/>
  <c r="N338" i="7"/>
  <c r="O338" i="7" s="1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N337" i="7"/>
  <c r="O337" i="7" s="1"/>
  <c r="L337" i="7"/>
  <c r="I337" i="7"/>
  <c r="H337" i="7"/>
  <c r="F337" i="7"/>
  <c r="C337" i="7"/>
  <c r="AC335" i="7"/>
  <c r="AD335" i="7" s="1"/>
  <c r="AA335" i="7"/>
  <c r="W335" i="7"/>
  <c r="X335" i="7" s="1"/>
  <c r="U335" i="7"/>
  <c r="R335" i="7"/>
  <c r="O335" i="7"/>
  <c r="N335" i="7"/>
  <c r="L335" i="7"/>
  <c r="I335" i="7"/>
  <c r="H335" i="7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I334" i="7"/>
  <c r="H334" i="7"/>
  <c r="F334" i="7"/>
  <c r="C334" i="7"/>
  <c r="AD333" i="7"/>
  <c r="AC333" i="7"/>
  <c r="AA333" i="7"/>
  <c r="W333" i="7"/>
  <c r="X333" i="7" s="1"/>
  <c r="U333" i="7"/>
  <c r="R333" i="7"/>
  <c r="N333" i="7"/>
  <c r="O333" i="7" s="1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O332" i="7"/>
  <c r="N332" i="7"/>
  <c r="L332" i="7"/>
  <c r="H332" i="7"/>
  <c r="I332" i="7" s="1"/>
  <c r="F332" i="7"/>
  <c r="C332" i="7"/>
  <c r="AC331" i="7"/>
  <c r="AD331" i="7" s="1"/>
  <c r="AA331" i="7"/>
  <c r="W331" i="7"/>
  <c r="X331" i="7" s="1"/>
  <c r="U331" i="7"/>
  <c r="R331" i="7"/>
  <c r="N331" i="7"/>
  <c r="O331" i="7" s="1"/>
  <c r="L331" i="7"/>
  <c r="I331" i="7"/>
  <c r="H331" i="7"/>
  <c r="F331" i="7"/>
  <c r="C331" i="7"/>
  <c r="AD330" i="7"/>
  <c r="AC330" i="7"/>
  <c r="AA330" i="7"/>
  <c r="W330" i="7"/>
  <c r="X330" i="7" s="1"/>
  <c r="U330" i="7"/>
  <c r="R330" i="7"/>
  <c r="N330" i="7"/>
  <c r="O330" i="7" s="1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N329" i="7"/>
  <c r="O329" i="7" s="1"/>
  <c r="L329" i="7"/>
  <c r="H329" i="7"/>
  <c r="I329" i="7" s="1"/>
  <c r="F329" i="7"/>
  <c r="C329" i="7"/>
  <c r="AD328" i="7"/>
  <c r="AC328" i="7"/>
  <c r="AA328" i="7"/>
  <c r="W328" i="7"/>
  <c r="X328" i="7" s="1"/>
  <c r="U328" i="7"/>
  <c r="R328" i="7"/>
  <c r="O328" i="7"/>
  <c r="N328" i="7"/>
  <c r="L328" i="7"/>
  <c r="I328" i="7"/>
  <c r="H328" i="7"/>
  <c r="F328" i="7"/>
  <c r="C328" i="7"/>
  <c r="AC325" i="7"/>
  <c r="AD325" i="7" s="1"/>
  <c r="AA325" i="7"/>
  <c r="Z325" i="7"/>
  <c r="T325" i="7"/>
  <c r="U325" i="7" s="1"/>
  <c r="Q325" i="7"/>
  <c r="L325" i="7"/>
  <c r="K325" i="7"/>
  <c r="H325" i="7"/>
  <c r="I325" i="7" s="1"/>
  <c r="F325" i="7"/>
  <c r="E325" i="7"/>
  <c r="C325" i="7"/>
  <c r="B325" i="7"/>
  <c r="N325" i="7" s="1"/>
  <c r="O325" i="7" s="1"/>
  <c r="AD324" i="7"/>
  <c r="Z324" i="7"/>
  <c r="AA324" i="7" s="1"/>
  <c r="U324" i="7"/>
  <c r="T324" i="7"/>
  <c r="R324" i="7"/>
  <c r="Q324" i="7"/>
  <c r="AC324" i="7" s="1"/>
  <c r="N324" i="7"/>
  <c r="O324" i="7" s="1"/>
  <c r="L324" i="7"/>
  <c r="K324" i="7"/>
  <c r="E324" i="7"/>
  <c r="F324" i="7" s="1"/>
  <c r="C324" i="7"/>
  <c r="B324" i="7"/>
  <c r="AC323" i="7"/>
  <c r="AD323" i="7" s="1"/>
  <c r="AA323" i="7"/>
  <c r="W323" i="7"/>
  <c r="X323" i="7" s="1"/>
  <c r="U323" i="7"/>
  <c r="R323" i="7"/>
  <c r="O323" i="7"/>
  <c r="N323" i="7"/>
  <c r="L323" i="7"/>
  <c r="I323" i="7"/>
  <c r="H323" i="7"/>
  <c r="F323" i="7"/>
  <c r="C323" i="7"/>
  <c r="AD322" i="7"/>
  <c r="AC322" i="7"/>
  <c r="AA322" i="7"/>
  <c r="W322" i="7"/>
  <c r="X322" i="7" s="1"/>
  <c r="U322" i="7"/>
  <c r="R322" i="7"/>
  <c r="N322" i="7"/>
  <c r="O322" i="7" s="1"/>
  <c r="L322" i="7"/>
  <c r="H322" i="7"/>
  <c r="I322" i="7" s="1"/>
  <c r="F322" i="7"/>
  <c r="C322" i="7"/>
  <c r="AD321" i="7"/>
  <c r="AC321" i="7"/>
  <c r="AA321" i="7"/>
  <c r="X321" i="7"/>
  <c r="W321" i="7"/>
  <c r="U321" i="7"/>
  <c r="R321" i="7"/>
  <c r="N321" i="7"/>
  <c r="O321" i="7" s="1"/>
  <c r="L321" i="7"/>
  <c r="H321" i="7"/>
  <c r="I321" i="7" s="1"/>
  <c r="F321" i="7"/>
  <c r="C321" i="7"/>
  <c r="AD320" i="7"/>
  <c r="AC320" i="7"/>
  <c r="AA320" i="7"/>
  <c r="X320" i="7"/>
  <c r="W320" i="7"/>
  <c r="U320" i="7"/>
  <c r="R320" i="7"/>
  <c r="N320" i="7"/>
  <c r="O320" i="7" s="1"/>
  <c r="L320" i="7"/>
  <c r="H320" i="7"/>
  <c r="I320" i="7" s="1"/>
  <c r="F320" i="7"/>
  <c r="C320" i="7"/>
  <c r="AD319" i="7"/>
  <c r="AC319" i="7"/>
  <c r="AA319" i="7"/>
  <c r="W319" i="7"/>
  <c r="X319" i="7" s="1"/>
  <c r="U319" i="7"/>
  <c r="R319" i="7"/>
  <c r="N319" i="7"/>
  <c r="O319" i="7" s="1"/>
  <c r="L319" i="7"/>
  <c r="I319" i="7"/>
  <c r="H319" i="7"/>
  <c r="F319" i="7"/>
  <c r="C319" i="7"/>
  <c r="AD318" i="7"/>
  <c r="AC318" i="7"/>
  <c r="AA318" i="7"/>
  <c r="X318" i="7"/>
  <c r="W318" i="7"/>
  <c r="U318" i="7"/>
  <c r="R318" i="7"/>
  <c r="N318" i="7"/>
  <c r="O318" i="7" s="1"/>
  <c r="L318" i="7"/>
  <c r="I318" i="7"/>
  <c r="H318" i="7"/>
  <c r="F318" i="7"/>
  <c r="C318" i="7"/>
  <c r="AD317" i="7"/>
  <c r="AC317" i="7"/>
  <c r="AA317" i="7"/>
  <c r="W317" i="7"/>
  <c r="X317" i="7" s="1"/>
  <c r="U317" i="7"/>
  <c r="R317" i="7"/>
  <c r="N317" i="7"/>
  <c r="O317" i="7" s="1"/>
  <c r="L317" i="7"/>
  <c r="H317" i="7"/>
  <c r="I317" i="7" s="1"/>
  <c r="F317" i="7"/>
  <c r="C317" i="7"/>
  <c r="AD316" i="7"/>
  <c r="AC316" i="7"/>
  <c r="AA316" i="7"/>
  <c r="X316" i="7"/>
  <c r="W316" i="7"/>
  <c r="U316" i="7"/>
  <c r="R316" i="7"/>
  <c r="O316" i="7"/>
  <c r="N316" i="7"/>
  <c r="L316" i="7"/>
  <c r="H316" i="7"/>
  <c r="I316" i="7" s="1"/>
  <c r="F316" i="7"/>
  <c r="C316" i="7"/>
  <c r="AC315" i="7"/>
  <c r="AD315" i="7" s="1"/>
  <c r="AA315" i="7"/>
  <c r="W315" i="7"/>
  <c r="X315" i="7" s="1"/>
  <c r="U315" i="7"/>
  <c r="R315" i="7"/>
  <c r="N315" i="7"/>
  <c r="O315" i="7" s="1"/>
  <c r="L315" i="7"/>
  <c r="I315" i="7"/>
  <c r="H315" i="7"/>
  <c r="F315" i="7"/>
  <c r="C315" i="7"/>
  <c r="AD314" i="7"/>
  <c r="AC314" i="7"/>
  <c r="AA314" i="7"/>
  <c r="W314" i="7"/>
  <c r="X314" i="7" s="1"/>
  <c r="U314" i="7"/>
  <c r="R314" i="7"/>
  <c r="N314" i="7"/>
  <c r="O314" i="7" s="1"/>
  <c r="L314" i="7"/>
  <c r="I314" i="7"/>
  <c r="H314" i="7"/>
  <c r="F314" i="7"/>
  <c r="C314" i="7"/>
  <c r="AC313" i="7"/>
  <c r="AD313" i="7" s="1"/>
  <c r="AA313" i="7"/>
  <c r="W313" i="7"/>
  <c r="X313" i="7" s="1"/>
  <c r="U313" i="7"/>
  <c r="R313" i="7"/>
  <c r="N313" i="7"/>
  <c r="O313" i="7" s="1"/>
  <c r="L313" i="7"/>
  <c r="H313" i="7"/>
  <c r="I313" i="7" s="1"/>
  <c r="F313" i="7"/>
  <c r="C313" i="7"/>
  <c r="AD312" i="7"/>
  <c r="AC312" i="7"/>
  <c r="AA312" i="7"/>
  <c r="W312" i="7"/>
  <c r="X312" i="7" s="1"/>
  <c r="U312" i="7"/>
  <c r="R312" i="7"/>
  <c r="O312" i="7"/>
  <c r="N312" i="7"/>
  <c r="L312" i="7"/>
  <c r="I312" i="7"/>
  <c r="H312" i="7"/>
  <c r="F312" i="7"/>
  <c r="C312" i="7"/>
  <c r="AC311" i="7"/>
  <c r="AD311" i="7" s="1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C310" i="7"/>
  <c r="AD310" i="7" s="1"/>
  <c r="AA310" i="7"/>
  <c r="W310" i="7"/>
  <c r="X310" i="7" s="1"/>
  <c r="U310" i="7"/>
  <c r="R310" i="7"/>
  <c r="O310" i="7"/>
  <c r="N310" i="7"/>
  <c r="L310" i="7"/>
  <c r="I310" i="7"/>
  <c r="H310" i="7"/>
  <c r="F310" i="7"/>
  <c r="C310" i="7"/>
  <c r="AD309" i="7"/>
  <c r="AC309" i="7"/>
  <c r="AA309" i="7"/>
  <c r="W309" i="7"/>
  <c r="X309" i="7" s="1"/>
  <c r="U309" i="7"/>
  <c r="R309" i="7"/>
  <c r="N309" i="7"/>
  <c r="O309" i="7" s="1"/>
  <c r="L309" i="7"/>
  <c r="I309" i="7"/>
  <c r="H309" i="7"/>
  <c r="F309" i="7"/>
  <c r="C309" i="7"/>
  <c r="AD308" i="7"/>
  <c r="AC308" i="7"/>
  <c r="AA308" i="7"/>
  <c r="X308" i="7"/>
  <c r="W308" i="7"/>
  <c r="U308" i="7"/>
  <c r="R308" i="7"/>
  <c r="O308" i="7"/>
  <c r="N308" i="7"/>
  <c r="L308" i="7"/>
  <c r="H308" i="7"/>
  <c r="I308" i="7" s="1"/>
  <c r="F308" i="7"/>
  <c r="C308" i="7"/>
  <c r="AC307" i="7"/>
  <c r="AD307" i="7" s="1"/>
  <c r="AA307" i="7"/>
  <c r="W307" i="7"/>
  <c r="X307" i="7" s="1"/>
  <c r="U307" i="7"/>
  <c r="R307" i="7"/>
  <c r="O307" i="7"/>
  <c r="N307" i="7"/>
  <c r="L307" i="7"/>
  <c r="I307" i="7"/>
  <c r="H307" i="7"/>
  <c r="F307" i="7"/>
  <c r="C307" i="7"/>
  <c r="AD306" i="7"/>
  <c r="AC306" i="7"/>
  <c r="AA306" i="7"/>
  <c r="W306" i="7"/>
  <c r="X306" i="7" s="1"/>
  <c r="U306" i="7"/>
  <c r="R306" i="7"/>
  <c r="N306" i="7"/>
  <c r="O306" i="7" s="1"/>
  <c r="L306" i="7"/>
  <c r="I306" i="7"/>
  <c r="H306" i="7"/>
  <c r="F306" i="7"/>
  <c r="C306" i="7"/>
  <c r="AD305" i="7"/>
  <c r="AC305" i="7"/>
  <c r="AA305" i="7"/>
  <c r="X305" i="7"/>
  <c r="W305" i="7"/>
  <c r="U305" i="7"/>
  <c r="R305" i="7"/>
  <c r="N305" i="7"/>
  <c r="O305" i="7" s="1"/>
  <c r="L305" i="7"/>
  <c r="H305" i="7"/>
  <c r="I305" i="7" s="1"/>
  <c r="F305" i="7"/>
  <c r="C305" i="7"/>
  <c r="AD304" i="7"/>
  <c r="AC304" i="7"/>
  <c r="AA304" i="7"/>
  <c r="X304" i="7"/>
  <c r="W304" i="7"/>
  <c r="U304" i="7"/>
  <c r="R304" i="7"/>
  <c r="N304" i="7"/>
  <c r="O304" i="7" s="1"/>
  <c r="L304" i="7"/>
  <c r="H304" i="7"/>
  <c r="I304" i="7" s="1"/>
  <c r="F304" i="7"/>
  <c r="C304" i="7"/>
  <c r="AD303" i="7"/>
  <c r="AC303" i="7"/>
  <c r="AA303" i="7"/>
  <c r="W303" i="7"/>
  <c r="X303" i="7" s="1"/>
  <c r="U303" i="7"/>
  <c r="R303" i="7"/>
  <c r="N303" i="7"/>
  <c r="O303" i="7" s="1"/>
  <c r="L303" i="7"/>
  <c r="I303" i="7"/>
  <c r="H303" i="7"/>
  <c r="F303" i="7"/>
  <c r="C303" i="7"/>
  <c r="AD302" i="7"/>
  <c r="AC302" i="7"/>
  <c r="AA302" i="7"/>
  <c r="X302" i="7"/>
  <c r="W302" i="7"/>
  <c r="U302" i="7"/>
  <c r="R302" i="7"/>
  <c r="N302" i="7"/>
  <c r="O302" i="7" s="1"/>
  <c r="L302" i="7"/>
  <c r="I302" i="7"/>
  <c r="H302" i="7"/>
  <c r="F302" i="7"/>
  <c r="C302" i="7"/>
  <c r="AD301" i="7"/>
  <c r="AC301" i="7"/>
  <c r="AA301" i="7"/>
  <c r="W301" i="7"/>
  <c r="X301" i="7" s="1"/>
  <c r="U301" i="7"/>
  <c r="R301" i="7"/>
  <c r="N301" i="7"/>
  <c r="O301" i="7" s="1"/>
  <c r="L301" i="7"/>
  <c r="H301" i="7"/>
  <c r="I301" i="7" s="1"/>
  <c r="F301" i="7"/>
  <c r="C301" i="7"/>
  <c r="AD300" i="7"/>
  <c r="AC300" i="7"/>
  <c r="AA300" i="7"/>
  <c r="X300" i="7"/>
  <c r="W300" i="7"/>
  <c r="U300" i="7"/>
  <c r="R300" i="7"/>
  <c r="O300" i="7"/>
  <c r="N300" i="7"/>
  <c r="L300" i="7"/>
  <c r="H300" i="7"/>
  <c r="I300" i="7" s="1"/>
  <c r="F300" i="7"/>
  <c r="C300" i="7"/>
  <c r="AC299" i="7"/>
  <c r="AD299" i="7" s="1"/>
  <c r="AA299" i="7"/>
  <c r="W299" i="7"/>
  <c r="X299" i="7" s="1"/>
  <c r="U299" i="7"/>
  <c r="R299" i="7"/>
  <c r="N299" i="7"/>
  <c r="O299" i="7" s="1"/>
  <c r="L299" i="7"/>
  <c r="I299" i="7"/>
  <c r="H299" i="7"/>
  <c r="F299" i="7"/>
  <c r="C299" i="7"/>
  <c r="AD298" i="7"/>
  <c r="AC298" i="7"/>
  <c r="AA298" i="7"/>
  <c r="W298" i="7"/>
  <c r="X298" i="7" s="1"/>
  <c r="U298" i="7"/>
  <c r="R298" i="7"/>
  <c r="N298" i="7"/>
  <c r="O298" i="7" s="1"/>
  <c r="L298" i="7"/>
  <c r="I298" i="7"/>
  <c r="H298" i="7"/>
  <c r="F298" i="7"/>
  <c r="C298" i="7"/>
  <c r="AC297" i="7"/>
  <c r="AD297" i="7" s="1"/>
  <c r="AA297" i="7"/>
  <c r="W297" i="7"/>
  <c r="X297" i="7" s="1"/>
  <c r="U297" i="7"/>
  <c r="R297" i="7"/>
  <c r="N297" i="7"/>
  <c r="O297" i="7" s="1"/>
  <c r="L297" i="7"/>
  <c r="H297" i="7"/>
  <c r="I297" i="7" s="1"/>
  <c r="F297" i="7"/>
  <c r="C297" i="7"/>
  <c r="AA295" i="7"/>
  <c r="Z295" i="7"/>
  <c r="W295" i="7"/>
  <c r="X295" i="7" s="1"/>
  <c r="U295" i="7"/>
  <c r="T295" i="7"/>
  <c r="R295" i="7"/>
  <c r="Q295" i="7"/>
  <c r="AC295" i="7" s="1"/>
  <c r="AD295" i="7" s="1"/>
  <c r="O295" i="7"/>
  <c r="K295" i="7"/>
  <c r="L295" i="7" s="1"/>
  <c r="F295" i="7"/>
  <c r="E295" i="7"/>
  <c r="C295" i="7"/>
  <c r="B295" i="7"/>
  <c r="N295" i="7" s="1"/>
  <c r="AC294" i="7"/>
  <c r="AD294" i="7" s="1"/>
  <c r="AA294" i="7"/>
  <c r="W294" i="7"/>
  <c r="X294" i="7" s="1"/>
  <c r="U294" i="7"/>
  <c r="R294" i="7"/>
  <c r="O294" i="7"/>
  <c r="N294" i="7"/>
  <c r="L294" i="7"/>
  <c r="I294" i="7"/>
  <c r="H294" i="7"/>
  <c r="F294" i="7"/>
  <c r="C294" i="7"/>
  <c r="AD293" i="7"/>
  <c r="AC293" i="7"/>
  <c r="AA293" i="7"/>
  <c r="W293" i="7"/>
  <c r="X293" i="7" s="1"/>
  <c r="U293" i="7"/>
  <c r="R293" i="7"/>
  <c r="N293" i="7"/>
  <c r="O293" i="7" s="1"/>
  <c r="L293" i="7"/>
  <c r="I293" i="7"/>
  <c r="H293" i="7"/>
  <c r="F293" i="7"/>
  <c r="C293" i="7"/>
  <c r="AD292" i="7"/>
  <c r="AC292" i="7"/>
  <c r="AA292" i="7"/>
  <c r="X292" i="7"/>
  <c r="W292" i="7"/>
  <c r="U292" i="7"/>
  <c r="R292" i="7"/>
  <c r="O292" i="7"/>
  <c r="N292" i="7"/>
  <c r="L292" i="7"/>
  <c r="H292" i="7"/>
  <c r="I292" i="7" s="1"/>
  <c r="F292" i="7"/>
  <c r="C292" i="7"/>
  <c r="AC291" i="7"/>
  <c r="AD291" i="7" s="1"/>
  <c r="AA291" i="7"/>
  <c r="W291" i="7"/>
  <c r="X291" i="7" s="1"/>
  <c r="U291" i="7"/>
  <c r="R291" i="7"/>
  <c r="O291" i="7"/>
  <c r="N291" i="7"/>
  <c r="L291" i="7"/>
  <c r="I291" i="7"/>
  <c r="H291" i="7"/>
  <c r="F291" i="7"/>
  <c r="C291" i="7"/>
  <c r="AD290" i="7"/>
  <c r="AC290" i="7"/>
  <c r="AA290" i="7"/>
  <c r="W290" i="7"/>
  <c r="X290" i="7" s="1"/>
  <c r="U290" i="7"/>
  <c r="R290" i="7"/>
  <c r="N290" i="7"/>
  <c r="O290" i="7" s="1"/>
  <c r="L290" i="7"/>
  <c r="I290" i="7"/>
  <c r="H290" i="7"/>
  <c r="F290" i="7"/>
  <c r="C290" i="7"/>
  <c r="AD289" i="7"/>
  <c r="AC289" i="7"/>
  <c r="AA289" i="7"/>
  <c r="X289" i="7"/>
  <c r="W289" i="7"/>
  <c r="U289" i="7"/>
  <c r="R289" i="7"/>
  <c r="N289" i="7"/>
  <c r="O289" i="7" s="1"/>
  <c r="L289" i="7"/>
  <c r="I289" i="7"/>
  <c r="H289" i="7"/>
  <c r="F289" i="7"/>
  <c r="C289" i="7"/>
  <c r="AD288" i="7"/>
  <c r="AC288" i="7"/>
  <c r="AA288" i="7"/>
  <c r="W288" i="7"/>
  <c r="X288" i="7" s="1"/>
  <c r="U288" i="7"/>
  <c r="R288" i="7"/>
  <c r="N288" i="7"/>
  <c r="O288" i="7" s="1"/>
  <c r="L288" i="7"/>
  <c r="I288" i="7"/>
  <c r="H288" i="7"/>
  <c r="F288" i="7"/>
  <c r="C288" i="7"/>
  <c r="AD287" i="7"/>
  <c r="AC287" i="7"/>
  <c r="AA287" i="7"/>
  <c r="W287" i="7"/>
  <c r="X287" i="7" s="1"/>
  <c r="U287" i="7"/>
  <c r="R287" i="7"/>
  <c r="O287" i="7"/>
  <c r="N287" i="7"/>
  <c r="L287" i="7"/>
  <c r="I287" i="7"/>
  <c r="H287" i="7"/>
  <c r="F287" i="7"/>
  <c r="C287" i="7"/>
  <c r="AD286" i="7"/>
  <c r="AC286" i="7"/>
  <c r="AA286" i="7"/>
  <c r="W286" i="7"/>
  <c r="X286" i="7" s="1"/>
  <c r="U286" i="7"/>
  <c r="R286" i="7"/>
  <c r="N286" i="7"/>
  <c r="O286" i="7" s="1"/>
  <c r="L286" i="7"/>
  <c r="I286" i="7"/>
  <c r="H286" i="7"/>
  <c r="F286" i="7"/>
  <c r="C286" i="7"/>
  <c r="AA284" i="7"/>
  <c r="Z284" i="7"/>
  <c r="U284" i="7"/>
  <c r="T284" i="7"/>
  <c r="R284" i="7"/>
  <c r="Q284" i="7"/>
  <c r="AC284" i="7" s="1"/>
  <c r="AD284" i="7" s="1"/>
  <c r="L284" i="7"/>
  <c r="K284" i="7"/>
  <c r="F284" i="7"/>
  <c r="E284" i="7"/>
  <c r="C284" i="7"/>
  <c r="B284" i="7"/>
  <c r="N284" i="7" s="1"/>
  <c r="O284" i="7" s="1"/>
  <c r="AD283" i="7"/>
  <c r="AC283" i="7"/>
  <c r="AA283" i="7"/>
  <c r="W283" i="7"/>
  <c r="X283" i="7" s="1"/>
  <c r="U283" i="7"/>
  <c r="R283" i="7"/>
  <c r="O283" i="7"/>
  <c r="N283" i="7"/>
  <c r="L283" i="7"/>
  <c r="I283" i="7"/>
  <c r="H283" i="7"/>
  <c r="F283" i="7"/>
  <c r="C283" i="7"/>
  <c r="AD282" i="7"/>
  <c r="AC282" i="7"/>
  <c r="AA282" i="7"/>
  <c r="W282" i="7"/>
  <c r="X282" i="7" s="1"/>
  <c r="U282" i="7"/>
  <c r="R282" i="7"/>
  <c r="N282" i="7"/>
  <c r="O282" i="7" s="1"/>
  <c r="L282" i="7"/>
  <c r="I282" i="7"/>
  <c r="H282" i="7"/>
  <c r="F282" i="7"/>
  <c r="C282" i="7"/>
  <c r="AD281" i="7"/>
  <c r="AC281" i="7"/>
  <c r="AA281" i="7"/>
  <c r="X281" i="7"/>
  <c r="W281" i="7"/>
  <c r="U281" i="7"/>
  <c r="R281" i="7"/>
  <c r="N281" i="7"/>
  <c r="O281" i="7" s="1"/>
  <c r="L281" i="7"/>
  <c r="I281" i="7"/>
  <c r="H281" i="7"/>
  <c r="F281" i="7"/>
  <c r="C281" i="7"/>
  <c r="AD280" i="7"/>
  <c r="AC280" i="7"/>
  <c r="AA280" i="7"/>
  <c r="W280" i="7"/>
  <c r="X280" i="7" s="1"/>
  <c r="U280" i="7"/>
  <c r="R280" i="7"/>
  <c r="N280" i="7"/>
  <c r="O280" i="7" s="1"/>
  <c r="L280" i="7"/>
  <c r="I280" i="7"/>
  <c r="H280" i="7"/>
  <c r="F280" i="7"/>
  <c r="C280" i="7"/>
  <c r="AD279" i="7"/>
  <c r="AC279" i="7"/>
  <c r="AA279" i="7"/>
  <c r="W279" i="7"/>
  <c r="X279" i="7" s="1"/>
  <c r="U279" i="7"/>
  <c r="R279" i="7"/>
  <c r="O279" i="7"/>
  <c r="N279" i="7"/>
  <c r="L279" i="7"/>
  <c r="I279" i="7"/>
  <c r="H279" i="7"/>
  <c r="F279" i="7"/>
  <c r="C279" i="7"/>
  <c r="AD278" i="7"/>
  <c r="AC278" i="7"/>
  <c r="AA278" i="7"/>
  <c r="W278" i="7"/>
  <c r="X278" i="7" s="1"/>
  <c r="U278" i="7"/>
  <c r="R278" i="7"/>
  <c r="N278" i="7"/>
  <c r="O278" i="7" s="1"/>
  <c r="L278" i="7"/>
  <c r="I278" i="7"/>
  <c r="H278" i="7"/>
  <c r="F278" i="7"/>
  <c r="C278" i="7"/>
  <c r="AD277" i="7"/>
  <c r="AC277" i="7"/>
  <c r="AA277" i="7"/>
  <c r="X277" i="7"/>
  <c r="W277" i="7"/>
  <c r="U277" i="7"/>
  <c r="R277" i="7"/>
  <c r="N277" i="7"/>
  <c r="O277" i="7" s="1"/>
  <c r="L277" i="7"/>
  <c r="I277" i="7"/>
  <c r="H277" i="7"/>
  <c r="F277" i="7"/>
  <c r="C277" i="7"/>
  <c r="AD276" i="7"/>
  <c r="AC276" i="7"/>
  <c r="AA276" i="7"/>
  <c r="W276" i="7"/>
  <c r="X276" i="7" s="1"/>
  <c r="U276" i="7"/>
  <c r="R276" i="7"/>
  <c r="N276" i="7"/>
  <c r="O276" i="7" s="1"/>
  <c r="L276" i="7"/>
  <c r="I276" i="7"/>
  <c r="H276" i="7"/>
  <c r="F276" i="7"/>
  <c r="C276" i="7"/>
  <c r="AD275" i="7"/>
  <c r="AC275" i="7"/>
  <c r="AA275" i="7"/>
  <c r="W275" i="7"/>
  <c r="X275" i="7" s="1"/>
  <c r="U275" i="7"/>
  <c r="R275" i="7"/>
  <c r="O275" i="7"/>
  <c r="N275" i="7"/>
  <c r="L275" i="7"/>
  <c r="I275" i="7"/>
  <c r="H275" i="7"/>
  <c r="F275" i="7"/>
  <c r="C275" i="7"/>
  <c r="AA273" i="7"/>
  <c r="Z273" i="7"/>
  <c r="U273" i="7"/>
  <c r="T273" i="7"/>
  <c r="R273" i="7"/>
  <c r="Q273" i="7"/>
  <c r="AC273" i="7" s="1"/>
  <c r="AD273" i="7" s="1"/>
  <c r="L273" i="7"/>
  <c r="K273" i="7"/>
  <c r="F273" i="7"/>
  <c r="E273" i="7"/>
  <c r="H273" i="7" s="1"/>
  <c r="I273" i="7" s="1"/>
  <c r="B273" i="7"/>
  <c r="C273" i="7" s="1"/>
  <c r="AD272" i="7"/>
  <c r="AC272" i="7"/>
  <c r="AA272" i="7"/>
  <c r="W272" i="7"/>
  <c r="X272" i="7" s="1"/>
  <c r="U272" i="7"/>
  <c r="R272" i="7"/>
  <c r="N272" i="7"/>
  <c r="O272" i="7" s="1"/>
  <c r="L272" i="7"/>
  <c r="I272" i="7"/>
  <c r="H272" i="7"/>
  <c r="F272" i="7"/>
  <c r="C272" i="7"/>
  <c r="AD271" i="7"/>
  <c r="AC271" i="7"/>
  <c r="AA271" i="7"/>
  <c r="W271" i="7"/>
  <c r="X271" i="7" s="1"/>
  <c r="U271" i="7"/>
  <c r="R271" i="7"/>
  <c r="O271" i="7"/>
  <c r="N271" i="7"/>
  <c r="L271" i="7"/>
  <c r="I271" i="7"/>
  <c r="H271" i="7"/>
  <c r="F271" i="7"/>
  <c r="C271" i="7"/>
  <c r="AD270" i="7"/>
  <c r="AC270" i="7"/>
  <c r="AA270" i="7"/>
  <c r="W270" i="7"/>
  <c r="X270" i="7" s="1"/>
  <c r="U270" i="7"/>
  <c r="R270" i="7"/>
  <c r="N270" i="7"/>
  <c r="O270" i="7" s="1"/>
  <c r="L270" i="7"/>
  <c r="I270" i="7"/>
  <c r="H270" i="7"/>
  <c r="F270" i="7"/>
  <c r="C270" i="7"/>
  <c r="AD269" i="7"/>
  <c r="AC269" i="7"/>
  <c r="AA269" i="7"/>
  <c r="X269" i="7"/>
  <c r="W269" i="7"/>
  <c r="U269" i="7"/>
  <c r="R269" i="7"/>
  <c r="N269" i="7"/>
  <c r="O269" i="7" s="1"/>
  <c r="L269" i="7"/>
  <c r="I269" i="7"/>
  <c r="H269" i="7"/>
  <c r="F269" i="7"/>
  <c r="C269" i="7"/>
  <c r="AA267" i="7"/>
  <c r="Z267" i="7"/>
  <c r="X267" i="7"/>
  <c r="W267" i="7"/>
  <c r="U267" i="7"/>
  <c r="T267" i="7"/>
  <c r="R267" i="7"/>
  <c r="Q267" i="7"/>
  <c r="AC267" i="7" s="1"/>
  <c r="AD267" i="7" s="1"/>
  <c r="O267" i="7"/>
  <c r="L267" i="7"/>
  <c r="K267" i="7"/>
  <c r="F267" i="7"/>
  <c r="E267" i="7"/>
  <c r="C267" i="7"/>
  <c r="B267" i="7"/>
  <c r="N267" i="7" s="1"/>
  <c r="AD266" i="7"/>
  <c r="AC266" i="7"/>
  <c r="AA266" i="7"/>
  <c r="W266" i="7"/>
  <c r="X266" i="7" s="1"/>
  <c r="U266" i="7"/>
  <c r="R266" i="7"/>
  <c r="N266" i="7"/>
  <c r="O266" i="7" s="1"/>
  <c r="L266" i="7"/>
  <c r="I266" i="7"/>
  <c r="H266" i="7"/>
  <c r="F266" i="7"/>
  <c r="C266" i="7"/>
  <c r="AD265" i="7"/>
  <c r="AC265" i="7"/>
  <c r="AA265" i="7"/>
  <c r="X265" i="7"/>
  <c r="W265" i="7"/>
  <c r="U265" i="7"/>
  <c r="R265" i="7"/>
  <c r="N265" i="7"/>
  <c r="O265" i="7" s="1"/>
  <c r="L265" i="7"/>
  <c r="I265" i="7"/>
  <c r="H265" i="7"/>
  <c r="F265" i="7"/>
  <c r="C265" i="7"/>
  <c r="AA263" i="7"/>
  <c r="Z263" i="7"/>
  <c r="X263" i="7"/>
  <c r="W263" i="7"/>
  <c r="T263" i="7"/>
  <c r="U263" i="7" s="1"/>
  <c r="R263" i="7"/>
  <c r="Q263" i="7"/>
  <c r="AC263" i="7" s="1"/>
  <c r="AD263" i="7" s="1"/>
  <c r="K263" i="7"/>
  <c r="L263" i="7" s="1"/>
  <c r="F263" i="7"/>
  <c r="E263" i="7"/>
  <c r="B263" i="7"/>
  <c r="H263" i="7" s="1"/>
  <c r="I263" i="7" s="1"/>
  <c r="Z262" i="7"/>
  <c r="AA262" i="7" s="1"/>
  <c r="U262" i="7"/>
  <c r="T262" i="7"/>
  <c r="Q262" i="7"/>
  <c r="AC262" i="7" s="1"/>
  <c r="AD262" i="7" s="1"/>
  <c r="L262" i="7"/>
  <c r="K262" i="7"/>
  <c r="E262" i="7"/>
  <c r="B262" i="7"/>
  <c r="C262" i="7" s="1"/>
  <c r="AD261" i="7"/>
  <c r="AC261" i="7"/>
  <c r="AA261" i="7"/>
  <c r="W261" i="7"/>
  <c r="X261" i="7" s="1"/>
  <c r="U261" i="7"/>
  <c r="R261" i="7"/>
  <c r="N261" i="7"/>
  <c r="O261" i="7" s="1"/>
  <c r="L261" i="7"/>
  <c r="H261" i="7"/>
  <c r="I261" i="7" s="1"/>
  <c r="F261" i="7"/>
  <c r="C261" i="7"/>
  <c r="AC260" i="7"/>
  <c r="AD260" i="7" s="1"/>
  <c r="AA260" i="7"/>
  <c r="W260" i="7"/>
  <c r="X260" i="7" s="1"/>
  <c r="U260" i="7"/>
  <c r="R260" i="7"/>
  <c r="O260" i="7"/>
  <c r="N260" i="7"/>
  <c r="L260" i="7"/>
  <c r="I260" i="7"/>
  <c r="H260" i="7"/>
  <c r="F260" i="7"/>
  <c r="C260" i="7"/>
  <c r="AC259" i="7"/>
  <c r="AD259" i="7" s="1"/>
  <c r="AA259" i="7"/>
  <c r="X259" i="7"/>
  <c r="W259" i="7"/>
  <c r="U259" i="7"/>
  <c r="R259" i="7"/>
  <c r="O259" i="7"/>
  <c r="N259" i="7"/>
  <c r="L259" i="7"/>
  <c r="H259" i="7"/>
  <c r="I259" i="7" s="1"/>
  <c r="F259" i="7"/>
  <c r="C259" i="7"/>
  <c r="AD258" i="7"/>
  <c r="AC258" i="7"/>
  <c r="AA258" i="7"/>
  <c r="X258" i="7"/>
  <c r="W258" i="7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O257" i="7"/>
  <c r="N257" i="7"/>
  <c r="L257" i="7"/>
  <c r="I257" i="7"/>
  <c r="H257" i="7"/>
  <c r="F257" i="7"/>
  <c r="C257" i="7"/>
  <c r="AC256" i="7"/>
  <c r="AD256" i="7" s="1"/>
  <c r="AA256" i="7"/>
  <c r="W256" i="7"/>
  <c r="X256" i="7" s="1"/>
  <c r="U256" i="7"/>
  <c r="R256" i="7"/>
  <c r="N256" i="7"/>
  <c r="O256" i="7" s="1"/>
  <c r="L256" i="7"/>
  <c r="I256" i="7"/>
  <c r="H256" i="7"/>
  <c r="F256" i="7"/>
  <c r="C256" i="7"/>
  <c r="AD255" i="7"/>
  <c r="AC255" i="7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N254" i="7"/>
  <c r="O254" i="7" s="1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O253" i="7"/>
  <c r="N253" i="7"/>
  <c r="L253" i="7"/>
  <c r="H253" i="7"/>
  <c r="I253" i="7" s="1"/>
  <c r="F253" i="7"/>
  <c r="C253" i="7"/>
  <c r="AC252" i="7"/>
  <c r="AD252" i="7" s="1"/>
  <c r="AA252" i="7"/>
  <c r="W252" i="7"/>
  <c r="X252" i="7" s="1"/>
  <c r="U252" i="7"/>
  <c r="R252" i="7"/>
  <c r="O252" i="7"/>
  <c r="N252" i="7"/>
  <c r="L252" i="7"/>
  <c r="I252" i="7"/>
  <c r="H252" i="7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D249" i="7"/>
  <c r="AC249" i="7"/>
  <c r="AA249" i="7"/>
  <c r="W249" i="7"/>
  <c r="X249" i="7" s="1"/>
  <c r="U249" i="7"/>
  <c r="R249" i="7"/>
  <c r="O249" i="7"/>
  <c r="N249" i="7"/>
  <c r="L249" i="7"/>
  <c r="I249" i="7"/>
  <c r="H249" i="7"/>
  <c r="F249" i="7"/>
  <c r="C249" i="7"/>
  <c r="AD248" i="7"/>
  <c r="AC248" i="7"/>
  <c r="AA248" i="7"/>
  <c r="W248" i="7"/>
  <c r="X248" i="7" s="1"/>
  <c r="U248" i="7"/>
  <c r="R248" i="7"/>
  <c r="O248" i="7"/>
  <c r="N248" i="7"/>
  <c r="L248" i="7"/>
  <c r="I248" i="7"/>
  <c r="H248" i="7"/>
  <c r="F248" i="7"/>
  <c r="C248" i="7"/>
  <c r="AC247" i="7"/>
  <c r="AD247" i="7" s="1"/>
  <c r="AA247" i="7"/>
  <c r="W247" i="7"/>
  <c r="X247" i="7" s="1"/>
  <c r="U247" i="7"/>
  <c r="R247" i="7"/>
  <c r="O247" i="7"/>
  <c r="N247" i="7"/>
  <c r="L247" i="7"/>
  <c r="I247" i="7"/>
  <c r="H247" i="7"/>
  <c r="F247" i="7"/>
  <c r="C247" i="7"/>
  <c r="AD246" i="7"/>
  <c r="AC246" i="7"/>
  <c r="AA246" i="7"/>
  <c r="X246" i="7"/>
  <c r="W246" i="7"/>
  <c r="U246" i="7"/>
  <c r="R246" i="7"/>
  <c r="N246" i="7"/>
  <c r="O246" i="7" s="1"/>
  <c r="L246" i="7"/>
  <c r="I246" i="7"/>
  <c r="H246" i="7"/>
  <c r="F246" i="7"/>
  <c r="C246" i="7"/>
  <c r="AD245" i="7"/>
  <c r="AC245" i="7"/>
  <c r="AA245" i="7"/>
  <c r="W245" i="7"/>
  <c r="X245" i="7" s="1"/>
  <c r="U245" i="7"/>
  <c r="R245" i="7"/>
  <c r="O245" i="7"/>
  <c r="N245" i="7"/>
  <c r="L245" i="7"/>
  <c r="H245" i="7"/>
  <c r="I245" i="7" s="1"/>
  <c r="F245" i="7"/>
  <c r="C245" i="7"/>
  <c r="AD244" i="7"/>
  <c r="AC244" i="7"/>
  <c r="AA244" i="7"/>
  <c r="W244" i="7"/>
  <c r="X244" i="7" s="1"/>
  <c r="U244" i="7"/>
  <c r="R244" i="7"/>
  <c r="N244" i="7"/>
  <c r="O244" i="7" s="1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N243" i="7"/>
  <c r="O243" i="7" s="1"/>
  <c r="L243" i="7"/>
  <c r="H243" i="7"/>
  <c r="I243" i="7" s="1"/>
  <c r="F243" i="7"/>
  <c r="C243" i="7"/>
  <c r="AD242" i="7"/>
  <c r="AC242" i="7"/>
  <c r="AA242" i="7"/>
  <c r="W242" i="7"/>
  <c r="X242" i="7" s="1"/>
  <c r="U242" i="7"/>
  <c r="R242" i="7"/>
  <c r="N242" i="7"/>
  <c r="O242" i="7" s="1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N241" i="7"/>
  <c r="O241" i="7" s="1"/>
  <c r="L241" i="7"/>
  <c r="H241" i="7"/>
  <c r="I241" i="7" s="1"/>
  <c r="F241" i="7"/>
  <c r="C241" i="7"/>
  <c r="AD240" i="7"/>
  <c r="AC240" i="7"/>
  <c r="AA240" i="7"/>
  <c r="W240" i="7"/>
  <c r="X240" i="7" s="1"/>
  <c r="U240" i="7"/>
  <c r="R240" i="7"/>
  <c r="N240" i="7"/>
  <c r="O240" i="7" s="1"/>
  <c r="L240" i="7"/>
  <c r="I240" i="7"/>
  <c r="H240" i="7"/>
  <c r="F240" i="7"/>
  <c r="C240" i="7"/>
  <c r="AD238" i="7"/>
  <c r="AC238" i="7"/>
  <c r="AA238" i="7"/>
  <c r="W238" i="7"/>
  <c r="X238" i="7" s="1"/>
  <c r="U238" i="7"/>
  <c r="R238" i="7"/>
  <c r="O238" i="7"/>
  <c r="N238" i="7"/>
  <c r="L238" i="7"/>
  <c r="I238" i="7"/>
  <c r="H238" i="7"/>
  <c r="F238" i="7"/>
  <c r="C238" i="7"/>
  <c r="AC236" i="7"/>
  <c r="AD236" i="7" s="1"/>
  <c r="AA236" i="7"/>
  <c r="Z236" i="7"/>
  <c r="U236" i="7"/>
  <c r="T236" i="7"/>
  <c r="Q236" i="7"/>
  <c r="L236" i="7"/>
  <c r="K236" i="7"/>
  <c r="F236" i="7"/>
  <c r="E236" i="7"/>
  <c r="B236" i="7"/>
  <c r="AC235" i="7"/>
  <c r="AD235" i="7" s="1"/>
  <c r="AA235" i="7"/>
  <c r="W235" i="7"/>
  <c r="X235" i="7" s="1"/>
  <c r="U235" i="7"/>
  <c r="R235" i="7"/>
  <c r="N235" i="7"/>
  <c r="O235" i="7" s="1"/>
  <c r="L235" i="7"/>
  <c r="I235" i="7"/>
  <c r="H235" i="7"/>
  <c r="F235" i="7"/>
  <c r="C235" i="7"/>
  <c r="AD234" i="7"/>
  <c r="AC234" i="7"/>
  <c r="AA234" i="7"/>
  <c r="W234" i="7"/>
  <c r="X234" i="7" s="1"/>
  <c r="U234" i="7"/>
  <c r="R234" i="7"/>
  <c r="O234" i="7"/>
  <c r="N234" i="7"/>
  <c r="L234" i="7"/>
  <c r="I234" i="7"/>
  <c r="H234" i="7"/>
  <c r="F234" i="7"/>
  <c r="C234" i="7"/>
  <c r="AD233" i="7"/>
  <c r="AC233" i="7"/>
  <c r="AA233" i="7"/>
  <c r="X233" i="7"/>
  <c r="W233" i="7"/>
  <c r="U233" i="7"/>
  <c r="R233" i="7"/>
  <c r="N233" i="7"/>
  <c r="O233" i="7" s="1"/>
  <c r="L233" i="7"/>
  <c r="I233" i="7"/>
  <c r="H233" i="7"/>
  <c r="F233" i="7"/>
  <c r="C233" i="7"/>
  <c r="AD232" i="7"/>
  <c r="AC232" i="7"/>
  <c r="AA232" i="7"/>
  <c r="X232" i="7"/>
  <c r="W232" i="7"/>
  <c r="U232" i="7"/>
  <c r="R232" i="7"/>
  <c r="O232" i="7"/>
  <c r="N232" i="7"/>
  <c r="L232" i="7"/>
  <c r="I232" i="7"/>
  <c r="H232" i="7"/>
  <c r="F232" i="7"/>
  <c r="C232" i="7"/>
  <c r="AD231" i="7"/>
  <c r="AC231" i="7"/>
  <c r="AA231" i="7"/>
  <c r="W231" i="7"/>
  <c r="X231" i="7" s="1"/>
  <c r="U231" i="7"/>
  <c r="R231" i="7"/>
  <c r="O231" i="7"/>
  <c r="N231" i="7"/>
  <c r="L231" i="7"/>
  <c r="I231" i="7"/>
  <c r="H231" i="7"/>
  <c r="F231" i="7"/>
  <c r="C231" i="7"/>
  <c r="AD230" i="7"/>
  <c r="AC230" i="7"/>
  <c r="AA230" i="7"/>
  <c r="X230" i="7"/>
  <c r="W230" i="7"/>
  <c r="U230" i="7"/>
  <c r="R230" i="7"/>
  <c r="N230" i="7"/>
  <c r="O230" i="7" s="1"/>
  <c r="L230" i="7"/>
  <c r="H230" i="7"/>
  <c r="I230" i="7" s="1"/>
  <c r="F230" i="7"/>
  <c r="C230" i="7"/>
  <c r="AD229" i="7"/>
  <c r="AC229" i="7"/>
  <c r="AA229" i="7"/>
  <c r="X229" i="7"/>
  <c r="W229" i="7"/>
  <c r="U229" i="7"/>
  <c r="R229" i="7"/>
  <c r="N229" i="7"/>
  <c r="O229" i="7" s="1"/>
  <c r="L229" i="7"/>
  <c r="H229" i="7"/>
  <c r="I229" i="7" s="1"/>
  <c r="F229" i="7"/>
  <c r="C229" i="7"/>
  <c r="AA227" i="7"/>
  <c r="Z227" i="7"/>
  <c r="X227" i="7"/>
  <c r="W227" i="7"/>
  <c r="U227" i="7"/>
  <c r="T227" i="7"/>
  <c r="R227" i="7"/>
  <c r="Q227" i="7"/>
  <c r="AC227" i="7" s="1"/>
  <c r="AD227" i="7" s="1"/>
  <c r="K227" i="7"/>
  <c r="L227" i="7" s="1"/>
  <c r="H227" i="7"/>
  <c r="I227" i="7" s="1"/>
  <c r="F227" i="7"/>
  <c r="E227" i="7"/>
  <c r="C227" i="7"/>
  <c r="B227" i="7"/>
  <c r="AC226" i="7"/>
  <c r="AD226" i="7" s="1"/>
  <c r="AA226" i="7"/>
  <c r="X226" i="7"/>
  <c r="W226" i="7"/>
  <c r="U226" i="7"/>
  <c r="R226" i="7"/>
  <c r="N226" i="7"/>
  <c r="O226" i="7" s="1"/>
  <c r="L226" i="7"/>
  <c r="I226" i="7"/>
  <c r="H226" i="7"/>
  <c r="F226" i="7"/>
  <c r="C226" i="7"/>
  <c r="AD225" i="7"/>
  <c r="AC225" i="7"/>
  <c r="AA225" i="7"/>
  <c r="W225" i="7"/>
  <c r="X225" i="7" s="1"/>
  <c r="U225" i="7"/>
  <c r="R225" i="7"/>
  <c r="N225" i="7"/>
  <c r="O225" i="7" s="1"/>
  <c r="L225" i="7"/>
  <c r="H225" i="7"/>
  <c r="I225" i="7" s="1"/>
  <c r="F225" i="7"/>
  <c r="C225" i="7"/>
  <c r="AD224" i="7"/>
  <c r="AC224" i="7"/>
  <c r="AA224" i="7"/>
  <c r="X224" i="7"/>
  <c r="W224" i="7"/>
  <c r="U224" i="7"/>
  <c r="R224" i="7"/>
  <c r="N224" i="7"/>
  <c r="O224" i="7" s="1"/>
  <c r="L224" i="7"/>
  <c r="I224" i="7"/>
  <c r="H224" i="7"/>
  <c r="F224" i="7"/>
  <c r="C224" i="7"/>
  <c r="AC223" i="7"/>
  <c r="AD223" i="7" s="1"/>
  <c r="AA223" i="7"/>
  <c r="W223" i="7"/>
  <c r="X223" i="7" s="1"/>
  <c r="U223" i="7"/>
  <c r="R223" i="7"/>
  <c r="N223" i="7"/>
  <c r="O223" i="7" s="1"/>
  <c r="L223" i="7"/>
  <c r="I223" i="7"/>
  <c r="H223" i="7"/>
  <c r="F223" i="7"/>
  <c r="C223" i="7"/>
  <c r="AD222" i="7"/>
  <c r="AC222" i="7"/>
  <c r="AA222" i="7"/>
  <c r="X222" i="7"/>
  <c r="W222" i="7"/>
  <c r="U222" i="7"/>
  <c r="R222" i="7"/>
  <c r="O222" i="7"/>
  <c r="N222" i="7"/>
  <c r="L222" i="7"/>
  <c r="H222" i="7"/>
  <c r="I222" i="7" s="1"/>
  <c r="F222" i="7"/>
  <c r="C222" i="7"/>
  <c r="AD221" i="7"/>
  <c r="AC221" i="7"/>
  <c r="AA221" i="7"/>
  <c r="W221" i="7"/>
  <c r="X221" i="7" s="1"/>
  <c r="U221" i="7"/>
  <c r="R221" i="7"/>
  <c r="N221" i="7"/>
  <c r="O221" i="7" s="1"/>
  <c r="L221" i="7"/>
  <c r="I221" i="7"/>
  <c r="H221" i="7"/>
  <c r="F221" i="7"/>
  <c r="C221" i="7"/>
  <c r="AD220" i="7"/>
  <c r="AC220" i="7"/>
  <c r="AA220" i="7"/>
  <c r="W220" i="7"/>
  <c r="X220" i="7" s="1"/>
  <c r="U220" i="7"/>
  <c r="R220" i="7"/>
  <c r="O220" i="7"/>
  <c r="N220" i="7"/>
  <c r="L220" i="7"/>
  <c r="H220" i="7"/>
  <c r="I220" i="7" s="1"/>
  <c r="F220" i="7"/>
  <c r="C220" i="7"/>
  <c r="AC219" i="7"/>
  <c r="AD219" i="7" s="1"/>
  <c r="AA219" i="7"/>
  <c r="W219" i="7"/>
  <c r="X219" i="7" s="1"/>
  <c r="U219" i="7"/>
  <c r="R219" i="7"/>
  <c r="N219" i="7"/>
  <c r="O219" i="7" s="1"/>
  <c r="L219" i="7"/>
  <c r="I219" i="7"/>
  <c r="H219" i="7"/>
  <c r="F219" i="7"/>
  <c r="C219" i="7"/>
  <c r="AC218" i="7"/>
  <c r="AD218" i="7" s="1"/>
  <c r="AA218" i="7"/>
  <c r="Z218" i="7"/>
  <c r="X218" i="7"/>
  <c r="U218" i="7"/>
  <c r="T218" i="7"/>
  <c r="R218" i="7"/>
  <c r="Q218" i="7"/>
  <c r="W218" i="7" s="1"/>
  <c r="L218" i="7"/>
  <c r="K218" i="7"/>
  <c r="F218" i="7"/>
  <c r="E218" i="7"/>
  <c r="B218" i="7"/>
  <c r="AD217" i="7"/>
  <c r="AC217" i="7"/>
  <c r="AA217" i="7"/>
  <c r="W217" i="7"/>
  <c r="X217" i="7" s="1"/>
  <c r="U217" i="7"/>
  <c r="R217" i="7"/>
  <c r="O217" i="7"/>
  <c r="N217" i="7"/>
  <c r="L217" i="7"/>
  <c r="I217" i="7"/>
  <c r="H217" i="7"/>
  <c r="F217" i="7"/>
  <c r="C217" i="7"/>
  <c r="AC216" i="7"/>
  <c r="AD216" i="7" s="1"/>
  <c r="AA216" i="7"/>
  <c r="W216" i="7"/>
  <c r="X216" i="7" s="1"/>
  <c r="U216" i="7"/>
  <c r="R216" i="7"/>
  <c r="O216" i="7"/>
  <c r="N216" i="7"/>
  <c r="L216" i="7"/>
  <c r="I216" i="7"/>
  <c r="H216" i="7"/>
  <c r="F216" i="7"/>
  <c r="C216" i="7"/>
  <c r="AC215" i="7"/>
  <c r="AD215" i="7" s="1"/>
  <c r="AA215" i="7"/>
  <c r="W215" i="7"/>
  <c r="X215" i="7" s="1"/>
  <c r="U215" i="7"/>
  <c r="R215" i="7"/>
  <c r="O215" i="7"/>
  <c r="N215" i="7"/>
  <c r="L215" i="7"/>
  <c r="H215" i="7"/>
  <c r="I215" i="7" s="1"/>
  <c r="F215" i="7"/>
  <c r="C215" i="7"/>
  <c r="AD214" i="7"/>
  <c r="AC214" i="7"/>
  <c r="AA214" i="7"/>
  <c r="X214" i="7"/>
  <c r="W214" i="7"/>
  <c r="U214" i="7"/>
  <c r="R214" i="7"/>
  <c r="N214" i="7"/>
  <c r="O214" i="7" s="1"/>
  <c r="L214" i="7"/>
  <c r="I214" i="7"/>
  <c r="H214" i="7"/>
  <c r="F214" i="7"/>
  <c r="C214" i="7"/>
  <c r="AD213" i="7"/>
  <c r="AC213" i="7"/>
  <c r="AA213" i="7"/>
  <c r="X213" i="7"/>
  <c r="W213" i="7"/>
  <c r="U213" i="7"/>
  <c r="R213" i="7"/>
  <c r="N213" i="7"/>
  <c r="O213" i="7" s="1"/>
  <c r="L213" i="7"/>
  <c r="H213" i="7"/>
  <c r="I213" i="7" s="1"/>
  <c r="F213" i="7"/>
  <c r="C213" i="7"/>
  <c r="AC211" i="7"/>
  <c r="AD211" i="7" s="1"/>
  <c r="AA211" i="7"/>
  <c r="W211" i="7"/>
  <c r="X211" i="7" s="1"/>
  <c r="U211" i="7"/>
  <c r="R211" i="7"/>
  <c r="O211" i="7"/>
  <c r="N211" i="7"/>
  <c r="L211" i="7"/>
  <c r="I211" i="7"/>
  <c r="H211" i="7"/>
  <c r="F211" i="7"/>
  <c r="C211" i="7"/>
  <c r="AA209" i="7"/>
  <c r="Z209" i="7"/>
  <c r="T209" i="7"/>
  <c r="U209" i="7" s="1"/>
  <c r="Q209" i="7"/>
  <c r="L209" i="7"/>
  <c r="K209" i="7"/>
  <c r="E209" i="7"/>
  <c r="F209" i="7" s="1"/>
  <c r="B209" i="7"/>
  <c r="AD208" i="7"/>
  <c r="AC208" i="7"/>
  <c r="AA208" i="7"/>
  <c r="X208" i="7"/>
  <c r="W208" i="7"/>
  <c r="U208" i="7"/>
  <c r="R208" i="7"/>
  <c r="O208" i="7"/>
  <c r="N208" i="7"/>
  <c r="L208" i="7"/>
  <c r="H208" i="7"/>
  <c r="I208" i="7" s="1"/>
  <c r="F208" i="7"/>
  <c r="C208" i="7"/>
  <c r="AD207" i="7"/>
  <c r="AC207" i="7"/>
  <c r="AA207" i="7"/>
  <c r="W207" i="7"/>
  <c r="X207" i="7" s="1"/>
  <c r="U207" i="7"/>
  <c r="R207" i="7"/>
  <c r="N207" i="7"/>
  <c r="O207" i="7" s="1"/>
  <c r="L207" i="7"/>
  <c r="I207" i="7"/>
  <c r="H207" i="7"/>
  <c r="F207" i="7"/>
  <c r="C207" i="7"/>
  <c r="AD206" i="7"/>
  <c r="AC206" i="7"/>
  <c r="AA206" i="7"/>
  <c r="W206" i="7"/>
  <c r="X206" i="7" s="1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W205" i="7"/>
  <c r="X205" i="7" s="1"/>
  <c r="U205" i="7"/>
  <c r="R205" i="7"/>
  <c r="N205" i="7"/>
  <c r="O205" i="7" s="1"/>
  <c r="L205" i="7"/>
  <c r="I205" i="7"/>
  <c r="H205" i="7"/>
  <c r="F205" i="7"/>
  <c r="C205" i="7"/>
  <c r="AD204" i="7"/>
  <c r="AC204" i="7"/>
  <c r="AA204" i="7"/>
  <c r="X204" i="7"/>
  <c r="W204" i="7"/>
  <c r="U204" i="7"/>
  <c r="R204" i="7"/>
  <c r="O204" i="7"/>
  <c r="N204" i="7"/>
  <c r="L204" i="7"/>
  <c r="H204" i="7"/>
  <c r="I204" i="7" s="1"/>
  <c r="F204" i="7"/>
  <c r="C204" i="7"/>
  <c r="AC203" i="7"/>
  <c r="AD203" i="7" s="1"/>
  <c r="AA203" i="7"/>
  <c r="W203" i="7"/>
  <c r="X203" i="7" s="1"/>
  <c r="U203" i="7"/>
  <c r="R203" i="7"/>
  <c r="O203" i="7"/>
  <c r="N203" i="7"/>
  <c r="L203" i="7"/>
  <c r="I203" i="7"/>
  <c r="H203" i="7"/>
  <c r="F203" i="7"/>
  <c r="C203" i="7"/>
  <c r="AC202" i="7"/>
  <c r="AD202" i="7" s="1"/>
  <c r="AA202" i="7"/>
  <c r="W202" i="7"/>
  <c r="X202" i="7" s="1"/>
  <c r="U202" i="7"/>
  <c r="R202" i="7"/>
  <c r="N202" i="7"/>
  <c r="O202" i="7" s="1"/>
  <c r="L202" i="7"/>
  <c r="I202" i="7"/>
  <c r="H202" i="7"/>
  <c r="F202" i="7"/>
  <c r="C202" i="7"/>
  <c r="AD201" i="7"/>
  <c r="AC201" i="7"/>
  <c r="AA201" i="7"/>
  <c r="W201" i="7"/>
  <c r="X201" i="7" s="1"/>
  <c r="U201" i="7"/>
  <c r="R201" i="7"/>
  <c r="N201" i="7"/>
  <c r="O201" i="7" s="1"/>
  <c r="L201" i="7"/>
  <c r="H201" i="7"/>
  <c r="I201" i="7" s="1"/>
  <c r="F201" i="7"/>
  <c r="C201" i="7"/>
  <c r="AD197" i="7"/>
  <c r="AC197" i="7"/>
  <c r="AA197" i="7"/>
  <c r="Z197" i="7"/>
  <c r="U197" i="7"/>
  <c r="T197" i="7"/>
  <c r="Q197" i="7"/>
  <c r="N197" i="7"/>
  <c r="O197" i="7" s="1"/>
  <c r="L197" i="7"/>
  <c r="K197" i="7"/>
  <c r="E197" i="7"/>
  <c r="F197" i="7" s="1"/>
  <c r="B197" i="7"/>
  <c r="AD196" i="7"/>
  <c r="AA196" i="7"/>
  <c r="Z196" i="7"/>
  <c r="U196" i="7"/>
  <c r="T196" i="7"/>
  <c r="W196" i="7" s="1"/>
  <c r="X196" i="7" s="1"/>
  <c r="R196" i="7"/>
  <c r="Q196" i="7"/>
  <c r="AC196" i="7" s="1"/>
  <c r="N196" i="7"/>
  <c r="O196" i="7" s="1"/>
  <c r="L196" i="7"/>
  <c r="K196" i="7"/>
  <c r="F196" i="7"/>
  <c r="E196" i="7"/>
  <c r="C196" i="7"/>
  <c r="B196" i="7"/>
  <c r="H196" i="7" s="1"/>
  <c r="I196" i="7" s="1"/>
  <c r="AD195" i="7"/>
  <c r="AC195" i="7"/>
  <c r="AA195" i="7"/>
  <c r="W195" i="7"/>
  <c r="X195" i="7" s="1"/>
  <c r="U195" i="7"/>
  <c r="R195" i="7"/>
  <c r="O195" i="7"/>
  <c r="N195" i="7"/>
  <c r="L195" i="7"/>
  <c r="I195" i="7"/>
  <c r="H195" i="7"/>
  <c r="F195" i="7"/>
  <c r="C195" i="7"/>
  <c r="AD194" i="7"/>
  <c r="AC194" i="7"/>
  <c r="AA194" i="7"/>
  <c r="W194" i="7"/>
  <c r="X194" i="7" s="1"/>
  <c r="U194" i="7"/>
  <c r="R194" i="7"/>
  <c r="N194" i="7"/>
  <c r="O194" i="7" s="1"/>
  <c r="L194" i="7"/>
  <c r="I194" i="7"/>
  <c r="H194" i="7"/>
  <c r="F194" i="7"/>
  <c r="C194" i="7"/>
  <c r="Z193" i="7"/>
  <c r="AA193" i="7" s="1"/>
  <c r="X193" i="7"/>
  <c r="W193" i="7"/>
  <c r="U193" i="7"/>
  <c r="T193" i="7"/>
  <c r="R193" i="7"/>
  <c r="Q193" i="7"/>
  <c r="K193" i="7"/>
  <c r="N193" i="7" s="1"/>
  <c r="O193" i="7" s="1"/>
  <c r="I193" i="7"/>
  <c r="F193" i="7"/>
  <c r="E193" i="7"/>
  <c r="C193" i="7"/>
  <c r="B193" i="7"/>
  <c r="H193" i="7" s="1"/>
  <c r="AC192" i="7"/>
  <c r="AD192" i="7" s="1"/>
  <c r="AA192" i="7"/>
  <c r="W192" i="7"/>
  <c r="X192" i="7" s="1"/>
  <c r="U192" i="7"/>
  <c r="R192" i="7"/>
  <c r="O192" i="7"/>
  <c r="N192" i="7"/>
  <c r="L192" i="7"/>
  <c r="I192" i="7"/>
  <c r="H192" i="7"/>
  <c r="F192" i="7"/>
  <c r="C192" i="7"/>
  <c r="AC191" i="7"/>
  <c r="AD191" i="7" s="1"/>
  <c r="AA191" i="7"/>
  <c r="W191" i="7"/>
  <c r="X191" i="7" s="1"/>
  <c r="U191" i="7"/>
  <c r="R191" i="7"/>
  <c r="N191" i="7"/>
  <c r="O191" i="7" s="1"/>
  <c r="L191" i="7"/>
  <c r="I191" i="7"/>
  <c r="H191" i="7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O189" i="7"/>
  <c r="N189" i="7"/>
  <c r="L189" i="7"/>
  <c r="H189" i="7"/>
  <c r="I189" i="7" s="1"/>
  <c r="F189" i="7"/>
  <c r="C189" i="7"/>
  <c r="AD188" i="7"/>
  <c r="AC188" i="7"/>
  <c r="AA188" i="7"/>
  <c r="X188" i="7"/>
  <c r="W188" i="7"/>
  <c r="U188" i="7"/>
  <c r="R188" i="7"/>
  <c r="O188" i="7"/>
  <c r="N188" i="7"/>
  <c r="L188" i="7"/>
  <c r="I188" i="7"/>
  <c r="H188" i="7"/>
  <c r="F188" i="7"/>
  <c r="C188" i="7"/>
  <c r="AC187" i="7"/>
  <c r="AD187" i="7" s="1"/>
  <c r="AA187" i="7"/>
  <c r="W187" i="7"/>
  <c r="X187" i="7" s="1"/>
  <c r="U187" i="7"/>
  <c r="R187" i="7"/>
  <c r="N187" i="7"/>
  <c r="O187" i="7" s="1"/>
  <c r="L187" i="7"/>
  <c r="I187" i="7"/>
  <c r="H187" i="7"/>
  <c r="F187" i="7"/>
  <c r="C187" i="7"/>
  <c r="AC186" i="7"/>
  <c r="AD186" i="7" s="1"/>
  <c r="AA186" i="7"/>
  <c r="W186" i="7"/>
  <c r="X186" i="7" s="1"/>
  <c r="U186" i="7"/>
  <c r="R186" i="7"/>
  <c r="O186" i="7"/>
  <c r="N186" i="7"/>
  <c r="L186" i="7"/>
  <c r="H186" i="7"/>
  <c r="I186" i="7" s="1"/>
  <c r="F186" i="7"/>
  <c r="C186" i="7"/>
  <c r="AC184" i="7"/>
  <c r="AD184" i="7" s="1"/>
  <c r="AA184" i="7"/>
  <c r="W184" i="7"/>
  <c r="X184" i="7" s="1"/>
  <c r="U184" i="7"/>
  <c r="R184" i="7"/>
  <c r="O184" i="7"/>
  <c r="N184" i="7"/>
  <c r="L184" i="7"/>
  <c r="H184" i="7"/>
  <c r="I184" i="7" s="1"/>
  <c r="F184" i="7"/>
  <c r="C184" i="7"/>
  <c r="AD183" i="7"/>
  <c r="AC183" i="7"/>
  <c r="AA183" i="7"/>
  <c r="X183" i="7"/>
  <c r="W183" i="7"/>
  <c r="U183" i="7"/>
  <c r="R183" i="7"/>
  <c r="O183" i="7"/>
  <c r="N183" i="7"/>
  <c r="L183" i="7"/>
  <c r="I183" i="7"/>
  <c r="H183" i="7"/>
  <c r="F183" i="7"/>
  <c r="C183" i="7"/>
  <c r="AC182" i="7"/>
  <c r="AD182" i="7" s="1"/>
  <c r="AA182" i="7"/>
  <c r="Z182" i="7"/>
  <c r="T182" i="7"/>
  <c r="U182" i="7" s="1"/>
  <c r="Q182" i="7"/>
  <c r="W182" i="7" s="1"/>
  <c r="X182" i="7" s="1"/>
  <c r="N182" i="7"/>
  <c r="O182" i="7" s="1"/>
  <c r="L182" i="7"/>
  <c r="K182" i="7"/>
  <c r="F182" i="7"/>
  <c r="E182" i="7"/>
  <c r="B182" i="7"/>
  <c r="AD181" i="7"/>
  <c r="AC181" i="7"/>
  <c r="AA181" i="7"/>
  <c r="W181" i="7"/>
  <c r="X181" i="7" s="1"/>
  <c r="U181" i="7"/>
  <c r="R181" i="7"/>
  <c r="O181" i="7"/>
  <c r="N181" i="7"/>
  <c r="L181" i="7"/>
  <c r="H181" i="7"/>
  <c r="I181" i="7" s="1"/>
  <c r="F181" i="7"/>
  <c r="C181" i="7"/>
  <c r="AC180" i="7"/>
  <c r="AD180" i="7" s="1"/>
  <c r="AA180" i="7"/>
  <c r="X180" i="7"/>
  <c r="W180" i="7"/>
  <c r="U180" i="7"/>
  <c r="R180" i="7"/>
  <c r="O180" i="7"/>
  <c r="N180" i="7"/>
  <c r="L180" i="7"/>
  <c r="I180" i="7"/>
  <c r="H180" i="7"/>
  <c r="F180" i="7"/>
  <c r="C180" i="7"/>
  <c r="AC179" i="7"/>
  <c r="AD179" i="7" s="1"/>
  <c r="AA179" i="7"/>
  <c r="W179" i="7"/>
  <c r="X179" i="7" s="1"/>
  <c r="U179" i="7"/>
  <c r="R179" i="7"/>
  <c r="O179" i="7"/>
  <c r="N179" i="7"/>
  <c r="L179" i="7"/>
  <c r="H179" i="7"/>
  <c r="I179" i="7" s="1"/>
  <c r="F179" i="7"/>
  <c r="C179" i="7"/>
  <c r="AC178" i="7"/>
  <c r="AD178" i="7" s="1"/>
  <c r="AA178" i="7"/>
  <c r="W178" i="7"/>
  <c r="X178" i="7" s="1"/>
  <c r="U178" i="7"/>
  <c r="R178" i="7"/>
  <c r="O178" i="7"/>
  <c r="N178" i="7"/>
  <c r="L178" i="7"/>
  <c r="I178" i="7"/>
  <c r="H178" i="7"/>
  <c r="F178" i="7"/>
  <c r="C178" i="7"/>
  <c r="AC177" i="7"/>
  <c r="AD177" i="7" s="1"/>
  <c r="AA177" i="7"/>
  <c r="X177" i="7"/>
  <c r="W177" i="7"/>
  <c r="U177" i="7"/>
  <c r="R177" i="7"/>
  <c r="N177" i="7"/>
  <c r="O177" i="7" s="1"/>
  <c r="L177" i="7"/>
  <c r="H177" i="7"/>
  <c r="I177" i="7" s="1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H175" i="7"/>
  <c r="I175" i="7" s="1"/>
  <c r="F175" i="7"/>
  <c r="C175" i="7"/>
  <c r="R172" i="7"/>
  <c r="Q172" i="7"/>
  <c r="E172" i="7"/>
  <c r="E198" i="7" s="1"/>
  <c r="AC171" i="7"/>
  <c r="AD171" i="7" s="1"/>
  <c r="Z171" i="7"/>
  <c r="AA171" i="7" s="1"/>
  <c r="W171" i="7"/>
  <c r="X171" i="7" s="1"/>
  <c r="T171" i="7"/>
  <c r="U171" i="7" s="1"/>
  <c r="R171" i="7"/>
  <c r="Q171" i="7"/>
  <c r="K171" i="7"/>
  <c r="L171" i="7" s="1"/>
  <c r="I171" i="7"/>
  <c r="H171" i="7"/>
  <c r="F171" i="7"/>
  <c r="E171" i="7"/>
  <c r="B171" i="7"/>
  <c r="C171" i="7" s="1"/>
  <c r="Z170" i="7"/>
  <c r="AA170" i="7" s="1"/>
  <c r="W170" i="7"/>
  <c r="X170" i="7" s="1"/>
  <c r="T170" i="7"/>
  <c r="U170" i="7" s="1"/>
  <c r="Q170" i="7"/>
  <c r="R170" i="7" s="1"/>
  <c r="L170" i="7"/>
  <c r="K170" i="7"/>
  <c r="N170" i="7" s="1"/>
  <c r="O170" i="7" s="1"/>
  <c r="H170" i="7"/>
  <c r="I170" i="7" s="1"/>
  <c r="F170" i="7"/>
  <c r="E170" i="7"/>
  <c r="C170" i="7"/>
  <c r="B170" i="7"/>
  <c r="AC169" i="7"/>
  <c r="AD169" i="7" s="1"/>
  <c r="AA169" i="7"/>
  <c r="X169" i="7"/>
  <c r="W169" i="7"/>
  <c r="U169" i="7"/>
  <c r="R169" i="7"/>
  <c r="N169" i="7"/>
  <c r="O169" i="7" s="1"/>
  <c r="L169" i="7"/>
  <c r="H169" i="7"/>
  <c r="I169" i="7" s="1"/>
  <c r="F169" i="7"/>
  <c r="C169" i="7"/>
  <c r="AC168" i="7"/>
  <c r="AD168" i="7" s="1"/>
  <c r="AA168" i="7"/>
  <c r="X168" i="7"/>
  <c r="W168" i="7"/>
  <c r="U168" i="7"/>
  <c r="R168" i="7"/>
  <c r="O168" i="7"/>
  <c r="N168" i="7"/>
  <c r="L168" i="7"/>
  <c r="H168" i="7"/>
  <c r="I168" i="7" s="1"/>
  <c r="F168" i="7"/>
  <c r="C168" i="7"/>
  <c r="AD167" i="7"/>
  <c r="AC167" i="7"/>
  <c r="AA167" i="7"/>
  <c r="X167" i="7"/>
  <c r="W167" i="7"/>
  <c r="U167" i="7"/>
  <c r="R167" i="7"/>
  <c r="O167" i="7"/>
  <c r="N167" i="7"/>
  <c r="L167" i="7"/>
  <c r="H167" i="7"/>
  <c r="I167" i="7" s="1"/>
  <c r="F167" i="7"/>
  <c r="C167" i="7"/>
  <c r="Z166" i="7"/>
  <c r="AC166" i="7" s="1"/>
  <c r="AD166" i="7" s="1"/>
  <c r="U166" i="7"/>
  <c r="T166" i="7"/>
  <c r="Q166" i="7"/>
  <c r="R166" i="7" s="1"/>
  <c r="N166" i="7"/>
  <c r="O166" i="7" s="1"/>
  <c r="L166" i="7"/>
  <c r="K166" i="7"/>
  <c r="E166" i="7"/>
  <c r="F166" i="7" s="1"/>
  <c r="B166" i="7"/>
  <c r="AC165" i="7"/>
  <c r="AD165" i="7" s="1"/>
  <c r="AA165" i="7"/>
  <c r="X165" i="7"/>
  <c r="W165" i="7"/>
  <c r="U165" i="7"/>
  <c r="R165" i="7"/>
  <c r="O165" i="7"/>
  <c r="N165" i="7"/>
  <c r="L165" i="7"/>
  <c r="I165" i="7"/>
  <c r="H165" i="7"/>
  <c r="F165" i="7"/>
  <c r="C165" i="7"/>
  <c r="AC164" i="7"/>
  <c r="AD164" i="7" s="1"/>
  <c r="AA164" i="7"/>
  <c r="X164" i="7"/>
  <c r="W164" i="7"/>
  <c r="U164" i="7"/>
  <c r="R164" i="7"/>
  <c r="N164" i="7"/>
  <c r="O164" i="7" s="1"/>
  <c r="L164" i="7"/>
  <c r="I164" i="7"/>
  <c r="H164" i="7"/>
  <c r="F164" i="7"/>
  <c r="C164" i="7"/>
  <c r="AC163" i="7"/>
  <c r="AD163" i="7" s="1"/>
  <c r="AA163" i="7"/>
  <c r="W163" i="7"/>
  <c r="X163" i="7" s="1"/>
  <c r="U163" i="7"/>
  <c r="R163" i="7"/>
  <c r="O163" i="7"/>
  <c r="N163" i="7"/>
  <c r="L163" i="7"/>
  <c r="H163" i="7"/>
  <c r="I163" i="7" s="1"/>
  <c r="F163" i="7"/>
  <c r="C163" i="7"/>
  <c r="AD162" i="7"/>
  <c r="AC162" i="7"/>
  <c r="AA162" i="7"/>
  <c r="X162" i="7"/>
  <c r="W162" i="7"/>
  <c r="U162" i="7"/>
  <c r="R162" i="7"/>
  <c r="N162" i="7"/>
  <c r="O162" i="7" s="1"/>
  <c r="L162" i="7"/>
  <c r="H162" i="7"/>
  <c r="I162" i="7" s="1"/>
  <c r="F162" i="7"/>
  <c r="C162" i="7"/>
  <c r="AC161" i="7"/>
  <c r="AD161" i="7" s="1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D160" i="7"/>
  <c r="AC160" i="7"/>
  <c r="AA160" i="7"/>
  <c r="W160" i="7"/>
  <c r="X160" i="7" s="1"/>
  <c r="U160" i="7"/>
  <c r="R160" i="7"/>
  <c r="N160" i="7"/>
  <c r="O160" i="7" s="1"/>
  <c r="L160" i="7"/>
  <c r="H160" i="7"/>
  <c r="I160" i="7" s="1"/>
  <c r="F160" i="7"/>
  <c r="C160" i="7"/>
  <c r="Z158" i="7"/>
  <c r="AA158" i="7" s="1"/>
  <c r="U158" i="7"/>
  <c r="T158" i="7"/>
  <c r="Q158" i="7"/>
  <c r="L158" i="7"/>
  <c r="K158" i="7"/>
  <c r="E158" i="7"/>
  <c r="C158" i="7"/>
  <c r="B158" i="7"/>
  <c r="N158" i="7" s="1"/>
  <c r="O158" i="7" s="1"/>
  <c r="AC157" i="7"/>
  <c r="AD157" i="7" s="1"/>
  <c r="AA157" i="7"/>
  <c r="X157" i="7"/>
  <c r="W157" i="7"/>
  <c r="U157" i="7"/>
  <c r="R157" i="7"/>
  <c r="N157" i="7"/>
  <c r="O157" i="7" s="1"/>
  <c r="L157" i="7"/>
  <c r="H157" i="7"/>
  <c r="I157" i="7" s="1"/>
  <c r="F157" i="7"/>
  <c r="C157" i="7"/>
  <c r="AD156" i="7"/>
  <c r="AC156" i="7"/>
  <c r="AA156" i="7"/>
  <c r="X156" i="7"/>
  <c r="W156" i="7"/>
  <c r="U156" i="7"/>
  <c r="R156" i="7"/>
  <c r="O156" i="7"/>
  <c r="N156" i="7"/>
  <c r="L156" i="7"/>
  <c r="H156" i="7"/>
  <c r="I156" i="7" s="1"/>
  <c r="F156" i="7"/>
  <c r="C156" i="7"/>
  <c r="AC155" i="7"/>
  <c r="AD155" i="7" s="1"/>
  <c r="AA155" i="7"/>
  <c r="X155" i="7"/>
  <c r="W155" i="7"/>
  <c r="U155" i="7"/>
  <c r="R155" i="7"/>
  <c r="O155" i="7"/>
  <c r="N155" i="7"/>
  <c r="L155" i="7"/>
  <c r="H155" i="7"/>
  <c r="I155" i="7" s="1"/>
  <c r="F155" i="7"/>
  <c r="C155" i="7"/>
  <c r="AD154" i="7"/>
  <c r="AC154" i="7"/>
  <c r="AA154" i="7"/>
  <c r="W154" i="7"/>
  <c r="X154" i="7" s="1"/>
  <c r="U154" i="7"/>
  <c r="R154" i="7"/>
  <c r="N154" i="7"/>
  <c r="O154" i="7" s="1"/>
  <c r="L154" i="7"/>
  <c r="H154" i="7"/>
  <c r="I154" i="7" s="1"/>
  <c r="F154" i="7"/>
  <c r="C154" i="7"/>
  <c r="AD153" i="7"/>
  <c r="AC153" i="7"/>
  <c r="AA153" i="7"/>
  <c r="X153" i="7"/>
  <c r="W153" i="7"/>
  <c r="U153" i="7"/>
  <c r="R153" i="7"/>
  <c r="N153" i="7"/>
  <c r="O153" i="7" s="1"/>
  <c r="L153" i="7"/>
  <c r="H153" i="7"/>
  <c r="I153" i="7" s="1"/>
  <c r="F153" i="7"/>
  <c r="C153" i="7"/>
  <c r="AD151" i="7"/>
  <c r="AC151" i="7"/>
  <c r="AA151" i="7"/>
  <c r="X151" i="7"/>
  <c r="W151" i="7"/>
  <c r="U151" i="7"/>
  <c r="R151" i="7"/>
  <c r="N151" i="7"/>
  <c r="O151" i="7" s="1"/>
  <c r="L151" i="7"/>
  <c r="I151" i="7"/>
  <c r="H151" i="7"/>
  <c r="F151" i="7"/>
  <c r="C151" i="7"/>
  <c r="Z149" i="7"/>
  <c r="AA149" i="7" s="1"/>
  <c r="W149" i="7"/>
  <c r="X149" i="7" s="1"/>
  <c r="U149" i="7"/>
  <c r="T149" i="7"/>
  <c r="Q149" i="7"/>
  <c r="R149" i="7" s="1"/>
  <c r="K149" i="7"/>
  <c r="N149" i="7" s="1"/>
  <c r="O149" i="7" s="1"/>
  <c r="I149" i="7"/>
  <c r="H149" i="7"/>
  <c r="E149" i="7"/>
  <c r="F149" i="7" s="1"/>
  <c r="C149" i="7"/>
  <c r="B149" i="7"/>
  <c r="Z148" i="7"/>
  <c r="AC148" i="7" s="1"/>
  <c r="AD148" i="7" s="1"/>
  <c r="T148" i="7"/>
  <c r="U148" i="7" s="1"/>
  <c r="Q148" i="7"/>
  <c r="W148" i="7" s="1"/>
  <c r="X148" i="7" s="1"/>
  <c r="K148" i="7"/>
  <c r="F148" i="7"/>
  <c r="E148" i="7"/>
  <c r="B148" i="7"/>
  <c r="AC147" i="7"/>
  <c r="AD147" i="7" s="1"/>
  <c r="AA147" i="7"/>
  <c r="W147" i="7"/>
  <c r="X147" i="7" s="1"/>
  <c r="U147" i="7"/>
  <c r="R147" i="7"/>
  <c r="O147" i="7"/>
  <c r="N147" i="7"/>
  <c r="L147" i="7"/>
  <c r="I147" i="7"/>
  <c r="H147" i="7"/>
  <c r="F147" i="7"/>
  <c r="C147" i="7"/>
  <c r="AC146" i="7"/>
  <c r="AD146" i="7" s="1"/>
  <c r="AA146" i="7"/>
  <c r="W146" i="7"/>
  <c r="X146" i="7" s="1"/>
  <c r="U146" i="7"/>
  <c r="R146" i="7"/>
  <c r="O146" i="7"/>
  <c r="N146" i="7"/>
  <c r="L146" i="7"/>
  <c r="H146" i="7"/>
  <c r="I146" i="7" s="1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I145" i="7"/>
  <c r="H145" i="7"/>
  <c r="F145" i="7"/>
  <c r="C145" i="7"/>
  <c r="AC144" i="7"/>
  <c r="AD144" i="7" s="1"/>
  <c r="AA144" i="7"/>
  <c r="W144" i="7"/>
  <c r="X144" i="7" s="1"/>
  <c r="U144" i="7"/>
  <c r="R144" i="7"/>
  <c r="O144" i="7"/>
  <c r="N144" i="7"/>
  <c r="L144" i="7"/>
  <c r="I144" i="7"/>
  <c r="H144" i="7"/>
  <c r="F144" i="7"/>
  <c r="C144" i="7"/>
  <c r="AC143" i="7"/>
  <c r="AD143" i="7" s="1"/>
  <c r="AA143" i="7"/>
  <c r="X143" i="7"/>
  <c r="W143" i="7"/>
  <c r="U143" i="7"/>
  <c r="R143" i="7"/>
  <c r="O143" i="7"/>
  <c r="N143" i="7"/>
  <c r="L143" i="7"/>
  <c r="I143" i="7"/>
  <c r="H143" i="7"/>
  <c r="F143" i="7"/>
  <c r="C143" i="7"/>
  <c r="AC141" i="7"/>
  <c r="AD141" i="7" s="1"/>
  <c r="Z141" i="7"/>
  <c r="AA141" i="7" s="1"/>
  <c r="U141" i="7"/>
  <c r="T141" i="7"/>
  <c r="W141" i="7" s="1"/>
  <c r="X141" i="7" s="1"/>
  <c r="R141" i="7"/>
  <c r="Q141" i="7"/>
  <c r="K141" i="7"/>
  <c r="N141" i="7" s="1"/>
  <c r="O141" i="7" s="1"/>
  <c r="I141" i="7"/>
  <c r="H141" i="7"/>
  <c r="F141" i="7"/>
  <c r="E141" i="7"/>
  <c r="B141" i="7"/>
  <c r="C141" i="7" s="1"/>
  <c r="AD140" i="7"/>
  <c r="AC140" i="7"/>
  <c r="AA140" i="7"/>
  <c r="X140" i="7"/>
  <c r="W140" i="7"/>
  <c r="U140" i="7"/>
  <c r="R140" i="7"/>
  <c r="N140" i="7"/>
  <c r="O140" i="7" s="1"/>
  <c r="L140" i="7"/>
  <c r="H140" i="7"/>
  <c r="I140" i="7" s="1"/>
  <c r="F140" i="7"/>
  <c r="C140" i="7"/>
  <c r="AC139" i="7"/>
  <c r="AD139" i="7" s="1"/>
  <c r="AA139" i="7"/>
  <c r="X139" i="7"/>
  <c r="W139" i="7"/>
  <c r="U139" i="7"/>
  <c r="R139" i="7"/>
  <c r="O139" i="7"/>
  <c r="N139" i="7"/>
  <c r="L139" i="7"/>
  <c r="H139" i="7"/>
  <c r="I139" i="7" s="1"/>
  <c r="F139" i="7"/>
  <c r="C139" i="7"/>
  <c r="AD138" i="7"/>
  <c r="AC138" i="7"/>
  <c r="AA138" i="7"/>
  <c r="X138" i="7"/>
  <c r="W138" i="7"/>
  <c r="U138" i="7"/>
  <c r="R138" i="7"/>
  <c r="N138" i="7"/>
  <c r="O138" i="7" s="1"/>
  <c r="L138" i="7"/>
  <c r="H138" i="7"/>
  <c r="I138" i="7" s="1"/>
  <c r="F138" i="7"/>
  <c r="C138" i="7"/>
  <c r="AD137" i="7"/>
  <c r="AC137" i="7"/>
  <c r="AA137" i="7"/>
  <c r="X137" i="7"/>
  <c r="W137" i="7"/>
  <c r="U137" i="7"/>
  <c r="R137" i="7"/>
  <c r="N137" i="7"/>
  <c r="O137" i="7" s="1"/>
  <c r="L137" i="7"/>
  <c r="H137" i="7"/>
  <c r="I137" i="7" s="1"/>
  <c r="F137" i="7"/>
  <c r="C137" i="7"/>
  <c r="AD136" i="7"/>
  <c r="AC136" i="7"/>
  <c r="AA136" i="7"/>
  <c r="W136" i="7"/>
  <c r="X136" i="7" s="1"/>
  <c r="U136" i="7"/>
  <c r="R136" i="7"/>
  <c r="O136" i="7"/>
  <c r="N136" i="7"/>
  <c r="L136" i="7"/>
  <c r="I136" i="7"/>
  <c r="H136" i="7"/>
  <c r="F136" i="7"/>
  <c r="C136" i="7"/>
  <c r="AC135" i="7"/>
  <c r="AD135" i="7" s="1"/>
  <c r="AA135" i="7"/>
  <c r="X135" i="7"/>
  <c r="W135" i="7"/>
  <c r="U135" i="7"/>
  <c r="R135" i="7"/>
  <c r="O135" i="7"/>
  <c r="N135" i="7"/>
  <c r="L135" i="7"/>
  <c r="I135" i="7"/>
  <c r="H135" i="7"/>
  <c r="F135" i="7"/>
  <c r="C135" i="7"/>
  <c r="AC134" i="7"/>
  <c r="AD134" i="7" s="1"/>
  <c r="AA134" i="7"/>
  <c r="X134" i="7"/>
  <c r="W134" i="7"/>
  <c r="U134" i="7"/>
  <c r="R134" i="7"/>
  <c r="O134" i="7"/>
  <c r="N134" i="7"/>
  <c r="L134" i="7"/>
  <c r="H134" i="7"/>
  <c r="I134" i="7" s="1"/>
  <c r="F134" i="7"/>
  <c r="C134" i="7"/>
  <c r="AD133" i="7"/>
  <c r="AC133" i="7"/>
  <c r="AA133" i="7"/>
  <c r="X133" i="7"/>
  <c r="W133" i="7"/>
  <c r="U133" i="7"/>
  <c r="R133" i="7"/>
  <c r="O133" i="7"/>
  <c r="N133" i="7"/>
  <c r="L133" i="7"/>
  <c r="I133" i="7"/>
  <c r="H133" i="7"/>
  <c r="F133" i="7"/>
  <c r="C133" i="7"/>
  <c r="AD132" i="7"/>
  <c r="AC132" i="7"/>
  <c r="AA132" i="7"/>
  <c r="W132" i="7"/>
  <c r="X132" i="7" s="1"/>
  <c r="U132" i="7"/>
  <c r="R132" i="7"/>
  <c r="N132" i="7"/>
  <c r="O132" i="7" s="1"/>
  <c r="L132" i="7"/>
  <c r="I132" i="7"/>
  <c r="H132" i="7"/>
  <c r="F132" i="7"/>
  <c r="C132" i="7"/>
  <c r="AC131" i="7"/>
  <c r="AD131" i="7" s="1"/>
  <c r="AA131" i="7"/>
  <c r="X131" i="7"/>
  <c r="W131" i="7"/>
  <c r="U131" i="7"/>
  <c r="R131" i="7"/>
  <c r="O131" i="7"/>
  <c r="N131" i="7"/>
  <c r="L131" i="7"/>
  <c r="H131" i="7"/>
  <c r="I131" i="7" s="1"/>
  <c r="F131" i="7"/>
  <c r="C131" i="7"/>
  <c r="AC130" i="7"/>
  <c r="AD130" i="7" s="1"/>
  <c r="AA130" i="7"/>
  <c r="X130" i="7"/>
  <c r="W130" i="7"/>
  <c r="U130" i="7"/>
  <c r="R130" i="7"/>
  <c r="N130" i="7"/>
  <c r="O130" i="7" s="1"/>
  <c r="L130" i="7"/>
  <c r="H130" i="7"/>
  <c r="I130" i="7" s="1"/>
  <c r="F130" i="7"/>
  <c r="C130" i="7"/>
  <c r="AC129" i="7"/>
  <c r="AD129" i="7" s="1"/>
  <c r="AA129" i="7"/>
  <c r="X129" i="7"/>
  <c r="W129" i="7"/>
  <c r="U129" i="7"/>
  <c r="R129" i="7"/>
  <c r="O129" i="7"/>
  <c r="N129" i="7"/>
  <c r="L129" i="7"/>
  <c r="H129" i="7"/>
  <c r="I129" i="7" s="1"/>
  <c r="F129" i="7"/>
  <c r="C129" i="7"/>
  <c r="AC127" i="7"/>
  <c r="AD127" i="7" s="1"/>
  <c r="AA127" i="7"/>
  <c r="X127" i="7"/>
  <c r="W127" i="7"/>
  <c r="U127" i="7"/>
  <c r="R127" i="7"/>
  <c r="N127" i="7"/>
  <c r="O127" i="7" s="1"/>
  <c r="L127" i="7"/>
  <c r="H127" i="7"/>
  <c r="I127" i="7" s="1"/>
  <c r="F127" i="7"/>
  <c r="C127" i="7"/>
  <c r="Z124" i="7"/>
  <c r="X124" i="7"/>
  <c r="W124" i="7"/>
  <c r="U124" i="7"/>
  <c r="T124" i="7"/>
  <c r="Q124" i="7"/>
  <c r="R124" i="7" s="1"/>
  <c r="K124" i="7"/>
  <c r="K172" i="7" s="1"/>
  <c r="I124" i="7"/>
  <c r="H124" i="7"/>
  <c r="E124" i="7"/>
  <c r="F124" i="7" s="1"/>
  <c r="C124" i="7"/>
  <c r="B124" i="7"/>
  <c r="B172" i="7" s="1"/>
  <c r="AC123" i="7"/>
  <c r="AD123" i="7" s="1"/>
  <c r="AA123" i="7"/>
  <c r="X123" i="7"/>
  <c r="W123" i="7"/>
  <c r="U123" i="7"/>
  <c r="R123" i="7"/>
  <c r="O123" i="7"/>
  <c r="N123" i="7"/>
  <c r="L123" i="7"/>
  <c r="H123" i="7"/>
  <c r="I123" i="7" s="1"/>
  <c r="F123" i="7"/>
  <c r="C123" i="7"/>
  <c r="AC122" i="7"/>
  <c r="AD122" i="7" s="1"/>
  <c r="Z122" i="7"/>
  <c r="AA122" i="7" s="1"/>
  <c r="T122" i="7"/>
  <c r="U122" i="7" s="1"/>
  <c r="R122" i="7"/>
  <c r="Q122" i="7"/>
  <c r="W122" i="7" s="1"/>
  <c r="X122" i="7" s="1"/>
  <c r="L122" i="7"/>
  <c r="K122" i="7"/>
  <c r="H122" i="7"/>
  <c r="I122" i="7" s="1"/>
  <c r="E122" i="7"/>
  <c r="F122" i="7" s="1"/>
  <c r="C122" i="7"/>
  <c r="B122" i="7"/>
  <c r="AC121" i="7"/>
  <c r="AD121" i="7" s="1"/>
  <c r="AA121" i="7"/>
  <c r="X121" i="7"/>
  <c r="W121" i="7"/>
  <c r="U121" i="7"/>
  <c r="R121" i="7"/>
  <c r="O121" i="7"/>
  <c r="N121" i="7"/>
  <c r="L121" i="7"/>
  <c r="I121" i="7"/>
  <c r="H121" i="7"/>
  <c r="F121" i="7"/>
  <c r="C121" i="7"/>
  <c r="AC120" i="7"/>
  <c r="AD120" i="7" s="1"/>
  <c r="AA120" i="7"/>
  <c r="W120" i="7"/>
  <c r="X120" i="7" s="1"/>
  <c r="U120" i="7"/>
  <c r="R120" i="7"/>
  <c r="N120" i="7"/>
  <c r="O120" i="7" s="1"/>
  <c r="L120" i="7"/>
  <c r="H120" i="7"/>
  <c r="I120" i="7" s="1"/>
  <c r="F120" i="7"/>
  <c r="C120" i="7"/>
  <c r="AC119" i="7"/>
  <c r="AD119" i="7" s="1"/>
  <c r="AA119" i="7"/>
  <c r="X119" i="7"/>
  <c r="W119" i="7"/>
  <c r="U119" i="7"/>
  <c r="R119" i="7"/>
  <c r="N119" i="7"/>
  <c r="O119" i="7" s="1"/>
  <c r="L119" i="7"/>
  <c r="H119" i="7"/>
  <c r="I119" i="7" s="1"/>
  <c r="F119" i="7"/>
  <c r="C119" i="7"/>
  <c r="Z118" i="7"/>
  <c r="AC118" i="7" s="1"/>
  <c r="AD118" i="7" s="1"/>
  <c r="T118" i="7"/>
  <c r="U118" i="7" s="1"/>
  <c r="R118" i="7"/>
  <c r="Q118" i="7"/>
  <c r="L118" i="7"/>
  <c r="K118" i="7"/>
  <c r="F118" i="7"/>
  <c r="E118" i="7"/>
  <c r="B118" i="7"/>
  <c r="AD117" i="7"/>
  <c r="AC117" i="7"/>
  <c r="AA117" i="7"/>
  <c r="W117" i="7"/>
  <c r="X117" i="7" s="1"/>
  <c r="U117" i="7"/>
  <c r="R117" i="7"/>
  <c r="N117" i="7"/>
  <c r="O117" i="7" s="1"/>
  <c r="L117" i="7"/>
  <c r="H117" i="7"/>
  <c r="I117" i="7" s="1"/>
  <c r="F117" i="7"/>
  <c r="C117" i="7"/>
  <c r="AD116" i="7"/>
  <c r="AC116" i="7"/>
  <c r="AA116" i="7"/>
  <c r="X116" i="7"/>
  <c r="W116" i="7"/>
  <c r="U116" i="7"/>
  <c r="R116" i="7"/>
  <c r="O116" i="7"/>
  <c r="N116" i="7"/>
  <c r="L116" i="7"/>
  <c r="H116" i="7"/>
  <c r="I116" i="7" s="1"/>
  <c r="F116" i="7"/>
  <c r="C116" i="7"/>
  <c r="AC115" i="7"/>
  <c r="AD115" i="7" s="1"/>
  <c r="AA115" i="7"/>
  <c r="W115" i="7"/>
  <c r="X115" i="7" s="1"/>
  <c r="U115" i="7"/>
  <c r="R115" i="7"/>
  <c r="N115" i="7"/>
  <c r="O115" i="7" s="1"/>
  <c r="L115" i="7"/>
  <c r="I115" i="7"/>
  <c r="H115" i="7"/>
  <c r="F115" i="7"/>
  <c r="C115" i="7"/>
  <c r="AC114" i="7"/>
  <c r="AD114" i="7" s="1"/>
  <c r="AA114" i="7"/>
  <c r="W114" i="7"/>
  <c r="X114" i="7" s="1"/>
  <c r="U114" i="7"/>
  <c r="R114" i="7"/>
  <c r="O114" i="7"/>
  <c r="N114" i="7"/>
  <c r="L114" i="7"/>
  <c r="H114" i="7"/>
  <c r="I114" i="7" s="1"/>
  <c r="F114" i="7"/>
  <c r="C114" i="7"/>
  <c r="AC113" i="7"/>
  <c r="AD113" i="7" s="1"/>
  <c r="AA113" i="7"/>
  <c r="X113" i="7"/>
  <c r="W113" i="7"/>
  <c r="U113" i="7"/>
  <c r="R113" i="7"/>
  <c r="O113" i="7"/>
  <c r="N113" i="7"/>
  <c r="L113" i="7"/>
  <c r="H113" i="7"/>
  <c r="I113" i="7" s="1"/>
  <c r="F113" i="7"/>
  <c r="C113" i="7"/>
  <c r="AC112" i="7"/>
  <c r="AD112" i="7" s="1"/>
  <c r="AA112" i="7"/>
  <c r="X112" i="7"/>
  <c r="W112" i="7"/>
  <c r="U112" i="7"/>
  <c r="R112" i="7"/>
  <c r="N112" i="7"/>
  <c r="O112" i="7" s="1"/>
  <c r="L112" i="7"/>
  <c r="I112" i="7"/>
  <c r="H112" i="7"/>
  <c r="F112" i="7"/>
  <c r="C112" i="7"/>
  <c r="AD111" i="7"/>
  <c r="AC111" i="7"/>
  <c r="AA111" i="7"/>
  <c r="X111" i="7"/>
  <c r="W111" i="7"/>
  <c r="U111" i="7"/>
  <c r="R111" i="7"/>
  <c r="O111" i="7"/>
  <c r="N111" i="7"/>
  <c r="L111" i="7"/>
  <c r="H111" i="7"/>
  <c r="I111" i="7" s="1"/>
  <c r="F111" i="7"/>
  <c r="C111" i="7"/>
  <c r="AC110" i="7"/>
  <c r="AD110" i="7" s="1"/>
  <c r="AA110" i="7"/>
  <c r="X110" i="7"/>
  <c r="W110" i="7"/>
  <c r="U110" i="7"/>
  <c r="R110" i="7"/>
  <c r="O110" i="7"/>
  <c r="N110" i="7"/>
  <c r="L110" i="7"/>
  <c r="H110" i="7"/>
  <c r="I110" i="7" s="1"/>
  <c r="F110" i="7"/>
  <c r="C110" i="7"/>
  <c r="AD109" i="7"/>
  <c r="AC109" i="7"/>
  <c r="AA109" i="7"/>
  <c r="W109" i="7"/>
  <c r="X109" i="7" s="1"/>
  <c r="U109" i="7"/>
  <c r="R109" i="7"/>
  <c r="N109" i="7"/>
  <c r="O109" i="7" s="1"/>
  <c r="L109" i="7"/>
  <c r="H109" i="7"/>
  <c r="I109" i="7" s="1"/>
  <c r="F109" i="7"/>
  <c r="C109" i="7"/>
  <c r="AD108" i="7"/>
  <c r="AC108" i="7"/>
  <c r="AA108" i="7"/>
  <c r="X108" i="7"/>
  <c r="W108" i="7"/>
  <c r="U108" i="7"/>
  <c r="R108" i="7"/>
  <c r="N108" i="7"/>
  <c r="O108" i="7" s="1"/>
  <c r="L108" i="7"/>
  <c r="H108" i="7"/>
  <c r="I108" i="7" s="1"/>
  <c r="F108" i="7"/>
  <c r="C108" i="7"/>
  <c r="AD107" i="7"/>
  <c r="AC107" i="7"/>
  <c r="AA107" i="7"/>
  <c r="W107" i="7"/>
  <c r="X107" i="7" s="1"/>
  <c r="U107" i="7"/>
  <c r="R107" i="7"/>
  <c r="N107" i="7"/>
  <c r="O107" i="7" s="1"/>
  <c r="L107" i="7"/>
  <c r="I107" i="7"/>
  <c r="H107" i="7"/>
  <c r="F107" i="7"/>
  <c r="C107" i="7"/>
  <c r="AC106" i="7"/>
  <c r="AD106" i="7" s="1"/>
  <c r="AA106" i="7"/>
  <c r="X106" i="7"/>
  <c r="W106" i="7"/>
  <c r="U106" i="7"/>
  <c r="R106" i="7"/>
  <c r="O106" i="7"/>
  <c r="N106" i="7"/>
  <c r="L106" i="7"/>
  <c r="H106" i="7"/>
  <c r="I106" i="7" s="1"/>
  <c r="F106" i="7"/>
  <c r="C106" i="7"/>
  <c r="AC105" i="7"/>
  <c r="AD105" i="7" s="1"/>
  <c r="AA105" i="7"/>
  <c r="X105" i="7"/>
  <c r="W105" i="7"/>
  <c r="U105" i="7"/>
  <c r="R105" i="7"/>
  <c r="O105" i="7"/>
  <c r="N105" i="7"/>
  <c r="L105" i="7"/>
  <c r="H105" i="7"/>
  <c r="I105" i="7" s="1"/>
  <c r="F105" i="7"/>
  <c r="C105" i="7"/>
  <c r="AC104" i="7"/>
  <c r="AD104" i="7" s="1"/>
  <c r="AA104" i="7"/>
  <c r="X104" i="7"/>
  <c r="W104" i="7"/>
  <c r="U104" i="7"/>
  <c r="R104" i="7"/>
  <c r="N104" i="7"/>
  <c r="O104" i="7" s="1"/>
  <c r="L104" i="7"/>
  <c r="I104" i="7"/>
  <c r="H104" i="7"/>
  <c r="F104" i="7"/>
  <c r="C104" i="7"/>
  <c r="AD103" i="7"/>
  <c r="AC103" i="7"/>
  <c r="AA103" i="7"/>
  <c r="W103" i="7"/>
  <c r="X103" i="7" s="1"/>
  <c r="U103" i="7"/>
  <c r="R103" i="7"/>
  <c r="O103" i="7"/>
  <c r="N103" i="7"/>
  <c r="L103" i="7"/>
  <c r="H103" i="7"/>
  <c r="I103" i="7" s="1"/>
  <c r="F103" i="7"/>
  <c r="C103" i="7"/>
  <c r="AC102" i="7"/>
  <c r="AD102" i="7" s="1"/>
  <c r="AA102" i="7"/>
  <c r="X102" i="7"/>
  <c r="W102" i="7"/>
  <c r="U102" i="7"/>
  <c r="R102" i="7"/>
  <c r="O102" i="7"/>
  <c r="N102" i="7"/>
  <c r="L102" i="7"/>
  <c r="I102" i="7"/>
  <c r="H102" i="7"/>
  <c r="F102" i="7"/>
  <c r="C102" i="7"/>
  <c r="AC101" i="7"/>
  <c r="AD101" i="7" s="1"/>
  <c r="AA101" i="7"/>
  <c r="W101" i="7"/>
  <c r="X101" i="7" s="1"/>
  <c r="U101" i="7"/>
  <c r="R101" i="7"/>
  <c r="N101" i="7"/>
  <c r="O101" i="7" s="1"/>
  <c r="L101" i="7"/>
  <c r="H101" i="7"/>
  <c r="I101" i="7" s="1"/>
  <c r="F101" i="7"/>
  <c r="C101" i="7"/>
  <c r="AD100" i="7"/>
  <c r="AC100" i="7"/>
  <c r="AA100" i="7"/>
  <c r="X100" i="7"/>
  <c r="W100" i="7"/>
  <c r="U100" i="7"/>
  <c r="R100" i="7"/>
  <c r="N100" i="7"/>
  <c r="O100" i="7" s="1"/>
  <c r="L100" i="7"/>
  <c r="H100" i="7"/>
  <c r="I100" i="7" s="1"/>
  <c r="F100" i="7"/>
  <c r="C100" i="7"/>
  <c r="AD99" i="7"/>
  <c r="AC99" i="7"/>
  <c r="AA99" i="7"/>
  <c r="W99" i="7"/>
  <c r="X99" i="7" s="1"/>
  <c r="U99" i="7"/>
  <c r="R99" i="7"/>
  <c r="N99" i="7"/>
  <c r="O99" i="7" s="1"/>
  <c r="L99" i="7"/>
  <c r="I99" i="7"/>
  <c r="H99" i="7"/>
  <c r="F99" i="7"/>
  <c r="C99" i="7"/>
  <c r="AC98" i="7"/>
  <c r="AD98" i="7" s="1"/>
  <c r="AA98" i="7"/>
  <c r="X98" i="7"/>
  <c r="W98" i="7"/>
  <c r="U98" i="7"/>
  <c r="R98" i="7"/>
  <c r="O98" i="7"/>
  <c r="N98" i="7"/>
  <c r="L98" i="7"/>
  <c r="H98" i="7"/>
  <c r="I98" i="7" s="1"/>
  <c r="F98" i="7"/>
  <c r="C98" i="7"/>
  <c r="AC97" i="7"/>
  <c r="AD97" i="7" s="1"/>
  <c r="AA97" i="7"/>
  <c r="X97" i="7"/>
  <c r="W97" i="7"/>
  <c r="U97" i="7"/>
  <c r="R97" i="7"/>
  <c r="O97" i="7"/>
  <c r="N97" i="7"/>
  <c r="L97" i="7"/>
  <c r="H97" i="7"/>
  <c r="I97" i="7" s="1"/>
  <c r="F97" i="7"/>
  <c r="C97" i="7"/>
  <c r="AC96" i="7"/>
  <c r="AD96" i="7" s="1"/>
  <c r="AA96" i="7"/>
  <c r="X96" i="7"/>
  <c r="W96" i="7"/>
  <c r="U96" i="7"/>
  <c r="R96" i="7"/>
  <c r="N96" i="7"/>
  <c r="O96" i="7" s="1"/>
  <c r="L96" i="7"/>
  <c r="I96" i="7"/>
  <c r="H96" i="7"/>
  <c r="F96" i="7"/>
  <c r="C96" i="7"/>
  <c r="AD95" i="7"/>
  <c r="AC95" i="7"/>
  <c r="AA95" i="7"/>
  <c r="W95" i="7"/>
  <c r="X95" i="7" s="1"/>
  <c r="U95" i="7"/>
  <c r="R95" i="7"/>
  <c r="O95" i="7"/>
  <c r="N95" i="7"/>
  <c r="L95" i="7"/>
  <c r="H95" i="7"/>
  <c r="I95" i="7" s="1"/>
  <c r="F95" i="7"/>
  <c r="C95" i="7"/>
  <c r="AC94" i="7"/>
  <c r="AD94" i="7" s="1"/>
  <c r="AA94" i="7"/>
  <c r="X94" i="7"/>
  <c r="W94" i="7"/>
  <c r="U94" i="7"/>
  <c r="R94" i="7"/>
  <c r="O94" i="7"/>
  <c r="N94" i="7"/>
  <c r="L94" i="7"/>
  <c r="I94" i="7"/>
  <c r="H94" i="7"/>
  <c r="F94" i="7"/>
  <c r="C94" i="7"/>
  <c r="AC92" i="7"/>
  <c r="AD92" i="7" s="1"/>
  <c r="AA92" i="7"/>
  <c r="X92" i="7"/>
  <c r="W92" i="7"/>
  <c r="U92" i="7"/>
  <c r="R92" i="7"/>
  <c r="N92" i="7"/>
  <c r="O92" i="7" s="1"/>
  <c r="L92" i="7"/>
  <c r="H92" i="7"/>
  <c r="I92" i="7" s="1"/>
  <c r="F92" i="7"/>
  <c r="C92" i="7"/>
  <c r="AD91" i="7"/>
  <c r="AC91" i="7"/>
  <c r="AA91" i="7"/>
  <c r="X91" i="7"/>
  <c r="W91" i="7"/>
  <c r="U91" i="7"/>
  <c r="R91" i="7"/>
  <c r="O91" i="7"/>
  <c r="N91" i="7"/>
  <c r="L91" i="7"/>
  <c r="H91" i="7"/>
  <c r="I91" i="7" s="1"/>
  <c r="F91" i="7"/>
  <c r="C91" i="7"/>
  <c r="AD90" i="7"/>
  <c r="AC90" i="7"/>
  <c r="AA90" i="7"/>
  <c r="W90" i="7"/>
  <c r="X90" i="7" s="1"/>
  <c r="U90" i="7"/>
  <c r="R90" i="7"/>
  <c r="N90" i="7"/>
  <c r="O90" i="7" s="1"/>
  <c r="L90" i="7"/>
  <c r="I90" i="7"/>
  <c r="H90" i="7"/>
  <c r="F90" i="7"/>
  <c r="C90" i="7"/>
  <c r="AC89" i="7"/>
  <c r="AD89" i="7" s="1"/>
  <c r="AA89" i="7"/>
  <c r="W89" i="7"/>
  <c r="X89" i="7" s="1"/>
  <c r="U89" i="7"/>
  <c r="R89" i="7"/>
  <c r="O89" i="7"/>
  <c r="N89" i="7"/>
  <c r="L89" i="7"/>
  <c r="H89" i="7"/>
  <c r="I89" i="7" s="1"/>
  <c r="F89" i="7"/>
  <c r="C89" i="7"/>
  <c r="AC88" i="7"/>
  <c r="AD88" i="7" s="1"/>
  <c r="Z88" i="7"/>
  <c r="AA88" i="7" s="1"/>
  <c r="X88" i="7"/>
  <c r="U88" i="7"/>
  <c r="T88" i="7"/>
  <c r="W88" i="7" s="1"/>
  <c r="R88" i="7"/>
  <c r="Q88" i="7"/>
  <c r="N88" i="7"/>
  <c r="O88" i="7" s="1"/>
  <c r="L88" i="7"/>
  <c r="K88" i="7"/>
  <c r="H88" i="7"/>
  <c r="I88" i="7" s="1"/>
  <c r="F88" i="7"/>
  <c r="E88" i="7"/>
  <c r="B88" i="7"/>
  <c r="C88" i="7" s="1"/>
  <c r="AC87" i="7"/>
  <c r="AD87" i="7" s="1"/>
  <c r="AA87" i="7"/>
  <c r="W87" i="7"/>
  <c r="X87" i="7" s="1"/>
  <c r="U87" i="7"/>
  <c r="R87" i="7"/>
  <c r="N87" i="7"/>
  <c r="O87" i="7" s="1"/>
  <c r="L87" i="7"/>
  <c r="I87" i="7"/>
  <c r="H87" i="7"/>
  <c r="F87" i="7"/>
  <c r="C87" i="7"/>
  <c r="AC86" i="7"/>
  <c r="AD86" i="7" s="1"/>
  <c r="AA86" i="7"/>
  <c r="W86" i="7"/>
  <c r="X86" i="7" s="1"/>
  <c r="U86" i="7"/>
  <c r="R86" i="7"/>
  <c r="O86" i="7"/>
  <c r="N86" i="7"/>
  <c r="L86" i="7"/>
  <c r="H86" i="7"/>
  <c r="I86" i="7" s="1"/>
  <c r="F86" i="7"/>
  <c r="C86" i="7"/>
  <c r="AC85" i="7"/>
  <c r="AD85" i="7" s="1"/>
  <c r="AA85" i="7"/>
  <c r="X85" i="7"/>
  <c r="W85" i="7"/>
  <c r="U85" i="7"/>
  <c r="R85" i="7"/>
  <c r="O85" i="7"/>
  <c r="N85" i="7"/>
  <c r="L85" i="7"/>
  <c r="H85" i="7"/>
  <c r="I85" i="7" s="1"/>
  <c r="F85" i="7"/>
  <c r="C85" i="7"/>
  <c r="AD84" i="7"/>
  <c r="AC84" i="7"/>
  <c r="AA84" i="7"/>
  <c r="X84" i="7"/>
  <c r="W84" i="7"/>
  <c r="U84" i="7"/>
  <c r="R84" i="7"/>
  <c r="N84" i="7"/>
  <c r="O84" i="7" s="1"/>
  <c r="L84" i="7"/>
  <c r="I84" i="7"/>
  <c r="H84" i="7"/>
  <c r="F84" i="7"/>
  <c r="C84" i="7"/>
  <c r="AD83" i="7"/>
  <c r="AC83" i="7"/>
  <c r="AA83" i="7"/>
  <c r="X83" i="7"/>
  <c r="W83" i="7"/>
  <c r="U83" i="7"/>
  <c r="R83" i="7"/>
  <c r="O83" i="7"/>
  <c r="N83" i="7"/>
  <c r="L83" i="7"/>
  <c r="I83" i="7"/>
  <c r="H83" i="7"/>
  <c r="F83" i="7"/>
  <c r="C83" i="7"/>
  <c r="AC82" i="7"/>
  <c r="AD82" i="7" s="1"/>
  <c r="AA82" i="7"/>
  <c r="X82" i="7"/>
  <c r="W82" i="7"/>
  <c r="U82" i="7"/>
  <c r="R82" i="7"/>
  <c r="O82" i="7"/>
  <c r="N82" i="7"/>
  <c r="L82" i="7"/>
  <c r="I82" i="7"/>
  <c r="H82" i="7"/>
  <c r="F82" i="7"/>
  <c r="C82" i="7"/>
  <c r="AD81" i="7"/>
  <c r="AC81" i="7"/>
  <c r="AA81" i="7"/>
  <c r="W81" i="7"/>
  <c r="X81" i="7" s="1"/>
  <c r="U81" i="7"/>
  <c r="R81" i="7"/>
  <c r="O81" i="7"/>
  <c r="N81" i="7"/>
  <c r="L81" i="7"/>
  <c r="H81" i="7"/>
  <c r="I81" i="7" s="1"/>
  <c r="F81" i="7"/>
  <c r="C81" i="7"/>
  <c r="AD80" i="7"/>
  <c r="AC80" i="7"/>
  <c r="AA80" i="7"/>
  <c r="X80" i="7"/>
  <c r="W80" i="7"/>
  <c r="U80" i="7"/>
  <c r="R80" i="7"/>
  <c r="N80" i="7"/>
  <c r="O80" i="7" s="1"/>
  <c r="L80" i="7"/>
  <c r="I80" i="7"/>
  <c r="H80" i="7"/>
  <c r="F80" i="7"/>
  <c r="C80" i="7"/>
  <c r="AC79" i="7"/>
  <c r="AD79" i="7" s="1"/>
  <c r="AA79" i="7"/>
  <c r="W79" i="7"/>
  <c r="X79" i="7" s="1"/>
  <c r="U79" i="7"/>
  <c r="R79" i="7"/>
  <c r="N79" i="7"/>
  <c r="O79" i="7" s="1"/>
  <c r="L79" i="7"/>
  <c r="I79" i="7"/>
  <c r="H79" i="7"/>
  <c r="F79" i="7"/>
  <c r="C79" i="7"/>
  <c r="AC78" i="7"/>
  <c r="AD78" i="7" s="1"/>
  <c r="AA78" i="7"/>
  <c r="X78" i="7"/>
  <c r="W78" i="7"/>
  <c r="U78" i="7"/>
  <c r="R78" i="7"/>
  <c r="O78" i="7"/>
  <c r="N78" i="7"/>
  <c r="L78" i="7"/>
  <c r="H78" i="7"/>
  <c r="I78" i="7" s="1"/>
  <c r="F78" i="7"/>
  <c r="C78" i="7"/>
  <c r="AC77" i="7"/>
  <c r="AD77" i="7" s="1"/>
  <c r="AA77" i="7"/>
  <c r="X77" i="7"/>
  <c r="W77" i="7"/>
  <c r="U77" i="7"/>
  <c r="R77" i="7"/>
  <c r="O77" i="7"/>
  <c r="N77" i="7"/>
  <c r="L77" i="7"/>
  <c r="H77" i="7"/>
  <c r="I77" i="7" s="1"/>
  <c r="F77" i="7"/>
  <c r="C77" i="7"/>
  <c r="AD76" i="7"/>
  <c r="AC76" i="7"/>
  <c r="AA76" i="7"/>
  <c r="X76" i="7"/>
  <c r="W76" i="7"/>
  <c r="U76" i="7"/>
  <c r="R76" i="7"/>
  <c r="N76" i="7"/>
  <c r="O76" i="7" s="1"/>
  <c r="L76" i="7"/>
  <c r="I76" i="7"/>
  <c r="H76" i="7"/>
  <c r="F76" i="7"/>
  <c r="C76" i="7"/>
  <c r="AD75" i="7"/>
  <c r="AC75" i="7"/>
  <c r="AA75" i="7"/>
  <c r="X75" i="7"/>
  <c r="W75" i="7"/>
  <c r="U75" i="7"/>
  <c r="R75" i="7"/>
  <c r="N75" i="7"/>
  <c r="O75" i="7" s="1"/>
  <c r="L75" i="7"/>
  <c r="I75" i="7"/>
  <c r="H75" i="7"/>
  <c r="F75" i="7"/>
  <c r="C75" i="7"/>
  <c r="Z73" i="7"/>
  <c r="W73" i="7"/>
  <c r="X73" i="7" s="1"/>
  <c r="U73" i="7"/>
  <c r="T73" i="7"/>
  <c r="Q73" i="7"/>
  <c r="R73" i="7" s="1"/>
  <c r="L73" i="7"/>
  <c r="K73" i="7"/>
  <c r="H73" i="7"/>
  <c r="I73" i="7" s="1"/>
  <c r="E73" i="7"/>
  <c r="F73" i="7" s="1"/>
  <c r="B73" i="7"/>
  <c r="C73" i="7" s="1"/>
  <c r="AD72" i="7"/>
  <c r="AC72" i="7"/>
  <c r="AA72" i="7"/>
  <c r="W72" i="7"/>
  <c r="X72" i="7" s="1"/>
  <c r="U72" i="7"/>
  <c r="R72" i="7"/>
  <c r="O72" i="7"/>
  <c r="N72" i="7"/>
  <c r="L72" i="7"/>
  <c r="H72" i="7"/>
  <c r="I72" i="7" s="1"/>
  <c r="F72" i="7"/>
  <c r="C72" i="7"/>
  <c r="AC71" i="7"/>
  <c r="AD71" i="7" s="1"/>
  <c r="AA71" i="7"/>
  <c r="X71" i="7"/>
  <c r="W71" i="7"/>
  <c r="U71" i="7"/>
  <c r="R71" i="7"/>
  <c r="O71" i="7"/>
  <c r="N71" i="7"/>
  <c r="L71" i="7"/>
  <c r="I71" i="7"/>
  <c r="H71" i="7"/>
  <c r="F71" i="7"/>
  <c r="C71" i="7"/>
  <c r="AC70" i="7"/>
  <c r="AD70" i="7" s="1"/>
  <c r="AA70" i="7"/>
  <c r="X70" i="7"/>
  <c r="W70" i="7"/>
  <c r="U70" i="7"/>
  <c r="R70" i="7"/>
  <c r="N70" i="7"/>
  <c r="O70" i="7" s="1"/>
  <c r="L70" i="7"/>
  <c r="H70" i="7"/>
  <c r="I70" i="7" s="1"/>
  <c r="F70" i="7"/>
  <c r="C70" i="7"/>
  <c r="AC69" i="7"/>
  <c r="AD69" i="7" s="1"/>
  <c r="AA69" i="7"/>
  <c r="X69" i="7"/>
  <c r="W69" i="7"/>
  <c r="U69" i="7"/>
  <c r="R69" i="7"/>
  <c r="O69" i="7"/>
  <c r="N69" i="7"/>
  <c r="L69" i="7"/>
  <c r="I69" i="7"/>
  <c r="H69" i="7"/>
  <c r="F69" i="7"/>
  <c r="C69" i="7"/>
  <c r="AD68" i="7"/>
  <c r="AC68" i="7"/>
  <c r="AA68" i="7"/>
  <c r="X68" i="7"/>
  <c r="W68" i="7"/>
  <c r="U68" i="7"/>
  <c r="R68" i="7"/>
  <c r="N68" i="7"/>
  <c r="O68" i="7" s="1"/>
  <c r="L68" i="7"/>
  <c r="H68" i="7"/>
  <c r="I68" i="7" s="1"/>
  <c r="F68" i="7"/>
  <c r="C68" i="7"/>
  <c r="AC67" i="7"/>
  <c r="AD67" i="7" s="1"/>
  <c r="AA67" i="7"/>
  <c r="X67" i="7"/>
  <c r="W67" i="7"/>
  <c r="U67" i="7"/>
  <c r="R67" i="7"/>
  <c r="O67" i="7"/>
  <c r="N67" i="7"/>
  <c r="L67" i="7"/>
  <c r="H67" i="7"/>
  <c r="I67" i="7" s="1"/>
  <c r="F67" i="7"/>
  <c r="C67" i="7"/>
  <c r="AD66" i="7"/>
  <c r="AC66" i="7"/>
  <c r="AA66" i="7"/>
  <c r="W66" i="7"/>
  <c r="X66" i="7" s="1"/>
  <c r="U66" i="7"/>
  <c r="R66" i="7"/>
  <c r="O66" i="7"/>
  <c r="N66" i="7"/>
  <c r="L66" i="7"/>
  <c r="H66" i="7"/>
  <c r="I66" i="7" s="1"/>
  <c r="F66" i="7"/>
  <c r="C66" i="7"/>
  <c r="AC65" i="7"/>
  <c r="AD65" i="7" s="1"/>
  <c r="AA65" i="7"/>
  <c r="X65" i="7"/>
  <c r="W65" i="7"/>
  <c r="U65" i="7"/>
  <c r="R65" i="7"/>
  <c r="O65" i="7"/>
  <c r="N65" i="7"/>
  <c r="L65" i="7"/>
  <c r="I65" i="7"/>
  <c r="H65" i="7"/>
  <c r="F65" i="7"/>
  <c r="C65" i="7"/>
  <c r="AD64" i="7"/>
  <c r="AC64" i="7"/>
  <c r="AA64" i="7"/>
  <c r="W64" i="7"/>
  <c r="X64" i="7" s="1"/>
  <c r="U64" i="7"/>
  <c r="R64" i="7"/>
  <c r="O64" i="7"/>
  <c r="N64" i="7"/>
  <c r="L64" i="7"/>
  <c r="H64" i="7"/>
  <c r="I64" i="7" s="1"/>
  <c r="F64" i="7"/>
  <c r="C64" i="7"/>
  <c r="AC62" i="7"/>
  <c r="AD62" i="7" s="1"/>
  <c r="Z62" i="7"/>
  <c r="AA62" i="7" s="1"/>
  <c r="T62" i="7"/>
  <c r="U62" i="7" s="1"/>
  <c r="Q62" i="7"/>
  <c r="N62" i="7"/>
  <c r="O62" i="7" s="1"/>
  <c r="K62" i="7"/>
  <c r="L62" i="7" s="1"/>
  <c r="E62" i="7"/>
  <c r="F62" i="7" s="1"/>
  <c r="B62" i="7"/>
  <c r="AC61" i="7"/>
  <c r="AD61" i="7" s="1"/>
  <c r="AA61" i="7"/>
  <c r="Z61" i="7"/>
  <c r="U61" i="7"/>
  <c r="T61" i="7"/>
  <c r="Q61" i="7"/>
  <c r="R61" i="7" s="1"/>
  <c r="O61" i="7"/>
  <c r="N61" i="7"/>
  <c r="K61" i="7"/>
  <c r="L61" i="7" s="1"/>
  <c r="E61" i="7"/>
  <c r="F61" i="7" s="1"/>
  <c r="B61" i="7"/>
  <c r="H61" i="7" s="1"/>
  <c r="I61" i="7" s="1"/>
  <c r="AC60" i="7"/>
  <c r="AD60" i="7" s="1"/>
  <c r="AA60" i="7"/>
  <c r="X60" i="7"/>
  <c r="W60" i="7"/>
  <c r="U60" i="7"/>
  <c r="R60" i="7"/>
  <c r="O60" i="7"/>
  <c r="N60" i="7"/>
  <c r="L60" i="7"/>
  <c r="I60" i="7"/>
  <c r="H60" i="7"/>
  <c r="F60" i="7"/>
  <c r="C60" i="7"/>
  <c r="AD59" i="7"/>
  <c r="AC59" i="7"/>
  <c r="AA59" i="7"/>
  <c r="W59" i="7"/>
  <c r="X59" i="7" s="1"/>
  <c r="U59" i="7"/>
  <c r="R59" i="7"/>
  <c r="O59" i="7"/>
  <c r="N59" i="7"/>
  <c r="L59" i="7"/>
  <c r="H59" i="7"/>
  <c r="I59" i="7" s="1"/>
  <c r="F59" i="7"/>
  <c r="C59" i="7"/>
  <c r="AC58" i="7"/>
  <c r="AD58" i="7" s="1"/>
  <c r="AA58" i="7"/>
  <c r="X58" i="7"/>
  <c r="W58" i="7"/>
  <c r="U58" i="7"/>
  <c r="R58" i="7"/>
  <c r="O58" i="7"/>
  <c r="N58" i="7"/>
  <c r="L58" i="7"/>
  <c r="I58" i="7"/>
  <c r="H58" i="7"/>
  <c r="F58" i="7"/>
  <c r="C58" i="7"/>
  <c r="AC57" i="7"/>
  <c r="AD57" i="7" s="1"/>
  <c r="AA57" i="7"/>
  <c r="X57" i="7"/>
  <c r="W57" i="7"/>
  <c r="U57" i="7"/>
  <c r="R57" i="7"/>
  <c r="N57" i="7"/>
  <c r="O57" i="7" s="1"/>
  <c r="L57" i="7"/>
  <c r="H57" i="7"/>
  <c r="I57" i="7" s="1"/>
  <c r="F57" i="7"/>
  <c r="C57" i="7"/>
  <c r="AC56" i="7"/>
  <c r="AD56" i="7" s="1"/>
  <c r="AA56" i="7"/>
  <c r="X56" i="7"/>
  <c r="W56" i="7"/>
  <c r="U56" i="7"/>
  <c r="R56" i="7"/>
  <c r="O56" i="7"/>
  <c r="N56" i="7"/>
  <c r="L56" i="7"/>
  <c r="I56" i="7"/>
  <c r="H56" i="7"/>
  <c r="F56" i="7"/>
  <c r="C56" i="7"/>
  <c r="AC55" i="7"/>
  <c r="AD55" i="7" s="1"/>
  <c r="AA55" i="7"/>
  <c r="X55" i="7"/>
  <c r="W55" i="7"/>
  <c r="U55" i="7"/>
  <c r="R55" i="7"/>
  <c r="N55" i="7"/>
  <c r="O55" i="7" s="1"/>
  <c r="L55" i="7"/>
  <c r="H55" i="7"/>
  <c r="I55" i="7" s="1"/>
  <c r="F55" i="7"/>
  <c r="C55" i="7"/>
  <c r="AC54" i="7"/>
  <c r="AD54" i="7" s="1"/>
  <c r="AA54" i="7"/>
  <c r="X54" i="7"/>
  <c r="W54" i="7"/>
  <c r="U54" i="7"/>
  <c r="R54" i="7"/>
  <c r="O54" i="7"/>
  <c r="N54" i="7"/>
  <c r="L54" i="7"/>
  <c r="H54" i="7"/>
  <c r="I54" i="7" s="1"/>
  <c r="F54" i="7"/>
  <c r="C54" i="7"/>
  <c r="AC53" i="7"/>
  <c r="AD53" i="7" s="1"/>
  <c r="AA53" i="7"/>
  <c r="W53" i="7"/>
  <c r="X53" i="7" s="1"/>
  <c r="U53" i="7"/>
  <c r="R53" i="7"/>
  <c r="O53" i="7"/>
  <c r="N53" i="7"/>
  <c r="L53" i="7"/>
  <c r="H53" i="7"/>
  <c r="I53" i="7" s="1"/>
  <c r="F53" i="7"/>
  <c r="C53" i="7"/>
  <c r="AC52" i="7"/>
  <c r="AD52" i="7" s="1"/>
  <c r="AA52" i="7"/>
  <c r="X52" i="7"/>
  <c r="W52" i="7"/>
  <c r="U52" i="7"/>
  <c r="R52" i="7"/>
  <c r="O52" i="7"/>
  <c r="N52" i="7"/>
  <c r="L52" i="7"/>
  <c r="H52" i="7"/>
  <c r="I52" i="7" s="1"/>
  <c r="F52" i="7"/>
  <c r="C52" i="7"/>
  <c r="AD51" i="7"/>
  <c r="AC51" i="7"/>
  <c r="AA51" i="7"/>
  <c r="X51" i="7"/>
  <c r="W51" i="7"/>
  <c r="U51" i="7"/>
  <c r="R51" i="7"/>
  <c r="O51" i="7"/>
  <c r="N51" i="7"/>
  <c r="L51" i="7"/>
  <c r="H51" i="7"/>
  <c r="I51" i="7" s="1"/>
  <c r="F51" i="7"/>
  <c r="C51" i="7"/>
  <c r="AC50" i="7"/>
  <c r="AD50" i="7" s="1"/>
  <c r="AA50" i="7"/>
  <c r="X50" i="7"/>
  <c r="W50" i="7"/>
  <c r="U50" i="7"/>
  <c r="R50" i="7"/>
  <c r="O50" i="7"/>
  <c r="N50" i="7"/>
  <c r="L50" i="7"/>
  <c r="H50" i="7"/>
  <c r="I50" i="7" s="1"/>
  <c r="F50" i="7"/>
  <c r="C50" i="7"/>
  <c r="AC49" i="7"/>
  <c r="AD49" i="7" s="1"/>
  <c r="AA49" i="7"/>
  <c r="X49" i="7"/>
  <c r="W49" i="7"/>
  <c r="U49" i="7"/>
  <c r="R49" i="7"/>
  <c r="N49" i="7"/>
  <c r="O49" i="7" s="1"/>
  <c r="L49" i="7"/>
  <c r="H49" i="7"/>
  <c r="I49" i="7" s="1"/>
  <c r="F49" i="7"/>
  <c r="C49" i="7"/>
  <c r="AC48" i="7"/>
  <c r="AD48" i="7" s="1"/>
  <c r="AA48" i="7"/>
  <c r="X48" i="7"/>
  <c r="W48" i="7"/>
  <c r="U48" i="7"/>
  <c r="R48" i="7"/>
  <c r="O48" i="7"/>
  <c r="N48" i="7"/>
  <c r="L48" i="7"/>
  <c r="I48" i="7"/>
  <c r="H48" i="7"/>
  <c r="F48" i="7"/>
  <c r="C48" i="7"/>
  <c r="AC47" i="7"/>
  <c r="AD47" i="7" s="1"/>
  <c r="AA47" i="7"/>
  <c r="X47" i="7"/>
  <c r="W47" i="7"/>
  <c r="U47" i="7"/>
  <c r="R47" i="7"/>
  <c r="N47" i="7"/>
  <c r="O47" i="7" s="1"/>
  <c r="L47" i="7"/>
  <c r="H47" i="7"/>
  <c r="I47" i="7" s="1"/>
  <c r="F47" i="7"/>
  <c r="C47" i="7"/>
  <c r="AC46" i="7"/>
  <c r="AD46" i="7" s="1"/>
  <c r="AA46" i="7"/>
  <c r="X46" i="7"/>
  <c r="W46" i="7"/>
  <c r="U46" i="7"/>
  <c r="R46" i="7"/>
  <c r="O46" i="7"/>
  <c r="N46" i="7"/>
  <c r="L46" i="7"/>
  <c r="H46" i="7"/>
  <c r="I46" i="7" s="1"/>
  <c r="F46" i="7"/>
  <c r="C46" i="7"/>
  <c r="AC44" i="7"/>
  <c r="AD44" i="7" s="1"/>
  <c r="AA44" i="7"/>
  <c r="W44" i="7"/>
  <c r="X44" i="7" s="1"/>
  <c r="U44" i="7"/>
  <c r="R44" i="7"/>
  <c r="O44" i="7"/>
  <c r="N44" i="7"/>
  <c r="L44" i="7"/>
  <c r="H44" i="7"/>
  <c r="I44" i="7" s="1"/>
  <c r="F44" i="7"/>
  <c r="C44" i="7"/>
  <c r="AC43" i="7"/>
  <c r="AD43" i="7" s="1"/>
  <c r="AA43" i="7"/>
  <c r="X43" i="7"/>
  <c r="W43" i="7"/>
  <c r="U43" i="7"/>
  <c r="R43" i="7"/>
  <c r="O43" i="7"/>
  <c r="N43" i="7"/>
  <c r="L43" i="7"/>
  <c r="H43" i="7"/>
  <c r="I43" i="7" s="1"/>
  <c r="F43" i="7"/>
  <c r="C43" i="7"/>
  <c r="AD42" i="7"/>
  <c r="AC42" i="7"/>
  <c r="AA42" i="7"/>
  <c r="X42" i="7"/>
  <c r="W42" i="7"/>
  <c r="U42" i="7"/>
  <c r="R42" i="7"/>
  <c r="O42" i="7"/>
  <c r="N42" i="7"/>
  <c r="L42" i="7"/>
  <c r="H42" i="7"/>
  <c r="I42" i="7" s="1"/>
  <c r="F42" i="7"/>
  <c r="C42" i="7"/>
  <c r="Z40" i="7"/>
  <c r="AA40" i="7" s="1"/>
  <c r="T40" i="7"/>
  <c r="U40" i="7" s="1"/>
  <c r="Q40" i="7"/>
  <c r="K40" i="7"/>
  <c r="L40" i="7" s="1"/>
  <c r="E40" i="7"/>
  <c r="F40" i="7" s="1"/>
  <c r="B40" i="7"/>
  <c r="AC39" i="7"/>
  <c r="AD39" i="7" s="1"/>
  <c r="AA39" i="7"/>
  <c r="X39" i="7"/>
  <c r="W39" i="7"/>
  <c r="U39" i="7"/>
  <c r="R39" i="7"/>
  <c r="O39" i="7"/>
  <c r="N39" i="7"/>
  <c r="L39" i="7"/>
  <c r="I39" i="7"/>
  <c r="H39" i="7"/>
  <c r="F39" i="7"/>
  <c r="C39" i="7"/>
  <c r="AC38" i="7"/>
  <c r="AD38" i="7" s="1"/>
  <c r="AA38" i="7"/>
  <c r="W38" i="7"/>
  <c r="X38" i="7" s="1"/>
  <c r="U38" i="7"/>
  <c r="R38" i="7"/>
  <c r="O38" i="7"/>
  <c r="N38" i="7"/>
  <c r="L38" i="7"/>
  <c r="H38" i="7"/>
  <c r="I38" i="7" s="1"/>
  <c r="F38" i="7"/>
  <c r="C38" i="7"/>
  <c r="AC37" i="7"/>
  <c r="AD37" i="7" s="1"/>
  <c r="AA37" i="7"/>
  <c r="X37" i="7"/>
  <c r="W37" i="7"/>
  <c r="U37" i="7"/>
  <c r="R37" i="7"/>
  <c r="O37" i="7"/>
  <c r="N37" i="7"/>
  <c r="L37" i="7"/>
  <c r="I37" i="7"/>
  <c r="H37" i="7"/>
  <c r="F37" i="7"/>
  <c r="C37" i="7"/>
  <c r="AC36" i="7"/>
  <c r="AD36" i="7" s="1"/>
  <c r="AA36" i="7"/>
  <c r="W36" i="7"/>
  <c r="X36" i="7" s="1"/>
  <c r="U36" i="7"/>
  <c r="R36" i="7"/>
  <c r="N36" i="7"/>
  <c r="O36" i="7" s="1"/>
  <c r="L36" i="7"/>
  <c r="H36" i="7"/>
  <c r="I36" i="7" s="1"/>
  <c r="F36" i="7"/>
  <c r="C36" i="7"/>
  <c r="AC35" i="7"/>
  <c r="AD35" i="7" s="1"/>
  <c r="AA35" i="7"/>
  <c r="X35" i="7"/>
  <c r="W35" i="7"/>
  <c r="U35" i="7"/>
  <c r="R35" i="7"/>
  <c r="O35" i="7"/>
  <c r="N35" i="7"/>
  <c r="L35" i="7"/>
  <c r="H35" i="7"/>
  <c r="I35" i="7" s="1"/>
  <c r="F35" i="7"/>
  <c r="C35" i="7"/>
  <c r="AD34" i="7"/>
  <c r="AC34" i="7"/>
  <c r="AA34" i="7"/>
  <c r="X34" i="7"/>
  <c r="W34" i="7"/>
  <c r="U34" i="7"/>
  <c r="R34" i="7"/>
  <c r="N34" i="7"/>
  <c r="O34" i="7" s="1"/>
  <c r="L34" i="7"/>
  <c r="H34" i="7"/>
  <c r="I34" i="7" s="1"/>
  <c r="F34" i="7"/>
  <c r="C34" i="7"/>
  <c r="AC33" i="7"/>
  <c r="AD33" i="7" s="1"/>
  <c r="AA33" i="7"/>
  <c r="X33" i="7"/>
  <c r="W33" i="7"/>
  <c r="U33" i="7"/>
  <c r="R33" i="7"/>
  <c r="O33" i="7"/>
  <c r="N33" i="7"/>
  <c r="L33" i="7"/>
  <c r="I33" i="7"/>
  <c r="H33" i="7"/>
  <c r="F33" i="7"/>
  <c r="C33" i="7"/>
  <c r="AD32" i="7"/>
  <c r="AC32" i="7"/>
  <c r="AA32" i="7"/>
  <c r="W32" i="7"/>
  <c r="X32" i="7" s="1"/>
  <c r="U32" i="7"/>
  <c r="R32" i="7"/>
  <c r="N32" i="7"/>
  <c r="O32" i="7" s="1"/>
  <c r="L32" i="7"/>
  <c r="H32" i="7"/>
  <c r="I32" i="7" s="1"/>
  <c r="F32" i="7"/>
  <c r="C32" i="7"/>
  <c r="AC31" i="7"/>
  <c r="AD31" i="7" s="1"/>
  <c r="AA31" i="7"/>
  <c r="X31" i="7"/>
  <c r="W31" i="7"/>
  <c r="U31" i="7"/>
  <c r="R31" i="7"/>
  <c r="O31" i="7"/>
  <c r="N31" i="7"/>
  <c r="L31" i="7"/>
  <c r="I31" i="7"/>
  <c r="H31" i="7"/>
  <c r="F31" i="7"/>
  <c r="C31" i="7"/>
  <c r="Z29" i="7"/>
  <c r="X29" i="7"/>
  <c r="W29" i="7"/>
  <c r="T29" i="7"/>
  <c r="U29" i="7" s="1"/>
  <c r="R29" i="7"/>
  <c r="Q29" i="7"/>
  <c r="K29" i="7"/>
  <c r="L29" i="7" s="1"/>
  <c r="H29" i="7"/>
  <c r="I29" i="7" s="1"/>
  <c r="F29" i="7"/>
  <c r="E29" i="7"/>
  <c r="B29" i="7"/>
  <c r="C29" i="7" s="1"/>
  <c r="AD28" i="7"/>
  <c r="AC28" i="7"/>
  <c r="AA28" i="7"/>
  <c r="X28" i="7"/>
  <c r="W28" i="7"/>
  <c r="U28" i="7"/>
  <c r="R28" i="7"/>
  <c r="O28" i="7"/>
  <c r="N28" i="7"/>
  <c r="L28" i="7"/>
  <c r="H28" i="7"/>
  <c r="I28" i="7" s="1"/>
  <c r="F28" i="7"/>
  <c r="C28" i="7"/>
  <c r="AC27" i="7"/>
  <c r="AD27" i="7" s="1"/>
  <c r="AA27" i="7"/>
  <c r="X27" i="7"/>
  <c r="W27" i="7"/>
  <c r="U27" i="7"/>
  <c r="R27" i="7"/>
  <c r="O27" i="7"/>
  <c r="N27" i="7"/>
  <c r="L27" i="7"/>
  <c r="H27" i="7"/>
  <c r="I27" i="7" s="1"/>
  <c r="F27" i="7"/>
  <c r="C27" i="7"/>
  <c r="AC26" i="7"/>
  <c r="AD26" i="7" s="1"/>
  <c r="AA26" i="7"/>
  <c r="X26" i="7"/>
  <c r="W26" i="7"/>
  <c r="U26" i="7"/>
  <c r="R26" i="7"/>
  <c r="N26" i="7"/>
  <c r="O26" i="7" s="1"/>
  <c r="L26" i="7"/>
  <c r="H26" i="7"/>
  <c r="I26" i="7" s="1"/>
  <c r="F26" i="7"/>
  <c r="C26" i="7"/>
  <c r="AC25" i="7"/>
  <c r="AD25" i="7" s="1"/>
  <c r="AA25" i="7"/>
  <c r="X25" i="7"/>
  <c r="W25" i="7"/>
  <c r="U25" i="7"/>
  <c r="R25" i="7"/>
  <c r="O25" i="7"/>
  <c r="N25" i="7"/>
  <c r="L25" i="7"/>
  <c r="I25" i="7"/>
  <c r="H25" i="7"/>
  <c r="F25" i="7"/>
  <c r="C25" i="7"/>
  <c r="AD24" i="7"/>
  <c r="AC24" i="7"/>
  <c r="AA24" i="7"/>
  <c r="X24" i="7"/>
  <c r="W24" i="7"/>
  <c r="U24" i="7"/>
  <c r="R24" i="7"/>
  <c r="O24" i="7"/>
  <c r="N24" i="7"/>
  <c r="L24" i="7"/>
  <c r="H24" i="7"/>
  <c r="I24" i="7" s="1"/>
  <c r="F24" i="7"/>
  <c r="C24" i="7"/>
  <c r="AC23" i="7"/>
  <c r="AD23" i="7" s="1"/>
  <c r="AA23" i="7"/>
  <c r="X23" i="7"/>
  <c r="W23" i="7"/>
  <c r="U23" i="7"/>
  <c r="R23" i="7"/>
  <c r="O23" i="7"/>
  <c r="N23" i="7"/>
  <c r="L23" i="7"/>
  <c r="H23" i="7"/>
  <c r="I23" i="7" s="1"/>
  <c r="F23" i="7"/>
  <c r="C23" i="7"/>
  <c r="AC22" i="7"/>
  <c r="AD22" i="7" s="1"/>
  <c r="AA22" i="7"/>
  <c r="W22" i="7"/>
  <c r="X22" i="7" s="1"/>
  <c r="U22" i="7"/>
  <c r="R22" i="7"/>
  <c r="O22" i="7"/>
  <c r="N22" i="7"/>
  <c r="L22" i="7"/>
  <c r="H22" i="7"/>
  <c r="I22" i="7" s="1"/>
  <c r="F22" i="7"/>
  <c r="C22" i="7"/>
  <c r="AC21" i="7"/>
  <c r="AD21" i="7" s="1"/>
  <c r="AA21" i="7"/>
  <c r="X21" i="7"/>
  <c r="W21" i="7"/>
  <c r="U21" i="7"/>
  <c r="R21" i="7"/>
  <c r="O21" i="7"/>
  <c r="N21" i="7"/>
  <c r="L21" i="7"/>
  <c r="I21" i="7"/>
  <c r="H21" i="7"/>
  <c r="F21" i="7"/>
  <c r="C21" i="7"/>
  <c r="AD19" i="7"/>
  <c r="AC19" i="7"/>
  <c r="AA19" i="7"/>
  <c r="W19" i="7"/>
  <c r="X19" i="7" s="1"/>
  <c r="U19" i="7"/>
  <c r="R19" i="7"/>
  <c r="O19" i="7"/>
  <c r="N19" i="7"/>
  <c r="L19" i="7"/>
  <c r="H19" i="7"/>
  <c r="I19" i="7" s="1"/>
  <c r="F19" i="7"/>
  <c r="C19" i="7"/>
  <c r="AC18" i="7"/>
  <c r="AD18" i="7" s="1"/>
  <c r="Z18" i="7"/>
  <c r="AA18" i="7" s="1"/>
  <c r="T18" i="7"/>
  <c r="U18" i="7" s="1"/>
  <c r="Q18" i="7"/>
  <c r="K18" i="7"/>
  <c r="L18" i="7" s="1"/>
  <c r="E18" i="7"/>
  <c r="F18" i="7" s="1"/>
  <c r="B18" i="7"/>
  <c r="AC17" i="7"/>
  <c r="AD17" i="7" s="1"/>
  <c r="AA17" i="7"/>
  <c r="X17" i="7"/>
  <c r="W17" i="7"/>
  <c r="U17" i="7"/>
  <c r="R17" i="7"/>
  <c r="O17" i="7"/>
  <c r="N17" i="7"/>
  <c r="L17" i="7"/>
  <c r="I17" i="7"/>
  <c r="H17" i="7"/>
  <c r="F17" i="7"/>
  <c r="C17" i="7"/>
  <c r="AC16" i="7"/>
  <c r="AD16" i="7" s="1"/>
  <c r="AA16" i="7"/>
  <c r="W16" i="7"/>
  <c r="X16" i="7" s="1"/>
  <c r="U16" i="7"/>
  <c r="R16" i="7"/>
  <c r="O16" i="7"/>
  <c r="N16" i="7"/>
  <c r="L16" i="7"/>
  <c r="H16" i="7"/>
  <c r="I16" i="7" s="1"/>
  <c r="F16" i="7"/>
  <c r="C16" i="7"/>
  <c r="AC15" i="7"/>
  <c r="AD15" i="7" s="1"/>
  <c r="AA15" i="7"/>
  <c r="X15" i="7"/>
  <c r="W15" i="7"/>
  <c r="U15" i="7"/>
  <c r="R15" i="7"/>
  <c r="O15" i="7"/>
  <c r="N15" i="7"/>
  <c r="L15" i="7"/>
  <c r="I15" i="7"/>
  <c r="H15" i="7"/>
  <c r="F15" i="7"/>
  <c r="C15" i="7"/>
  <c r="AD14" i="7"/>
  <c r="AC14" i="7"/>
  <c r="AA14" i="7"/>
  <c r="W14" i="7"/>
  <c r="X14" i="7" s="1"/>
  <c r="U14" i="7"/>
  <c r="R14" i="7"/>
  <c r="N14" i="7"/>
  <c r="O14" i="7" s="1"/>
  <c r="L14" i="7"/>
  <c r="H14" i="7"/>
  <c r="I14" i="7" s="1"/>
  <c r="F14" i="7"/>
  <c r="C14" i="7"/>
  <c r="AC13" i="7"/>
  <c r="AD13" i="7" s="1"/>
  <c r="AA13" i="7"/>
  <c r="X13" i="7"/>
  <c r="W13" i="7"/>
  <c r="U13" i="7"/>
  <c r="R13" i="7"/>
  <c r="O13" i="7"/>
  <c r="N13" i="7"/>
  <c r="L13" i="7"/>
  <c r="H13" i="7"/>
  <c r="I13" i="7" s="1"/>
  <c r="F13" i="7"/>
  <c r="C13" i="7"/>
  <c r="AD12" i="7"/>
  <c r="AC12" i="7"/>
  <c r="AA12" i="7"/>
  <c r="X12" i="7"/>
  <c r="W12" i="7"/>
  <c r="U12" i="7"/>
  <c r="R12" i="7"/>
  <c r="N12" i="7"/>
  <c r="O12" i="7" s="1"/>
  <c r="L12" i="7"/>
  <c r="H12" i="7"/>
  <c r="I12" i="7" s="1"/>
  <c r="F12" i="7"/>
  <c r="C12" i="7"/>
  <c r="AC11" i="7"/>
  <c r="AD11" i="7" s="1"/>
  <c r="AA11" i="7"/>
  <c r="X11" i="7"/>
  <c r="W11" i="7"/>
  <c r="U11" i="7"/>
  <c r="R11" i="7"/>
  <c r="O11" i="7"/>
  <c r="N11" i="7"/>
  <c r="L11" i="7"/>
  <c r="I11" i="7"/>
  <c r="H11" i="7"/>
  <c r="F11" i="7"/>
  <c r="C11" i="7"/>
  <c r="AD10" i="7"/>
  <c r="AC10" i="7"/>
  <c r="AA10" i="7"/>
  <c r="W10" i="7"/>
  <c r="X10" i="7" s="1"/>
  <c r="U10" i="7"/>
  <c r="R10" i="7"/>
  <c r="N10" i="7"/>
  <c r="O10" i="7" s="1"/>
  <c r="L10" i="7"/>
  <c r="H10" i="7"/>
  <c r="I10" i="7" s="1"/>
  <c r="F10" i="7"/>
  <c r="C10" i="7"/>
  <c r="AC8" i="7"/>
  <c r="AD8" i="7" s="1"/>
  <c r="AA8" i="7"/>
  <c r="X8" i="7"/>
  <c r="W8" i="7"/>
  <c r="U8" i="7"/>
  <c r="R8" i="7"/>
  <c r="O8" i="7"/>
  <c r="N8" i="7"/>
  <c r="L8" i="7"/>
  <c r="I8" i="7"/>
  <c r="H8" i="7"/>
  <c r="F8" i="7"/>
  <c r="C8" i="7"/>
  <c r="AC444" i="6"/>
  <c r="W444" i="6"/>
  <c r="X439" i="6" s="1"/>
  <c r="N444" i="6"/>
  <c r="H444" i="6"/>
  <c r="AC442" i="6"/>
  <c r="AD442" i="6" s="1"/>
  <c r="Z442" i="6"/>
  <c r="AA442" i="6" s="1"/>
  <c r="T442" i="6"/>
  <c r="U442" i="6" s="1"/>
  <c r="Q442" i="6"/>
  <c r="N442" i="6"/>
  <c r="O442" i="6" s="1"/>
  <c r="L442" i="6"/>
  <c r="K442" i="6"/>
  <c r="F442" i="6"/>
  <c r="E442" i="6"/>
  <c r="B442" i="6"/>
  <c r="C442" i="6" s="1"/>
  <c r="Z441" i="6"/>
  <c r="AA441" i="6" s="1"/>
  <c r="T441" i="6"/>
  <c r="U441" i="6" s="1"/>
  <c r="Q441" i="6"/>
  <c r="W441" i="6" s="1"/>
  <c r="X441" i="6" s="1"/>
  <c r="N441" i="6"/>
  <c r="O441" i="6" s="1"/>
  <c r="L441" i="6"/>
  <c r="K441" i="6"/>
  <c r="H441" i="6"/>
  <c r="F441" i="6"/>
  <c r="E441" i="6"/>
  <c r="B441" i="6"/>
  <c r="C441" i="6" s="1"/>
  <c r="AC440" i="6"/>
  <c r="AD440" i="6" s="1"/>
  <c r="AA440" i="6"/>
  <c r="X440" i="6"/>
  <c r="W440" i="6"/>
  <c r="U440" i="6"/>
  <c r="R440" i="6"/>
  <c r="N440" i="6"/>
  <c r="O440" i="6" s="1"/>
  <c r="L440" i="6"/>
  <c r="H440" i="6"/>
  <c r="I440" i="6" s="1"/>
  <c r="F440" i="6"/>
  <c r="C440" i="6"/>
  <c r="AC439" i="6"/>
  <c r="AD439" i="6" s="1"/>
  <c r="AA439" i="6"/>
  <c r="W439" i="6"/>
  <c r="U439" i="6"/>
  <c r="R439" i="6"/>
  <c r="O439" i="6"/>
  <c r="N439" i="6"/>
  <c r="L439" i="6"/>
  <c r="H439" i="6"/>
  <c r="F439" i="6"/>
  <c r="C439" i="6"/>
  <c r="AC438" i="6"/>
  <c r="AD438" i="6" s="1"/>
  <c r="AA438" i="6"/>
  <c r="X438" i="6"/>
  <c r="W438" i="6"/>
  <c r="U438" i="6"/>
  <c r="R438" i="6"/>
  <c r="N438" i="6"/>
  <c r="O438" i="6" s="1"/>
  <c r="L438" i="6"/>
  <c r="H438" i="6"/>
  <c r="F438" i="6"/>
  <c r="C438" i="6"/>
  <c r="AC437" i="6"/>
  <c r="AD437" i="6" s="1"/>
  <c r="AA437" i="6"/>
  <c r="W437" i="6"/>
  <c r="X437" i="6" s="1"/>
  <c r="U437" i="6"/>
  <c r="R437" i="6"/>
  <c r="O437" i="6"/>
  <c r="N437" i="6"/>
  <c r="L437" i="6"/>
  <c r="H437" i="6"/>
  <c r="I437" i="6" s="1"/>
  <c r="F437" i="6"/>
  <c r="C437" i="6"/>
  <c r="AC436" i="6"/>
  <c r="AD436" i="6" s="1"/>
  <c r="AA436" i="6"/>
  <c r="W436" i="6"/>
  <c r="X436" i="6" s="1"/>
  <c r="U436" i="6"/>
  <c r="R436" i="6"/>
  <c r="O436" i="6"/>
  <c r="N436" i="6"/>
  <c r="L436" i="6"/>
  <c r="H436" i="6"/>
  <c r="F436" i="6"/>
  <c r="C436" i="6"/>
  <c r="AD435" i="6"/>
  <c r="AC435" i="6"/>
  <c r="AA435" i="6"/>
  <c r="X435" i="6"/>
  <c r="W435" i="6"/>
  <c r="U435" i="6"/>
  <c r="R435" i="6"/>
  <c r="N435" i="6"/>
  <c r="O435" i="6" s="1"/>
  <c r="L435" i="6"/>
  <c r="H435" i="6"/>
  <c r="I435" i="6" s="1"/>
  <c r="F435" i="6"/>
  <c r="C435" i="6"/>
  <c r="AC434" i="6"/>
  <c r="AD434" i="6" s="1"/>
  <c r="AA434" i="6"/>
  <c r="X434" i="6"/>
  <c r="W434" i="6"/>
  <c r="U434" i="6"/>
  <c r="R434" i="6"/>
  <c r="N434" i="6"/>
  <c r="O434" i="6" s="1"/>
  <c r="L434" i="6"/>
  <c r="I434" i="6"/>
  <c r="H434" i="6"/>
  <c r="F434" i="6"/>
  <c r="C434" i="6"/>
  <c r="AD433" i="6"/>
  <c r="AC433" i="6"/>
  <c r="AA433" i="6"/>
  <c r="W433" i="6"/>
  <c r="X433" i="6" s="1"/>
  <c r="U433" i="6"/>
  <c r="R433" i="6"/>
  <c r="O433" i="6"/>
  <c r="N433" i="6"/>
  <c r="L433" i="6"/>
  <c r="H433" i="6"/>
  <c r="F433" i="6"/>
  <c r="C433" i="6"/>
  <c r="AC432" i="6"/>
  <c r="AD432" i="6" s="1"/>
  <c r="AA432" i="6"/>
  <c r="W432" i="6"/>
  <c r="X432" i="6" s="1"/>
  <c r="U432" i="6"/>
  <c r="R432" i="6"/>
  <c r="O432" i="6"/>
  <c r="N432" i="6"/>
  <c r="L432" i="6"/>
  <c r="H432" i="6"/>
  <c r="F432" i="6"/>
  <c r="C432" i="6"/>
  <c r="Z429" i="6"/>
  <c r="AA429" i="6" s="1"/>
  <c r="T429" i="6"/>
  <c r="U429" i="6" s="1"/>
  <c r="Q429" i="6"/>
  <c r="L429" i="6"/>
  <c r="K429" i="6"/>
  <c r="H429" i="6"/>
  <c r="I429" i="6" s="1"/>
  <c r="F429" i="6"/>
  <c r="E429" i="6"/>
  <c r="B429" i="6"/>
  <c r="C429" i="6" s="1"/>
  <c r="Z428" i="6"/>
  <c r="AA428" i="6" s="1"/>
  <c r="X428" i="6"/>
  <c r="W428" i="6"/>
  <c r="T428" i="6"/>
  <c r="U428" i="6" s="1"/>
  <c r="R428" i="6"/>
  <c r="Q428" i="6"/>
  <c r="K428" i="6"/>
  <c r="L428" i="6" s="1"/>
  <c r="F428" i="6"/>
  <c r="E428" i="6"/>
  <c r="B428" i="6"/>
  <c r="AC427" i="6"/>
  <c r="AD427" i="6" s="1"/>
  <c r="AA427" i="6"/>
  <c r="X427" i="6"/>
  <c r="W427" i="6"/>
  <c r="U427" i="6"/>
  <c r="R427" i="6"/>
  <c r="O427" i="6"/>
  <c r="N427" i="6"/>
  <c r="L427" i="6"/>
  <c r="H427" i="6"/>
  <c r="F427" i="6"/>
  <c r="C427" i="6"/>
  <c r="AC426" i="6"/>
  <c r="AD426" i="6" s="1"/>
  <c r="AA426" i="6"/>
  <c r="X426" i="6"/>
  <c r="W426" i="6"/>
  <c r="U426" i="6"/>
  <c r="R426" i="6"/>
  <c r="N426" i="6"/>
  <c r="O426" i="6" s="1"/>
  <c r="L426" i="6"/>
  <c r="H426" i="6"/>
  <c r="I426" i="6" s="1"/>
  <c r="F426" i="6"/>
  <c r="C426" i="6"/>
  <c r="AD425" i="6"/>
  <c r="AC425" i="6"/>
  <c r="AA425" i="6"/>
  <c r="W425" i="6"/>
  <c r="X425" i="6" s="1"/>
  <c r="U425" i="6"/>
  <c r="R425" i="6"/>
  <c r="O425" i="6"/>
  <c r="N425" i="6"/>
  <c r="L425" i="6"/>
  <c r="H425" i="6"/>
  <c r="I425" i="6" s="1"/>
  <c r="F425" i="6"/>
  <c r="C425" i="6"/>
  <c r="AC424" i="6"/>
  <c r="AD424" i="6" s="1"/>
  <c r="AA424" i="6"/>
  <c r="W424" i="6"/>
  <c r="X424" i="6" s="1"/>
  <c r="U424" i="6"/>
  <c r="R424" i="6"/>
  <c r="O424" i="6"/>
  <c r="N424" i="6"/>
  <c r="L424" i="6"/>
  <c r="H424" i="6"/>
  <c r="F424" i="6"/>
  <c r="C424" i="6"/>
  <c r="AD423" i="6"/>
  <c r="AC423" i="6"/>
  <c r="AA423" i="6"/>
  <c r="X423" i="6"/>
  <c r="W423" i="6"/>
  <c r="U423" i="6"/>
  <c r="R423" i="6"/>
  <c r="N423" i="6"/>
  <c r="O423" i="6" s="1"/>
  <c r="L423" i="6"/>
  <c r="H423" i="6"/>
  <c r="I423" i="6" s="1"/>
  <c r="F423" i="6"/>
  <c r="C423" i="6"/>
  <c r="AC422" i="6"/>
  <c r="AD422" i="6" s="1"/>
  <c r="AA422" i="6"/>
  <c r="X422" i="6"/>
  <c r="W422" i="6"/>
  <c r="U422" i="6"/>
  <c r="R422" i="6"/>
  <c r="N422" i="6"/>
  <c r="O422" i="6" s="1"/>
  <c r="L422" i="6"/>
  <c r="H422" i="6"/>
  <c r="I422" i="6" s="1"/>
  <c r="F422" i="6"/>
  <c r="C422" i="6"/>
  <c r="AD421" i="6"/>
  <c r="AC421" i="6"/>
  <c r="AA421" i="6"/>
  <c r="W421" i="6"/>
  <c r="X421" i="6" s="1"/>
  <c r="U421" i="6"/>
  <c r="R421" i="6"/>
  <c r="O421" i="6"/>
  <c r="N421" i="6"/>
  <c r="L421" i="6"/>
  <c r="H421" i="6"/>
  <c r="I421" i="6" s="1"/>
  <c r="F421" i="6"/>
  <c r="C421" i="6"/>
  <c r="AC420" i="6"/>
  <c r="AD420" i="6" s="1"/>
  <c r="AA420" i="6"/>
  <c r="W420" i="6"/>
  <c r="X420" i="6" s="1"/>
  <c r="U420" i="6"/>
  <c r="R420" i="6"/>
  <c r="O420" i="6"/>
  <c r="N420" i="6"/>
  <c r="L420" i="6"/>
  <c r="H420" i="6"/>
  <c r="F420" i="6"/>
  <c r="C420" i="6"/>
  <c r="AC419" i="6"/>
  <c r="AD419" i="6" s="1"/>
  <c r="AA419" i="6"/>
  <c r="X419" i="6"/>
  <c r="W419" i="6"/>
  <c r="U419" i="6"/>
  <c r="R419" i="6"/>
  <c r="O419" i="6"/>
  <c r="N419" i="6"/>
  <c r="L419" i="6"/>
  <c r="H419" i="6"/>
  <c r="I419" i="6" s="1"/>
  <c r="F419" i="6"/>
  <c r="C419" i="6"/>
  <c r="AC418" i="6"/>
  <c r="AD418" i="6" s="1"/>
  <c r="AA418" i="6"/>
  <c r="X418" i="6"/>
  <c r="W418" i="6"/>
  <c r="U418" i="6"/>
  <c r="R418" i="6"/>
  <c r="N418" i="6"/>
  <c r="O418" i="6" s="1"/>
  <c r="L418" i="6"/>
  <c r="I418" i="6"/>
  <c r="H418" i="6"/>
  <c r="F418" i="6"/>
  <c r="C418" i="6"/>
  <c r="AD417" i="6"/>
  <c r="AC417" i="6"/>
  <c r="AA417" i="6"/>
  <c r="W417" i="6"/>
  <c r="X417" i="6" s="1"/>
  <c r="U417" i="6"/>
  <c r="R417" i="6"/>
  <c r="O417" i="6"/>
  <c r="N417" i="6"/>
  <c r="L417" i="6"/>
  <c r="H417" i="6"/>
  <c r="I417" i="6" s="1"/>
  <c r="F417" i="6"/>
  <c r="C417" i="6"/>
  <c r="AC416" i="6"/>
  <c r="AD416" i="6" s="1"/>
  <c r="AA416" i="6"/>
  <c r="W416" i="6"/>
  <c r="X416" i="6" s="1"/>
  <c r="U416" i="6"/>
  <c r="R416" i="6"/>
  <c r="O416" i="6"/>
  <c r="N416" i="6"/>
  <c r="L416" i="6"/>
  <c r="H416" i="6"/>
  <c r="F416" i="6"/>
  <c r="C416" i="6"/>
  <c r="AC415" i="6"/>
  <c r="AD415" i="6" s="1"/>
  <c r="AA415" i="6"/>
  <c r="X415" i="6"/>
  <c r="W415" i="6"/>
  <c r="U415" i="6"/>
  <c r="R415" i="6"/>
  <c r="N415" i="6"/>
  <c r="O415" i="6" s="1"/>
  <c r="L415" i="6"/>
  <c r="H415" i="6"/>
  <c r="I415" i="6" s="1"/>
  <c r="F415" i="6"/>
  <c r="C415" i="6"/>
  <c r="AC414" i="6"/>
  <c r="AD414" i="6" s="1"/>
  <c r="AA414" i="6"/>
  <c r="X414" i="6"/>
  <c r="W414" i="6"/>
  <c r="U414" i="6"/>
  <c r="R414" i="6"/>
  <c r="N414" i="6"/>
  <c r="O414" i="6" s="1"/>
  <c r="L414" i="6"/>
  <c r="I414" i="6"/>
  <c r="H414" i="6"/>
  <c r="F414" i="6"/>
  <c r="C414" i="6"/>
  <c r="AD413" i="6"/>
  <c r="AC413" i="6"/>
  <c r="AA413" i="6"/>
  <c r="X413" i="6"/>
  <c r="W413" i="6"/>
  <c r="U413" i="6"/>
  <c r="R413" i="6"/>
  <c r="O413" i="6"/>
  <c r="N413" i="6"/>
  <c r="L413" i="6"/>
  <c r="H413" i="6"/>
  <c r="I413" i="6" s="1"/>
  <c r="F413" i="6"/>
  <c r="C413" i="6"/>
  <c r="AC412" i="6"/>
  <c r="AD412" i="6" s="1"/>
  <c r="AA412" i="6"/>
  <c r="W412" i="6"/>
  <c r="X412" i="6" s="1"/>
  <c r="U412" i="6"/>
  <c r="R412" i="6"/>
  <c r="O412" i="6"/>
  <c r="N412" i="6"/>
  <c r="L412" i="6"/>
  <c r="H412" i="6"/>
  <c r="F412" i="6"/>
  <c r="C412" i="6"/>
  <c r="AD411" i="6"/>
  <c r="AC411" i="6"/>
  <c r="AA411" i="6"/>
  <c r="X411" i="6"/>
  <c r="W411" i="6"/>
  <c r="U411" i="6"/>
  <c r="R411" i="6"/>
  <c r="N411" i="6"/>
  <c r="O411" i="6" s="1"/>
  <c r="L411" i="6"/>
  <c r="H411" i="6"/>
  <c r="I411" i="6" s="1"/>
  <c r="F411" i="6"/>
  <c r="C411" i="6"/>
  <c r="AC410" i="6"/>
  <c r="AD410" i="6" s="1"/>
  <c r="AA410" i="6"/>
  <c r="X410" i="6"/>
  <c r="W410" i="6"/>
  <c r="U410" i="6"/>
  <c r="R410" i="6"/>
  <c r="N410" i="6"/>
  <c r="O410" i="6" s="1"/>
  <c r="L410" i="6"/>
  <c r="I410" i="6"/>
  <c r="H410" i="6"/>
  <c r="F410" i="6"/>
  <c r="C410" i="6"/>
  <c r="AD409" i="6"/>
  <c r="AC409" i="6"/>
  <c r="AA409" i="6"/>
  <c r="X409" i="6"/>
  <c r="W409" i="6"/>
  <c r="U409" i="6"/>
  <c r="R409" i="6"/>
  <c r="O409" i="6"/>
  <c r="N409" i="6"/>
  <c r="L409" i="6"/>
  <c r="H409" i="6"/>
  <c r="I409" i="6" s="1"/>
  <c r="F409" i="6"/>
  <c r="C409" i="6"/>
  <c r="AC408" i="6"/>
  <c r="AD408" i="6" s="1"/>
  <c r="AA408" i="6"/>
  <c r="W408" i="6"/>
  <c r="X408" i="6" s="1"/>
  <c r="U408" i="6"/>
  <c r="R408" i="6"/>
  <c r="O408" i="6"/>
  <c r="N408" i="6"/>
  <c r="L408" i="6"/>
  <c r="H408" i="6"/>
  <c r="F408" i="6"/>
  <c r="C408" i="6"/>
  <c r="AD407" i="6"/>
  <c r="AC407" i="6"/>
  <c r="AA407" i="6"/>
  <c r="X407" i="6"/>
  <c r="W407" i="6"/>
  <c r="U407" i="6"/>
  <c r="R407" i="6"/>
  <c r="N407" i="6"/>
  <c r="O407" i="6" s="1"/>
  <c r="L407" i="6"/>
  <c r="H407" i="6"/>
  <c r="I407" i="6" s="1"/>
  <c r="F407" i="6"/>
  <c r="C407" i="6"/>
  <c r="AA403" i="6"/>
  <c r="Z403" i="6"/>
  <c r="W403" i="6"/>
  <c r="X403" i="6" s="1"/>
  <c r="T403" i="6"/>
  <c r="U403" i="6" s="1"/>
  <c r="Q403" i="6"/>
  <c r="R403" i="6" s="1"/>
  <c r="K403" i="6"/>
  <c r="L403" i="6" s="1"/>
  <c r="H403" i="6"/>
  <c r="I403" i="6" s="1"/>
  <c r="E403" i="6"/>
  <c r="F403" i="6" s="1"/>
  <c r="C403" i="6"/>
  <c r="B403" i="6"/>
  <c r="N403" i="6" s="1"/>
  <c r="O403" i="6" s="1"/>
  <c r="AC402" i="6"/>
  <c r="AD402" i="6" s="1"/>
  <c r="AA402" i="6"/>
  <c r="X402" i="6"/>
  <c r="W402" i="6"/>
  <c r="U402" i="6"/>
  <c r="R402" i="6"/>
  <c r="N402" i="6"/>
  <c r="O402" i="6" s="1"/>
  <c r="L402" i="6"/>
  <c r="I402" i="6"/>
  <c r="H402" i="6"/>
  <c r="F402" i="6"/>
  <c r="C402" i="6"/>
  <c r="AD401" i="6"/>
  <c r="AC401" i="6"/>
  <c r="AA401" i="6"/>
  <c r="X401" i="6"/>
  <c r="W401" i="6"/>
  <c r="U401" i="6"/>
  <c r="R401" i="6"/>
  <c r="O401" i="6"/>
  <c r="N401" i="6"/>
  <c r="L401" i="6"/>
  <c r="H401" i="6"/>
  <c r="I401" i="6" s="1"/>
  <c r="F401" i="6"/>
  <c r="C401" i="6"/>
  <c r="AC400" i="6"/>
  <c r="AD400" i="6" s="1"/>
  <c r="AA400" i="6"/>
  <c r="W400" i="6"/>
  <c r="X400" i="6" s="1"/>
  <c r="U400" i="6"/>
  <c r="R400" i="6"/>
  <c r="O400" i="6"/>
  <c r="N400" i="6"/>
  <c r="L400" i="6"/>
  <c r="H400" i="6"/>
  <c r="F400" i="6"/>
  <c r="C400" i="6"/>
  <c r="AC399" i="6"/>
  <c r="AD399" i="6" s="1"/>
  <c r="AA399" i="6"/>
  <c r="X399" i="6"/>
  <c r="W399" i="6"/>
  <c r="U399" i="6"/>
  <c r="R399" i="6"/>
  <c r="N399" i="6"/>
  <c r="O399" i="6" s="1"/>
  <c r="L399" i="6"/>
  <c r="H399" i="6"/>
  <c r="I399" i="6" s="1"/>
  <c r="F399" i="6"/>
  <c r="C399" i="6"/>
  <c r="AC398" i="6"/>
  <c r="AD398" i="6" s="1"/>
  <c r="AA398" i="6"/>
  <c r="X398" i="6"/>
  <c r="W398" i="6"/>
  <c r="U398" i="6"/>
  <c r="R398" i="6"/>
  <c r="N398" i="6"/>
  <c r="O398" i="6" s="1"/>
  <c r="L398" i="6"/>
  <c r="I398" i="6"/>
  <c r="H398" i="6"/>
  <c r="F398" i="6"/>
  <c r="C398" i="6"/>
  <c r="AD397" i="6"/>
  <c r="AC397" i="6"/>
  <c r="AA397" i="6"/>
  <c r="X397" i="6"/>
  <c r="W397" i="6"/>
  <c r="U397" i="6"/>
  <c r="R397" i="6"/>
  <c r="O397" i="6"/>
  <c r="N397" i="6"/>
  <c r="L397" i="6"/>
  <c r="H397" i="6"/>
  <c r="I397" i="6" s="1"/>
  <c r="F397" i="6"/>
  <c r="C397" i="6"/>
  <c r="AA396" i="6"/>
  <c r="Z396" i="6"/>
  <c r="U396" i="6"/>
  <c r="T396" i="6"/>
  <c r="W396" i="6" s="1"/>
  <c r="X396" i="6" s="1"/>
  <c r="Q396" i="6"/>
  <c r="R396" i="6" s="1"/>
  <c r="K396" i="6"/>
  <c r="L396" i="6" s="1"/>
  <c r="I396" i="6"/>
  <c r="H396" i="6"/>
  <c r="E396" i="6"/>
  <c r="F396" i="6" s="1"/>
  <c r="C396" i="6"/>
  <c r="B396" i="6"/>
  <c r="AC395" i="6"/>
  <c r="AD395" i="6" s="1"/>
  <c r="AA395" i="6"/>
  <c r="X395" i="6"/>
  <c r="W395" i="6"/>
  <c r="U395" i="6"/>
  <c r="R395" i="6"/>
  <c r="N395" i="6"/>
  <c r="O395" i="6" s="1"/>
  <c r="L395" i="6"/>
  <c r="H395" i="6"/>
  <c r="I395" i="6" s="1"/>
  <c r="F395" i="6"/>
  <c r="C395" i="6"/>
  <c r="AD394" i="6"/>
  <c r="AC394" i="6"/>
  <c r="AA394" i="6"/>
  <c r="X394" i="6"/>
  <c r="W394" i="6"/>
  <c r="U394" i="6"/>
  <c r="R394" i="6"/>
  <c r="O394" i="6"/>
  <c r="N394" i="6"/>
  <c r="L394" i="6"/>
  <c r="H394" i="6"/>
  <c r="I394" i="6" s="1"/>
  <c r="F394" i="6"/>
  <c r="C394" i="6"/>
  <c r="AA393" i="6"/>
  <c r="Z393" i="6"/>
  <c r="W393" i="6"/>
  <c r="X393" i="6" s="1"/>
  <c r="U393" i="6"/>
  <c r="T393" i="6"/>
  <c r="Q393" i="6"/>
  <c r="R393" i="6" s="1"/>
  <c r="K393" i="6"/>
  <c r="L393" i="6" s="1"/>
  <c r="H393" i="6"/>
  <c r="I393" i="6" s="1"/>
  <c r="E393" i="6"/>
  <c r="F393" i="6" s="1"/>
  <c r="C393" i="6"/>
  <c r="B393" i="6"/>
  <c r="AC392" i="6"/>
  <c r="AD392" i="6" s="1"/>
  <c r="AA392" i="6"/>
  <c r="X392" i="6"/>
  <c r="W392" i="6"/>
  <c r="U392" i="6"/>
  <c r="R392" i="6"/>
  <c r="N392" i="6"/>
  <c r="O392" i="6" s="1"/>
  <c r="L392" i="6"/>
  <c r="H392" i="6"/>
  <c r="I392" i="6" s="1"/>
  <c r="F392" i="6"/>
  <c r="C392" i="6"/>
  <c r="AD391" i="6"/>
  <c r="AC391" i="6"/>
  <c r="AA391" i="6"/>
  <c r="X391" i="6"/>
  <c r="W391" i="6"/>
  <c r="U391" i="6"/>
  <c r="R391" i="6"/>
  <c r="O391" i="6"/>
  <c r="N391" i="6"/>
  <c r="L391" i="6"/>
  <c r="H391" i="6"/>
  <c r="I391" i="6" s="1"/>
  <c r="F391" i="6"/>
  <c r="C391" i="6"/>
  <c r="AC390" i="6"/>
  <c r="AD390" i="6" s="1"/>
  <c r="AA390" i="6"/>
  <c r="W390" i="6"/>
  <c r="X390" i="6" s="1"/>
  <c r="U390" i="6"/>
  <c r="R390" i="6"/>
  <c r="O390" i="6"/>
  <c r="N390" i="6"/>
  <c r="L390" i="6"/>
  <c r="H390" i="6"/>
  <c r="F390" i="6"/>
  <c r="C390" i="6"/>
  <c r="AC389" i="6"/>
  <c r="AD389" i="6" s="1"/>
  <c r="AA389" i="6"/>
  <c r="X389" i="6"/>
  <c r="W389" i="6"/>
  <c r="U389" i="6"/>
  <c r="R389" i="6"/>
  <c r="O389" i="6"/>
  <c r="N389" i="6"/>
  <c r="L389" i="6"/>
  <c r="H389" i="6"/>
  <c r="I389" i="6" s="1"/>
  <c r="F389" i="6"/>
  <c r="C389" i="6"/>
  <c r="AC388" i="6"/>
  <c r="AD388" i="6" s="1"/>
  <c r="AA388" i="6"/>
  <c r="X388" i="6"/>
  <c r="W388" i="6"/>
  <c r="U388" i="6"/>
  <c r="R388" i="6"/>
  <c r="N388" i="6"/>
  <c r="O388" i="6" s="1"/>
  <c r="L388" i="6"/>
  <c r="H388" i="6"/>
  <c r="I388" i="6" s="1"/>
  <c r="F388" i="6"/>
  <c r="C388" i="6"/>
  <c r="AD386" i="6"/>
  <c r="AC386" i="6"/>
  <c r="AA386" i="6"/>
  <c r="W386" i="6"/>
  <c r="X386" i="6" s="1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W385" i="6"/>
  <c r="X385" i="6" s="1"/>
  <c r="U385" i="6"/>
  <c r="R385" i="6"/>
  <c r="O385" i="6"/>
  <c r="N385" i="6"/>
  <c r="L385" i="6"/>
  <c r="H385" i="6"/>
  <c r="F385" i="6"/>
  <c r="C385" i="6"/>
  <c r="AD383" i="6"/>
  <c r="AC383" i="6"/>
  <c r="AA383" i="6"/>
  <c r="X383" i="6"/>
  <c r="W383" i="6"/>
  <c r="U383" i="6"/>
  <c r="R383" i="6"/>
  <c r="N383" i="6"/>
  <c r="O383" i="6" s="1"/>
  <c r="L383" i="6"/>
  <c r="H383" i="6"/>
  <c r="I383" i="6" s="1"/>
  <c r="F383" i="6"/>
  <c r="C383" i="6"/>
  <c r="AC382" i="6"/>
  <c r="AD382" i="6" s="1"/>
  <c r="AA382" i="6"/>
  <c r="X382" i="6"/>
  <c r="W382" i="6"/>
  <c r="U382" i="6"/>
  <c r="R382" i="6"/>
  <c r="N382" i="6"/>
  <c r="O382" i="6" s="1"/>
  <c r="L382" i="6"/>
  <c r="I382" i="6"/>
  <c r="H382" i="6"/>
  <c r="F382" i="6"/>
  <c r="C382" i="6"/>
  <c r="AD381" i="6"/>
  <c r="AC381" i="6"/>
  <c r="AA381" i="6"/>
  <c r="W381" i="6"/>
  <c r="X381" i="6" s="1"/>
  <c r="U381" i="6"/>
  <c r="R381" i="6"/>
  <c r="O381" i="6"/>
  <c r="N381" i="6"/>
  <c r="L381" i="6"/>
  <c r="H381" i="6"/>
  <c r="F381" i="6"/>
  <c r="C381" i="6"/>
  <c r="AC380" i="6"/>
  <c r="AD380" i="6" s="1"/>
  <c r="AA380" i="6"/>
  <c r="W380" i="6"/>
  <c r="X380" i="6" s="1"/>
  <c r="U380" i="6"/>
  <c r="R380" i="6"/>
  <c r="O380" i="6"/>
  <c r="N380" i="6"/>
  <c r="L380" i="6"/>
  <c r="H380" i="6"/>
  <c r="F380" i="6"/>
  <c r="C380" i="6"/>
  <c r="AD379" i="6"/>
  <c r="AC379" i="6"/>
  <c r="AA379" i="6"/>
  <c r="X379" i="6"/>
  <c r="W379" i="6"/>
  <c r="U379" i="6"/>
  <c r="R379" i="6"/>
  <c r="O379" i="6"/>
  <c r="N379" i="6"/>
  <c r="L379" i="6"/>
  <c r="H379" i="6"/>
  <c r="F379" i="6"/>
  <c r="C379" i="6"/>
  <c r="AC378" i="6"/>
  <c r="AD378" i="6" s="1"/>
  <c r="AA378" i="6"/>
  <c r="X378" i="6"/>
  <c r="W378" i="6"/>
  <c r="U378" i="6"/>
  <c r="R378" i="6"/>
  <c r="N378" i="6"/>
  <c r="O378" i="6" s="1"/>
  <c r="L378" i="6"/>
  <c r="I378" i="6"/>
  <c r="H378" i="6"/>
  <c r="F378" i="6"/>
  <c r="C378" i="6"/>
  <c r="AD377" i="6"/>
  <c r="AC377" i="6"/>
  <c r="AA377" i="6"/>
  <c r="X377" i="6"/>
  <c r="W377" i="6"/>
  <c r="U377" i="6"/>
  <c r="R377" i="6"/>
  <c r="O377" i="6"/>
  <c r="N377" i="6"/>
  <c r="L377" i="6"/>
  <c r="H377" i="6"/>
  <c r="I377" i="6" s="1"/>
  <c r="F377" i="6"/>
  <c r="C377" i="6"/>
  <c r="AC376" i="6"/>
  <c r="AD376" i="6" s="1"/>
  <c r="AA376" i="6"/>
  <c r="W376" i="6"/>
  <c r="X376" i="6" s="1"/>
  <c r="U376" i="6"/>
  <c r="R376" i="6"/>
  <c r="O376" i="6"/>
  <c r="N376" i="6"/>
  <c r="L376" i="6"/>
  <c r="H376" i="6"/>
  <c r="F376" i="6"/>
  <c r="C376" i="6"/>
  <c r="AD375" i="6"/>
  <c r="AC375" i="6"/>
  <c r="AA375" i="6"/>
  <c r="X375" i="6"/>
  <c r="W375" i="6"/>
  <c r="U375" i="6"/>
  <c r="R375" i="6"/>
  <c r="O375" i="6"/>
  <c r="N375" i="6"/>
  <c r="L375" i="6"/>
  <c r="H375" i="6"/>
  <c r="I375" i="6" s="1"/>
  <c r="F375" i="6"/>
  <c r="C375" i="6"/>
  <c r="AC374" i="6"/>
  <c r="AD374" i="6" s="1"/>
  <c r="AA374" i="6"/>
  <c r="X374" i="6"/>
  <c r="W374" i="6"/>
  <c r="U374" i="6"/>
  <c r="R374" i="6"/>
  <c r="N374" i="6"/>
  <c r="O374" i="6" s="1"/>
  <c r="L374" i="6"/>
  <c r="H374" i="6"/>
  <c r="I374" i="6" s="1"/>
  <c r="F374" i="6"/>
  <c r="C374" i="6"/>
  <c r="AD373" i="6"/>
  <c r="AC373" i="6"/>
  <c r="AA373" i="6"/>
  <c r="X373" i="6"/>
  <c r="W373" i="6"/>
  <c r="U373" i="6"/>
  <c r="R373" i="6"/>
  <c r="O373" i="6"/>
  <c r="N373" i="6"/>
  <c r="L373" i="6"/>
  <c r="H373" i="6"/>
  <c r="I373" i="6" s="1"/>
  <c r="F373" i="6"/>
  <c r="C373" i="6"/>
  <c r="AC372" i="6"/>
  <c r="AD372" i="6" s="1"/>
  <c r="AA372" i="6"/>
  <c r="W372" i="6"/>
  <c r="X372" i="6" s="1"/>
  <c r="U372" i="6"/>
  <c r="R372" i="6"/>
  <c r="O372" i="6"/>
  <c r="N372" i="6"/>
  <c r="L372" i="6"/>
  <c r="H372" i="6"/>
  <c r="F372" i="6"/>
  <c r="C372" i="6"/>
  <c r="AC371" i="6"/>
  <c r="AD371" i="6" s="1"/>
  <c r="AA371" i="6"/>
  <c r="X371" i="6"/>
  <c r="W371" i="6"/>
  <c r="U371" i="6"/>
  <c r="R371" i="6"/>
  <c r="O371" i="6"/>
  <c r="N371" i="6"/>
  <c r="L371" i="6"/>
  <c r="H371" i="6"/>
  <c r="I371" i="6" s="1"/>
  <c r="F371" i="6"/>
  <c r="C371" i="6"/>
  <c r="AC370" i="6"/>
  <c r="AD370" i="6" s="1"/>
  <c r="AA370" i="6"/>
  <c r="X370" i="6"/>
  <c r="W370" i="6"/>
  <c r="U370" i="6"/>
  <c r="R370" i="6"/>
  <c r="N370" i="6"/>
  <c r="O370" i="6" s="1"/>
  <c r="L370" i="6"/>
  <c r="I370" i="6"/>
  <c r="H370" i="6"/>
  <c r="F370" i="6"/>
  <c r="C370" i="6"/>
  <c r="AD369" i="6"/>
  <c r="AC369" i="6"/>
  <c r="AA369" i="6"/>
  <c r="X369" i="6"/>
  <c r="W369" i="6"/>
  <c r="U369" i="6"/>
  <c r="R369" i="6"/>
  <c r="O369" i="6"/>
  <c r="N369" i="6"/>
  <c r="L369" i="6"/>
  <c r="H369" i="6"/>
  <c r="I369" i="6" s="1"/>
  <c r="F369" i="6"/>
  <c r="C369" i="6"/>
  <c r="AA368" i="6"/>
  <c r="Z368" i="6"/>
  <c r="T368" i="6"/>
  <c r="Q368" i="6"/>
  <c r="R368" i="6" s="1"/>
  <c r="K368" i="6"/>
  <c r="L368" i="6" s="1"/>
  <c r="I368" i="6"/>
  <c r="H368" i="6"/>
  <c r="E368" i="6"/>
  <c r="F368" i="6" s="1"/>
  <c r="C368" i="6"/>
  <c r="B368" i="6"/>
  <c r="AC367" i="6"/>
  <c r="AD367" i="6" s="1"/>
  <c r="AA367" i="6"/>
  <c r="X367" i="6"/>
  <c r="W367" i="6"/>
  <c r="U367" i="6"/>
  <c r="R367" i="6"/>
  <c r="N367" i="6"/>
  <c r="O367" i="6" s="1"/>
  <c r="L367" i="6"/>
  <c r="H367" i="6"/>
  <c r="I367" i="6" s="1"/>
  <c r="F367" i="6"/>
  <c r="C367" i="6"/>
  <c r="AD366" i="6"/>
  <c r="AC366" i="6"/>
  <c r="AA366" i="6"/>
  <c r="W366" i="6"/>
  <c r="X366" i="6" s="1"/>
  <c r="U366" i="6"/>
  <c r="R366" i="6"/>
  <c r="O366" i="6"/>
  <c r="N366" i="6"/>
  <c r="L366" i="6"/>
  <c r="H366" i="6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H365" i="6"/>
  <c r="F365" i="6"/>
  <c r="C365" i="6"/>
  <c r="AD364" i="6"/>
  <c r="AC364" i="6"/>
  <c r="AA364" i="6"/>
  <c r="X364" i="6"/>
  <c r="W364" i="6"/>
  <c r="U364" i="6"/>
  <c r="R364" i="6"/>
  <c r="O364" i="6"/>
  <c r="N364" i="6"/>
  <c r="L364" i="6"/>
  <c r="H364" i="6"/>
  <c r="F364" i="6"/>
  <c r="C364" i="6"/>
  <c r="AC363" i="6"/>
  <c r="AD363" i="6" s="1"/>
  <c r="AA363" i="6"/>
  <c r="X363" i="6"/>
  <c r="W363" i="6"/>
  <c r="U363" i="6"/>
  <c r="R363" i="6"/>
  <c r="N363" i="6"/>
  <c r="O363" i="6" s="1"/>
  <c r="L363" i="6"/>
  <c r="H363" i="6"/>
  <c r="I363" i="6" s="1"/>
  <c r="F363" i="6"/>
  <c r="C363" i="6"/>
  <c r="AD362" i="6"/>
  <c r="AC362" i="6"/>
  <c r="AA362" i="6"/>
  <c r="X362" i="6"/>
  <c r="W362" i="6"/>
  <c r="U362" i="6"/>
  <c r="R362" i="6"/>
  <c r="O362" i="6"/>
  <c r="N362" i="6"/>
  <c r="L362" i="6"/>
  <c r="H362" i="6"/>
  <c r="I362" i="6" s="1"/>
  <c r="F362" i="6"/>
  <c r="C362" i="6"/>
  <c r="AC361" i="6"/>
  <c r="AD361" i="6" s="1"/>
  <c r="AA361" i="6"/>
  <c r="W361" i="6"/>
  <c r="X361" i="6" s="1"/>
  <c r="U361" i="6"/>
  <c r="R361" i="6"/>
  <c r="O361" i="6"/>
  <c r="N361" i="6"/>
  <c r="L361" i="6"/>
  <c r="H361" i="6"/>
  <c r="F361" i="6"/>
  <c r="C361" i="6"/>
  <c r="AD360" i="6"/>
  <c r="AC360" i="6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AC358" i="6"/>
  <c r="AD358" i="6" s="1"/>
  <c r="AA358" i="6"/>
  <c r="Z358" i="6"/>
  <c r="U358" i="6"/>
  <c r="T358" i="6"/>
  <c r="Q358" i="6"/>
  <c r="K358" i="6"/>
  <c r="L358" i="6" s="1"/>
  <c r="E358" i="6"/>
  <c r="F358" i="6" s="1"/>
  <c r="C358" i="6"/>
  <c r="B358" i="6"/>
  <c r="AC357" i="6"/>
  <c r="AD357" i="6" s="1"/>
  <c r="AA357" i="6"/>
  <c r="W357" i="6"/>
  <c r="X357" i="6" s="1"/>
  <c r="U357" i="6"/>
  <c r="R357" i="6"/>
  <c r="O357" i="6"/>
  <c r="N357" i="6"/>
  <c r="L357" i="6"/>
  <c r="H357" i="6"/>
  <c r="F357" i="6"/>
  <c r="C357" i="6"/>
  <c r="AC356" i="6"/>
  <c r="AD356" i="6" s="1"/>
  <c r="AA356" i="6"/>
  <c r="X356" i="6"/>
  <c r="W356" i="6"/>
  <c r="U356" i="6"/>
  <c r="R356" i="6"/>
  <c r="O356" i="6"/>
  <c r="N356" i="6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N355" i="6"/>
  <c r="O355" i="6" s="1"/>
  <c r="L355" i="6"/>
  <c r="H355" i="6"/>
  <c r="I355" i="6" s="1"/>
  <c r="F355" i="6"/>
  <c r="C355" i="6"/>
  <c r="AD354" i="6"/>
  <c r="AC354" i="6"/>
  <c r="AA354" i="6"/>
  <c r="W354" i="6"/>
  <c r="X354" i="6" s="1"/>
  <c r="U354" i="6"/>
  <c r="R354" i="6"/>
  <c r="O354" i="6"/>
  <c r="N354" i="6"/>
  <c r="L354" i="6"/>
  <c r="I354" i="6"/>
  <c r="H354" i="6"/>
  <c r="F354" i="6"/>
  <c r="C354" i="6"/>
  <c r="AC353" i="6"/>
  <c r="AD353" i="6" s="1"/>
  <c r="AA353" i="6"/>
  <c r="W353" i="6"/>
  <c r="X353" i="6" s="1"/>
  <c r="U353" i="6"/>
  <c r="R353" i="6"/>
  <c r="N353" i="6"/>
  <c r="O353" i="6" s="1"/>
  <c r="L353" i="6"/>
  <c r="H353" i="6"/>
  <c r="F353" i="6"/>
  <c r="C353" i="6"/>
  <c r="AD352" i="6"/>
  <c r="AC352" i="6"/>
  <c r="AA352" i="6"/>
  <c r="X352" i="6"/>
  <c r="W352" i="6"/>
  <c r="U352" i="6"/>
  <c r="R352" i="6"/>
  <c r="O352" i="6"/>
  <c r="N352" i="6"/>
  <c r="L352" i="6"/>
  <c r="H352" i="6"/>
  <c r="I352" i="6" s="1"/>
  <c r="F352" i="6"/>
  <c r="C352" i="6"/>
  <c r="AD351" i="6"/>
  <c r="AC351" i="6"/>
  <c r="AA351" i="6"/>
  <c r="W351" i="6"/>
  <c r="X351" i="6" s="1"/>
  <c r="U351" i="6"/>
  <c r="R351" i="6"/>
  <c r="N351" i="6"/>
  <c r="O351" i="6" s="1"/>
  <c r="L351" i="6"/>
  <c r="I351" i="6"/>
  <c r="H351" i="6"/>
  <c r="F351" i="6"/>
  <c r="C351" i="6"/>
  <c r="AD350" i="6"/>
  <c r="AC350" i="6"/>
  <c r="AA350" i="6"/>
  <c r="X350" i="6"/>
  <c r="W350" i="6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W349" i="6"/>
  <c r="X349" i="6" s="1"/>
  <c r="U349" i="6"/>
  <c r="R349" i="6"/>
  <c r="O349" i="6"/>
  <c r="N349" i="6"/>
  <c r="L349" i="6"/>
  <c r="H349" i="6"/>
  <c r="F349" i="6"/>
  <c r="C349" i="6"/>
  <c r="AC347" i="6"/>
  <c r="AD347" i="6" s="1"/>
  <c r="AA347" i="6"/>
  <c r="X347" i="6"/>
  <c r="W347" i="6"/>
  <c r="U347" i="6"/>
  <c r="R347" i="6"/>
  <c r="O347" i="6"/>
  <c r="N347" i="6"/>
  <c r="L347" i="6"/>
  <c r="I347" i="6"/>
  <c r="H347" i="6"/>
  <c r="F347" i="6"/>
  <c r="C347" i="6"/>
  <c r="AC344" i="6"/>
  <c r="AD344" i="6" s="1"/>
  <c r="AA344" i="6"/>
  <c r="Z344" i="6"/>
  <c r="T344" i="6"/>
  <c r="U344" i="6" s="1"/>
  <c r="Q344" i="6"/>
  <c r="W344" i="6" s="1"/>
  <c r="X344" i="6" s="1"/>
  <c r="L344" i="6"/>
  <c r="K344" i="6"/>
  <c r="E344" i="6"/>
  <c r="H344" i="6" s="1"/>
  <c r="I344" i="6" s="1"/>
  <c r="C344" i="6"/>
  <c r="B344" i="6"/>
  <c r="N344" i="6" s="1"/>
  <c r="O344" i="6" s="1"/>
  <c r="AA343" i="6"/>
  <c r="Z343" i="6"/>
  <c r="U343" i="6"/>
  <c r="T343" i="6"/>
  <c r="Q343" i="6"/>
  <c r="K343" i="6"/>
  <c r="L343" i="6" s="1"/>
  <c r="E343" i="6"/>
  <c r="F343" i="6" s="1"/>
  <c r="C343" i="6"/>
  <c r="B343" i="6"/>
  <c r="AA342" i="6"/>
  <c r="Z342" i="6"/>
  <c r="X342" i="6"/>
  <c r="W342" i="6"/>
  <c r="T342" i="6"/>
  <c r="U342" i="6" s="1"/>
  <c r="R342" i="6"/>
  <c r="Q342" i="6"/>
  <c r="AC342" i="6" s="1"/>
  <c r="AD342" i="6" s="1"/>
  <c r="K342" i="6"/>
  <c r="L342" i="6" s="1"/>
  <c r="H342" i="6"/>
  <c r="I342" i="6" s="1"/>
  <c r="F342" i="6"/>
  <c r="E342" i="6"/>
  <c r="C342" i="6"/>
  <c r="B342" i="6"/>
  <c r="AC341" i="6"/>
  <c r="AD341" i="6" s="1"/>
  <c r="AA341" i="6"/>
  <c r="W341" i="6"/>
  <c r="X341" i="6" s="1"/>
  <c r="U341" i="6"/>
  <c r="R341" i="6"/>
  <c r="N341" i="6"/>
  <c r="O341" i="6" s="1"/>
  <c r="L341" i="6"/>
  <c r="H341" i="6"/>
  <c r="I341" i="6" s="1"/>
  <c r="F341" i="6"/>
  <c r="C341" i="6"/>
  <c r="AD340" i="6"/>
  <c r="AC340" i="6"/>
  <c r="AA340" i="6"/>
  <c r="W340" i="6"/>
  <c r="X340" i="6" s="1"/>
  <c r="U340" i="6"/>
  <c r="R340" i="6"/>
  <c r="O340" i="6"/>
  <c r="N340" i="6"/>
  <c r="L340" i="6"/>
  <c r="I340" i="6"/>
  <c r="H340" i="6"/>
  <c r="F340" i="6"/>
  <c r="C340" i="6"/>
  <c r="AC339" i="6"/>
  <c r="AD339" i="6" s="1"/>
  <c r="AA339" i="6"/>
  <c r="W339" i="6"/>
  <c r="X339" i="6" s="1"/>
  <c r="U339" i="6"/>
  <c r="R339" i="6"/>
  <c r="N339" i="6"/>
  <c r="O339" i="6" s="1"/>
  <c r="L339" i="6"/>
  <c r="H339" i="6"/>
  <c r="F339" i="6"/>
  <c r="C339" i="6"/>
  <c r="AD338" i="6"/>
  <c r="AC338" i="6"/>
  <c r="AA338" i="6"/>
  <c r="X338" i="6"/>
  <c r="W338" i="6"/>
  <c r="U338" i="6"/>
  <c r="R338" i="6"/>
  <c r="O338" i="6"/>
  <c r="N338" i="6"/>
  <c r="L338" i="6"/>
  <c r="H338" i="6"/>
  <c r="I338" i="6" s="1"/>
  <c r="F338" i="6"/>
  <c r="C338" i="6"/>
  <c r="AD337" i="6"/>
  <c r="AC337" i="6"/>
  <c r="AA337" i="6"/>
  <c r="W337" i="6"/>
  <c r="X337" i="6" s="1"/>
  <c r="U337" i="6"/>
  <c r="R337" i="6"/>
  <c r="N337" i="6"/>
  <c r="O337" i="6" s="1"/>
  <c r="L337" i="6"/>
  <c r="I337" i="6"/>
  <c r="H337" i="6"/>
  <c r="F337" i="6"/>
  <c r="C337" i="6"/>
  <c r="AD335" i="6"/>
  <c r="AC335" i="6"/>
  <c r="AA335" i="6"/>
  <c r="X335" i="6"/>
  <c r="W335" i="6"/>
  <c r="U335" i="6"/>
  <c r="R335" i="6"/>
  <c r="O335" i="6"/>
  <c r="N335" i="6"/>
  <c r="L335" i="6"/>
  <c r="H335" i="6"/>
  <c r="I335" i="6" s="1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H334" i="6"/>
  <c r="F334" i="6"/>
  <c r="C334" i="6"/>
  <c r="AC333" i="6"/>
  <c r="AD333" i="6" s="1"/>
  <c r="AA333" i="6"/>
  <c r="X333" i="6"/>
  <c r="W333" i="6"/>
  <c r="U333" i="6"/>
  <c r="R333" i="6"/>
  <c r="O333" i="6"/>
  <c r="N333" i="6"/>
  <c r="L333" i="6"/>
  <c r="I333" i="6"/>
  <c r="H333" i="6"/>
  <c r="F333" i="6"/>
  <c r="C333" i="6"/>
  <c r="AC332" i="6"/>
  <c r="AD332" i="6" s="1"/>
  <c r="AA332" i="6"/>
  <c r="X332" i="6"/>
  <c r="W332" i="6"/>
  <c r="U332" i="6"/>
  <c r="R332" i="6"/>
  <c r="N332" i="6"/>
  <c r="O332" i="6" s="1"/>
  <c r="L332" i="6"/>
  <c r="I332" i="6"/>
  <c r="H332" i="6"/>
  <c r="F332" i="6"/>
  <c r="C332" i="6"/>
  <c r="AD331" i="6"/>
  <c r="AC331" i="6"/>
  <c r="AA331" i="6"/>
  <c r="X331" i="6"/>
  <c r="W331" i="6"/>
  <c r="U331" i="6"/>
  <c r="R331" i="6"/>
  <c r="O331" i="6"/>
  <c r="N331" i="6"/>
  <c r="L331" i="6"/>
  <c r="H331" i="6"/>
  <c r="I331" i="6" s="1"/>
  <c r="F331" i="6"/>
  <c r="C331" i="6"/>
  <c r="AD330" i="6"/>
  <c r="AC330" i="6"/>
  <c r="AA330" i="6"/>
  <c r="W330" i="6"/>
  <c r="X330" i="6" s="1"/>
  <c r="U330" i="6"/>
  <c r="R330" i="6"/>
  <c r="O330" i="6"/>
  <c r="N330" i="6"/>
  <c r="L330" i="6"/>
  <c r="H330" i="6"/>
  <c r="F330" i="6"/>
  <c r="C330" i="6"/>
  <c r="AC329" i="6"/>
  <c r="AD329" i="6" s="1"/>
  <c r="AA329" i="6"/>
  <c r="X329" i="6"/>
  <c r="W329" i="6"/>
  <c r="U329" i="6"/>
  <c r="R329" i="6"/>
  <c r="N329" i="6"/>
  <c r="O329" i="6" s="1"/>
  <c r="L329" i="6"/>
  <c r="I329" i="6"/>
  <c r="H329" i="6"/>
  <c r="F329" i="6"/>
  <c r="C329" i="6"/>
  <c r="AD328" i="6"/>
  <c r="AC328" i="6"/>
  <c r="AA328" i="6"/>
  <c r="W328" i="6"/>
  <c r="X328" i="6" s="1"/>
  <c r="U328" i="6"/>
  <c r="R328" i="6"/>
  <c r="N328" i="6"/>
  <c r="O328" i="6" s="1"/>
  <c r="L328" i="6"/>
  <c r="H328" i="6"/>
  <c r="I328" i="6" s="1"/>
  <c r="F328" i="6"/>
  <c r="C328" i="6"/>
  <c r="AA325" i="6"/>
  <c r="Z325" i="6"/>
  <c r="X325" i="6"/>
  <c r="W325" i="6"/>
  <c r="T325" i="6"/>
  <c r="U325" i="6" s="1"/>
  <c r="R325" i="6"/>
  <c r="Q325" i="6"/>
  <c r="N325" i="6"/>
  <c r="O325" i="6" s="1"/>
  <c r="L325" i="6"/>
  <c r="K325" i="6"/>
  <c r="E325" i="6"/>
  <c r="F325" i="6" s="1"/>
  <c r="B325" i="6"/>
  <c r="H325" i="6" s="1"/>
  <c r="I325" i="6" s="1"/>
  <c r="AA324" i="6"/>
  <c r="Z324" i="6"/>
  <c r="T324" i="6"/>
  <c r="U324" i="6" s="1"/>
  <c r="Q324" i="6"/>
  <c r="K324" i="6"/>
  <c r="L324" i="6" s="1"/>
  <c r="F324" i="6"/>
  <c r="E324" i="6"/>
  <c r="C324" i="6"/>
  <c r="B324" i="6"/>
  <c r="AC323" i="6"/>
  <c r="AD323" i="6" s="1"/>
  <c r="AA323" i="6"/>
  <c r="W323" i="6"/>
  <c r="X323" i="6" s="1"/>
  <c r="U323" i="6"/>
  <c r="R323" i="6"/>
  <c r="O323" i="6"/>
  <c r="N323" i="6"/>
  <c r="L323" i="6"/>
  <c r="I323" i="6"/>
  <c r="H323" i="6"/>
  <c r="F323" i="6"/>
  <c r="C323" i="6"/>
  <c r="AD322" i="6"/>
  <c r="AC322" i="6"/>
  <c r="AA322" i="6"/>
  <c r="W322" i="6"/>
  <c r="X322" i="6" s="1"/>
  <c r="U322" i="6"/>
  <c r="R322" i="6"/>
  <c r="N322" i="6"/>
  <c r="O322" i="6" s="1"/>
  <c r="L322" i="6"/>
  <c r="H322" i="6"/>
  <c r="I322" i="6" s="1"/>
  <c r="F322" i="6"/>
  <c r="C322" i="6"/>
  <c r="AD321" i="6"/>
  <c r="AC321" i="6"/>
  <c r="AA321" i="6"/>
  <c r="X321" i="6"/>
  <c r="W321" i="6"/>
  <c r="U321" i="6"/>
  <c r="R321" i="6"/>
  <c r="O321" i="6"/>
  <c r="N321" i="6"/>
  <c r="L321" i="6"/>
  <c r="H321" i="6"/>
  <c r="I321" i="6" s="1"/>
  <c r="F321" i="6"/>
  <c r="C321" i="6"/>
  <c r="AD320" i="6"/>
  <c r="AC320" i="6"/>
  <c r="AA320" i="6"/>
  <c r="W320" i="6"/>
  <c r="X320" i="6" s="1"/>
  <c r="U320" i="6"/>
  <c r="R320" i="6"/>
  <c r="N320" i="6"/>
  <c r="O320" i="6" s="1"/>
  <c r="L320" i="6"/>
  <c r="I320" i="6"/>
  <c r="H320" i="6"/>
  <c r="F320" i="6"/>
  <c r="C320" i="6"/>
  <c r="AC319" i="6"/>
  <c r="AD319" i="6" s="1"/>
  <c r="AA319" i="6"/>
  <c r="W319" i="6"/>
  <c r="X319" i="6" s="1"/>
  <c r="U319" i="6"/>
  <c r="R319" i="6"/>
  <c r="O319" i="6"/>
  <c r="N319" i="6"/>
  <c r="L319" i="6"/>
  <c r="I319" i="6"/>
  <c r="H319" i="6"/>
  <c r="F319" i="6"/>
  <c r="C319" i="6"/>
  <c r="AD318" i="6"/>
  <c r="AC318" i="6"/>
  <c r="AA318" i="6"/>
  <c r="W318" i="6"/>
  <c r="X318" i="6" s="1"/>
  <c r="U318" i="6"/>
  <c r="R318" i="6"/>
  <c r="O318" i="6"/>
  <c r="N318" i="6"/>
  <c r="L318" i="6"/>
  <c r="H318" i="6"/>
  <c r="F318" i="6"/>
  <c r="C318" i="6"/>
  <c r="AD317" i="6"/>
  <c r="AC317" i="6"/>
  <c r="AA317" i="6"/>
  <c r="X317" i="6"/>
  <c r="W317" i="6"/>
  <c r="U317" i="6"/>
  <c r="R317" i="6"/>
  <c r="N317" i="6"/>
  <c r="O317" i="6" s="1"/>
  <c r="L317" i="6"/>
  <c r="I317" i="6"/>
  <c r="H317" i="6"/>
  <c r="F317" i="6"/>
  <c r="C317" i="6"/>
  <c r="AC316" i="6"/>
  <c r="AD316" i="6" s="1"/>
  <c r="AA316" i="6"/>
  <c r="X316" i="6"/>
  <c r="W316" i="6"/>
  <c r="U316" i="6"/>
  <c r="R316" i="6"/>
  <c r="N316" i="6"/>
  <c r="O316" i="6" s="1"/>
  <c r="L316" i="6"/>
  <c r="H316" i="6"/>
  <c r="I316" i="6" s="1"/>
  <c r="F316" i="6"/>
  <c r="C316" i="6"/>
  <c r="AC315" i="6"/>
  <c r="AD315" i="6" s="1"/>
  <c r="AA315" i="6"/>
  <c r="W315" i="6"/>
  <c r="X315" i="6" s="1"/>
  <c r="U315" i="6"/>
  <c r="R315" i="6"/>
  <c r="O315" i="6"/>
  <c r="N315" i="6"/>
  <c r="L315" i="6"/>
  <c r="I315" i="6"/>
  <c r="H315" i="6"/>
  <c r="F315" i="6"/>
  <c r="C315" i="6"/>
  <c r="AC314" i="6"/>
  <c r="AD314" i="6" s="1"/>
  <c r="AA314" i="6"/>
  <c r="W314" i="6"/>
  <c r="X314" i="6" s="1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X313" i="6"/>
  <c r="W313" i="6"/>
  <c r="U313" i="6"/>
  <c r="R313" i="6"/>
  <c r="O313" i="6"/>
  <c r="N313" i="6"/>
  <c r="L313" i="6"/>
  <c r="H313" i="6"/>
  <c r="I313" i="6" s="1"/>
  <c r="F313" i="6"/>
  <c r="C313" i="6"/>
  <c r="AD312" i="6"/>
  <c r="AC312" i="6"/>
  <c r="AA312" i="6"/>
  <c r="W312" i="6"/>
  <c r="X312" i="6" s="1"/>
  <c r="U312" i="6"/>
  <c r="R312" i="6"/>
  <c r="N312" i="6"/>
  <c r="O312" i="6" s="1"/>
  <c r="L312" i="6"/>
  <c r="I312" i="6"/>
  <c r="H312" i="6"/>
  <c r="F312" i="6"/>
  <c r="C312" i="6"/>
  <c r="AC311" i="6"/>
  <c r="AD311" i="6" s="1"/>
  <c r="AA311" i="6"/>
  <c r="W311" i="6"/>
  <c r="X311" i="6" s="1"/>
  <c r="U311" i="6"/>
  <c r="R311" i="6"/>
  <c r="O311" i="6"/>
  <c r="N311" i="6"/>
  <c r="L311" i="6"/>
  <c r="I311" i="6"/>
  <c r="H311" i="6"/>
  <c r="F311" i="6"/>
  <c r="C311" i="6"/>
  <c r="AD310" i="6"/>
  <c r="AC310" i="6"/>
  <c r="AA310" i="6"/>
  <c r="W310" i="6"/>
  <c r="X310" i="6" s="1"/>
  <c r="U310" i="6"/>
  <c r="R310" i="6"/>
  <c r="O310" i="6"/>
  <c r="N310" i="6"/>
  <c r="L310" i="6"/>
  <c r="H310" i="6"/>
  <c r="F310" i="6"/>
  <c r="C310" i="6"/>
  <c r="AD309" i="6"/>
  <c r="AC309" i="6"/>
  <c r="AA309" i="6"/>
  <c r="X309" i="6"/>
  <c r="W309" i="6"/>
  <c r="U309" i="6"/>
  <c r="R309" i="6"/>
  <c r="O309" i="6"/>
  <c r="N309" i="6"/>
  <c r="L309" i="6"/>
  <c r="I309" i="6"/>
  <c r="H309" i="6"/>
  <c r="F309" i="6"/>
  <c r="C309" i="6"/>
  <c r="AC308" i="6"/>
  <c r="AD308" i="6" s="1"/>
  <c r="AA308" i="6"/>
  <c r="X308" i="6"/>
  <c r="W308" i="6"/>
  <c r="U308" i="6"/>
  <c r="R308" i="6"/>
  <c r="N308" i="6"/>
  <c r="O308" i="6" s="1"/>
  <c r="L308" i="6"/>
  <c r="H308" i="6"/>
  <c r="I308" i="6" s="1"/>
  <c r="F308" i="6"/>
  <c r="C308" i="6"/>
  <c r="AC307" i="6"/>
  <c r="AD307" i="6" s="1"/>
  <c r="AA307" i="6"/>
  <c r="W307" i="6"/>
  <c r="X307" i="6" s="1"/>
  <c r="U307" i="6"/>
  <c r="R307" i="6"/>
  <c r="O307" i="6"/>
  <c r="N307" i="6"/>
  <c r="L307" i="6"/>
  <c r="I307" i="6"/>
  <c r="H307" i="6"/>
  <c r="F307" i="6"/>
  <c r="C307" i="6"/>
  <c r="AC306" i="6"/>
  <c r="AD306" i="6" s="1"/>
  <c r="AA306" i="6"/>
  <c r="W306" i="6"/>
  <c r="X306" i="6" s="1"/>
  <c r="U306" i="6"/>
  <c r="R306" i="6"/>
  <c r="N306" i="6"/>
  <c r="O306" i="6" s="1"/>
  <c r="L306" i="6"/>
  <c r="H306" i="6"/>
  <c r="I306" i="6" s="1"/>
  <c r="F306" i="6"/>
  <c r="C306" i="6"/>
  <c r="AD305" i="6"/>
  <c r="AC305" i="6"/>
  <c r="AA305" i="6"/>
  <c r="X305" i="6"/>
  <c r="W305" i="6"/>
  <c r="U305" i="6"/>
  <c r="R305" i="6"/>
  <c r="O305" i="6"/>
  <c r="N305" i="6"/>
  <c r="L305" i="6"/>
  <c r="H305" i="6"/>
  <c r="I305" i="6" s="1"/>
  <c r="F305" i="6"/>
  <c r="C305" i="6"/>
  <c r="AD304" i="6"/>
  <c r="AC304" i="6"/>
  <c r="AA304" i="6"/>
  <c r="W304" i="6"/>
  <c r="X304" i="6" s="1"/>
  <c r="U304" i="6"/>
  <c r="R304" i="6"/>
  <c r="N304" i="6"/>
  <c r="O304" i="6" s="1"/>
  <c r="L304" i="6"/>
  <c r="I304" i="6"/>
  <c r="H304" i="6"/>
  <c r="F304" i="6"/>
  <c r="C304" i="6"/>
  <c r="AC303" i="6"/>
  <c r="AD303" i="6" s="1"/>
  <c r="AA303" i="6"/>
  <c r="W303" i="6"/>
  <c r="X303" i="6" s="1"/>
  <c r="U303" i="6"/>
  <c r="R303" i="6"/>
  <c r="O303" i="6"/>
  <c r="N303" i="6"/>
  <c r="L303" i="6"/>
  <c r="H303" i="6"/>
  <c r="I303" i="6" s="1"/>
  <c r="F303" i="6"/>
  <c r="C303" i="6"/>
  <c r="AD302" i="6"/>
  <c r="AC302" i="6"/>
  <c r="AA302" i="6"/>
  <c r="W302" i="6"/>
  <c r="X302" i="6" s="1"/>
  <c r="U302" i="6"/>
  <c r="R302" i="6"/>
  <c r="O302" i="6"/>
  <c r="N302" i="6"/>
  <c r="L302" i="6"/>
  <c r="H302" i="6"/>
  <c r="F302" i="6"/>
  <c r="C302" i="6"/>
  <c r="AC301" i="6"/>
  <c r="AD301" i="6" s="1"/>
  <c r="AA301" i="6"/>
  <c r="X301" i="6"/>
  <c r="W301" i="6"/>
  <c r="U301" i="6"/>
  <c r="R301" i="6"/>
  <c r="O301" i="6"/>
  <c r="N301" i="6"/>
  <c r="L301" i="6"/>
  <c r="I301" i="6"/>
  <c r="H301" i="6"/>
  <c r="F301" i="6"/>
  <c r="C301" i="6"/>
  <c r="AC300" i="6"/>
  <c r="AD300" i="6" s="1"/>
  <c r="AA300" i="6"/>
  <c r="W300" i="6"/>
  <c r="X300" i="6" s="1"/>
  <c r="U300" i="6"/>
  <c r="R300" i="6"/>
  <c r="N300" i="6"/>
  <c r="O300" i="6" s="1"/>
  <c r="L300" i="6"/>
  <c r="H300" i="6"/>
  <c r="I300" i="6" s="1"/>
  <c r="F300" i="6"/>
  <c r="C300" i="6"/>
  <c r="AC299" i="6"/>
  <c r="AD299" i="6" s="1"/>
  <c r="AA299" i="6"/>
  <c r="W299" i="6"/>
  <c r="X299" i="6" s="1"/>
  <c r="U299" i="6"/>
  <c r="R299" i="6"/>
  <c r="O299" i="6"/>
  <c r="N299" i="6"/>
  <c r="L299" i="6"/>
  <c r="I299" i="6"/>
  <c r="H299" i="6"/>
  <c r="F299" i="6"/>
  <c r="C299" i="6"/>
  <c r="AC298" i="6"/>
  <c r="AD298" i="6" s="1"/>
  <c r="AA298" i="6"/>
  <c r="W298" i="6"/>
  <c r="X298" i="6" s="1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X297" i="6"/>
  <c r="W297" i="6"/>
  <c r="U297" i="6"/>
  <c r="R297" i="6"/>
  <c r="O297" i="6"/>
  <c r="N297" i="6"/>
  <c r="L297" i="6"/>
  <c r="H297" i="6"/>
  <c r="I297" i="6" s="1"/>
  <c r="F297" i="6"/>
  <c r="C297" i="6"/>
  <c r="AA295" i="6"/>
  <c r="Z295" i="6"/>
  <c r="W295" i="6"/>
  <c r="X295" i="6" s="1"/>
  <c r="T295" i="6"/>
  <c r="U295" i="6" s="1"/>
  <c r="Q295" i="6"/>
  <c r="AC295" i="6" s="1"/>
  <c r="AD295" i="6" s="1"/>
  <c r="K295" i="6"/>
  <c r="L295" i="6" s="1"/>
  <c r="E295" i="6"/>
  <c r="F295" i="6" s="1"/>
  <c r="B295" i="6"/>
  <c r="AD294" i="6"/>
  <c r="AC294" i="6"/>
  <c r="AA294" i="6"/>
  <c r="W294" i="6"/>
  <c r="X294" i="6" s="1"/>
  <c r="U294" i="6"/>
  <c r="R294" i="6"/>
  <c r="N294" i="6"/>
  <c r="O294" i="6" s="1"/>
  <c r="L294" i="6"/>
  <c r="H294" i="6"/>
  <c r="I294" i="6" s="1"/>
  <c r="F294" i="6"/>
  <c r="C294" i="6"/>
  <c r="AC293" i="6"/>
  <c r="AD293" i="6" s="1"/>
  <c r="AA293" i="6"/>
  <c r="X293" i="6"/>
  <c r="W293" i="6"/>
  <c r="U293" i="6"/>
  <c r="R293" i="6"/>
  <c r="N293" i="6"/>
  <c r="O293" i="6" s="1"/>
  <c r="L293" i="6"/>
  <c r="I293" i="6"/>
  <c r="H293" i="6"/>
  <c r="F293" i="6"/>
  <c r="C293" i="6"/>
  <c r="AC292" i="6"/>
  <c r="AD292" i="6" s="1"/>
  <c r="AA292" i="6"/>
  <c r="X292" i="6"/>
  <c r="W292" i="6"/>
  <c r="U292" i="6"/>
  <c r="R292" i="6"/>
  <c r="N292" i="6"/>
  <c r="O292" i="6" s="1"/>
  <c r="L292" i="6"/>
  <c r="H292" i="6"/>
  <c r="I292" i="6" s="1"/>
  <c r="F292" i="6"/>
  <c r="C292" i="6"/>
  <c r="AC291" i="6"/>
  <c r="AD291" i="6" s="1"/>
  <c r="AA291" i="6"/>
  <c r="X291" i="6"/>
  <c r="W291" i="6"/>
  <c r="U291" i="6"/>
  <c r="R291" i="6"/>
  <c r="O291" i="6"/>
  <c r="N291" i="6"/>
  <c r="L291" i="6"/>
  <c r="I291" i="6"/>
  <c r="H291" i="6"/>
  <c r="F291" i="6"/>
  <c r="C291" i="6"/>
  <c r="AC290" i="6"/>
  <c r="AD290" i="6" s="1"/>
  <c r="AA290" i="6"/>
  <c r="W290" i="6"/>
  <c r="X290" i="6" s="1"/>
  <c r="U290" i="6"/>
  <c r="R290" i="6"/>
  <c r="N290" i="6"/>
  <c r="O290" i="6" s="1"/>
  <c r="L290" i="6"/>
  <c r="H290" i="6"/>
  <c r="I290" i="6" s="1"/>
  <c r="F290" i="6"/>
  <c r="C290" i="6"/>
  <c r="AD289" i="6"/>
  <c r="AC289" i="6"/>
  <c r="AA289" i="6"/>
  <c r="X289" i="6"/>
  <c r="W289" i="6"/>
  <c r="U289" i="6"/>
  <c r="R289" i="6"/>
  <c r="O289" i="6"/>
  <c r="N289" i="6"/>
  <c r="L289" i="6"/>
  <c r="H289" i="6"/>
  <c r="I289" i="6" s="1"/>
  <c r="F289" i="6"/>
  <c r="C289" i="6"/>
  <c r="AC288" i="6"/>
  <c r="AD288" i="6" s="1"/>
  <c r="AA288" i="6"/>
  <c r="X288" i="6"/>
  <c r="W288" i="6"/>
  <c r="U288" i="6"/>
  <c r="R288" i="6"/>
  <c r="N288" i="6"/>
  <c r="O288" i="6" s="1"/>
  <c r="L288" i="6"/>
  <c r="I288" i="6"/>
  <c r="H288" i="6"/>
  <c r="F288" i="6"/>
  <c r="C288" i="6"/>
  <c r="AD287" i="6"/>
  <c r="AC287" i="6"/>
  <c r="AA287" i="6"/>
  <c r="W287" i="6"/>
  <c r="X287" i="6" s="1"/>
  <c r="U287" i="6"/>
  <c r="R287" i="6"/>
  <c r="O287" i="6"/>
  <c r="N287" i="6"/>
  <c r="L287" i="6"/>
  <c r="I287" i="6"/>
  <c r="H287" i="6"/>
  <c r="F287" i="6"/>
  <c r="C287" i="6"/>
  <c r="AD286" i="6"/>
  <c r="AC286" i="6"/>
  <c r="AA286" i="6"/>
  <c r="W286" i="6"/>
  <c r="X286" i="6" s="1"/>
  <c r="U286" i="6"/>
  <c r="R286" i="6"/>
  <c r="O286" i="6"/>
  <c r="N286" i="6"/>
  <c r="L286" i="6"/>
  <c r="H286" i="6"/>
  <c r="F286" i="6"/>
  <c r="C286" i="6"/>
  <c r="AA284" i="6"/>
  <c r="Z284" i="6"/>
  <c r="U284" i="6"/>
  <c r="T284" i="6"/>
  <c r="Q284" i="6"/>
  <c r="N284" i="6"/>
  <c r="O284" i="6" s="1"/>
  <c r="K284" i="6"/>
  <c r="L284" i="6" s="1"/>
  <c r="E284" i="6"/>
  <c r="F284" i="6" s="1"/>
  <c r="C284" i="6"/>
  <c r="B284" i="6"/>
  <c r="H284" i="6" s="1"/>
  <c r="I284" i="6" s="1"/>
  <c r="AC283" i="6"/>
  <c r="AD283" i="6" s="1"/>
  <c r="AA283" i="6"/>
  <c r="X283" i="6"/>
  <c r="W283" i="6"/>
  <c r="U283" i="6"/>
  <c r="R283" i="6"/>
  <c r="O283" i="6"/>
  <c r="N283" i="6"/>
  <c r="L283" i="6"/>
  <c r="I283" i="6"/>
  <c r="H283" i="6"/>
  <c r="F283" i="6"/>
  <c r="C283" i="6"/>
  <c r="AC282" i="6"/>
  <c r="AD282" i="6" s="1"/>
  <c r="AA282" i="6"/>
  <c r="W282" i="6"/>
  <c r="X282" i="6" s="1"/>
  <c r="U282" i="6"/>
  <c r="R282" i="6"/>
  <c r="O282" i="6"/>
  <c r="N282" i="6"/>
  <c r="L282" i="6"/>
  <c r="H282" i="6"/>
  <c r="I282" i="6" s="1"/>
  <c r="F282" i="6"/>
  <c r="C282" i="6"/>
  <c r="AD281" i="6"/>
  <c r="AC281" i="6"/>
  <c r="AA281" i="6"/>
  <c r="X281" i="6"/>
  <c r="W281" i="6"/>
  <c r="U281" i="6"/>
  <c r="R281" i="6"/>
  <c r="N281" i="6"/>
  <c r="O281" i="6" s="1"/>
  <c r="L281" i="6"/>
  <c r="I281" i="6"/>
  <c r="H281" i="6"/>
  <c r="F281" i="6"/>
  <c r="C281" i="6"/>
  <c r="AD280" i="6"/>
  <c r="AC280" i="6"/>
  <c r="AA280" i="6"/>
  <c r="X280" i="6"/>
  <c r="W280" i="6"/>
  <c r="U280" i="6"/>
  <c r="R280" i="6"/>
  <c r="N280" i="6"/>
  <c r="O280" i="6" s="1"/>
  <c r="L280" i="6"/>
  <c r="H280" i="6"/>
  <c r="I280" i="6" s="1"/>
  <c r="F280" i="6"/>
  <c r="C280" i="6"/>
  <c r="AC279" i="6"/>
  <c r="AD279" i="6" s="1"/>
  <c r="AA279" i="6"/>
  <c r="X279" i="6"/>
  <c r="W279" i="6"/>
  <c r="U279" i="6"/>
  <c r="R279" i="6"/>
  <c r="O279" i="6"/>
  <c r="N279" i="6"/>
  <c r="L279" i="6"/>
  <c r="H279" i="6"/>
  <c r="I279" i="6" s="1"/>
  <c r="F279" i="6"/>
  <c r="C279" i="6"/>
  <c r="AD278" i="6"/>
  <c r="AC278" i="6"/>
  <c r="AA278" i="6"/>
  <c r="W278" i="6"/>
  <c r="X278" i="6" s="1"/>
  <c r="U278" i="6"/>
  <c r="R278" i="6"/>
  <c r="O278" i="6"/>
  <c r="N278" i="6"/>
  <c r="L278" i="6"/>
  <c r="H278" i="6"/>
  <c r="I278" i="6" s="1"/>
  <c r="F278" i="6"/>
  <c r="C278" i="6"/>
  <c r="AC277" i="6"/>
  <c r="AD277" i="6" s="1"/>
  <c r="AA277" i="6"/>
  <c r="X277" i="6"/>
  <c r="W277" i="6"/>
  <c r="U277" i="6"/>
  <c r="R277" i="6"/>
  <c r="N277" i="6"/>
  <c r="O277" i="6" s="1"/>
  <c r="L277" i="6"/>
  <c r="I277" i="6"/>
  <c r="H277" i="6"/>
  <c r="F277" i="6"/>
  <c r="C277" i="6"/>
  <c r="AD276" i="6"/>
  <c r="AC276" i="6"/>
  <c r="AA276" i="6"/>
  <c r="W276" i="6"/>
  <c r="X276" i="6" s="1"/>
  <c r="U276" i="6"/>
  <c r="R276" i="6"/>
  <c r="N276" i="6"/>
  <c r="O276" i="6" s="1"/>
  <c r="L276" i="6"/>
  <c r="H276" i="6"/>
  <c r="I276" i="6" s="1"/>
  <c r="F276" i="6"/>
  <c r="C276" i="6"/>
  <c r="AC275" i="6"/>
  <c r="AD275" i="6" s="1"/>
  <c r="AA275" i="6"/>
  <c r="X275" i="6"/>
  <c r="W275" i="6"/>
  <c r="U275" i="6"/>
  <c r="R275" i="6"/>
  <c r="O275" i="6"/>
  <c r="N275" i="6"/>
  <c r="L275" i="6"/>
  <c r="I275" i="6"/>
  <c r="H275" i="6"/>
  <c r="F275" i="6"/>
  <c r="C275" i="6"/>
  <c r="AC273" i="6"/>
  <c r="AD273" i="6" s="1"/>
  <c r="AA273" i="6"/>
  <c r="Z273" i="6"/>
  <c r="U273" i="6"/>
  <c r="T273" i="6"/>
  <c r="Q273" i="6"/>
  <c r="K273" i="6"/>
  <c r="L273" i="6" s="1"/>
  <c r="I273" i="6"/>
  <c r="H273" i="6"/>
  <c r="F273" i="6"/>
  <c r="E273" i="6"/>
  <c r="C273" i="6"/>
  <c r="B273" i="6"/>
  <c r="AC272" i="6"/>
  <c r="AD272" i="6" s="1"/>
  <c r="AA272" i="6"/>
  <c r="X272" i="6"/>
  <c r="W272" i="6"/>
  <c r="U272" i="6"/>
  <c r="R272" i="6"/>
  <c r="N272" i="6"/>
  <c r="O272" i="6" s="1"/>
  <c r="L272" i="6"/>
  <c r="H272" i="6"/>
  <c r="I272" i="6" s="1"/>
  <c r="F272" i="6"/>
  <c r="C272" i="6"/>
  <c r="AD271" i="6"/>
  <c r="AC271" i="6"/>
  <c r="AA271" i="6"/>
  <c r="W271" i="6"/>
  <c r="X271" i="6" s="1"/>
  <c r="U271" i="6"/>
  <c r="R271" i="6"/>
  <c r="O271" i="6"/>
  <c r="N271" i="6"/>
  <c r="L271" i="6"/>
  <c r="I271" i="6"/>
  <c r="H271" i="6"/>
  <c r="F271" i="6"/>
  <c r="C271" i="6"/>
  <c r="AD270" i="6"/>
  <c r="AC270" i="6"/>
  <c r="AA270" i="6"/>
  <c r="W270" i="6"/>
  <c r="X270" i="6" s="1"/>
  <c r="U270" i="6"/>
  <c r="R270" i="6"/>
  <c r="N270" i="6"/>
  <c r="O270" i="6" s="1"/>
  <c r="L270" i="6"/>
  <c r="H270" i="6"/>
  <c r="F270" i="6"/>
  <c r="C270" i="6"/>
  <c r="AD269" i="6"/>
  <c r="AC269" i="6"/>
  <c r="AA269" i="6"/>
  <c r="X269" i="6"/>
  <c r="W269" i="6"/>
  <c r="U269" i="6"/>
  <c r="R269" i="6"/>
  <c r="N269" i="6"/>
  <c r="O269" i="6" s="1"/>
  <c r="L269" i="6"/>
  <c r="H269" i="6"/>
  <c r="I269" i="6" s="1"/>
  <c r="F269" i="6"/>
  <c r="C269" i="6"/>
  <c r="AA267" i="6"/>
  <c r="Z267" i="6"/>
  <c r="X267" i="6"/>
  <c r="W267" i="6"/>
  <c r="U267" i="6"/>
  <c r="T267" i="6"/>
  <c r="Q267" i="6"/>
  <c r="R267" i="6" s="1"/>
  <c r="O267" i="6"/>
  <c r="N267" i="6"/>
  <c r="K267" i="6"/>
  <c r="L267" i="6" s="1"/>
  <c r="F267" i="6"/>
  <c r="E267" i="6"/>
  <c r="B267" i="6"/>
  <c r="AC266" i="6"/>
  <c r="AD266" i="6" s="1"/>
  <c r="AA266" i="6"/>
  <c r="W266" i="6"/>
  <c r="X266" i="6" s="1"/>
  <c r="U266" i="6"/>
  <c r="R266" i="6"/>
  <c r="N266" i="6"/>
  <c r="O266" i="6" s="1"/>
  <c r="L266" i="6"/>
  <c r="H266" i="6"/>
  <c r="F266" i="6"/>
  <c r="C266" i="6"/>
  <c r="AD265" i="6"/>
  <c r="AC265" i="6"/>
  <c r="AA265" i="6"/>
  <c r="X265" i="6"/>
  <c r="W265" i="6"/>
  <c r="U265" i="6"/>
  <c r="R265" i="6"/>
  <c r="O265" i="6"/>
  <c r="N265" i="6"/>
  <c r="L265" i="6"/>
  <c r="H265" i="6"/>
  <c r="I265" i="6" s="1"/>
  <c r="F265" i="6"/>
  <c r="C265" i="6"/>
  <c r="AC263" i="6"/>
  <c r="AD263" i="6" s="1"/>
  <c r="AA263" i="6"/>
  <c r="Z263" i="6"/>
  <c r="T263" i="6"/>
  <c r="U263" i="6" s="1"/>
  <c r="R263" i="6"/>
  <c r="Q263" i="6"/>
  <c r="W263" i="6" s="1"/>
  <c r="X263" i="6" s="1"/>
  <c r="O263" i="6"/>
  <c r="L263" i="6"/>
  <c r="K263" i="6"/>
  <c r="H263" i="6"/>
  <c r="I263" i="6" s="1"/>
  <c r="E263" i="6"/>
  <c r="F263" i="6" s="1"/>
  <c r="C263" i="6"/>
  <c r="B263" i="6"/>
  <c r="N263" i="6" s="1"/>
  <c r="Z262" i="6"/>
  <c r="AA262" i="6" s="1"/>
  <c r="W262" i="6"/>
  <c r="X262" i="6" s="1"/>
  <c r="U262" i="6"/>
  <c r="T262" i="6"/>
  <c r="R262" i="6"/>
  <c r="Q262" i="6"/>
  <c r="K262" i="6"/>
  <c r="L262" i="6" s="1"/>
  <c r="F262" i="6"/>
  <c r="E262" i="6"/>
  <c r="B262" i="6"/>
  <c r="N262" i="6" s="1"/>
  <c r="O262" i="6" s="1"/>
  <c r="AD261" i="6"/>
  <c r="AC261" i="6"/>
  <c r="AA261" i="6"/>
  <c r="X261" i="6"/>
  <c r="W261" i="6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X260" i="6"/>
  <c r="W260" i="6"/>
  <c r="U260" i="6"/>
  <c r="R260" i="6"/>
  <c r="N260" i="6"/>
  <c r="O260" i="6" s="1"/>
  <c r="L260" i="6"/>
  <c r="H260" i="6"/>
  <c r="I260" i="6" s="1"/>
  <c r="F260" i="6"/>
  <c r="C260" i="6"/>
  <c r="AD259" i="6"/>
  <c r="AC259" i="6"/>
  <c r="AA259" i="6"/>
  <c r="X259" i="6"/>
  <c r="W259" i="6"/>
  <c r="U259" i="6"/>
  <c r="R259" i="6"/>
  <c r="O259" i="6"/>
  <c r="N259" i="6"/>
  <c r="L259" i="6"/>
  <c r="H259" i="6"/>
  <c r="I259" i="6" s="1"/>
  <c r="F259" i="6"/>
  <c r="C259" i="6"/>
  <c r="AD258" i="6"/>
  <c r="AC258" i="6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D257" i="6"/>
  <c r="AC257" i="6"/>
  <c r="AA257" i="6"/>
  <c r="X257" i="6"/>
  <c r="W257" i="6"/>
  <c r="U257" i="6"/>
  <c r="R257" i="6"/>
  <c r="N257" i="6"/>
  <c r="O257" i="6" s="1"/>
  <c r="L257" i="6"/>
  <c r="I257" i="6"/>
  <c r="H257" i="6"/>
  <c r="F257" i="6"/>
  <c r="C257" i="6"/>
  <c r="AC256" i="6"/>
  <c r="AD256" i="6" s="1"/>
  <c r="AA256" i="6"/>
  <c r="X256" i="6"/>
  <c r="W256" i="6"/>
  <c r="U256" i="6"/>
  <c r="R256" i="6"/>
  <c r="N256" i="6"/>
  <c r="O256" i="6" s="1"/>
  <c r="L256" i="6"/>
  <c r="H256" i="6"/>
  <c r="I256" i="6" s="1"/>
  <c r="F256" i="6"/>
  <c r="C256" i="6"/>
  <c r="AD255" i="6"/>
  <c r="AC255" i="6"/>
  <c r="AA255" i="6"/>
  <c r="W255" i="6"/>
  <c r="X255" i="6" s="1"/>
  <c r="U255" i="6"/>
  <c r="R255" i="6"/>
  <c r="O255" i="6"/>
  <c r="N255" i="6"/>
  <c r="L255" i="6"/>
  <c r="H255" i="6"/>
  <c r="I255" i="6" s="1"/>
  <c r="F255" i="6"/>
  <c r="C255" i="6"/>
  <c r="AD254" i="6"/>
  <c r="AC254" i="6"/>
  <c r="AA254" i="6"/>
  <c r="W254" i="6"/>
  <c r="X254" i="6" s="1"/>
  <c r="U254" i="6"/>
  <c r="R254" i="6"/>
  <c r="N254" i="6"/>
  <c r="O254" i="6" s="1"/>
  <c r="L254" i="6"/>
  <c r="I254" i="6"/>
  <c r="H254" i="6"/>
  <c r="F254" i="6"/>
  <c r="C254" i="6"/>
  <c r="AD253" i="6"/>
  <c r="AC253" i="6"/>
  <c r="AA253" i="6"/>
  <c r="X253" i="6"/>
  <c r="W253" i="6"/>
  <c r="U253" i="6"/>
  <c r="R253" i="6"/>
  <c r="O253" i="6"/>
  <c r="N253" i="6"/>
  <c r="L253" i="6"/>
  <c r="I253" i="6"/>
  <c r="H253" i="6"/>
  <c r="F253" i="6"/>
  <c r="C253" i="6"/>
  <c r="AC252" i="6"/>
  <c r="AD252" i="6" s="1"/>
  <c r="AA252" i="6"/>
  <c r="X252" i="6"/>
  <c r="W252" i="6"/>
  <c r="U252" i="6"/>
  <c r="R252" i="6"/>
  <c r="N252" i="6"/>
  <c r="O252" i="6" s="1"/>
  <c r="L252" i="6"/>
  <c r="H252" i="6"/>
  <c r="I252" i="6" s="1"/>
  <c r="F252" i="6"/>
  <c r="C252" i="6"/>
  <c r="AD251" i="6"/>
  <c r="AC251" i="6"/>
  <c r="AA251" i="6"/>
  <c r="X251" i="6"/>
  <c r="W251" i="6"/>
  <c r="U251" i="6"/>
  <c r="R251" i="6"/>
  <c r="O251" i="6"/>
  <c r="N251" i="6"/>
  <c r="L251" i="6"/>
  <c r="H251" i="6"/>
  <c r="I251" i="6" s="1"/>
  <c r="F251" i="6"/>
  <c r="C251" i="6"/>
  <c r="AD250" i="6"/>
  <c r="AC250" i="6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C249" i="6"/>
  <c r="AD249" i="6" s="1"/>
  <c r="AA249" i="6"/>
  <c r="X249" i="6"/>
  <c r="W249" i="6"/>
  <c r="U249" i="6"/>
  <c r="R249" i="6"/>
  <c r="N249" i="6"/>
  <c r="O249" i="6" s="1"/>
  <c r="L249" i="6"/>
  <c r="I249" i="6"/>
  <c r="H249" i="6"/>
  <c r="F249" i="6"/>
  <c r="C249" i="6"/>
  <c r="AC248" i="6"/>
  <c r="AD248" i="6" s="1"/>
  <c r="AA248" i="6"/>
  <c r="W248" i="6"/>
  <c r="X248" i="6" s="1"/>
  <c r="U248" i="6"/>
  <c r="R248" i="6"/>
  <c r="N248" i="6"/>
  <c r="O248" i="6" s="1"/>
  <c r="L248" i="6"/>
  <c r="H248" i="6"/>
  <c r="I248" i="6" s="1"/>
  <c r="F248" i="6"/>
  <c r="C248" i="6"/>
  <c r="AD247" i="6"/>
  <c r="AC247" i="6"/>
  <c r="AA247" i="6"/>
  <c r="W247" i="6"/>
  <c r="X247" i="6" s="1"/>
  <c r="U247" i="6"/>
  <c r="R247" i="6"/>
  <c r="O247" i="6"/>
  <c r="N247" i="6"/>
  <c r="L247" i="6"/>
  <c r="H247" i="6"/>
  <c r="I247" i="6" s="1"/>
  <c r="F247" i="6"/>
  <c r="C247" i="6"/>
  <c r="AD246" i="6"/>
  <c r="AC246" i="6"/>
  <c r="AA246" i="6"/>
  <c r="W246" i="6"/>
  <c r="X246" i="6" s="1"/>
  <c r="U246" i="6"/>
  <c r="R246" i="6"/>
  <c r="N246" i="6"/>
  <c r="O246" i="6" s="1"/>
  <c r="L246" i="6"/>
  <c r="I246" i="6"/>
  <c r="H246" i="6"/>
  <c r="F246" i="6"/>
  <c r="C246" i="6"/>
  <c r="AD245" i="6"/>
  <c r="AC245" i="6"/>
  <c r="AA245" i="6"/>
  <c r="X245" i="6"/>
  <c r="W245" i="6"/>
  <c r="U245" i="6"/>
  <c r="R245" i="6"/>
  <c r="O245" i="6"/>
  <c r="N245" i="6"/>
  <c r="L245" i="6"/>
  <c r="I245" i="6"/>
  <c r="H245" i="6"/>
  <c r="F245" i="6"/>
  <c r="C245" i="6"/>
  <c r="AC244" i="6"/>
  <c r="AD244" i="6" s="1"/>
  <c r="AA244" i="6"/>
  <c r="X244" i="6"/>
  <c r="W244" i="6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X243" i="6"/>
  <c r="W243" i="6"/>
  <c r="U243" i="6"/>
  <c r="R243" i="6"/>
  <c r="O243" i="6"/>
  <c r="N243" i="6"/>
  <c r="L243" i="6"/>
  <c r="H243" i="6"/>
  <c r="I243" i="6" s="1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D241" i="6"/>
  <c r="AC241" i="6"/>
  <c r="AA241" i="6"/>
  <c r="X241" i="6"/>
  <c r="W241" i="6"/>
  <c r="U241" i="6"/>
  <c r="R241" i="6"/>
  <c r="N241" i="6"/>
  <c r="O241" i="6" s="1"/>
  <c r="L241" i="6"/>
  <c r="I241" i="6"/>
  <c r="H241" i="6"/>
  <c r="F241" i="6"/>
  <c r="C241" i="6"/>
  <c r="AC240" i="6"/>
  <c r="AD240" i="6" s="1"/>
  <c r="AA240" i="6"/>
  <c r="X240" i="6"/>
  <c r="W240" i="6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W238" i="6"/>
  <c r="X238" i="6" s="1"/>
  <c r="U238" i="6"/>
  <c r="R238" i="6"/>
  <c r="O238" i="6"/>
  <c r="N238" i="6"/>
  <c r="L238" i="6"/>
  <c r="H238" i="6"/>
  <c r="I238" i="6" s="1"/>
  <c r="F238" i="6"/>
  <c r="C238" i="6"/>
  <c r="AD236" i="6"/>
  <c r="AA236" i="6"/>
  <c r="Z236" i="6"/>
  <c r="U236" i="6"/>
  <c r="T236" i="6"/>
  <c r="W236" i="6" s="1"/>
  <c r="X236" i="6" s="1"/>
  <c r="R236" i="6"/>
  <c r="Q236" i="6"/>
  <c r="AC236" i="6" s="1"/>
  <c r="K236" i="6"/>
  <c r="L236" i="6" s="1"/>
  <c r="I236" i="6"/>
  <c r="H236" i="6"/>
  <c r="F236" i="6"/>
  <c r="E236" i="6"/>
  <c r="C236" i="6"/>
  <c r="B236" i="6"/>
  <c r="AC235" i="6"/>
  <c r="AD235" i="6" s="1"/>
  <c r="AA235" i="6"/>
  <c r="X235" i="6"/>
  <c r="W235" i="6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W234" i="6"/>
  <c r="X234" i="6" s="1"/>
  <c r="U234" i="6"/>
  <c r="R234" i="6"/>
  <c r="O234" i="6"/>
  <c r="N234" i="6"/>
  <c r="L234" i="6"/>
  <c r="H234" i="6"/>
  <c r="I234" i="6" s="1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I233" i="6"/>
  <c r="H233" i="6"/>
  <c r="F233" i="6"/>
  <c r="C233" i="6"/>
  <c r="AD232" i="6"/>
  <c r="AC232" i="6"/>
  <c r="AA232" i="6"/>
  <c r="X232" i="6"/>
  <c r="W232" i="6"/>
  <c r="U232" i="6"/>
  <c r="R232" i="6"/>
  <c r="O232" i="6"/>
  <c r="N232" i="6"/>
  <c r="L232" i="6"/>
  <c r="I232" i="6"/>
  <c r="H232" i="6"/>
  <c r="F232" i="6"/>
  <c r="C232" i="6"/>
  <c r="AC231" i="6"/>
  <c r="AD231" i="6" s="1"/>
  <c r="AA231" i="6"/>
  <c r="X231" i="6"/>
  <c r="W231" i="6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X230" i="6"/>
  <c r="W230" i="6"/>
  <c r="U230" i="6"/>
  <c r="R230" i="6"/>
  <c r="O230" i="6"/>
  <c r="N230" i="6"/>
  <c r="L230" i="6"/>
  <c r="H230" i="6"/>
  <c r="I230" i="6" s="1"/>
  <c r="F230" i="6"/>
  <c r="C230" i="6"/>
  <c r="AD229" i="6"/>
  <c r="AC229" i="6"/>
  <c r="AA229" i="6"/>
  <c r="W229" i="6"/>
  <c r="X229" i="6" s="1"/>
  <c r="U229" i="6"/>
  <c r="R229" i="6"/>
  <c r="O229" i="6"/>
  <c r="N229" i="6"/>
  <c r="L229" i="6"/>
  <c r="I229" i="6"/>
  <c r="H229" i="6"/>
  <c r="F229" i="6"/>
  <c r="C229" i="6"/>
  <c r="AC227" i="6"/>
  <c r="AD227" i="6" s="1"/>
  <c r="AA227" i="6"/>
  <c r="Z227" i="6"/>
  <c r="T227" i="6"/>
  <c r="U227" i="6" s="1"/>
  <c r="Q227" i="6"/>
  <c r="W227" i="6" s="1"/>
  <c r="X227" i="6" s="1"/>
  <c r="O227" i="6"/>
  <c r="L227" i="6"/>
  <c r="K227" i="6"/>
  <c r="F227" i="6"/>
  <c r="E227" i="6"/>
  <c r="H227" i="6" s="1"/>
  <c r="I227" i="6" s="1"/>
  <c r="C227" i="6"/>
  <c r="B227" i="6"/>
  <c r="N227" i="6" s="1"/>
  <c r="AD226" i="6"/>
  <c r="AC226" i="6"/>
  <c r="AA226" i="6"/>
  <c r="W226" i="6"/>
  <c r="X226" i="6" s="1"/>
  <c r="U226" i="6"/>
  <c r="R226" i="6"/>
  <c r="O226" i="6"/>
  <c r="N226" i="6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X224" i="6"/>
  <c r="W224" i="6"/>
  <c r="U224" i="6"/>
  <c r="R224" i="6"/>
  <c r="N224" i="6"/>
  <c r="O224" i="6" s="1"/>
  <c r="L224" i="6"/>
  <c r="I224" i="6"/>
  <c r="H224" i="6"/>
  <c r="F224" i="6"/>
  <c r="C224" i="6"/>
  <c r="AC223" i="6"/>
  <c r="AD223" i="6" s="1"/>
  <c r="AA223" i="6"/>
  <c r="X223" i="6"/>
  <c r="W223" i="6"/>
  <c r="U223" i="6"/>
  <c r="R223" i="6"/>
  <c r="N223" i="6"/>
  <c r="O223" i="6" s="1"/>
  <c r="L223" i="6"/>
  <c r="H223" i="6"/>
  <c r="I223" i="6" s="1"/>
  <c r="F223" i="6"/>
  <c r="C223" i="6"/>
  <c r="AD222" i="6"/>
  <c r="AC222" i="6"/>
  <c r="AA222" i="6"/>
  <c r="W222" i="6"/>
  <c r="X222" i="6" s="1"/>
  <c r="U222" i="6"/>
  <c r="R222" i="6"/>
  <c r="O222" i="6"/>
  <c r="N222" i="6"/>
  <c r="L222" i="6"/>
  <c r="H222" i="6"/>
  <c r="I222" i="6" s="1"/>
  <c r="F222" i="6"/>
  <c r="C222" i="6"/>
  <c r="AD221" i="6"/>
  <c r="AC221" i="6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C220" i="6"/>
  <c r="AD220" i="6" s="1"/>
  <c r="AA220" i="6"/>
  <c r="X220" i="6"/>
  <c r="W220" i="6"/>
  <c r="U220" i="6"/>
  <c r="R220" i="6"/>
  <c r="O220" i="6"/>
  <c r="N220" i="6"/>
  <c r="L220" i="6"/>
  <c r="I220" i="6"/>
  <c r="H220" i="6"/>
  <c r="F220" i="6"/>
  <c r="C220" i="6"/>
  <c r="AC219" i="6"/>
  <c r="AD219" i="6" s="1"/>
  <c r="AA219" i="6"/>
  <c r="W219" i="6"/>
  <c r="X219" i="6" s="1"/>
  <c r="U219" i="6"/>
  <c r="R219" i="6"/>
  <c r="N219" i="6"/>
  <c r="O219" i="6" s="1"/>
  <c r="L219" i="6"/>
  <c r="I219" i="6"/>
  <c r="H219" i="6"/>
  <c r="F219" i="6"/>
  <c r="C219" i="6"/>
  <c r="Z218" i="6"/>
  <c r="AA218" i="6" s="1"/>
  <c r="W218" i="6"/>
  <c r="X218" i="6" s="1"/>
  <c r="U218" i="6"/>
  <c r="T218" i="6"/>
  <c r="R218" i="6"/>
  <c r="Q218" i="6"/>
  <c r="K218" i="6"/>
  <c r="N218" i="6" s="1"/>
  <c r="O218" i="6" s="1"/>
  <c r="F218" i="6"/>
  <c r="E218" i="6"/>
  <c r="B218" i="6"/>
  <c r="AC217" i="6"/>
  <c r="AD217" i="6" s="1"/>
  <c r="AA217" i="6"/>
  <c r="X217" i="6"/>
  <c r="W217" i="6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W216" i="6"/>
  <c r="X216" i="6" s="1"/>
  <c r="U216" i="6"/>
  <c r="R216" i="6"/>
  <c r="N216" i="6"/>
  <c r="O216" i="6" s="1"/>
  <c r="L216" i="6"/>
  <c r="I216" i="6"/>
  <c r="H216" i="6"/>
  <c r="F216" i="6"/>
  <c r="C216" i="6"/>
  <c r="AD215" i="6"/>
  <c r="AC215" i="6"/>
  <c r="AA215" i="6"/>
  <c r="W215" i="6"/>
  <c r="X215" i="6" s="1"/>
  <c r="U215" i="6"/>
  <c r="R215" i="6"/>
  <c r="O215" i="6"/>
  <c r="N215" i="6"/>
  <c r="L215" i="6"/>
  <c r="H215" i="6"/>
  <c r="I215" i="6" s="1"/>
  <c r="F215" i="6"/>
  <c r="C215" i="6"/>
  <c r="AD214" i="6"/>
  <c r="AC214" i="6"/>
  <c r="AA214" i="6"/>
  <c r="W214" i="6"/>
  <c r="X214" i="6" s="1"/>
  <c r="U214" i="6"/>
  <c r="R214" i="6"/>
  <c r="N214" i="6"/>
  <c r="O214" i="6" s="1"/>
  <c r="L214" i="6"/>
  <c r="I214" i="6"/>
  <c r="H214" i="6"/>
  <c r="F214" i="6"/>
  <c r="C214" i="6"/>
  <c r="AD213" i="6"/>
  <c r="AC213" i="6"/>
  <c r="AA213" i="6"/>
  <c r="X213" i="6"/>
  <c r="W213" i="6"/>
  <c r="U213" i="6"/>
  <c r="R213" i="6"/>
  <c r="N213" i="6"/>
  <c r="O213" i="6" s="1"/>
  <c r="L213" i="6"/>
  <c r="I213" i="6"/>
  <c r="H213" i="6"/>
  <c r="F213" i="6"/>
  <c r="C213" i="6"/>
  <c r="AC211" i="6"/>
  <c r="AD211" i="6" s="1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Z209" i="6"/>
  <c r="AA209" i="6" s="1"/>
  <c r="X209" i="6"/>
  <c r="W209" i="6"/>
  <c r="U209" i="6"/>
  <c r="T209" i="6"/>
  <c r="R209" i="6"/>
  <c r="Q209" i="6"/>
  <c r="AC209" i="6" s="1"/>
  <c r="AD209" i="6" s="1"/>
  <c r="L209" i="6"/>
  <c r="K209" i="6"/>
  <c r="F209" i="6"/>
  <c r="E209" i="6"/>
  <c r="B209" i="6"/>
  <c r="AD208" i="6"/>
  <c r="AC208" i="6"/>
  <c r="AA208" i="6"/>
  <c r="X208" i="6"/>
  <c r="W208" i="6"/>
  <c r="U208" i="6"/>
  <c r="R208" i="6"/>
  <c r="N208" i="6"/>
  <c r="O208" i="6" s="1"/>
  <c r="L208" i="6"/>
  <c r="I208" i="6"/>
  <c r="H208" i="6"/>
  <c r="F208" i="6"/>
  <c r="C208" i="6"/>
  <c r="AC207" i="6"/>
  <c r="AD207" i="6" s="1"/>
  <c r="AA207" i="6"/>
  <c r="X207" i="6"/>
  <c r="W207" i="6"/>
  <c r="U207" i="6"/>
  <c r="R207" i="6"/>
  <c r="N207" i="6"/>
  <c r="O207" i="6" s="1"/>
  <c r="L207" i="6"/>
  <c r="H207" i="6"/>
  <c r="I207" i="6" s="1"/>
  <c r="F207" i="6"/>
  <c r="C207" i="6"/>
  <c r="AD206" i="6"/>
  <c r="AC206" i="6"/>
  <c r="AA206" i="6"/>
  <c r="W206" i="6"/>
  <c r="X206" i="6" s="1"/>
  <c r="U206" i="6"/>
  <c r="R206" i="6"/>
  <c r="O206" i="6"/>
  <c r="N206" i="6"/>
  <c r="L206" i="6"/>
  <c r="H206" i="6"/>
  <c r="I206" i="6" s="1"/>
  <c r="F206" i="6"/>
  <c r="C206" i="6"/>
  <c r="AD205" i="6"/>
  <c r="AC205" i="6"/>
  <c r="AA205" i="6"/>
  <c r="W205" i="6"/>
  <c r="X205" i="6" s="1"/>
  <c r="U205" i="6"/>
  <c r="R205" i="6"/>
  <c r="N205" i="6"/>
  <c r="O205" i="6" s="1"/>
  <c r="L205" i="6"/>
  <c r="I205" i="6"/>
  <c r="H205" i="6"/>
  <c r="F205" i="6"/>
  <c r="C205" i="6"/>
  <c r="AC204" i="6"/>
  <c r="AD204" i="6" s="1"/>
  <c r="AA204" i="6"/>
  <c r="X204" i="6"/>
  <c r="W204" i="6"/>
  <c r="U204" i="6"/>
  <c r="R204" i="6"/>
  <c r="O204" i="6"/>
  <c r="N204" i="6"/>
  <c r="L204" i="6"/>
  <c r="I204" i="6"/>
  <c r="H204" i="6"/>
  <c r="F204" i="6"/>
  <c r="C204" i="6"/>
  <c r="AC203" i="6"/>
  <c r="AD203" i="6" s="1"/>
  <c r="AA203" i="6"/>
  <c r="W203" i="6"/>
  <c r="X203" i="6" s="1"/>
  <c r="U203" i="6"/>
  <c r="R203" i="6"/>
  <c r="N203" i="6"/>
  <c r="O203" i="6" s="1"/>
  <c r="L203" i="6"/>
  <c r="I203" i="6"/>
  <c r="H203" i="6"/>
  <c r="F203" i="6"/>
  <c r="C203" i="6"/>
  <c r="AD202" i="6"/>
  <c r="AC202" i="6"/>
  <c r="AA202" i="6"/>
  <c r="W202" i="6"/>
  <c r="X202" i="6" s="1"/>
  <c r="U202" i="6"/>
  <c r="R202" i="6"/>
  <c r="O202" i="6"/>
  <c r="N202" i="6"/>
  <c r="L202" i="6"/>
  <c r="H202" i="6"/>
  <c r="I202" i="6" s="1"/>
  <c r="F202" i="6"/>
  <c r="C202" i="6"/>
  <c r="AD201" i="6"/>
  <c r="AC201" i="6"/>
  <c r="AA201" i="6"/>
  <c r="W201" i="6"/>
  <c r="X201" i="6" s="1"/>
  <c r="U201" i="6"/>
  <c r="R201" i="6"/>
  <c r="N201" i="6"/>
  <c r="O201" i="6" s="1"/>
  <c r="L201" i="6"/>
  <c r="I201" i="6"/>
  <c r="H201" i="6"/>
  <c r="F201" i="6"/>
  <c r="C201" i="6"/>
  <c r="Z197" i="6"/>
  <c r="AA197" i="6" s="1"/>
  <c r="W197" i="6"/>
  <c r="X197" i="6" s="1"/>
  <c r="U197" i="6"/>
  <c r="T197" i="6"/>
  <c r="R197" i="6"/>
  <c r="Q197" i="6"/>
  <c r="L197" i="6"/>
  <c r="K197" i="6"/>
  <c r="F197" i="6"/>
  <c r="E197" i="6"/>
  <c r="B197" i="6"/>
  <c r="AA196" i="6"/>
  <c r="Z196" i="6"/>
  <c r="T196" i="6"/>
  <c r="U196" i="6" s="1"/>
  <c r="Q196" i="6"/>
  <c r="L196" i="6"/>
  <c r="K196" i="6"/>
  <c r="E196" i="6"/>
  <c r="F196" i="6" s="1"/>
  <c r="B196" i="6"/>
  <c r="AD195" i="6"/>
  <c r="AC195" i="6"/>
  <c r="AA195" i="6"/>
  <c r="X195" i="6"/>
  <c r="W195" i="6"/>
  <c r="U195" i="6"/>
  <c r="R195" i="6"/>
  <c r="O195" i="6"/>
  <c r="N195" i="6"/>
  <c r="L195" i="6"/>
  <c r="H195" i="6"/>
  <c r="I195" i="6" s="1"/>
  <c r="F195" i="6"/>
  <c r="C195" i="6"/>
  <c r="AC194" i="6"/>
  <c r="AD194" i="6" s="1"/>
  <c r="AA194" i="6"/>
  <c r="W194" i="6"/>
  <c r="X194" i="6" s="1"/>
  <c r="U194" i="6"/>
  <c r="R194" i="6"/>
  <c r="O194" i="6"/>
  <c r="N194" i="6"/>
  <c r="L194" i="6"/>
  <c r="I194" i="6"/>
  <c r="H194" i="6"/>
  <c r="F194" i="6"/>
  <c r="C194" i="6"/>
  <c r="Z193" i="6"/>
  <c r="AA193" i="6" s="1"/>
  <c r="T193" i="6"/>
  <c r="U193" i="6" s="1"/>
  <c r="Q193" i="6"/>
  <c r="N193" i="6"/>
  <c r="O193" i="6" s="1"/>
  <c r="L193" i="6"/>
  <c r="K193" i="6"/>
  <c r="E193" i="6"/>
  <c r="H193" i="6" s="1"/>
  <c r="I193" i="6" s="1"/>
  <c r="C193" i="6"/>
  <c r="B193" i="6"/>
  <c r="AD192" i="6"/>
  <c r="AC192" i="6"/>
  <c r="AA192" i="6"/>
  <c r="W192" i="6"/>
  <c r="X192" i="6" s="1"/>
  <c r="U192" i="6"/>
  <c r="R192" i="6"/>
  <c r="O192" i="6"/>
  <c r="N192" i="6"/>
  <c r="L192" i="6"/>
  <c r="H192" i="6"/>
  <c r="I192" i="6" s="1"/>
  <c r="F192" i="6"/>
  <c r="C192" i="6"/>
  <c r="AC191" i="6"/>
  <c r="AD191" i="6" s="1"/>
  <c r="AA191" i="6"/>
  <c r="W191" i="6"/>
  <c r="X191" i="6" s="1"/>
  <c r="U191" i="6"/>
  <c r="R191" i="6"/>
  <c r="N191" i="6"/>
  <c r="O191" i="6" s="1"/>
  <c r="L191" i="6"/>
  <c r="I191" i="6"/>
  <c r="H191" i="6"/>
  <c r="F191" i="6"/>
  <c r="C191" i="6"/>
  <c r="AC190" i="6"/>
  <c r="AD190" i="6" s="1"/>
  <c r="AA190" i="6"/>
  <c r="X190" i="6"/>
  <c r="W190" i="6"/>
  <c r="U190" i="6"/>
  <c r="R190" i="6"/>
  <c r="O190" i="6"/>
  <c r="N190" i="6"/>
  <c r="L190" i="6"/>
  <c r="H190" i="6"/>
  <c r="I190" i="6" s="1"/>
  <c r="F190" i="6"/>
  <c r="C190" i="6"/>
  <c r="AC189" i="6"/>
  <c r="AD189" i="6" s="1"/>
  <c r="AA189" i="6"/>
  <c r="W189" i="6"/>
  <c r="X189" i="6" s="1"/>
  <c r="U189" i="6"/>
  <c r="R189" i="6"/>
  <c r="N189" i="6"/>
  <c r="O189" i="6" s="1"/>
  <c r="L189" i="6"/>
  <c r="I189" i="6"/>
  <c r="H189" i="6"/>
  <c r="F189" i="6"/>
  <c r="C189" i="6"/>
  <c r="AD188" i="6"/>
  <c r="AC188" i="6"/>
  <c r="AA188" i="6"/>
  <c r="W188" i="6"/>
  <c r="X188" i="6" s="1"/>
  <c r="U188" i="6"/>
  <c r="R188" i="6"/>
  <c r="O188" i="6"/>
  <c r="N188" i="6"/>
  <c r="L188" i="6"/>
  <c r="H188" i="6"/>
  <c r="I188" i="6" s="1"/>
  <c r="F188" i="6"/>
  <c r="C188" i="6"/>
  <c r="AD187" i="6"/>
  <c r="AC187" i="6"/>
  <c r="AA187" i="6"/>
  <c r="W187" i="6"/>
  <c r="X187" i="6" s="1"/>
  <c r="U187" i="6"/>
  <c r="R187" i="6"/>
  <c r="N187" i="6"/>
  <c r="O187" i="6" s="1"/>
  <c r="L187" i="6"/>
  <c r="I187" i="6"/>
  <c r="H187" i="6"/>
  <c r="F187" i="6"/>
  <c r="C187" i="6"/>
  <c r="AD186" i="6"/>
  <c r="AC186" i="6"/>
  <c r="AA186" i="6"/>
  <c r="X186" i="6"/>
  <c r="W186" i="6"/>
  <c r="U186" i="6"/>
  <c r="R186" i="6"/>
  <c r="N186" i="6"/>
  <c r="O186" i="6" s="1"/>
  <c r="L186" i="6"/>
  <c r="I186" i="6"/>
  <c r="H186" i="6"/>
  <c r="F186" i="6"/>
  <c r="C186" i="6"/>
  <c r="AC184" i="6"/>
  <c r="AD184" i="6" s="1"/>
  <c r="AA184" i="6"/>
  <c r="X184" i="6"/>
  <c r="W184" i="6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W183" i="6"/>
  <c r="X183" i="6" s="1"/>
  <c r="U183" i="6"/>
  <c r="R183" i="6"/>
  <c r="O183" i="6"/>
  <c r="N183" i="6"/>
  <c r="L183" i="6"/>
  <c r="H183" i="6"/>
  <c r="I183" i="6" s="1"/>
  <c r="F183" i="6"/>
  <c r="C183" i="6"/>
  <c r="AC182" i="6"/>
  <c r="AD182" i="6" s="1"/>
  <c r="AA182" i="6"/>
  <c r="Z182" i="6"/>
  <c r="T182" i="6"/>
  <c r="U182" i="6" s="1"/>
  <c r="R182" i="6"/>
  <c r="Q182" i="6"/>
  <c r="W182" i="6" s="1"/>
  <c r="X182" i="6" s="1"/>
  <c r="K182" i="6"/>
  <c r="L182" i="6" s="1"/>
  <c r="H182" i="6"/>
  <c r="I182" i="6" s="1"/>
  <c r="F182" i="6"/>
  <c r="E182" i="6"/>
  <c r="C182" i="6"/>
  <c r="B182" i="6"/>
  <c r="N182" i="6" s="1"/>
  <c r="O182" i="6" s="1"/>
  <c r="AC181" i="6"/>
  <c r="AD181" i="6" s="1"/>
  <c r="AA181" i="6"/>
  <c r="W181" i="6"/>
  <c r="X181" i="6" s="1"/>
  <c r="U181" i="6"/>
  <c r="R181" i="6"/>
  <c r="N181" i="6"/>
  <c r="O181" i="6" s="1"/>
  <c r="L181" i="6"/>
  <c r="H181" i="6"/>
  <c r="I181" i="6" s="1"/>
  <c r="F181" i="6"/>
  <c r="C181" i="6"/>
  <c r="AD180" i="6"/>
  <c r="AC180" i="6"/>
  <c r="AA180" i="6"/>
  <c r="W180" i="6"/>
  <c r="X180" i="6" s="1"/>
  <c r="U180" i="6"/>
  <c r="R180" i="6"/>
  <c r="O180" i="6"/>
  <c r="N180" i="6"/>
  <c r="L180" i="6"/>
  <c r="H180" i="6"/>
  <c r="I180" i="6" s="1"/>
  <c r="F180" i="6"/>
  <c r="C180" i="6"/>
  <c r="AD179" i="6"/>
  <c r="AC179" i="6"/>
  <c r="AA179" i="6"/>
  <c r="W179" i="6"/>
  <c r="X179" i="6" s="1"/>
  <c r="U179" i="6"/>
  <c r="R179" i="6"/>
  <c r="N179" i="6"/>
  <c r="O179" i="6" s="1"/>
  <c r="L179" i="6"/>
  <c r="I179" i="6"/>
  <c r="H179" i="6"/>
  <c r="F179" i="6"/>
  <c r="C179" i="6"/>
  <c r="AC178" i="6"/>
  <c r="AD178" i="6" s="1"/>
  <c r="AA178" i="6"/>
  <c r="X178" i="6"/>
  <c r="W178" i="6"/>
  <c r="U178" i="6"/>
  <c r="R178" i="6"/>
  <c r="N178" i="6"/>
  <c r="O178" i="6" s="1"/>
  <c r="L178" i="6"/>
  <c r="H178" i="6"/>
  <c r="I178" i="6" s="1"/>
  <c r="F178" i="6"/>
  <c r="C178" i="6"/>
  <c r="AC177" i="6"/>
  <c r="AD177" i="6" s="1"/>
  <c r="AA177" i="6"/>
  <c r="W177" i="6"/>
  <c r="X177" i="6" s="1"/>
  <c r="U177" i="6"/>
  <c r="R177" i="6"/>
  <c r="N177" i="6"/>
  <c r="O177" i="6" s="1"/>
  <c r="L177" i="6"/>
  <c r="I177" i="6"/>
  <c r="H177" i="6"/>
  <c r="F177" i="6"/>
  <c r="C177" i="6"/>
  <c r="AD175" i="6"/>
  <c r="AC175" i="6"/>
  <c r="AA175" i="6"/>
  <c r="X175" i="6"/>
  <c r="W175" i="6"/>
  <c r="U175" i="6"/>
  <c r="R175" i="6"/>
  <c r="O175" i="6"/>
  <c r="N175" i="6"/>
  <c r="L175" i="6"/>
  <c r="H175" i="6"/>
  <c r="I175" i="6" s="1"/>
  <c r="F175" i="6"/>
  <c r="C175" i="6"/>
  <c r="E172" i="6"/>
  <c r="E198" i="6" s="1"/>
  <c r="E345" i="6" s="1"/>
  <c r="AC171" i="6"/>
  <c r="AD171" i="6" s="1"/>
  <c r="Z171" i="6"/>
  <c r="AA171" i="6" s="1"/>
  <c r="U171" i="6"/>
  <c r="T171" i="6"/>
  <c r="Q171" i="6"/>
  <c r="L171" i="6"/>
  <c r="K171" i="6"/>
  <c r="K172" i="6" s="1"/>
  <c r="E171" i="6"/>
  <c r="F171" i="6" s="1"/>
  <c r="B171" i="6"/>
  <c r="AA170" i="6"/>
  <c r="Z170" i="6"/>
  <c r="T170" i="6"/>
  <c r="U170" i="6" s="1"/>
  <c r="Q170" i="6"/>
  <c r="W170" i="6" s="1"/>
  <c r="X170" i="6" s="1"/>
  <c r="K170" i="6"/>
  <c r="L170" i="6" s="1"/>
  <c r="H170" i="6"/>
  <c r="I170" i="6" s="1"/>
  <c r="F170" i="6"/>
  <c r="E170" i="6"/>
  <c r="C170" i="6"/>
  <c r="B170" i="6"/>
  <c r="AC169" i="6"/>
  <c r="AD169" i="6" s="1"/>
  <c r="AA169" i="6"/>
  <c r="W169" i="6"/>
  <c r="X169" i="6" s="1"/>
  <c r="U169" i="6"/>
  <c r="R169" i="6"/>
  <c r="N169" i="6"/>
  <c r="O169" i="6" s="1"/>
  <c r="L169" i="6"/>
  <c r="H169" i="6"/>
  <c r="I169" i="6" s="1"/>
  <c r="F169" i="6"/>
  <c r="C169" i="6"/>
  <c r="AD168" i="6"/>
  <c r="AC168" i="6"/>
  <c r="AA168" i="6"/>
  <c r="W168" i="6"/>
  <c r="X168" i="6" s="1"/>
  <c r="U168" i="6"/>
  <c r="R168" i="6"/>
  <c r="O168" i="6"/>
  <c r="N168" i="6"/>
  <c r="L168" i="6"/>
  <c r="H168" i="6"/>
  <c r="I168" i="6" s="1"/>
  <c r="F168" i="6"/>
  <c r="C168" i="6"/>
  <c r="AD167" i="6"/>
  <c r="AC167" i="6"/>
  <c r="AA167" i="6"/>
  <c r="W167" i="6"/>
  <c r="X167" i="6" s="1"/>
  <c r="U167" i="6"/>
  <c r="R167" i="6"/>
  <c r="N167" i="6"/>
  <c r="O167" i="6" s="1"/>
  <c r="L167" i="6"/>
  <c r="I167" i="6"/>
  <c r="H167" i="6"/>
  <c r="F167" i="6"/>
  <c r="C167" i="6"/>
  <c r="Z166" i="6"/>
  <c r="AC166" i="6" s="1"/>
  <c r="AD166" i="6" s="1"/>
  <c r="T166" i="6"/>
  <c r="U166" i="6" s="1"/>
  <c r="R166" i="6"/>
  <c r="Q166" i="6"/>
  <c r="W166" i="6" s="1"/>
  <c r="X166" i="6" s="1"/>
  <c r="N166" i="6"/>
  <c r="O166" i="6" s="1"/>
  <c r="L166" i="6"/>
  <c r="K166" i="6"/>
  <c r="H166" i="6"/>
  <c r="I166" i="6" s="1"/>
  <c r="E166" i="6"/>
  <c r="F166" i="6" s="1"/>
  <c r="C166" i="6"/>
  <c r="B166" i="6"/>
  <c r="AD165" i="6"/>
  <c r="AC165" i="6"/>
  <c r="AA165" i="6"/>
  <c r="X165" i="6"/>
  <c r="W165" i="6"/>
  <c r="U165" i="6"/>
  <c r="R165" i="6"/>
  <c r="O165" i="6"/>
  <c r="N165" i="6"/>
  <c r="L165" i="6"/>
  <c r="H165" i="6"/>
  <c r="I165" i="6" s="1"/>
  <c r="F165" i="6"/>
  <c r="C165" i="6"/>
  <c r="AD164" i="6"/>
  <c r="AC164" i="6"/>
  <c r="AA164" i="6"/>
  <c r="W164" i="6"/>
  <c r="X164" i="6" s="1"/>
  <c r="U164" i="6"/>
  <c r="R164" i="6"/>
  <c r="O164" i="6"/>
  <c r="N164" i="6"/>
  <c r="L164" i="6"/>
  <c r="I164" i="6"/>
  <c r="H164" i="6"/>
  <c r="F164" i="6"/>
  <c r="C164" i="6"/>
  <c r="AC163" i="6"/>
  <c r="AD163" i="6" s="1"/>
  <c r="AA163" i="6"/>
  <c r="X163" i="6"/>
  <c r="W163" i="6"/>
  <c r="U163" i="6"/>
  <c r="R163" i="6"/>
  <c r="O163" i="6"/>
  <c r="N163" i="6"/>
  <c r="L163" i="6"/>
  <c r="H163" i="6"/>
  <c r="I163" i="6" s="1"/>
  <c r="F163" i="6"/>
  <c r="C163" i="6"/>
  <c r="AC162" i="6"/>
  <c r="AD162" i="6" s="1"/>
  <c r="AA162" i="6"/>
  <c r="X162" i="6"/>
  <c r="W162" i="6"/>
  <c r="U162" i="6"/>
  <c r="R162" i="6"/>
  <c r="N162" i="6"/>
  <c r="O162" i="6" s="1"/>
  <c r="L162" i="6"/>
  <c r="H162" i="6"/>
  <c r="I162" i="6" s="1"/>
  <c r="F162" i="6"/>
  <c r="C162" i="6"/>
  <c r="AD161" i="6"/>
  <c r="AC161" i="6"/>
  <c r="AA161" i="6"/>
  <c r="W161" i="6"/>
  <c r="X161" i="6" s="1"/>
  <c r="U161" i="6"/>
  <c r="R161" i="6"/>
  <c r="O161" i="6"/>
  <c r="N161" i="6"/>
  <c r="L161" i="6"/>
  <c r="H161" i="6"/>
  <c r="I161" i="6" s="1"/>
  <c r="F161" i="6"/>
  <c r="C161" i="6"/>
  <c r="AC160" i="6"/>
  <c r="AD160" i="6" s="1"/>
  <c r="AA160" i="6"/>
  <c r="W160" i="6"/>
  <c r="X160" i="6" s="1"/>
  <c r="U160" i="6"/>
  <c r="R160" i="6"/>
  <c r="N160" i="6"/>
  <c r="O160" i="6" s="1"/>
  <c r="L160" i="6"/>
  <c r="I160" i="6"/>
  <c r="H160" i="6"/>
  <c r="F160" i="6"/>
  <c r="C160" i="6"/>
  <c r="Z158" i="6"/>
  <c r="AA158" i="6" s="1"/>
  <c r="T158" i="6"/>
  <c r="U158" i="6" s="1"/>
  <c r="R158" i="6"/>
  <c r="Q158" i="6"/>
  <c r="AC158" i="6" s="1"/>
  <c r="AD158" i="6" s="1"/>
  <c r="L158" i="6"/>
  <c r="K158" i="6"/>
  <c r="H158" i="6"/>
  <c r="I158" i="6" s="1"/>
  <c r="F158" i="6"/>
  <c r="E158" i="6"/>
  <c r="B158" i="6"/>
  <c r="C158" i="6" s="1"/>
  <c r="AD157" i="6"/>
  <c r="AC157" i="6"/>
  <c r="AA157" i="6"/>
  <c r="W157" i="6"/>
  <c r="X157" i="6" s="1"/>
  <c r="U157" i="6"/>
  <c r="R157" i="6"/>
  <c r="O157" i="6"/>
  <c r="N157" i="6"/>
  <c r="L157" i="6"/>
  <c r="H157" i="6"/>
  <c r="I157" i="6" s="1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I156" i="6"/>
  <c r="H156" i="6"/>
  <c r="F156" i="6"/>
  <c r="C156" i="6"/>
  <c r="AC155" i="6"/>
  <c r="AD155" i="6" s="1"/>
  <c r="AA155" i="6"/>
  <c r="X155" i="6"/>
  <c r="W155" i="6"/>
  <c r="U155" i="6"/>
  <c r="R155" i="6"/>
  <c r="N155" i="6"/>
  <c r="O155" i="6" s="1"/>
  <c r="L155" i="6"/>
  <c r="H155" i="6"/>
  <c r="I155" i="6" s="1"/>
  <c r="F155" i="6"/>
  <c r="C155" i="6"/>
  <c r="AC154" i="6"/>
  <c r="AD154" i="6" s="1"/>
  <c r="AA154" i="6"/>
  <c r="W154" i="6"/>
  <c r="X154" i="6" s="1"/>
  <c r="U154" i="6"/>
  <c r="R154" i="6"/>
  <c r="N154" i="6"/>
  <c r="O154" i="6" s="1"/>
  <c r="L154" i="6"/>
  <c r="I154" i="6"/>
  <c r="H154" i="6"/>
  <c r="F154" i="6"/>
  <c r="C154" i="6"/>
  <c r="AD153" i="6"/>
  <c r="AC153" i="6"/>
  <c r="AA153" i="6"/>
  <c r="X153" i="6"/>
  <c r="W153" i="6"/>
  <c r="U153" i="6"/>
  <c r="R153" i="6"/>
  <c r="O153" i="6"/>
  <c r="N153" i="6"/>
  <c r="L153" i="6"/>
  <c r="H153" i="6"/>
  <c r="I153" i="6" s="1"/>
  <c r="F153" i="6"/>
  <c r="C153" i="6"/>
  <c r="AC151" i="6"/>
  <c r="AD151" i="6" s="1"/>
  <c r="AA151" i="6"/>
  <c r="W151" i="6"/>
  <c r="X151" i="6" s="1"/>
  <c r="U151" i="6"/>
  <c r="R151" i="6"/>
  <c r="O151" i="6"/>
  <c r="N151" i="6"/>
  <c r="L151" i="6"/>
  <c r="I151" i="6"/>
  <c r="H151" i="6"/>
  <c r="F151" i="6"/>
  <c r="C151" i="6"/>
  <c r="AA149" i="6"/>
  <c r="Z149" i="6"/>
  <c r="T149" i="6"/>
  <c r="U149" i="6" s="1"/>
  <c r="R149" i="6"/>
  <c r="Q149" i="6"/>
  <c r="L149" i="6"/>
  <c r="K149" i="6"/>
  <c r="E149" i="6"/>
  <c r="F149" i="6" s="1"/>
  <c r="B149" i="6"/>
  <c r="Z148" i="6"/>
  <c r="AA148" i="6" s="1"/>
  <c r="T148" i="6"/>
  <c r="W148" i="6" s="1"/>
  <c r="X148" i="6" s="1"/>
  <c r="R148" i="6"/>
  <c r="Q148" i="6"/>
  <c r="AC148" i="6" s="1"/>
  <c r="AD148" i="6" s="1"/>
  <c r="K148" i="6"/>
  <c r="L148" i="6" s="1"/>
  <c r="F148" i="6"/>
  <c r="E148" i="6"/>
  <c r="B148" i="6"/>
  <c r="AD147" i="6"/>
  <c r="AC147" i="6"/>
  <c r="AA147" i="6"/>
  <c r="X147" i="6"/>
  <c r="W147" i="6"/>
  <c r="U147" i="6"/>
  <c r="R147" i="6"/>
  <c r="O147" i="6"/>
  <c r="N147" i="6"/>
  <c r="L147" i="6"/>
  <c r="I147" i="6"/>
  <c r="H147" i="6"/>
  <c r="F147" i="6"/>
  <c r="C147" i="6"/>
  <c r="AC146" i="6"/>
  <c r="AD146" i="6" s="1"/>
  <c r="AA146" i="6"/>
  <c r="X146" i="6"/>
  <c r="W146" i="6"/>
  <c r="U146" i="6"/>
  <c r="R146" i="6"/>
  <c r="N146" i="6"/>
  <c r="O146" i="6" s="1"/>
  <c r="L146" i="6"/>
  <c r="H146" i="6"/>
  <c r="I146" i="6" s="1"/>
  <c r="F146" i="6"/>
  <c r="C146" i="6"/>
  <c r="AD145" i="6"/>
  <c r="AC145" i="6"/>
  <c r="AA145" i="6"/>
  <c r="W145" i="6"/>
  <c r="X145" i="6" s="1"/>
  <c r="U145" i="6"/>
  <c r="R145" i="6"/>
  <c r="O145" i="6"/>
  <c r="N145" i="6"/>
  <c r="L145" i="6"/>
  <c r="H145" i="6"/>
  <c r="I145" i="6" s="1"/>
  <c r="F145" i="6"/>
  <c r="C145" i="6"/>
  <c r="AC144" i="6"/>
  <c r="AD144" i="6" s="1"/>
  <c r="AA144" i="6"/>
  <c r="W144" i="6"/>
  <c r="X144" i="6" s="1"/>
  <c r="U144" i="6"/>
  <c r="R144" i="6"/>
  <c r="N144" i="6"/>
  <c r="O144" i="6" s="1"/>
  <c r="L144" i="6"/>
  <c r="I144" i="6"/>
  <c r="H144" i="6"/>
  <c r="F144" i="6"/>
  <c r="C144" i="6"/>
  <c r="AC143" i="6"/>
  <c r="AD143" i="6" s="1"/>
  <c r="AA143" i="6"/>
  <c r="X143" i="6"/>
  <c r="W143" i="6"/>
  <c r="U143" i="6"/>
  <c r="R143" i="6"/>
  <c r="O143" i="6"/>
  <c r="N143" i="6"/>
  <c r="L143" i="6"/>
  <c r="H143" i="6"/>
  <c r="I143" i="6" s="1"/>
  <c r="F143" i="6"/>
  <c r="C143" i="6"/>
  <c r="AC141" i="6"/>
  <c r="AD141" i="6" s="1"/>
  <c r="AA141" i="6"/>
  <c r="Z141" i="6"/>
  <c r="W141" i="6"/>
  <c r="X141" i="6" s="1"/>
  <c r="U141" i="6"/>
  <c r="T141" i="6"/>
  <c r="Q141" i="6"/>
  <c r="R141" i="6" s="1"/>
  <c r="K141" i="6"/>
  <c r="N141" i="6" s="1"/>
  <c r="O141" i="6" s="1"/>
  <c r="E141" i="6"/>
  <c r="F141" i="6" s="1"/>
  <c r="C141" i="6"/>
  <c r="B141" i="6"/>
  <c r="AD140" i="6"/>
  <c r="AC140" i="6"/>
  <c r="AA140" i="6"/>
  <c r="W140" i="6"/>
  <c r="X140" i="6" s="1"/>
  <c r="U140" i="6"/>
  <c r="R140" i="6"/>
  <c r="O140" i="6"/>
  <c r="N140" i="6"/>
  <c r="L140" i="6"/>
  <c r="I140" i="6"/>
  <c r="H140" i="6"/>
  <c r="F140" i="6"/>
  <c r="C140" i="6"/>
  <c r="AD139" i="6"/>
  <c r="AC139" i="6"/>
  <c r="AA139" i="6"/>
  <c r="X139" i="6"/>
  <c r="W139" i="6"/>
  <c r="U139" i="6"/>
  <c r="R139" i="6"/>
  <c r="O139" i="6"/>
  <c r="N139" i="6"/>
  <c r="L139" i="6"/>
  <c r="H139" i="6"/>
  <c r="I139" i="6" s="1"/>
  <c r="F139" i="6"/>
  <c r="C139" i="6"/>
  <c r="AC138" i="6"/>
  <c r="AD138" i="6" s="1"/>
  <c r="AA138" i="6"/>
  <c r="X138" i="6"/>
  <c r="W138" i="6"/>
  <c r="U138" i="6"/>
  <c r="R138" i="6"/>
  <c r="N138" i="6"/>
  <c r="O138" i="6" s="1"/>
  <c r="L138" i="6"/>
  <c r="H138" i="6"/>
  <c r="I138" i="6" s="1"/>
  <c r="F138" i="6"/>
  <c r="C138" i="6"/>
  <c r="AD137" i="6"/>
  <c r="AC137" i="6"/>
  <c r="AA137" i="6"/>
  <c r="W137" i="6"/>
  <c r="X137" i="6" s="1"/>
  <c r="U137" i="6"/>
  <c r="R137" i="6"/>
  <c r="O137" i="6"/>
  <c r="N137" i="6"/>
  <c r="L137" i="6"/>
  <c r="H137" i="6"/>
  <c r="I137" i="6" s="1"/>
  <c r="F137" i="6"/>
  <c r="C137" i="6"/>
  <c r="AC136" i="6"/>
  <c r="AD136" i="6" s="1"/>
  <c r="AA136" i="6"/>
  <c r="W136" i="6"/>
  <c r="X136" i="6" s="1"/>
  <c r="U136" i="6"/>
  <c r="R136" i="6"/>
  <c r="N136" i="6"/>
  <c r="O136" i="6" s="1"/>
  <c r="L136" i="6"/>
  <c r="I136" i="6"/>
  <c r="H136" i="6"/>
  <c r="F136" i="6"/>
  <c r="C136" i="6"/>
  <c r="AD135" i="6"/>
  <c r="AC135" i="6"/>
  <c r="AA135" i="6"/>
  <c r="W135" i="6"/>
  <c r="X135" i="6" s="1"/>
  <c r="U135" i="6"/>
  <c r="R135" i="6"/>
  <c r="O135" i="6"/>
  <c r="N135" i="6"/>
  <c r="L135" i="6"/>
  <c r="H135" i="6"/>
  <c r="I135" i="6" s="1"/>
  <c r="F135" i="6"/>
  <c r="C135" i="6"/>
  <c r="AC134" i="6"/>
  <c r="AD134" i="6" s="1"/>
  <c r="AA134" i="6"/>
  <c r="X134" i="6"/>
  <c r="W134" i="6"/>
  <c r="U134" i="6"/>
  <c r="R134" i="6"/>
  <c r="N134" i="6"/>
  <c r="O134" i="6" s="1"/>
  <c r="L134" i="6"/>
  <c r="H134" i="6"/>
  <c r="I134" i="6" s="1"/>
  <c r="F134" i="6"/>
  <c r="C134" i="6"/>
  <c r="AD133" i="6"/>
  <c r="AC133" i="6"/>
  <c r="AA133" i="6"/>
  <c r="X133" i="6"/>
  <c r="W133" i="6"/>
  <c r="U133" i="6"/>
  <c r="R133" i="6"/>
  <c r="N133" i="6"/>
  <c r="O133" i="6" s="1"/>
  <c r="L133" i="6"/>
  <c r="H133" i="6"/>
  <c r="I133" i="6" s="1"/>
  <c r="F133" i="6"/>
  <c r="C133" i="6"/>
  <c r="AD132" i="6"/>
  <c r="AC132" i="6"/>
  <c r="AA132" i="6"/>
  <c r="W132" i="6"/>
  <c r="X132" i="6" s="1"/>
  <c r="U132" i="6"/>
  <c r="R132" i="6"/>
  <c r="O132" i="6"/>
  <c r="N132" i="6"/>
  <c r="L132" i="6"/>
  <c r="I132" i="6"/>
  <c r="H132" i="6"/>
  <c r="F132" i="6"/>
  <c r="C132" i="6"/>
  <c r="AD131" i="6"/>
  <c r="AC131" i="6"/>
  <c r="AA131" i="6"/>
  <c r="X131" i="6"/>
  <c r="W131" i="6"/>
  <c r="U131" i="6"/>
  <c r="R131" i="6"/>
  <c r="O131" i="6"/>
  <c r="N131" i="6"/>
  <c r="L131" i="6"/>
  <c r="H131" i="6"/>
  <c r="I131" i="6" s="1"/>
  <c r="F131" i="6"/>
  <c r="C131" i="6"/>
  <c r="AC130" i="6"/>
  <c r="AD130" i="6" s="1"/>
  <c r="AA130" i="6"/>
  <c r="X130" i="6"/>
  <c r="W130" i="6"/>
  <c r="U130" i="6"/>
  <c r="R130" i="6"/>
  <c r="N130" i="6"/>
  <c r="O130" i="6" s="1"/>
  <c r="L130" i="6"/>
  <c r="H130" i="6"/>
  <c r="I130" i="6" s="1"/>
  <c r="F130" i="6"/>
  <c r="C130" i="6"/>
  <c r="AD129" i="6"/>
  <c r="AC129" i="6"/>
  <c r="AA129" i="6"/>
  <c r="W129" i="6"/>
  <c r="X129" i="6" s="1"/>
  <c r="U129" i="6"/>
  <c r="R129" i="6"/>
  <c r="O129" i="6"/>
  <c r="N129" i="6"/>
  <c r="L129" i="6"/>
  <c r="H129" i="6"/>
  <c r="I129" i="6" s="1"/>
  <c r="F129" i="6"/>
  <c r="C129" i="6"/>
  <c r="AC127" i="6"/>
  <c r="AD127" i="6" s="1"/>
  <c r="AA127" i="6"/>
  <c r="W127" i="6"/>
  <c r="X127" i="6" s="1"/>
  <c r="U127" i="6"/>
  <c r="R127" i="6"/>
  <c r="N127" i="6"/>
  <c r="O127" i="6" s="1"/>
  <c r="L127" i="6"/>
  <c r="I127" i="6"/>
  <c r="H127" i="6"/>
  <c r="F127" i="6"/>
  <c r="C127" i="6"/>
  <c r="Z124" i="6"/>
  <c r="T124" i="6"/>
  <c r="U124" i="6" s="1"/>
  <c r="Q124" i="6"/>
  <c r="AC124" i="6" s="1"/>
  <c r="AD124" i="6" s="1"/>
  <c r="L124" i="6"/>
  <c r="K124" i="6"/>
  <c r="H124" i="6"/>
  <c r="I124" i="6" s="1"/>
  <c r="F124" i="6"/>
  <c r="E124" i="6"/>
  <c r="C124" i="6"/>
  <c r="B124" i="6"/>
  <c r="N124" i="6" s="1"/>
  <c r="O124" i="6" s="1"/>
  <c r="AD123" i="6"/>
  <c r="AC123" i="6"/>
  <c r="AA123" i="6"/>
  <c r="X123" i="6"/>
  <c r="W123" i="6"/>
  <c r="U123" i="6"/>
  <c r="R123" i="6"/>
  <c r="O123" i="6"/>
  <c r="N123" i="6"/>
  <c r="L123" i="6"/>
  <c r="H123" i="6"/>
  <c r="I123" i="6" s="1"/>
  <c r="F123" i="6"/>
  <c r="C123" i="6"/>
  <c r="AC122" i="6"/>
  <c r="AD122" i="6" s="1"/>
  <c r="AA122" i="6"/>
  <c r="Z122" i="6"/>
  <c r="T122" i="6"/>
  <c r="W122" i="6" s="1"/>
  <c r="X122" i="6" s="1"/>
  <c r="R122" i="6"/>
  <c r="Q122" i="6"/>
  <c r="K122" i="6"/>
  <c r="L122" i="6" s="1"/>
  <c r="F122" i="6"/>
  <c r="E122" i="6"/>
  <c r="H122" i="6" s="1"/>
  <c r="I122" i="6" s="1"/>
  <c r="C122" i="6"/>
  <c r="B122" i="6"/>
  <c r="AC121" i="6"/>
  <c r="AD121" i="6" s="1"/>
  <c r="AA121" i="6"/>
  <c r="W121" i="6"/>
  <c r="X121" i="6" s="1"/>
  <c r="U121" i="6"/>
  <c r="R121" i="6"/>
  <c r="N121" i="6"/>
  <c r="O121" i="6" s="1"/>
  <c r="L121" i="6"/>
  <c r="I121" i="6"/>
  <c r="H121" i="6"/>
  <c r="F121" i="6"/>
  <c r="C121" i="6"/>
  <c r="AD120" i="6"/>
  <c r="AC120" i="6"/>
  <c r="AA120" i="6"/>
  <c r="W120" i="6"/>
  <c r="X120" i="6" s="1"/>
  <c r="U120" i="6"/>
  <c r="R120" i="6"/>
  <c r="N120" i="6"/>
  <c r="O120" i="6" s="1"/>
  <c r="L120" i="6"/>
  <c r="I120" i="6"/>
  <c r="H120" i="6"/>
  <c r="F120" i="6"/>
  <c r="C120" i="6"/>
  <c r="AC119" i="6"/>
  <c r="AD119" i="6" s="1"/>
  <c r="AA119" i="6"/>
  <c r="W119" i="6"/>
  <c r="X119" i="6" s="1"/>
  <c r="U119" i="6"/>
  <c r="R119" i="6"/>
  <c r="O119" i="6"/>
  <c r="N119" i="6"/>
  <c r="L119" i="6"/>
  <c r="I119" i="6"/>
  <c r="H119" i="6"/>
  <c r="F119" i="6"/>
  <c r="C119" i="6"/>
  <c r="AC118" i="6"/>
  <c r="AD118" i="6" s="1"/>
  <c r="AA118" i="6"/>
  <c r="Z118" i="6"/>
  <c r="T118" i="6"/>
  <c r="U118" i="6" s="1"/>
  <c r="R118" i="6"/>
  <c r="Q118" i="6"/>
  <c r="L118" i="6"/>
  <c r="K118" i="6"/>
  <c r="I118" i="6"/>
  <c r="H118" i="6"/>
  <c r="F118" i="6"/>
  <c r="E118" i="6"/>
  <c r="C118" i="6"/>
  <c r="B118" i="6"/>
  <c r="N118" i="6" s="1"/>
  <c r="O118" i="6" s="1"/>
  <c r="AD117" i="6"/>
  <c r="AC117" i="6"/>
  <c r="AA117" i="6"/>
  <c r="W117" i="6"/>
  <c r="X117" i="6" s="1"/>
  <c r="U117" i="6"/>
  <c r="R117" i="6"/>
  <c r="O117" i="6"/>
  <c r="N117" i="6"/>
  <c r="L117" i="6"/>
  <c r="I117" i="6"/>
  <c r="H117" i="6"/>
  <c r="F117" i="6"/>
  <c r="C117" i="6"/>
  <c r="AD116" i="6"/>
  <c r="AC116" i="6"/>
  <c r="AA116" i="6"/>
  <c r="W116" i="6"/>
  <c r="X116" i="6" s="1"/>
  <c r="U116" i="6"/>
  <c r="R116" i="6"/>
  <c r="O116" i="6"/>
  <c r="N116" i="6"/>
  <c r="L116" i="6"/>
  <c r="I116" i="6"/>
  <c r="H116" i="6"/>
  <c r="F116" i="6"/>
  <c r="C116" i="6"/>
  <c r="AC115" i="6"/>
  <c r="AD115" i="6" s="1"/>
  <c r="AA115" i="6"/>
  <c r="X115" i="6"/>
  <c r="W115" i="6"/>
  <c r="U115" i="6"/>
  <c r="R115" i="6"/>
  <c r="O115" i="6"/>
  <c r="N115" i="6"/>
  <c r="L115" i="6"/>
  <c r="H115" i="6"/>
  <c r="I115" i="6" s="1"/>
  <c r="F115" i="6"/>
  <c r="C115" i="6"/>
  <c r="AC114" i="6"/>
  <c r="AD114" i="6" s="1"/>
  <c r="AA114" i="6"/>
  <c r="X114" i="6"/>
  <c r="W114" i="6"/>
  <c r="U114" i="6"/>
  <c r="R114" i="6"/>
  <c r="N114" i="6"/>
  <c r="O114" i="6" s="1"/>
  <c r="L114" i="6"/>
  <c r="I114" i="6"/>
  <c r="H114" i="6"/>
  <c r="F114" i="6"/>
  <c r="C114" i="6"/>
  <c r="AD113" i="6"/>
  <c r="AC113" i="6"/>
  <c r="AA113" i="6"/>
  <c r="W113" i="6"/>
  <c r="X113" i="6" s="1"/>
  <c r="U113" i="6"/>
  <c r="R113" i="6"/>
  <c r="N113" i="6"/>
  <c r="O113" i="6" s="1"/>
  <c r="L113" i="6"/>
  <c r="H113" i="6"/>
  <c r="I113" i="6" s="1"/>
  <c r="F113" i="6"/>
  <c r="C113" i="6"/>
  <c r="AD112" i="6"/>
  <c r="AC112" i="6"/>
  <c r="AA112" i="6"/>
  <c r="W112" i="6"/>
  <c r="X112" i="6" s="1"/>
  <c r="U112" i="6"/>
  <c r="R112" i="6"/>
  <c r="N112" i="6"/>
  <c r="O112" i="6" s="1"/>
  <c r="L112" i="6"/>
  <c r="I112" i="6"/>
  <c r="H112" i="6"/>
  <c r="F112" i="6"/>
  <c r="C112" i="6"/>
  <c r="AC111" i="6"/>
  <c r="AD111" i="6" s="1"/>
  <c r="AA111" i="6"/>
  <c r="X111" i="6"/>
  <c r="W111" i="6"/>
  <c r="U111" i="6"/>
  <c r="R111" i="6"/>
  <c r="N111" i="6"/>
  <c r="O111" i="6" s="1"/>
  <c r="L111" i="6"/>
  <c r="H111" i="6"/>
  <c r="I111" i="6" s="1"/>
  <c r="F111" i="6"/>
  <c r="C111" i="6"/>
  <c r="AD110" i="6"/>
  <c r="AC110" i="6"/>
  <c r="AA110" i="6"/>
  <c r="W110" i="6"/>
  <c r="X110" i="6" s="1"/>
  <c r="U110" i="6"/>
  <c r="R110" i="6"/>
  <c r="N110" i="6"/>
  <c r="O110" i="6" s="1"/>
  <c r="L110" i="6"/>
  <c r="H110" i="6"/>
  <c r="I110" i="6" s="1"/>
  <c r="F110" i="6"/>
  <c r="C110" i="6"/>
  <c r="AD109" i="6"/>
  <c r="AC109" i="6"/>
  <c r="AA109" i="6"/>
  <c r="X109" i="6"/>
  <c r="W109" i="6"/>
  <c r="U109" i="6"/>
  <c r="R109" i="6"/>
  <c r="N109" i="6"/>
  <c r="O109" i="6" s="1"/>
  <c r="L109" i="6"/>
  <c r="I109" i="6"/>
  <c r="H109" i="6"/>
  <c r="F109" i="6"/>
  <c r="C109" i="6"/>
  <c r="AD108" i="6"/>
  <c r="AC108" i="6"/>
  <c r="AA108" i="6"/>
  <c r="W108" i="6"/>
  <c r="X108" i="6" s="1"/>
  <c r="U108" i="6"/>
  <c r="R108" i="6"/>
  <c r="N108" i="6"/>
  <c r="O108" i="6" s="1"/>
  <c r="L108" i="6"/>
  <c r="I108" i="6"/>
  <c r="H108" i="6"/>
  <c r="F108" i="6"/>
  <c r="C108" i="6"/>
  <c r="AD107" i="6"/>
  <c r="AC107" i="6"/>
  <c r="AA107" i="6"/>
  <c r="W107" i="6"/>
  <c r="X107" i="6" s="1"/>
  <c r="U107" i="6"/>
  <c r="R107" i="6"/>
  <c r="O107" i="6"/>
  <c r="N107" i="6"/>
  <c r="L107" i="6"/>
  <c r="H107" i="6"/>
  <c r="I107" i="6" s="1"/>
  <c r="F107" i="6"/>
  <c r="C107" i="6"/>
  <c r="AC106" i="6"/>
  <c r="AD106" i="6" s="1"/>
  <c r="AA106" i="6"/>
  <c r="W106" i="6"/>
  <c r="X106" i="6" s="1"/>
  <c r="U106" i="6"/>
  <c r="R106" i="6"/>
  <c r="N106" i="6"/>
  <c r="O106" i="6" s="1"/>
  <c r="L106" i="6"/>
  <c r="I106" i="6"/>
  <c r="H106" i="6"/>
  <c r="F106" i="6"/>
  <c r="C106" i="6"/>
  <c r="AD105" i="6"/>
  <c r="AC105" i="6"/>
  <c r="AA105" i="6"/>
  <c r="W105" i="6"/>
  <c r="X105" i="6" s="1"/>
  <c r="U105" i="6"/>
  <c r="R105" i="6"/>
  <c r="N105" i="6"/>
  <c r="O105" i="6" s="1"/>
  <c r="L105" i="6"/>
  <c r="I105" i="6"/>
  <c r="H105" i="6"/>
  <c r="F105" i="6"/>
  <c r="C105" i="6"/>
  <c r="AC104" i="6"/>
  <c r="AD104" i="6" s="1"/>
  <c r="AA104" i="6"/>
  <c r="W104" i="6"/>
  <c r="X104" i="6" s="1"/>
  <c r="U104" i="6"/>
  <c r="R104" i="6"/>
  <c r="O104" i="6"/>
  <c r="N104" i="6"/>
  <c r="L104" i="6"/>
  <c r="I104" i="6"/>
  <c r="H104" i="6"/>
  <c r="F104" i="6"/>
  <c r="C104" i="6"/>
  <c r="AC103" i="6"/>
  <c r="AD103" i="6" s="1"/>
  <c r="AA103" i="6"/>
  <c r="W103" i="6"/>
  <c r="X103" i="6" s="1"/>
  <c r="U103" i="6"/>
  <c r="R103" i="6"/>
  <c r="O103" i="6"/>
  <c r="N103" i="6"/>
  <c r="L103" i="6"/>
  <c r="I103" i="6"/>
  <c r="H103" i="6"/>
  <c r="F103" i="6"/>
  <c r="C103" i="6"/>
  <c r="AD102" i="6"/>
  <c r="AC102" i="6"/>
  <c r="AA102" i="6"/>
  <c r="X102" i="6"/>
  <c r="W102" i="6"/>
  <c r="U102" i="6"/>
  <c r="R102" i="6"/>
  <c r="N102" i="6"/>
  <c r="O102" i="6" s="1"/>
  <c r="L102" i="6"/>
  <c r="I102" i="6"/>
  <c r="H102" i="6"/>
  <c r="F102" i="6"/>
  <c r="C102" i="6"/>
  <c r="AD101" i="6"/>
  <c r="AC101" i="6"/>
  <c r="AA101" i="6"/>
  <c r="X101" i="6"/>
  <c r="W101" i="6"/>
  <c r="U101" i="6"/>
  <c r="R101" i="6"/>
  <c r="O101" i="6"/>
  <c r="N101" i="6"/>
  <c r="L101" i="6"/>
  <c r="H101" i="6"/>
  <c r="I101" i="6" s="1"/>
  <c r="F101" i="6"/>
  <c r="C101" i="6"/>
  <c r="AD100" i="6"/>
  <c r="AC100" i="6"/>
  <c r="AA100" i="6"/>
  <c r="W100" i="6"/>
  <c r="X100" i="6" s="1"/>
  <c r="U100" i="6"/>
  <c r="R100" i="6"/>
  <c r="O100" i="6"/>
  <c r="N100" i="6"/>
  <c r="L100" i="6"/>
  <c r="I100" i="6"/>
  <c r="H100" i="6"/>
  <c r="F100" i="6"/>
  <c r="C100" i="6"/>
  <c r="AD99" i="6"/>
  <c r="AC99" i="6"/>
  <c r="AA99" i="6"/>
  <c r="X99" i="6"/>
  <c r="W99" i="6"/>
  <c r="U99" i="6"/>
  <c r="R99" i="6"/>
  <c r="N99" i="6"/>
  <c r="O99" i="6" s="1"/>
  <c r="L99" i="6"/>
  <c r="H99" i="6"/>
  <c r="I99" i="6" s="1"/>
  <c r="F99" i="6"/>
  <c r="C99" i="6"/>
  <c r="AC98" i="6"/>
  <c r="AD98" i="6" s="1"/>
  <c r="AA98" i="6"/>
  <c r="X98" i="6"/>
  <c r="W98" i="6"/>
  <c r="U98" i="6"/>
  <c r="R98" i="6"/>
  <c r="N98" i="6"/>
  <c r="O98" i="6" s="1"/>
  <c r="L98" i="6"/>
  <c r="H98" i="6"/>
  <c r="I98" i="6" s="1"/>
  <c r="F98" i="6"/>
  <c r="C98" i="6"/>
  <c r="AD97" i="6"/>
  <c r="AC97" i="6"/>
  <c r="AA97" i="6"/>
  <c r="W97" i="6"/>
  <c r="X97" i="6" s="1"/>
  <c r="U97" i="6"/>
  <c r="R97" i="6"/>
  <c r="N97" i="6"/>
  <c r="O97" i="6" s="1"/>
  <c r="L97" i="6"/>
  <c r="H97" i="6"/>
  <c r="I97" i="6" s="1"/>
  <c r="F97" i="6"/>
  <c r="C97" i="6"/>
  <c r="AD96" i="6"/>
  <c r="AC96" i="6"/>
  <c r="AA96" i="6"/>
  <c r="W96" i="6"/>
  <c r="X96" i="6" s="1"/>
  <c r="U96" i="6"/>
  <c r="R96" i="6"/>
  <c r="N96" i="6"/>
  <c r="O96" i="6" s="1"/>
  <c r="L96" i="6"/>
  <c r="I96" i="6"/>
  <c r="H96" i="6"/>
  <c r="F96" i="6"/>
  <c r="C96" i="6"/>
  <c r="AC95" i="6"/>
  <c r="AD95" i="6" s="1"/>
  <c r="AA95" i="6"/>
  <c r="X95" i="6"/>
  <c r="W95" i="6"/>
  <c r="U95" i="6"/>
  <c r="R95" i="6"/>
  <c r="N95" i="6"/>
  <c r="O95" i="6" s="1"/>
  <c r="L95" i="6"/>
  <c r="H95" i="6"/>
  <c r="I95" i="6" s="1"/>
  <c r="F95" i="6"/>
  <c r="C95" i="6"/>
  <c r="AD94" i="6"/>
  <c r="AC94" i="6"/>
  <c r="AA94" i="6"/>
  <c r="X94" i="6"/>
  <c r="W94" i="6"/>
  <c r="U94" i="6"/>
  <c r="R94" i="6"/>
  <c r="N94" i="6"/>
  <c r="O94" i="6" s="1"/>
  <c r="L94" i="6"/>
  <c r="H94" i="6"/>
  <c r="I94" i="6" s="1"/>
  <c r="F94" i="6"/>
  <c r="C94" i="6"/>
  <c r="AD92" i="6"/>
  <c r="AC92" i="6"/>
  <c r="AA92" i="6"/>
  <c r="X92" i="6"/>
  <c r="W92" i="6"/>
  <c r="U92" i="6"/>
  <c r="R92" i="6"/>
  <c r="O92" i="6"/>
  <c r="N92" i="6"/>
  <c r="L92" i="6"/>
  <c r="I92" i="6"/>
  <c r="H92" i="6"/>
  <c r="F92" i="6"/>
  <c r="C92" i="6"/>
  <c r="AC91" i="6"/>
  <c r="AD91" i="6" s="1"/>
  <c r="AA91" i="6"/>
  <c r="W91" i="6"/>
  <c r="X91" i="6" s="1"/>
  <c r="U91" i="6"/>
  <c r="R91" i="6"/>
  <c r="N91" i="6"/>
  <c r="O91" i="6" s="1"/>
  <c r="L91" i="6"/>
  <c r="I91" i="6"/>
  <c r="H91" i="6"/>
  <c r="F91" i="6"/>
  <c r="C91" i="6"/>
  <c r="AD90" i="6"/>
  <c r="AC90" i="6"/>
  <c r="AA90" i="6"/>
  <c r="X90" i="6"/>
  <c r="W90" i="6"/>
  <c r="U90" i="6"/>
  <c r="R90" i="6"/>
  <c r="O90" i="6"/>
  <c r="N90" i="6"/>
  <c r="L90" i="6"/>
  <c r="H90" i="6"/>
  <c r="I90" i="6" s="1"/>
  <c r="F90" i="6"/>
  <c r="C90" i="6"/>
  <c r="AC89" i="6"/>
  <c r="AD89" i="6" s="1"/>
  <c r="AA89" i="6"/>
  <c r="W89" i="6"/>
  <c r="X89" i="6" s="1"/>
  <c r="U89" i="6"/>
  <c r="R89" i="6"/>
  <c r="N89" i="6"/>
  <c r="O89" i="6" s="1"/>
  <c r="L89" i="6"/>
  <c r="I89" i="6"/>
  <c r="H89" i="6"/>
  <c r="F89" i="6"/>
  <c r="C89" i="6"/>
  <c r="Z88" i="6"/>
  <c r="AA88" i="6" s="1"/>
  <c r="W88" i="6"/>
  <c r="X88" i="6" s="1"/>
  <c r="U88" i="6"/>
  <c r="T88" i="6"/>
  <c r="R88" i="6"/>
  <c r="Q88" i="6"/>
  <c r="N88" i="6"/>
  <c r="O88" i="6" s="1"/>
  <c r="K88" i="6"/>
  <c r="L88" i="6" s="1"/>
  <c r="F88" i="6"/>
  <c r="E88" i="6"/>
  <c r="C88" i="6"/>
  <c r="B88" i="6"/>
  <c r="H88" i="6" s="1"/>
  <c r="I88" i="6" s="1"/>
  <c r="AC87" i="6"/>
  <c r="AD87" i="6" s="1"/>
  <c r="AA87" i="6"/>
  <c r="W87" i="6"/>
  <c r="X87" i="6" s="1"/>
  <c r="U87" i="6"/>
  <c r="R87" i="6"/>
  <c r="O87" i="6"/>
  <c r="N87" i="6"/>
  <c r="L87" i="6"/>
  <c r="I87" i="6"/>
  <c r="H87" i="6"/>
  <c r="F87" i="6"/>
  <c r="C87" i="6"/>
  <c r="AD86" i="6"/>
  <c r="AC86" i="6"/>
  <c r="AA86" i="6"/>
  <c r="X86" i="6"/>
  <c r="W86" i="6"/>
  <c r="U86" i="6"/>
  <c r="R86" i="6"/>
  <c r="N86" i="6"/>
  <c r="O86" i="6" s="1"/>
  <c r="L86" i="6"/>
  <c r="I86" i="6"/>
  <c r="H86" i="6"/>
  <c r="F86" i="6"/>
  <c r="C86" i="6"/>
  <c r="AD85" i="6"/>
  <c r="AC85" i="6"/>
  <c r="AA85" i="6"/>
  <c r="X85" i="6"/>
  <c r="W85" i="6"/>
  <c r="U85" i="6"/>
  <c r="R85" i="6"/>
  <c r="O85" i="6"/>
  <c r="N85" i="6"/>
  <c r="L85" i="6"/>
  <c r="H85" i="6"/>
  <c r="I85" i="6" s="1"/>
  <c r="F85" i="6"/>
  <c r="C85" i="6"/>
  <c r="AD84" i="6"/>
  <c r="AC84" i="6"/>
  <c r="AA84" i="6"/>
  <c r="W84" i="6"/>
  <c r="X84" i="6" s="1"/>
  <c r="U84" i="6"/>
  <c r="R84" i="6"/>
  <c r="O84" i="6"/>
  <c r="N84" i="6"/>
  <c r="L84" i="6"/>
  <c r="I84" i="6"/>
  <c r="H84" i="6"/>
  <c r="F84" i="6"/>
  <c r="C84" i="6"/>
  <c r="AD83" i="6"/>
  <c r="AC83" i="6"/>
  <c r="AA83" i="6"/>
  <c r="X83" i="6"/>
  <c r="W83" i="6"/>
  <c r="U83" i="6"/>
  <c r="R83" i="6"/>
  <c r="N83" i="6"/>
  <c r="O83" i="6" s="1"/>
  <c r="L83" i="6"/>
  <c r="H83" i="6"/>
  <c r="I83" i="6" s="1"/>
  <c r="F83" i="6"/>
  <c r="C83" i="6"/>
  <c r="AC82" i="6"/>
  <c r="AD82" i="6" s="1"/>
  <c r="AA82" i="6"/>
  <c r="X82" i="6"/>
  <c r="W82" i="6"/>
  <c r="U82" i="6"/>
  <c r="R82" i="6"/>
  <c r="N82" i="6"/>
  <c r="O82" i="6" s="1"/>
  <c r="L82" i="6"/>
  <c r="H82" i="6"/>
  <c r="I82" i="6" s="1"/>
  <c r="F82" i="6"/>
  <c r="C82" i="6"/>
  <c r="AD81" i="6"/>
  <c r="AC81" i="6"/>
  <c r="AA81" i="6"/>
  <c r="W81" i="6"/>
  <c r="X81" i="6" s="1"/>
  <c r="U81" i="6"/>
  <c r="R81" i="6"/>
  <c r="N81" i="6"/>
  <c r="O81" i="6" s="1"/>
  <c r="L81" i="6"/>
  <c r="H81" i="6"/>
  <c r="I81" i="6" s="1"/>
  <c r="F81" i="6"/>
  <c r="C81" i="6"/>
  <c r="AD80" i="6"/>
  <c r="AC80" i="6"/>
  <c r="AA80" i="6"/>
  <c r="W80" i="6"/>
  <c r="X80" i="6" s="1"/>
  <c r="U80" i="6"/>
  <c r="R80" i="6"/>
  <c r="O80" i="6"/>
  <c r="N80" i="6"/>
  <c r="L80" i="6"/>
  <c r="H80" i="6"/>
  <c r="I80" i="6" s="1"/>
  <c r="F80" i="6"/>
  <c r="C80" i="6"/>
  <c r="AC79" i="6"/>
  <c r="AD79" i="6" s="1"/>
  <c r="AA79" i="6"/>
  <c r="X79" i="6"/>
  <c r="W79" i="6"/>
  <c r="U79" i="6"/>
  <c r="R79" i="6"/>
  <c r="N79" i="6"/>
  <c r="O79" i="6" s="1"/>
  <c r="L79" i="6"/>
  <c r="I79" i="6"/>
  <c r="H79" i="6"/>
  <c r="F79" i="6"/>
  <c r="C79" i="6"/>
  <c r="AD78" i="6"/>
  <c r="AC78" i="6"/>
  <c r="AA78" i="6"/>
  <c r="X78" i="6"/>
  <c r="W78" i="6"/>
  <c r="U78" i="6"/>
  <c r="R78" i="6"/>
  <c r="O78" i="6"/>
  <c r="N78" i="6"/>
  <c r="L78" i="6"/>
  <c r="H78" i="6"/>
  <c r="I78" i="6" s="1"/>
  <c r="F78" i="6"/>
  <c r="C78" i="6"/>
  <c r="AC77" i="6"/>
  <c r="AD77" i="6" s="1"/>
  <c r="AA77" i="6"/>
  <c r="W77" i="6"/>
  <c r="X77" i="6" s="1"/>
  <c r="U77" i="6"/>
  <c r="R77" i="6"/>
  <c r="O77" i="6"/>
  <c r="N77" i="6"/>
  <c r="L77" i="6"/>
  <c r="I77" i="6"/>
  <c r="H77" i="6"/>
  <c r="F77" i="6"/>
  <c r="C77" i="6"/>
  <c r="AC76" i="6"/>
  <c r="AD76" i="6" s="1"/>
  <c r="AA76" i="6"/>
  <c r="X76" i="6"/>
  <c r="W76" i="6"/>
  <c r="U76" i="6"/>
  <c r="R76" i="6"/>
  <c r="N76" i="6"/>
  <c r="O76" i="6" s="1"/>
  <c r="L76" i="6"/>
  <c r="H76" i="6"/>
  <c r="I76" i="6" s="1"/>
  <c r="F76" i="6"/>
  <c r="C76" i="6"/>
  <c r="AC75" i="6"/>
  <c r="AD75" i="6" s="1"/>
  <c r="AA75" i="6"/>
  <c r="X75" i="6"/>
  <c r="W75" i="6"/>
  <c r="U75" i="6"/>
  <c r="R75" i="6"/>
  <c r="N75" i="6"/>
  <c r="O75" i="6" s="1"/>
  <c r="L75" i="6"/>
  <c r="I75" i="6"/>
  <c r="H75" i="6"/>
  <c r="F75" i="6"/>
  <c r="C75" i="6"/>
  <c r="Z73" i="6"/>
  <c r="AA73" i="6" s="1"/>
  <c r="W73" i="6"/>
  <c r="X73" i="6" s="1"/>
  <c r="T73" i="6"/>
  <c r="U73" i="6" s="1"/>
  <c r="R73" i="6"/>
  <c r="Q73" i="6"/>
  <c r="K73" i="6"/>
  <c r="N73" i="6" s="1"/>
  <c r="O73" i="6" s="1"/>
  <c r="F73" i="6"/>
  <c r="E73" i="6"/>
  <c r="B73" i="6"/>
  <c r="AD72" i="6"/>
  <c r="AC72" i="6"/>
  <c r="AA72" i="6"/>
  <c r="X72" i="6"/>
  <c r="W72" i="6"/>
  <c r="U72" i="6"/>
  <c r="R72" i="6"/>
  <c r="O72" i="6"/>
  <c r="N72" i="6"/>
  <c r="L72" i="6"/>
  <c r="H72" i="6"/>
  <c r="I72" i="6" s="1"/>
  <c r="F72" i="6"/>
  <c r="C72" i="6"/>
  <c r="AC71" i="6"/>
  <c r="AD71" i="6" s="1"/>
  <c r="AA71" i="6"/>
  <c r="X71" i="6"/>
  <c r="W71" i="6"/>
  <c r="U71" i="6"/>
  <c r="R71" i="6"/>
  <c r="N71" i="6"/>
  <c r="O71" i="6" s="1"/>
  <c r="L71" i="6"/>
  <c r="H71" i="6"/>
  <c r="I71" i="6" s="1"/>
  <c r="F71" i="6"/>
  <c r="C71" i="6"/>
  <c r="AD70" i="6"/>
  <c r="AC70" i="6"/>
  <c r="AA70" i="6"/>
  <c r="W70" i="6"/>
  <c r="X70" i="6" s="1"/>
  <c r="U70" i="6"/>
  <c r="R70" i="6"/>
  <c r="O70" i="6"/>
  <c r="N70" i="6"/>
  <c r="L70" i="6"/>
  <c r="H70" i="6"/>
  <c r="I70" i="6" s="1"/>
  <c r="F70" i="6"/>
  <c r="C70" i="6"/>
  <c r="AC69" i="6"/>
  <c r="AD69" i="6" s="1"/>
  <c r="AA69" i="6"/>
  <c r="W69" i="6"/>
  <c r="X69" i="6" s="1"/>
  <c r="U69" i="6"/>
  <c r="R69" i="6"/>
  <c r="O69" i="6"/>
  <c r="N69" i="6"/>
  <c r="L69" i="6"/>
  <c r="I69" i="6"/>
  <c r="H69" i="6"/>
  <c r="F69" i="6"/>
  <c r="C69" i="6"/>
  <c r="AC68" i="6"/>
  <c r="AD68" i="6" s="1"/>
  <c r="AA68" i="6"/>
  <c r="X68" i="6"/>
  <c r="W68" i="6"/>
  <c r="U68" i="6"/>
  <c r="R68" i="6"/>
  <c r="N68" i="6"/>
  <c r="O68" i="6" s="1"/>
  <c r="L68" i="6"/>
  <c r="H68" i="6"/>
  <c r="I68" i="6" s="1"/>
  <c r="F68" i="6"/>
  <c r="C68" i="6"/>
  <c r="AC67" i="6"/>
  <c r="AD67" i="6" s="1"/>
  <c r="AA67" i="6"/>
  <c r="X67" i="6"/>
  <c r="W67" i="6"/>
  <c r="U67" i="6"/>
  <c r="R67" i="6"/>
  <c r="N67" i="6"/>
  <c r="O67" i="6" s="1"/>
  <c r="L67" i="6"/>
  <c r="I67" i="6"/>
  <c r="H67" i="6"/>
  <c r="F67" i="6"/>
  <c r="C67" i="6"/>
  <c r="AD66" i="6"/>
  <c r="AC66" i="6"/>
  <c r="AA66" i="6"/>
  <c r="X66" i="6"/>
  <c r="W66" i="6"/>
  <c r="U66" i="6"/>
  <c r="R66" i="6"/>
  <c r="O66" i="6"/>
  <c r="N66" i="6"/>
  <c r="L66" i="6"/>
  <c r="H66" i="6"/>
  <c r="I66" i="6" s="1"/>
  <c r="F66" i="6"/>
  <c r="C66" i="6"/>
  <c r="AC65" i="6"/>
  <c r="AD65" i="6" s="1"/>
  <c r="AA65" i="6"/>
  <c r="W65" i="6"/>
  <c r="X65" i="6" s="1"/>
  <c r="U65" i="6"/>
  <c r="R65" i="6"/>
  <c r="O65" i="6"/>
  <c r="N65" i="6"/>
  <c r="L65" i="6"/>
  <c r="I65" i="6"/>
  <c r="H65" i="6"/>
  <c r="F65" i="6"/>
  <c r="C65" i="6"/>
  <c r="AC64" i="6"/>
  <c r="AD64" i="6" s="1"/>
  <c r="AA64" i="6"/>
  <c r="X64" i="6"/>
  <c r="W64" i="6"/>
  <c r="U64" i="6"/>
  <c r="R64" i="6"/>
  <c r="N64" i="6"/>
  <c r="O64" i="6" s="1"/>
  <c r="L64" i="6"/>
  <c r="H64" i="6"/>
  <c r="I64" i="6" s="1"/>
  <c r="F64" i="6"/>
  <c r="C64" i="6"/>
  <c r="Z62" i="6"/>
  <c r="AA62" i="6" s="1"/>
  <c r="U62" i="6"/>
  <c r="T62" i="6"/>
  <c r="Q62" i="6"/>
  <c r="K62" i="6"/>
  <c r="L62" i="6" s="1"/>
  <c r="E62" i="6"/>
  <c r="F62" i="6" s="1"/>
  <c r="B62" i="6"/>
  <c r="AA61" i="6"/>
  <c r="Z61" i="6"/>
  <c r="T61" i="6"/>
  <c r="W61" i="6" s="1"/>
  <c r="X61" i="6" s="1"/>
  <c r="Q61" i="6"/>
  <c r="R61" i="6" s="1"/>
  <c r="K61" i="6"/>
  <c r="L61" i="6" s="1"/>
  <c r="I61" i="6"/>
  <c r="H61" i="6"/>
  <c r="E61" i="6"/>
  <c r="F61" i="6" s="1"/>
  <c r="C61" i="6"/>
  <c r="B61" i="6"/>
  <c r="AC60" i="6"/>
  <c r="AD60" i="6" s="1"/>
  <c r="AA60" i="6"/>
  <c r="X60" i="6"/>
  <c r="W60" i="6"/>
  <c r="U60" i="6"/>
  <c r="R60" i="6"/>
  <c r="N60" i="6"/>
  <c r="O60" i="6" s="1"/>
  <c r="L60" i="6"/>
  <c r="H60" i="6"/>
  <c r="I60" i="6" s="1"/>
  <c r="F60" i="6"/>
  <c r="C60" i="6"/>
  <c r="AD59" i="6"/>
  <c r="AC59" i="6"/>
  <c r="AA59" i="6"/>
  <c r="W59" i="6"/>
  <c r="X59" i="6" s="1"/>
  <c r="U59" i="6"/>
  <c r="R59" i="6"/>
  <c r="O59" i="6"/>
  <c r="N59" i="6"/>
  <c r="L59" i="6"/>
  <c r="H59" i="6"/>
  <c r="I59" i="6" s="1"/>
  <c r="F59" i="6"/>
  <c r="C59" i="6"/>
  <c r="AC58" i="6"/>
  <c r="AD58" i="6" s="1"/>
  <c r="AA58" i="6"/>
  <c r="W58" i="6"/>
  <c r="X58" i="6" s="1"/>
  <c r="U58" i="6"/>
  <c r="R58" i="6"/>
  <c r="O58" i="6"/>
  <c r="N58" i="6"/>
  <c r="L58" i="6"/>
  <c r="I58" i="6"/>
  <c r="H58" i="6"/>
  <c r="F58" i="6"/>
  <c r="C58" i="6"/>
  <c r="AC57" i="6"/>
  <c r="AD57" i="6" s="1"/>
  <c r="AA57" i="6"/>
  <c r="X57" i="6"/>
  <c r="W57" i="6"/>
  <c r="U57" i="6"/>
  <c r="R57" i="6"/>
  <c r="N57" i="6"/>
  <c r="O57" i="6" s="1"/>
  <c r="L57" i="6"/>
  <c r="H57" i="6"/>
  <c r="I57" i="6" s="1"/>
  <c r="F57" i="6"/>
  <c r="C57" i="6"/>
  <c r="AD56" i="6"/>
  <c r="AC56" i="6"/>
  <c r="AA56" i="6"/>
  <c r="X56" i="6"/>
  <c r="W56" i="6"/>
  <c r="U56" i="6"/>
  <c r="R56" i="6"/>
  <c r="N56" i="6"/>
  <c r="O56" i="6" s="1"/>
  <c r="L56" i="6"/>
  <c r="H56" i="6"/>
  <c r="I56" i="6" s="1"/>
  <c r="F56" i="6"/>
  <c r="C56" i="6"/>
  <c r="AD55" i="6"/>
  <c r="AC55" i="6"/>
  <c r="AA55" i="6"/>
  <c r="X55" i="6"/>
  <c r="W55" i="6"/>
  <c r="U55" i="6"/>
  <c r="R55" i="6"/>
  <c r="O55" i="6"/>
  <c r="N55" i="6"/>
  <c r="L55" i="6"/>
  <c r="I55" i="6"/>
  <c r="H55" i="6"/>
  <c r="F55" i="6"/>
  <c r="C55" i="6"/>
  <c r="AC54" i="6"/>
  <c r="AD54" i="6" s="1"/>
  <c r="AA54" i="6"/>
  <c r="W54" i="6"/>
  <c r="X54" i="6" s="1"/>
  <c r="U54" i="6"/>
  <c r="R54" i="6"/>
  <c r="O54" i="6"/>
  <c r="N54" i="6"/>
  <c r="L54" i="6"/>
  <c r="I54" i="6"/>
  <c r="H54" i="6"/>
  <c r="F54" i="6"/>
  <c r="C54" i="6"/>
  <c r="AD53" i="6"/>
  <c r="AC53" i="6"/>
  <c r="AA53" i="6"/>
  <c r="X53" i="6"/>
  <c r="W53" i="6"/>
  <c r="U53" i="6"/>
  <c r="R53" i="6"/>
  <c r="O53" i="6"/>
  <c r="N53" i="6"/>
  <c r="L53" i="6"/>
  <c r="H53" i="6"/>
  <c r="I53" i="6" s="1"/>
  <c r="F53" i="6"/>
  <c r="C53" i="6"/>
  <c r="AC52" i="6"/>
  <c r="AD52" i="6" s="1"/>
  <c r="AA52" i="6"/>
  <c r="X52" i="6"/>
  <c r="W52" i="6"/>
  <c r="U52" i="6"/>
  <c r="R52" i="6"/>
  <c r="N52" i="6"/>
  <c r="O52" i="6" s="1"/>
  <c r="L52" i="6"/>
  <c r="H52" i="6"/>
  <c r="I52" i="6" s="1"/>
  <c r="F52" i="6"/>
  <c r="C52" i="6"/>
  <c r="AD51" i="6"/>
  <c r="AC51" i="6"/>
  <c r="AA51" i="6"/>
  <c r="W51" i="6"/>
  <c r="X51" i="6" s="1"/>
  <c r="U51" i="6"/>
  <c r="R51" i="6"/>
  <c r="O51" i="6"/>
  <c r="N51" i="6"/>
  <c r="L51" i="6"/>
  <c r="H51" i="6"/>
  <c r="I51" i="6" s="1"/>
  <c r="F51" i="6"/>
  <c r="C51" i="6"/>
  <c r="AC50" i="6"/>
  <c r="AD50" i="6" s="1"/>
  <c r="AA50" i="6"/>
  <c r="W50" i="6"/>
  <c r="X50" i="6" s="1"/>
  <c r="U50" i="6"/>
  <c r="R50" i="6"/>
  <c r="O50" i="6"/>
  <c r="N50" i="6"/>
  <c r="L50" i="6"/>
  <c r="I50" i="6"/>
  <c r="H50" i="6"/>
  <c r="F50" i="6"/>
  <c r="C50" i="6"/>
  <c r="AC49" i="6"/>
  <c r="AD49" i="6" s="1"/>
  <c r="AA49" i="6"/>
  <c r="X49" i="6"/>
  <c r="W49" i="6"/>
  <c r="U49" i="6"/>
  <c r="R49" i="6"/>
  <c r="N49" i="6"/>
  <c r="O49" i="6" s="1"/>
  <c r="L49" i="6"/>
  <c r="H49" i="6"/>
  <c r="I49" i="6" s="1"/>
  <c r="F49" i="6"/>
  <c r="C49" i="6"/>
  <c r="AD48" i="6"/>
  <c r="AC48" i="6"/>
  <c r="AA48" i="6"/>
  <c r="X48" i="6"/>
  <c r="W48" i="6"/>
  <c r="U48" i="6"/>
  <c r="R48" i="6"/>
  <c r="N48" i="6"/>
  <c r="O48" i="6" s="1"/>
  <c r="L48" i="6"/>
  <c r="H48" i="6"/>
  <c r="I48" i="6" s="1"/>
  <c r="F48" i="6"/>
  <c r="C48" i="6"/>
  <c r="AD47" i="6"/>
  <c r="AC47" i="6"/>
  <c r="AA47" i="6"/>
  <c r="X47" i="6"/>
  <c r="W47" i="6"/>
  <c r="U47" i="6"/>
  <c r="R47" i="6"/>
  <c r="O47" i="6"/>
  <c r="N47" i="6"/>
  <c r="L47" i="6"/>
  <c r="I47" i="6"/>
  <c r="H47" i="6"/>
  <c r="F47" i="6"/>
  <c r="C47" i="6"/>
  <c r="AC46" i="6"/>
  <c r="AD46" i="6" s="1"/>
  <c r="AA46" i="6"/>
  <c r="W46" i="6"/>
  <c r="X46" i="6" s="1"/>
  <c r="U46" i="6"/>
  <c r="R46" i="6"/>
  <c r="O46" i="6"/>
  <c r="N46" i="6"/>
  <c r="L46" i="6"/>
  <c r="I46" i="6"/>
  <c r="H46" i="6"/>
  <c r="F46" i="6"/>
  <c r="C46" i="6"/>
  <c r="AC44" i="6"/>
  <c r="AD44" i="6" s="1"/>
  <c r="AA44" i="6"/>
  <c r="X44" i="6"/>
  <c r="W44" i="6"/>
  <c r="U44" i="6"/>
  <c r="R44" i="6"/>
  <c r="O44" i="6"/>
  <c r="N44" i="6"/>
  <c r="L44" i="6"/>
  <c r="H44" i="6"/>
  <c r="I44" i="6" s="1"/>
  <c r="F44" i="6"/>
  <c r="C44" i="6"/>
  <c r="AC43" i="6"/>
  <c r="AD43" i="6" s="1"/>
  <c r="AA43" i="6"/>
  <c r="X43" i="6"/>
  <c r="W43" i="6"/>
  <c r="U43" i="6"/>
  <c r="R43" i="6"/>
  <c r="N43" i="6"/>
  <c r="O43" i="6" s="1"/>
  <c r="L43" i="6"/>
  <c r="I43" i="6"/>
  <c r="H43" i="6"/>
  <c r="F43" i="6"/>
  <c r="C43" i="6"/>
  <c r="AD42" i="6"/>
  <c r="AC42" i="6"/>
  <c r="AA42" i="6"/>
  <c r="W42" i="6"/>
  <c r="X42" i="6" s="1"/>
  <c r="U42" i="6"/>
  <c r="R42" i="6"/>
  <c r="O42" i="6"/>
  <c r="N42" i="6"/>
  <c r="L42" i="6"/>
  <c r="H42" i="6"/>
  <c r="I42" i="6" s="1"/>
  <c r="F42" i="6"/>
  <c r="C42" i="6"/>
  <c r="AA40" i="6"/>
  <c r="Z40" i="6"/>
  <c r="T40" i="6"/>
  <c r="W40" i="6" s="1"/>
  <c r="X40" i="6" s="1"/>
  <c r="Q40" i="6"/>
  <c r="R40" i="6" s="1"/>
  <c r="L40" i="6"/>
  <c r="K40" i="6"/>
  <c r="I40" i="6"/>
  <c r="H40" i="6"/>
  <c r="E40" i="6"/>
  <c r="F40" i="6" s="1"/>
  <c r="C40" i="6"/>
  <c r="B40" i="6"/>
  <c r="N40" i="6" s="1"/>
  <c r="O40" i="6" s="1"/>
  <c r="AD39" i="6"/>
  <c r="AC39" i="6"/>
  <c r="AA39" i="6"/>
  <c r="X39" i="6"/>
  <c r="W39" i="6"/>
  <c r="U39" i="6"/>
  <c r="R39" i="6"/>
  <c r="N39" i="6"/>
  <c r="O39" i="6" s="1"/>
  <c r="L39" i="6"/>
  <c r="I39" i="6"/>
  <c r="H39" i="6"/>
  <c r="F39" i="6"/>
  <c r="C39" i="6"/>
  <c r="AD38" i="6"/>
  <c r="AC38" i="6"/>
  <c r="AA38" i="6"/>
  <c r="X38" i="6"/>
  <c r="W38" i="6"/>
  <c r="U38" i="6"/>
  <c r="R38" i="6"/>
  <c r="O38" i="6"/>
  <c r="N38" i="6"/>
  <c r="L38" i="6"/>
  <c r="H38" i="6"/>
  <c r="I38" i="6" s="1"/>
  <c r="F38" i="6"/>
  <c r="C38" i="6"/>
  <c r="AC37" i="6"/>
  <c r="AD37" i="6" s="1"/>
  <c r="AA37" i="6"/>
  <c r="W37" i="6"/>
  <c r="X37" i="6" s="1"/>
  <c r="U37" i="6"/>
  <c r="R37" i="6"/>
  <c r="O37" i="6"/>
  <c r="N37" i="6"/>
  <c r="L37" i="6"/>
  <c r="I37" i="6"/>
  <c r="H37" i="6"/>
  <c r="F37" i="6"/>
  <c r="C37" i="6"/>
  <c r="AC36" i="6"/>
  <c r="AD36" i="6" s="1"/>
  <c r="AA36" i="6"/>
  <c r="X36" i="6"/>
  <c r="W36" i="6"/>
  <c r="U36" i="6"/>
  <c r="R36" i="6"/>
  <c r="N36" i="6"/>
  <c r="O36" i="6" s="1"/>
  <c r="L36" i="6"/>
  <c r="H36" i="6"/>
  <c r="I36" i="6" s="1"/>
  <c r="F36" i="6"/>
  <c r="C36" i="6"/>
  <c r="AC35" i="6"/>
  <c r="AD35" i="6" s="1"/>
  <c r="AA35" i="6"/>
  <c r="X35" i="6"/>
  <c r="W35" i="6"/>
  <c r="U35" i="6"/>
  <c r="R35" i="6"/>
  <c r="N35" i="6"/>
  <c r="O35" i="6" s="1"/>
  <c r="L35" i="6"/>
  <c r="H35" i="6"/>
  <c r="I35" i="6" s="1"/>
  <c r="F35" i="6"/>
  <c r="C35" i="6"/>
  <c r="AD34" i="6"/>
  <c r="AC34" i="6"/>
  <c r="AA34" i="6"/>
  <c r="W34" i="6"/>
  <c r="X34" i="6" s="1"/>
  <c r="U34" i="6"/>
  <c r="R34" i="6"/>
  <c r="O34" i="6"/>
  <c r="N34" i="6"/>
  <c r="L34" i="6"/>
  <c r="I34" i="6"/>
  <c r="H34" i="6"/>
  <c r="F34" i="6"/>
  <c r="C34" i="6"/>
  <c r="AC33" i="6"/>
  <c r="AD33" i="6" s="1"/>
  <c r="AA33" i="6"/>
  <c r="W33" i="6"/>
  <c r="X33" i="6" s="1"/>
  <c r="U33" i="6"/>
  <c r="R33" i="6"/>
  <c r="O33" i="6"/>
  <c r="N33" i="6"/>
  <c r="L33" i="6"/>
  <c r="I33" i="6"/>
  <c r="H33" i="6"/>
  <c r="F33" i="6"/>
  <c r="C33" i="6"/>
  <c r="AD32" i="6"/>
  <c r="AC32" i="6"/>
  <c r="AA32" i="6"/>
  <c r="X32" i="6"/>
  <c r="W32" i="6"/>
  <c r="U32" i="6"/>
  <c r="R32" i="6"/>
  <c r="N32" i="6"/>
  <c r="O32" i="6" s="1"/>
  <c r="L32" i="6"/>
  <c r="H32" i="6"/>
  <c r="I32" i="6" s="1"/>
  <c r="F32" i="6"/>
  <c r="C32" i="6"/>
  <c r="AD31" i="6"/>
  <c r="AC31" i="6"/>
  <c r="AA31" i="6"/>
  <c r="X31" i="6"/>
  <c r="W31" i="6"/>
  <c r="U31" i="6"/>
  <c r="R31" i="6"/>
  <c r="N31" i="6"/>
  <c r="O31" i="6" s="1"/>
  <c r="L31" i="6"/>
  <c r="I31" i="6"/>
  <c r="H31" i="6"/>
  <c r="F31" i="6"/>
  <c r="C31" i="6"/>
  <c r="Z29" i="6"/>
  <c r="AA29" i="6" s="1"/>
  <c r="W29" i="6"/>
  <c r="X29" i="6" s="1"/>
  <c r="T29" i="6"/>
  <c r="U29" i="6" s="1"/>
  <c r="R29" i="6"/>
  <c r="Q29" i="6"/>
  <c r="K29" i="6"/>
  <c r="N29" i="6" s="1"/>
  <c r="O29" i="6" s="1"/>
  <c r="F29" i="6"/>
  <c r="E29" i="6"/>
  <c r="B29" i="6"/>
  <c r="H29" i="6" s="1"/>
  <c r="I29" i="6" s="1"/>
  <c r="AC28" i="6"/>
  <c r="AD28" i="6" s="1"/>
  <c r="AA28" i="6"/>
  <c r="X28" i="6"/>
  <c r="W28" i="6"/>
  <c r="U28" i="6"/>
  <c r="R28" i="6"/>
  <c r="O28" i="6"/>
  <c r="N28" i="6"/>
  <c r="L28" i="6"/>
  <c r="H28" i="6"/>
  <c r="I28" i="6" s="1"/>
  <c r="F28" i="6"/>
  <c r="C28" i="6"/>
  <c r="AD27" i="6"/>
  <c r="AC27" i="6"/>
  <c r="AA27" i="6"/>
  <c r="X27" i="6"/>
  <c r="W27" i="6"/>
  <c r="U27" i="6"/>
  <c r="R27" i="6"/>
  <c r="N27" i="6"/>
  <c r="O27" i="6" s="1"/>
  <c r="L27" i="6"/>
  <c r="H27" i="6"/>
  <c r="I27" i="6" s="1"/>
  <c r="F27" i="6"/>
  <c r="C27" i="6"/>
  <c r="AD26" i="6"/>
  <c r="AC26" i="6"/>
  <c r="AA26" i="6"/>
  <c r="X26" i="6"/>
  <c r="W26" i="6"/>
  <c r="U26" i="6"/>
  <c r="R26" i="6"/>
  <c r="O26" i="6"/>
  <c r="N26" i="6"/>
  <c r="L26" i="6"/>
  <c r="H26" i="6"/>
  <c r="I26" i="6" s="1"/>
  <c r="F26" i="6"/>
  <c r="C26" i="6"/>
  <c r="AC25" i="6"/>
  <c r="AD25" i="6" s="1"/>
  <c r="AA25" i="6"/>
  <c r="W25" i="6"/>
  <c r="X25" i="6" s="1"/>
  <c r="U25" i="6"/>
  <c r="R25" i="6"/>
  <c r="O25" i="6"/>
  <c r="N25" i="6"/>
  <c r="L25" i="6"/>
  <c r="I25" i="6"/>
  <c r="H25" i="6"/>
  <c r="F25" i="6"/>
  <c r="C25" i="6"/>
  <c r="AC24" i="6"/>
  <c r="AD24" i="6" s="1"/>
  <c r="AA24" i="6"/>
  <c r="X24" i="6"/>
  <c r="W24" i="6"/>
  <c r="U24" i="6"/>
  <c r="R24" i="6"/>
  <c r="N24" i="6"/>
  <c r="O24" i="6" s="1"/>
  <c r="L24" i="6"/>
  <c r="H24" i="6"/>
  <c r="I24" i="6" s="1"/>
  <c r="F24" i="6"/>
  <c r="C24" i="6"/>
  <c r="AC23" i="6"/>
  <c r="AD23" i="6" s="1"/>
  <c r="AA23" i="6"/>
  <c r="X23" i="6"/>
  <c r="W23" i="6"/>
  <c r="U23" i="6"/>
  <c r="R23" i="6"/>
  <c r="N23" i="6"/>
  <c r="O23" i="6" s="1"/>
  <c r="L23" i="6"/>
  <c r="H23" i="6"/>
  <c r="I23" i="6" s="1"/>
  <c r="F23" i="6"/>
  <c r="C23" i="6"/>
  <c r="AD22" i="6"/>
  <c r="AC22" i="6"/>
  <c r="AA22" i="6"/>
  <c r="W22" i="6"/>
  <c r="X22" i="6" s="1"/>
  <c r="U22" i="6"/>
  <c r="R22" i="6"/>
  <c r="O22" i="6"/>
  <c r="N22" i="6"/>
  <c r="L22" i="6"/>
  <c r="H22" i="6"/>
  <c r="I22" i="6" s="1"/>
  <c r="F22" i="6"/>
  <c r="C22" i="6"/>
  <c r="AC21" i="6"/>
  <c r="AD21" i="6" s="1"/>
  <c r="AA21" i="6"/>
  <c r="W21" i="6"/>
  <c r="X21" i="6" s="1"/>
  <c r="U21" i="6"/>
  <c r="R21" i="6"/>
  <c r="O21" i="6"/>
  <c r="N21" i="6"/>
  <c r="L21" i="6"/>
  <c r="I21" i="6"/>
  <c r="H21" i="6"/>
  <c r="F21" i="6"/>
  <c r="C21" i="6"/>
  <c r="AC19" i="6"/>
  <c r="AD19" i="6" s="1"/>
  <c r="AA19" i="6"/>
  <c r="X19" i="6"/>
  <c r="W19" i="6"/>
  <c r="U19" i="6"/>
  <c r="R19" i="6"/>
  <c r="O19" i="6"/>
  <c r="N19" i="6"/>
  <c r="L19" i="6"/>
  <c r="H19" i="6"/>
  <c r="I19" i="6" s="1"/>
  <c r="F19" i="6"/>
  <c r="C19" i="6"/>
  <c r="AA18" i="6"/>
  <c r="Z18" i="6"/>
  <c r="U18" i="6"/>
  <c r="T18" i="6"/>
  <c r="Q18" i="6"/>
  <c r="K18" i="6"/>
  <c r="L18" i="6" s="1"/>
  <c r="E18" i="6"/>
  <c r="F18" i="6" s="1"/>
  <c r="B18" i="6"/>
  <c r="AC17" i="6"/>
  <c r="AD17" i="6" s="1"/>
  <c r="AA17" i="6"/>
  <c r="W17" i="6"/>
  <c r="X17" i="6" s="1"/>
  <c r="U17" i="6"/>
  <c r="R17" i="6"/>
  <c r="O17" i="6"/>
  <c r="N17" i="6"/>
  <c r="L17" i="6"/>
  <c r="I17" i="6"/>
  <c r="H17" i="6"/>
  <c r="F17" i="6"/>
  <c r="C17" i="6"/>
  <c r="AC16" i="6"/>
  <c r="AD16" i="6" s="1"/>
  <c r="AA16" i="6"/>
  <c r="X16" i="6"/>
  <c r="W16" i="6"/>
  <c r="U16" i="6"/>
  <c r="R16" i="6"/>
  <c r="N16" i="6"/>
  <c r="O16" i="6" s="1"/>
  <c r="L16" i="6"/>
  <c r="H16" i="6"/>
  <c r="I16" i="6" s="1"/>
  <c r="F16" i="6"/>
  <c r="C16" i="6"/>
  <c r="AC15" i="6"/>
  <c r="AD15" i="6" s="1"/>
  <c r="AA15" i="6"/>
  <c r="X15" i="6"/>
  <c r="W15" i="6"/>
  <c r="U15" i="6"/>
  <c r="R15" i="6"/>
  <c r="N15" i="6"/>
  <c r="O15" i="6" s="1"/>
  <c r="L15" i="6"/>
  <c r="I15" i="6"/>
  <c r="H15" i="6"/>
  <c r="F15" i="6"/>
  <c r="C15" i="6"/>
  <c r="AD14" i="6"/>
  <c r="AC14" i="6"/>
  <c r="AA14" i="6"/>
  <c r="W14" i="6"/>
  <c r="X14" i="6" s="1"/>
  <c r="U14" i="6"/>
  <c r="R14" i="6"/>
  <c r="O14" i="6"/>
  <c r="N14" i="6"/>
  <c r="L14" i="6"/>
  <c r="I14" i="6"/>
  <c r="H14" i="6"/>
  <c r="F14" i="6"/>
  <c r="C14" i="6"/>
  <c r="AC13" i="6"/>
  <c r="AD13" i="6" s="1"/>
  <c r="AA13" i="6"/>
  <c r="W13" i="6"/>
  <c r="X13" i="6" s="1"/>
  <c r="U13" i="6"/>
  <c r="R13" i="6"/>
  <c r="O13" i="6"/>
  <c r="N13" i="6"/>
  <c r="L13" i="6"/>
  <c r="I13" i="6"/>
  <c r="H13" i="6"/>
  <c r="F13" i="6"/>
  <c r="C13" i="6"/>
  <c r="AD12" i="6"/>
  <c r="AC12" i="6"/>
  <c r="AA12" i="6"/>
  <c r="W12" i="6"/>
  <c r="X12" i="6" s="1"/>
  <c r="U12" i="6"/>
  <c r="R12" i="6"/>
  <c r="N12" i="6"/>
  <c r="O12" i="6" s="1"/>
  <c r="L12" i="6"/>
  <c r="H12" i="6"/>
  <c r="I12" i="6" s="1"/>
  <c r="F12" i="6"/>
  <c r="C12" i="6"/>
  <c r="AC11" i="6"/>
  <c r="AD11" i="6" s="1"/>
  <c r="AA11" i="6"/>
  <c r="X11" i="6"/>
  <c r="W11" i="6"/>
  <c r="U11" i="6"/>
  <c r="R11" i="6"/>
  <c r="N11" i="6"/>
  <c r="O11" i="6" s="1"/>
  <c r="L11" i="6"/>
  <c r="H11" i="6"/>
  <c r="I11" i="6" s="1"/>
  <c r="F11" i="6"/>
  <c r="C11" i="6"/>
  <c r="AD10" i="6"/>
  <c r="AC10" i="6"/>
  <c r="AA10" i="6"/>
  <c r="W10" i="6"/>
  <c r="X10" i="6" s="1"/>
  <c r="U10" i="6"/>
  <c r="R10" i="6"/>
  <c r="N10" i="6"/>
  <c r="O10" i="6" s="1"/>
  <c r="L10" i="6"/>
  <c r="H10" i="6"/>
  <c r="I10" i="6" s="1"/>
  <c r="F10" i="6"/>
  <c r="C10" i="6"/>
  <c r="AC8" i="6"/>
  <c r="AD8" i="6" s="1"/>
  <c r="AA8" i="6"/>
  <c r="W8" i="6"/>
  <c r="X8" i="6" s="1"/>
  <c r="U8" i="6"/>
  <c r="R8" i="6"/>
  <c r="O8" i="6"/>
  <c r="N8" i="6"/>
  <c r="L8" i="6"/>
  <c r="I8" i="6"/>
  <c r="H8" i="6"/>
  <c r="F8" i="6"/>
  <c r="C8" i="6"/>
  <c r="AC444" i="5"/>
  <c r="W444" i="5"/>
  <c r="X402" i="5" s="1"/>
  <c r="N444" i="5"/>
  <c r="O395" i="5" s="1"/>
  <c r="H444" i="5"/>
  <c r="Z442" i="5"/>
  <c r="AA442" i="5" s="1"/>
  <c r="T442" i="5"/>
  <c r="U442" i="5" s="1"/>
  <c r="R442" i="5"/>
  <c r="Q442" i="5"/>
  <c r="AC442" i="5" s="1"/>
  <c r="AD442" i="5" s="1"/>
  <c r="L442" i="5"/>
  <c r="K442" i="5"/>
  <c r="H442" i="5"/>
  <c r="I442" i="5" s="1"/>
  <c r="F442" i="5"/>
  <c r="E442" i="5"/>
  <c r="C442" i="5"/>
  <c r="B442" i="5"/>
  <c r="N442" i="5" s="1"/>
  <c r="O442" i="5" s="1"/>
  <c r="Z441" i="5"/>
  <c r="AA441" i="5" s="1"/>
  <c r="X441" i="5"/>
  <c r="W441" i="5"/>
  <c r="U441" i="5"/>
  <c r="T441" i="5"/>
  <c r="R441" i="5"/>
  <c r="Q441" i="5"/>
  <c r="K441" i="5"/>
  <c r="L441" i="5" s="1"/>
  <c r="F441" i="5"/>
  <c r="E441" i="5"/>
  <c r="B441" i="5"/>
  <c r="H441" i="5" s="1"/>
  <c r="I441" i="5" s="1"/>
  <c r="AC440" i="5"/>
  <c r="AD440" i="5" s="1"/>
  <c r="AA440" i="5"/>
  <c r="W440" i="5"/>
  <c r="U440" i="5"/>
  <c r="R440" i="5"/>
  <c r="N440" i="5"/>
  <c r="O440" i="5" s="1"/>
  <c r="L440" i="5"/>
  <c r="H440" i="5"/>
  <c r="F440" i="5"/>
  <c r="C440" i="5"/>
  <c r="AC439" i="5"/>
  <c r="AD439" i="5" s="1"/>
  <c r="AA439" i="5"/>
  <c r="X439" i="5"/>
  <c r="W439" i="5"/>
  <c r="U439" i="5"/>
  <c r="R439" i="5"/>
  <c r="N439" i="5"/>
  <c r="L439" i="5"/>
  <c r="H439" i="5"/>
  <c r="I439" i="5" s="1"/>
  <c r="F439" i="5"/>
  <c r="C439" i="5"/>
  <c r="AD438" i="5"/>
  <c r="AC438" i="5"/>
  <c r="AA438" i="5"/>
  <c r="W438" i="5"/>
  <c r="X438" i="5" s="1"/>
  <c r="U438" i="5"/>
  <c r="R438" i="5"/>
  <c r="N438" i="5"/>
  <c r="O438" i="5" s="1"/>
  <c r="L438" i="5"/>
  <c r="H438" i="5"/>
  <c r="F438" i="5"/>
  <c r="C438" i="5"/>
  <c r="AD437" i="5"/>
  <c r="AC437" i="5"/>
  <c r="AA437" i="5"/>
  <c r="W437" i="5"/>
  <c r="U437" i="5"/>
  <c r="R437" i="5"/>
  <c r="N437" i="5"/>
  <c r="O437" i="5" s="1"/>
  <c r="L437" i="5"/>
  <c r="H437" i="5"/>
  <c r="F437" i="5"/>
  <c r="C437" i="5"/>
  <c r="AC436" i="5"/>
  <c r="AD436" i="5" s="1"/>
  <c r="AA436" i="5"/>
  <c r="X436" i="5"/>
  <c r="W436" i="5"/>
  <c r="U436" i="5"/>
  <c r="R436" i="5"/>
  <c r="N436" i="5"/>
  <c r="O436" i="5" s="1"/>
  <c r="L436" i="5"/>
  <c r="I436" i="5"/>
  <c r="H436" i="5"/>
  <c r="F436" i="5"/>
  <c r="C436" i="5"/>
  <c r="AC435" i="5"/>
  <c r="AD435" i="5" s="1"/>
  <c r="AA435" i="5"/>
  <c r="W435" i="5"/>
  <c r="X435" i="5" s="1"/>
  <c r="U435" i="5"/>
  <c r="R435" i="5"/>
  <c r="N435" i="5"/>
  <c r="L435" i="5"/>
  <c r="H435" i="5"/>
  <c r="I435" i="5" s="1"/>
  <c r="F435" i="5"/>
  <c r="C435" i="5"/>
  <c r="AD434" i="5"/>
  <c r="AC434" i="5"/>
  <c r="AA434" i="5"/>
  <c r="W434" i="5"/>
  <c r="X434" i="5" s="1"/>
  <c r="U434" i="5"/>
  <c r="R434" i="5"/>
  <c r="N434" i="5"/>
  <c r="O434" i="5" s="1"/>
  <c r="L434" i="5"/>
  <c r="H434" i="5"/>
  <c r="F434" i="5"/>
  <c r="C434" i="5"/>
  <c r="AC433" i="5"/>
  <c r="AD433" i="5" s="1"/>
  <c r="AA433" i="5"/>
  <c r="W433" i="5"/>
  <c r="U433" i="5"/>
  <c r="R433" i="5"/>
  <c r="N433" i="5"/>
  <c r="O433" i="5" s="1"/>
  <c r="L433" i="5"/>
  <c r="I433" i="5"/>
  <c r="H433" i="5"/>
  <c r="F433" i="5"/>
  <c r="C433" i="5"/>
  <c r="AC432" i="5"/>
  <c r="AD432" i="5" s="1"/>
  <c r="AA432" i="5"/>
  <c r="W432" i="5"/>
  <c r="X432" i="5" s="1"/>
  <c r="U432" i="5"/>
  <c r="R432" i="5"/>
  <c r="N432" i="5"/>
  <c r="L432" i="5"/>
  <c r="H432" i="5"/>
  <c r="I432" i="5" s="1"/>
  <c r="F432" i="5"/>
  <c r="C432" i="5"/>
  <c r="Z429" i="5"/>
  <c r="AA429" i="5" s="1"/>
  <c r="W429" i="5"/>
  <c r="X429" i="5" s="1"/>
  <c r="U429" i="5"/>
  <c r="T429" i="5"/>
  <c r="Q429" i="5"/>
  <c r="R429" i="5" s="1"/>
  <c r="K429" i="5"/>
  <c r="N429" i="5" s="1"/>
  <c r="O429" i="5" s="1"/>
  <c r="F429" i="5"/>
  <c r="E429" i="5"/>
  <c r="C429" i="5"/>
  <c r="B429" i="5"/>
  <c r="AA428" i="5"/>
  <c r="Z428" i="5"/>
  <c r="U428" i="5"/>
  <c r="T428" i="5"/>
  <c r="Q428" i="5"/>
  <c r="W428" i="5" s="1"/>
  <c r="X428" i="5" s="1"/>
  <c r="L428" i="5"/>
  <c r="K428" i="5"/>
  <c r="E428" i="5"/>
  <c r="H428" i="5" s="1"/>
  <c r="C428" i="5"/>
  <c r="B428" i="5"/>
  <c r="AC427" i="5"/>
  <c r="AD427" i="5" s="1"/>
  <c r="AA427" i="5"/>
  <c r="W427" i="5"/>
  <c r="U427" i="5"/>
  <c r="R427" i="5"/>
  <c r="N427" i="5"/>
  <c r="O427" i="5" s="1"/>
  <c r="L427" i="5"/>
  <c r="I427" i="5"/>
  <c r="H427" i="5"/>
  <c r="F427" i="5"/>
  <c r="C427" i="5"/>
  <c r="AD426" i="5"/>
  <c r="AC426" i="5"/>
  <c r="AA426" i="5"/>
  <c r="W426" i="5"/>
  <c r="X426" i="5" s="1"/>
  <c r="U426" i="5"/>
  <c r="R426" i="5"/>
  <c r="N426" i="5"/>
  <c r="O426" i="5" s="1"/>
  <c r="L426" i="5"/>
  <c r="H426" i="5"/>
  <c r="F426" i="5"/>
  <c r="C426" i="5"/>
  <c r="AD425" i="5"/>
  <c r="AC425" i="5"/>
  <c r="AA425" i="5"/>
  <c r="W425" i="5"/>
  <c r="X425" i="5" s="1"/>
  <c r="U425" i="5"/>
  <c r="R425" i="5"/>
  <c r="O425" i="5"/>
  <c r="N425" i="5"/>
  <c r="L425" i="5"/>
  <c r="H425" i="5"/>
  <c r="F425" i="5"/>
  <c r="C425" i="5"/>
  <c r="AD424" i="5"/>
  <c r="AC424" i="5"/>
  <c r="AA424" i="5"/>
  <c r="W424" i="5"/>
  <c r="U424" i="5"/>
  <c r="R424" i="5"/>
  <c r="N424" i="5"/>
  <c r="O424" i="5" s="1"/>
  <c r="L424" i="5"/>
  <c r="H424" i="5"/>
  <c r="I424" i="5" s="1"/>
  <c r="F424" i="5"/>
  <c r="C424" i="5"/>
  <c r="AC423" i="5"/>
  <c r="AD423" i="5" s="1"/>
  <c r="AA423" i="5"/>
  <c r="X423" i="5"/>
  <c r="W423" i="5"/>
  <c r="U423" i="5"/>
  <c r="R423" i="5"/>
  <c r="N423" i="5"/>
  <c r="L423" i="5"/>
  <c r="H423" i="5"/>
  <c r="I423" i="5" s="1"/>
  <c r="F423" i="5"/>
  <c r="C423" i="5"/>
  <c r="AD422" i="5"/>
  <c r="AC422" i="5"/>
  <c r="AA422" i="5"/>
  <c r="W422" i="5"/>
  <c r="X422" i="5" s="1"/>
  <c r="U422" i="5"/>
  <c r="R422" i="5"/>
  <c r="N422" i="5"/>
  <c r="O422" i="5" s="1"/>
  <c r="L422" i="5"/>
  <c r="H422" i="5"/>
  <c r="I422" i="5" s="1"/>
  <c r="F422" i="5"/>
  <c r="C422" i="5"/>
  <c r="AD421" i="5"/>
  <c r="AC421" i="5"/>
  <c r="AA421" i="5"/>
  <c r="W421" i="5"/>
  <c r="U421" i="5"/>
  <c r="R421" i="5"/>
  <c r="N421" i="5"/>
  <c r="O421" i="5" s="1"/>
  <c r="L421" i="5"/>
  <c r="H421" i="5"/>
  <c r="F421" i="5"/>
  <c r="C421" i="5"/>
  <c r="AC420" i="5"/>
  <c r="AD420" i="5" s="1"/>
  <c r="AA420" i="5"/>
  <c r="X420" i="5"/>
  <c r="W420" i="5"/>
  <c r="U420" i="5"/>
  <c r="R420" i="5"/>
  <c r="N420" i="5"/>
  <c r="O420" i="5" s="1"/>
  <c r="L420" i="5"/>
  <c r="H420" i="5"/>
  <c r="I420" i="5" s="1"/>
  <c r="F420" i="5"/>
  <c r="C420" i="5"/>
  <c r="AC419" i="5"/>
  <c r="AD419" i="5" s="1"/>
  <c r="AA419" i="5"/>
  <c r="W419" i="5"/>
  <c r="X419" i="5" s="1"/>
  <c r="U419" i="5"/>
  <c r="R419" i="5"/>
  <c r="N419" i="5"/>
  <c r="L419" i="5"/>
  <c r="H419" i="5"/>
  <c r="I419" i="5" s="1"/>
  <c r="F419" i="5"/>
  <c r="C419" i="5"/>
  <c r="AD418" i="5"/>
  <c r="AC418" i="5"/>
  <c r="AA418" i="5"/>
  <c r="W418" i="5"/>
  <c r="X418" i="5" s="1"/>
  <c r="U418" i="5"/>
  <c r="R418" i="5"/>
  <c r="O418" i="5"/>
  <c r="N418" i="5"/>
  <c r="L418" i="5"/>
  <c r="H418" i="5"/>
  <c r="F418" i="5"/>
  <c r="C418" i="5"/>
  <c r="AC417" i="5"/>
  <c r="AD417" i="5" s="1"/>
  <c r="AA417" i="5"/>
  <c r="W417" i="5"/>
  <c r="U417" i="5"/>
  <c r="R417" i="5"/>
  <c r="N417" i="5"/>
  <c r="O417" i="5" s="1"/>
  <c r="L417" i="5"/>
  <c r="I417" i="5"/>
  <c r="H417" i="5"/>
  <c r="F417" i="5"/>
  <c r="C417" i="5"/>
  <c r="AC416" i="5"/>
  <c r="AD416" i="5" s="1"/>
  <c r="AA416" i="5"/>
  <c r="W416" i="5"/>
  <c r="X416" i="5" s="1"/>
  <c r="U416" i="5"/>
  <c r="R416" i="5"/>
  <c r="N416" i="5"/>
  <c r="L416" i="5"/>
  <c r="H416" i="5"/>
  <c r="I416" i="5" s="1"/>
  <c r="F416" i="5"/>
  <c r="C416" i="5"/>
  <c r="AC415" i="5"/>
  <c r="AD415" i="5" s="1"/>
  <c r="AA415" i="5"/>
  <c r="W415" i="5"/>
  <c r="X415" i="5" s="1"/>
  <c r="U415" i="5"/>
  <c r="R415" i="5"/>
  <c r="N415" i="5"/>
  <c r="O415" i="5" s="1"/>
  <c r="L415" i="5"/>
  <c r="H415" i="5"/>
  <c r="F415" i="5"/>
  <c r="C415" i="5"/>
  <c r="AD414" i="5"/>
  <c r="AC414" i="5"/>
  <c r="AA414" i="5"/>
  <c r="W414" i="5"/>
  <c r="X414" i="5" s="1"/>
  <c r="U414" i="5"/>
  <c r="R414" i="5"/>
  <c r="N414" i="5"/>
  <c r="O414" i="5" s="1"/>
  <c r="L414" i="5"/>
  <c r="I414" i="5"/>
  <c r="H414" i="5"/>
  <c r="F414" i="5"/>
  <c r="C414" i="5"/>
  <c r="AC413" i="5"/>
  <c r="AD413" i="5" s="1"/>
  <c r="AA413" i="5"/>
  <c r="W413" i="5"/>
  <c r="X413" i="5" s="1"/>
  <c r="U413" i="5"/>
  <c r="R413" i="5"/>
  <c r="N413" i="5"/>
  <c r="L413" i="5"/>
  <c r="H413" i="5"/>
  <c r="F413" i="5"/>
  <c r="C413" i="5"/>
  <c r="AC412" i="5"/>
  <c r="AD412" i="5" s="1"/>
  <c r="AA412" i="5"/>
  <c r="W412" i="5"/>
  <c r="X412" i="5" s="1"/>
  <c r="U412" i="5"/>
  <c r="R412" i="5"/>
  <c r="O412" i="5"/>
  <c r="N412" i="5"/>
  <c r="L412" i="5"/>
  <c r="H412" i="5"/>
  <c r="I412" i="5" s="1"/>
  <c r="F412" i="5"/>
  <c r="C412" i="5"/>
  <c r="AC411" i="5"/>
  <c r="AD411" i="5" s="1"/>
  <c r="AA411" i="5"/>
  <c r="W411" i="5"/>
  <c r="U411" i="5"/>
  <c r="R411" i="5"/>
  <c r="N411" i="5"/>
  <c r="O411" i="5" s="1"/>
  <c r="L411" i="5"/>
  <c r="I411" i="5"/>
  <c r="H411" i="5"/>
  <c r="F411" i="5"/>
  <c r="C411" i="5"/>
  <c r="AD410" i="5"/>
  <c r="AC410" i="5"/>
  <c r="AA410" i="5"/>
  <c r="W410" i="5"/>
  <c r="X410" i="5" s="1"/>
  <c r="U410" i="5"/>
  <c r="R410" i="5"/>
  <c r="N410" i="5"/>
  <c r="O410" i="5" s="1"/>
  <c r="L410" i="5"/>
  <c r="H410" i="5"/>
  <c r="I410" i="5" s="1"/>
  <c r="F410" i="5"/>
  <c r="C410" i="5"/>
  <c r="AD409" i="5"/>
  <c r="AC409" i="5"/>
  <c r="AA409" i="5"/>
  <c r="W409" i="5"/>
  <c r="X409" i="5" s="1"/>
  <c r="U409" i="5"/>
  <c r="R409" i="5"/>
  <c r="O409" i="5"/>
  <c r="N409" i="5"/>
  <c r="L409" i="5"/>
  <c r="H409" i="5"/>
  <c r="F409" i="5"/>
  <c r="C409" i="5"/>
  <c r="AD408" i="5"/>
  <c r="AC408" i="5"/>
  <c r="AA408" i="5"/>
  <c r="W408" i="5"/>
  <c r="U408" i="5"/>
  <c r="R408" i="5"/>
  <c r="N408" i="5"/>
  <c r="O408" i="5" s="1"/>
  <c r="L408" i="5"/>
  <c r="H408" i="5"/>
  <c r="I408" i="5" s="1"/>
  <c r="F408" i="5"/>
  <c r="C408" i="5"/>
  <c r="AC407" i="5"/>
  <c r="AD407" i="5" s="1"/>
  <c r="AA407" i="5"/>
  <c r="X407" i="5"/>
  <c r="W407" i="5"/>
  <c r="U407" i="5"/>
  <c r="R407" i="5"/>
  <c r="N407" i="5"/>
  <c r="L407" i="5"/>
  <c r="H407" i="5"/>
  <c r="I407" i="5" s="1"/>
  <c r="F407" i="5"/>
  <c r="C407" i="5"/>
  <c r="Z403" i="5"/>
  <c r="AC403" i="5" s="1"/>
  <c r="AD403" i="5" s="1"/>
  <c r="U403" i="5"/>
  <c r="T403" i="5"/>
  <c r="R403" i="5"/>
  <c r="Q403" i="5"/>
  <c r="L403" i="5"/>
  <c r="K403" i="5"/>
  <c r="F403" i="5"/>
  <c r="E403" i="5"/>
  <c r="B403" i="5"/>
  <c r="H403" i="5" s="1"/>
  <c r="I403" i="5" s="1"/>
  <c r="AD402" i="5"/>
  <c r="AC402" i="5"/>
  <c r="AA402" i="5"/>
  <c r="W402" i="5"/>
  <c r="U402" i="5"/>
  <c r="R402" i="5"/>
  <c r="N402" i="5"/>
  <c r="O402" i="5" s="1"/>
  <c r="L402" i="5"/>
  <c r="I402" i="5"/>
  <c r="H402" i="5"/>
  <c r="F402" i="5"/>
  <c r="C402" i="5"/>
  <c r="AC401" i="5"/>
  <c r="AD401" i="5" s="1"/>
  <c r="AA401" i="5"/>
  <c r="W401" i="5"/>
  <c r="X401" i="5" s="1"/>
  <c r="U401" i="5"/>
  <c r="R401" i="5"/>
  <c r="N401" i="5"/>
  <c r="L401" i="5"/>
  <c r="H401" i="5"/>
  <c r="F401" i="5"/>
  <c r="C401" i="5"/>
  <c r="AD400" i="5"/>
  <c r="AC400" i="5"/>
  <c r="AA400" i="5"/>
  <c r="W400" i="5"/>
  <c r="X400" i="5" s="1"/>
  <c r="U400" i="5"/>
  <c r="R400" i="5"/>
  <c r="O400" i="5"/>
  <c r="N400" i="5"/>
  <c r="L400" i="5"/>
  <c r="H400" i="5"/>
  <c r="I400" i="5" s="1"/>
  <c r="F400" i="5"/>
  <c r="C400" i="5"/>
  <c r="AD399" i="5"/>
  <c r="AC399" i="5"/>
  <c r="AA399" i="5"/>
  <c r="W399" i="5"/>
  <c r="U399" i="5"/>
  <c r="R399" i="5"/>
  <c r="N399" i="5"/>
  <c r="O399" i="5" s="1"/>
  <c r="L399" i="5"/>
  <c r="I399" i="5"/>
  <c r="H399" i="5"/>
  <c r="F399" i="5"/>
  <c r="C399" i="5"/>
  <c r="AD398" i="5"/>
  <c r="AC398" i="5"/>
  <c r="AA398" i="5"/>
  <c r="W398" i="5"/>
  <c r="X398" i="5" s="1"/>
  <c r="U398" i="5"/>
  <c r="R398" i="5"/>
  <c r="N398" i="5"/>
  <c r="O398" i="5" s="1"/>
  <c r="L398" i="5"/>
  <c r="I398" i="5"/>
  <c r="H398" i="5"/>
  <c r="F398" i="5"/>
  <c r="C398" i="5"/>
  <c r="AD397" i="5"/>
  <c r="AC397" i="5"/>
  <c r="AA397" i="5"/>
  <c r="W397" i="5"/>
  <c r="X397" i="5" s="1"/>
  <c r="U397" i="5"/>
  <c r="R397" i="5"/>
  <c r="O397" i="5"/>
  <c r="N397" i="5"/>
  <c r="L397" i="5"/>
  <c r="H397" i="5"/>
  <c r="F397" i="5"/>
  <c r="C397" i="5"/>
  <c r="AD396" i="5"/>
  <c r="AC396" i="5"/>
  <c r="AA396" i="5"/>
  <c r="Z396" i="5"/>
  <c r="T396" i="5"/>
  <c r="U396" i="5" s="1"/>
  <c r="Q396" i="5"/>
  <c r="W396" i="5" s="1"/>
  <c r="X396" i="5" s="1"/>
  <c r="L396" i="5"/>
  <c r="K396" i="5"/>
  <c r="E396" i="5"/>
  <c r="H396" i="5" s="1"/>
  <c r="I396" i="5" s="1"/>
  <c r="C396" i="5"/>
  <c r="B396" i="5"/>
  <c r="N396" i="5" s="1"/>
  <c r="O396" i="5" s="1"/>
  <c r="AD395" i="5"/>
  <c r="AC395" i="5"/>
  <c r="AA395" i="5"/>
  <c r="W395" i="5"/>
  <c r="X395" i="5" s="1"/>
  <c r="U395" i="5"/>
  <c r="R395" i="5"/>
  <c r="N395" i="5"/>
  <c r="L395" i="5"/>
  <c r="H395" i="5"/>
  <c r="I395" i="5" s="1"/>
  <c r="F395" i="5"/>
  <c r="C395" i="5"/>
  <c r="AD394" i="5"/>
  <c r="AC394" i="5"/>
  <c r="AA394" i="5"/>
  <c r="W394" i="5"/>
  <c r="U394" i="5"/>
  <c r="R394" i="5"/>
  <c r="N394" i="5"/>
  <c r="O394" i="5" s="1"/>
  <c r="L394" i="5"/>
  <c r="H394" i="5"/>
  <c r="F394" i="5"/>
  <c r="C394" i="5"/>
  <c r="Z393" i="5"/>
  <c r="AC393" i="5" s="1"/>
  <c r="AD393" i="5" s="1"/>
  <c r="U393" i="5"/>
  <c r="T393" i="5"/>
  <c r="Q393" i="5"/>
  <c r="W393" i="5" s="1"/>
  <c r="X393" i="5" s="1"/>
  <c r="L393" i="5"/>
  <c r="K393" i="5"/>
  <c r="E393" i="5"/>
  <c r="F393" i="5" s="1"/>
  <c r="B393" i="5"/>
  <c r="AD392" i="5"/>
  <c r="AC392" i="5"/>
  <c r="AA392" i="5"/>
  <c r="W392" i="5"/>
  <c r="X392" i="5" s="1"/>
  <c r="U392" i="5"/>
  <c r="R392" i="5"/>
  <c r="N392" i="5"/>
  <c r="O392" i="5" s="1"/>
  <c r="L392" i="5"/>
  <c r="H392" i="5"/>
  <c r="F392" i="5"/>
  <c r="C392" i="5"/>
  <c r="AC391" i="5"/>
  <c r="AD391" i="5" s="1"/>
  <c r="AA391" i="5"/>
  <c r="W391" i="5"/>
  <c r="U391" i="5"/>
  <c r="R391" i="5"/>
  <c r="N391" i="5"/>
  <c r="O391" i="5" s="1"/>
  <c r="L391" i="5"/>
  <c r="I391" i="5"/>
  <c r="H391" i="5"/>
  <c r="F391" i="5"/>
  <c r="C391" i="5"/>
  <c r="AC390" i="5"/>
  <c r="AD390" i="5" s="1"/>
  <c r="AA390" i="5"/>
  <c r="W390" i="5"/>
  <c r="X390" i="5" s="1"/>
  <c r="U390" i="5"/>
  <c r="R390" i="5"/>
  <c r="N390" i="5"/>
  <c r="L390" i="5"/>
  <c r="H390" i="5"/>
  <c r="F390" i="5"/>
  <c r="C390" i="5"/>
  <c r="AC389" i="5"/>
  <c r="AD389" i="5" s="1"/>
  <c r="AA389" i="5"/>
  <c r="W389" i="5"/>
  <c r="X389" i="5" s="1"/>
  <c r="U389" i="5"/>
  <c r="R389" i="5"/>
  <c r="N389" i="5"/>
  <c r="O389" i="5" s="1"/>
  <c r="L389" i="5"/>
  <c r="H389" i="5"/>
  <c r="F389" i="5"/>
  <c r="C389" i="5"/>
  <c r="AD388" i="5"/>
  <c r="AC388" i="5"/>
  <c r="AA388" i="5"/>
  <c r="W388" i="5"/>
  <c r="X388" i="5" s="1"/>
  <c r="U388" i="5"/>
  <c r="R388" i="5"/>
  <c r="N388" i="5"/>
  <c r="O388" i="5" s="1"/>
  <c r="L388" i="5"/>
  <c r="I388" i="5"/>
  <c r="H388" i="5"/>
  <c r="F388" i="5"/>
  <c r="C388" i="5"/>
  <c r="AC386" i="5"/>
  <c r="AD386" i="5" s="1"/>
  <c r="AA386" i="5"/>
  <c r="W386" i="5"/>
  <c r="X386" i="5" s="1"/>
  <c r="U386" i="5"/>
  <c r="R386" i="5"/>
  <c r="N386" i="5"/>
  <c r="L386" i="5"/>
  <c r="H386" i="5"/>
  <c r="F386" i="5"/>
  <c r="C386" i="5"/>
  <c r="AD385" i="5"/>
  <c r="AC385" i="5"/>
  <c r="AA385" i="5"/>
  <c r="W385" i="5"/>
  <c r="X385" i="5" s="1"/>
  <c r="U385" i="5"/>
  <c r="R385" i="5"/>
  <c r="O385" i="5"/>
  <c r="N385" i="5"/>
  <c r="L385" i="5"/>
  <c r="H385" i="5"/>
  <c r="I385" i="5" s="1"/>
  <c r="F385" i="5"/>
  <c r="C385" i="5"/>
  <c r="AD383" i="5"/>
  <c r="AC383" i="5"/>
  <c r="AA383" i="5"/>
  <c r="W383" i="5"/>
  <c r="U383" i="5"/>
  <c r="R383" i="5"/>
  <c r="N383" i="5"/>
  <c r="O383" i="5" s="1"/>
  <c r="L383" i="5"/>
  <c r="I383" i="5"/>
  <c r="H383" i="5"/>
  <c r="F383" i="5"/>
  <c r="C383" i="5"/>
  <c r="AD382" i="5"/>
  <c r="AC382" i="5"/>
  <c r="AA382" i="5"/>
  <c r="X382" i="5"/>
  <c r="W382" i="5"/>
  <c r="U382" i="5"/>
  <c r="R382" i="5"/>
  <c r="N382" i="5"/>
  <c r="O382" i="5" s="1"/>
  <c r="L382" i="5"/>
  <c r="H382" i="5"/>
  <c r="I382" i="5" s="1"/>
  <c r="F382" i="5"/>
  <c r="C382" i="5"/>
  <c r="AD381" i="5"/>
  <c r="AC381" i="5"/>
  <c r="AA381" i="5"/>
  <c r="W381" i="5"/>
  <c r="X381" i="5" s="1"/>
  <c r="U381" i="5"/>
  <c r="R381" i="5"/>
  <c r="O381" i="5"/>
  <c r="N381" i="5"/>
  <c r="L381" i="5"/>
  <c r="H381" i="5"/>
  <c r="F381" i="5"/>
  <c r="C381" i="5"/>
  <c r="AC380" i="5"/>
  <c r="AD380" i="5" s="1"/>
  <c r="AA380" i="5"/>
  <c r="X380" i="5"/>
  <c r="W380" i="5"/>
  <c r="U380" i="5"/>
  <c r="R380" i="5"/>
  <c r="N380" i="5"/>
  <c r="O380" i="5" s="1"/>
  <c r="L380" i="5"/>
  <c r="H380" i="5"/>
  <c r="I380" i="5" s="1"/>
  <c r="F380" i="5"/>
  <c r="C380" i="5"/>
  <c r="AC379" i="5"/>
  <c r="AD379" i="5" s="1"/>
  <c r="AA379" i="5"/>
  <c r="X379" i="5"/>
  <c r="W379" i="5"/>
  <c r="U379" i="5"/>
  <c r="R379" i="5"/>
  <c r="N379" i="5"/>
  <c r="L379" i="5"/>
  <c r="I379" i="5"/>
  <c r="H379" i="5"/>
  <c r="F379" i="5"/>
  <c r="C379" i="5"/>
  <c r="AD378" i="5"/>
  <c r="AC378" i="5"/>
  <c r="AA378" i="5"/>
  <c r="W378" i="5"/>
  <c r="X378" i="5" s="1"/>
  <c r="U378" i="5"/>
  <c r="R378" i="5"/>
  <c r="N378" i="5"/>
  <c r="O378" i="5" s="1"/>
  <c r="L378" i="5"/>
  <c r="H378" i="5"/>
  <c r="I378" i="5" s="1"/>
  <c r="F378" i="5"/>
  <c r="C378" i="5"/>
  <c r="AD377" i="5"/>
  <c r="AC377" i="5"/>
  <c r="AA377" i="5"/>
  <c r="W377" i="5"/>
  <c r="X377" i="5" s="1"/>
  <c r="U377" i="5"/>
  <c r="R377" i="5"/>
  <c r="O377" i="5"/>
  <c r="N377" i="5"/>
  <c r="L377" i="5"/>
  <c r="H377" i="5"/>
  <c r="F377" i="5"/>
  <c r="C377" i="5"/>
  <c r="AC376" i="5"/>
  <c r="AD376" i="5" s="1"/>
  <c r="AA376" i="5"/>
  <c r="W376" i="5"/>
  <c r="X376" i="5" s="1"/>
  <c r="U376" i="5"/>
  <c r="R376" i="5"/>
  <c r="N376" i="5"/>
  <c r="O376" i="5" s="1"/>
  <c r="L376" i="5"/>
  <c r="I376" i="5"/>
  <c r="H376" i="5"/>
  <c r="F376" i="5"/>
  <c r="C376" i="5"/>
  <c r="AC375" i="5"/>
  <c r="AD375" i="5" s="1"/>
  <c r="AA375" i="5"/>
  <c r="W375" i="5"/>
  <c r="X375" i="5" s="1"/>
  <c r="U375" i="5"/>
  <c r="R375" i="5"/>
  <c r="N375" i="5"/>
  <c r="O375" i="5" s="1"/>
  <c r="L375" i="5"/>
  <c r="H375" i="5"/>
  <c r="I375" i="5" s="1"/>
  <c r="F375" i="5"/>
  <c r="C375" i="5"/>
  <c r="AD374" i="5"/>
  <c r="AC374" i="5"/>
  <c r="AA374" i="5"/>
  <c r="W374" i="5"/>
  <c r="X374" i="5" s="1"/>
  <c r="U374" i="5"/>
  <c r="R374" i="5"/>
  <c r="N374" i="5"/>
  <c r="O374" i="5" s="1"/>
  <c r="L374" i="5"/>
  <c r="H374" i="5"/>
  <c r="I374" i="5" s="1"/>
  <c r="F374" i="5"/>
  <c r="C374" i="5"/>
  <c r="AD373" i="5"/>
  <c r="AC373" i="5"/>
  <c r="AA373" i="5"/>
  <c r="W373" i="5"/>
  <c r="X373" i="5" s="1"/>
  <c r="U373" i="5"/>
  <c r="R373" i="5"/>
  <c r="N373" i="5"/>
  <c r="O373" i="5" s="1"/>
  <c r="L373" i="5"/>
  <c r="H373" i="5"/>
  <c r="F373" i="5"/>
  <c r="C373" i="5"/>
  <c r="AC372" i="5"/>
  <c r="AD372" i="5" s="1"/>
  <c r="AA372" i="5"/>
  <c r="W372" i="5"/>
  <c r="X372" i="5" s="1"/>
  <c r="U372" i="5"/>
  <c r="R372" i="5"/>
  <c r="N372" i="5"/>
  <c r="O372" i="5" s="1"/>
  <c r="L372" i="5"/>
  <c r="I372" i="5"/>
  <c r="H372" i="5"/>
  <c r="F372" i="5"/>
  <c r="C372" i="5"/>
  <c r="AC371" i="5"/>
  <c r="AD371" i="5" s="1"/>
  <c r="AA371" i="5"/>
  <c r="X371" i="5"/>
  <c r="W371" i="5"/>
  <c r="U371" i="5"/>
  <c r="R371" i="5"/>
  <c r="N371" i="5"/>
  <c r="O371" i="5" s="1"/>
  <c r="L371" i="5"/>
  <c r="I371" i="5"/>
  <c r="H371" i="5"/>
  <c r="F371" i="5"/>
  <c r="C371" i="5"/>
  <c r="AD370" i="5"/>
  <c r="AC370" i="5"/>
  <c r="AA370" i="5"/>
  <c r="W370" i="5"/>
  <c r="X370" i="5" s="1"/>
  <c r="U370" i="5"/>
  <c r="R370" i="5"/>
  <c r="N370" i="5"/>
  <c r="O370" i="5" s="1"/>
  <c r="L370" i="5"/>
  <c r="H370" i="5"/>
  <c r="I370" i="5" s="1"/>
  <c r="F370" i="5"/>
  <c r="C370" i="5"/>
  <c r="AD369" i="5"/>
  <c r="AC369" i="5"/>
  <c r="AA369" i="5"/>
  <c r="W369" i="5"/>
  <c r="X369" i="5" s="1"/>
  <c r="U369" i="5"/>
  <c r="R369" i="5"/>
  <c r="N369" i="5"/>
  <c r="O369" i="5" s="1"/>
  <c r="L369" i="5"/>
  <c r="H369" i="5"/>
  <c r="F369" i="5"/>
  <c r="C369" i="5"/>
  <c r="AC368" i="5"/>
  <c r="AD368" i="5" s="1"/>
  <c r="AA368" i="5"/>
  <c r="Z368" i="5"/>
  <c r="T368" i="5"/>
  <c r="U368" i="5" s="1"/>
  <c r="R368" i="5"/>
  <c r="Q368" i="5"/>
  <c r="W368" i="5" s="1"/>
  <c r="X368" i="5" s="1"/>
  <c r="L368" i="5"/>
  <c r="K368" i="5"/>
  <c r="E368" i="5"/>
  <c r="H368" i="5" s="1"/>
  <c r="I368" i="5" s="1"/>
  <c r="C368" i="5"/>
  <c r="B368" i="5"/>
  <c r="N368" i="5" s="1"/>
  <c r="O368" i="5" s="1"/>
  <c r="AD367" i="5"/>
  <c r="AC367" i="5"/>
  <c r="AA367" i="5"/>
  <c r="W367" i="5"/>
  <c r="X367" i="5" s="1"/>
  <c r="U367" i="5"/>
  <c r="R367" i="5"/>
  <c r="N367" i="5"/>
  <c r="L367" i="5"/>
  <c r="H367" i="5"/>
  <c r="F367" i="5"/>
  <c r="C367" i="5"/>
  <c r="AD366" i="5"/>
  <c r="AC366" i="5"/>
  <c r="AA366" i="5"/>
  <c r="W366" i="5"/>
  <c r="X366" i="5" s="1"/>
  <c r="U366" i="5"/>
  <c r="R366" i="5"/>
  <c r="O366" i="5"/>
  <c r="N366" i="5"/>
  <c r="L366" i="5"/>
  <c r="H366" i="5"/>
  <c r="F366" i="5"/>
  <c r="C366" i="5"/>
  <c r="AD365" i="5"/>
  <c r="AC365" i="5"/>
  <c r="AA365" i="5"/>
  <c r="W365" i="5"/>
  <c r="X365" i="5" s="1"/>
  <c r="U365" i="5"/>
  <c r="R365" i="5"/>
  <c r="N365" i="5"/>
  <c r="O365" i="5" s="1"/>
  <c r="L365" i="5"/>
  <c r="I365" i="5"/>
  <c r="H365" i="5"/>
  <c r="F365" i="5"/>
  <c r="C365" i="5"/>
  <c r="AC364" i="5"/>
  <c r="AD364" i="5" s="1"/>
  <c r="AA364" i="5"/>
  <c r="W364" i="5"/>
  <c r="X364" i="5" s="1"/>
  <c r="U364" i="5"/>
  <c r="R364" i="5"/>
  <c r="N364" i="5"/>
  <c r="O364" i="5" s="1"/>
  <c r="L364" i="5"/>
  <c r="H364" i="5"/>
  <c r="I364" i="5" s="1"/>
  <c r="F364" i="5"/>
  <c r="C364" i="5"/>
  <c r="AD363" i="5"/>
  <c r="AC363" i="5"/>
  <c r="AA363" i="5"/>
  <c r="W363" i="5"/>
  <c r="X363" i="5" s="1"/>
  <c r="U363" i="5"/>
  <c r="R363" i="5"/>
  <c r="N363" i="5"/>
  <c r="O363" i="5" s="1"/>
  <c r="L363" i="5"/>
  <c r="H363" i="5"/>
  <c r="I363" i="5" s="1"/>
  <c r="F363" i="5"/>
  <c r="C363" i="5"/>
  <c r="AD362" i="5"/>
  <c r="AC362" i="5"/>
  <c r="AA362" i="5"/>
  <c r="W362" i="5"/>
  <c r="X362" i="5" s="1"/>
  <c r="U362" i="5"/>
  <c r="R362" i="5"/>
  <c r="N362" i="5"/>
  <c r="O362" i="5" s="1"/>
  <c r="L362" i="5"/>
  <c r="H362" i="5"/>
  <c r="F362" i="5"/>
  <c r="C362" i="5"/>
  <c r="AC361" i="5"/>
  <c r="AD361" i="5" s="1"/>
  <c r="AA361" i="5"/>
  <c r="W361" i="5"/>
  <c r="X361" i="5" s="1"/>
  <c r="U361" i="5"/>
  <c r="R361" i="5"/>
  <c r="N361" i="5"/>
  <c r="O361" i="5" s="1"/>
  <c r="L361" i="5"/>
  <c r="I361" i="5"/>
  <c r="H361" i="5"/>
  <c r="F361" i="5"/>
  <c r="C361" i="5"/>
  <c r="AC360" i="5"/>
  <c r="AD360" i="5" s="1"/>
  <c r="AA360" i="5"/>
  <c r="W360" i="5"/>
  <c r="X360" i="5" s="1"/>
  <c r="U360" i="5"/>
  <c r="R360" i="5"/>
  <c r="N360" i="5"/>
  <c r="O360" i="5" s="1"/>
  <c r="L360" i="5"/>
  <c r="H360" i="5"/>
  <c r="I360" i="5" s="1"/>
  <c r="F360" i="5"/>
  <c r="C360" i="5"/>
  <c r="Z358" i="5"/>
  <c r="AA358" i="5" s="1"/>
  <c r="X358" i="5"/>
  <c r="W358" i="5"/>
  <c r="U358" i="5"/>
  <c r="T358" i="5"/>
  <c r="R358" i="5"/>
  <c r="Q358" i="5"/>
  <c r="AC358" i="5" s="1"/>
  <c r="AD358" i="5" s="1"/>
  <c r="K358" i="5"/>
  <c r="L358" i="5" s="1"/>
  <c r="I358" i="5"/>
  <c r="F358" i="5"/>
  <c r="E358" i="5"/>
  <c r="B358" i="5"/>
  <c r="H358" i="5" s="1"/>
  <c r="AC357" i="5"/>
  <c r="AD357" i="5" s="1"/>
  <c r="AA357" i="5"/>
  <c r="X357" i="5"/>
  <c r="W357" i="5"/>
  <c r="U357" i="5"/>
  <c r="R357" i="5"/>
  <c r="N357" i="5"/>
  <c r="O357" i="5" s="1"/>
  <c r="L357" i="5"/>
  <c r="I357" i="5"/>
  <c r="H357" i="5"/>
  <c r="F357" i="5"/>
  <c r="C357" i="5"/>
  <c r="AC356" i="5"/>
  <c r="AD356" i="5" s="1"/>
  <c r="AA356" i="5"/>
  <c r="W356" i="5"/>
  <c r="X356" i="5" s="1"/>
  <c r="U356" i="5"/>
  <c r="R356" i="5"/>
  <c r="N356" i="5"/>
  <c r="O356" i="5" s="1"/>
  <c r="L356" i="5"/>
  <c r="H356" i="5"/>
  <c r="I356" i="5" s="1"/>
  <c r="F356" i="5"/>
  <c r="C356" i="5"/>
  <c r="AD355" i="5"/>
  <c r="AC355" i="5"/>
  <c r="AA355" i="5"/>
  <c r="W355" i="5"/>
  <c r="X355" i="5" s="1"/>
  <c r="U355" i="5"/>
  <c r="R355" i="5"/>
  <c r="N355" i="5"/>
  <c r="L355" i="5"/>
  <c r="H355" i="5"/>
  <c r="I355" i="5" s="1"/>
  <c r="F355" i="5"/>
  <c r="C355" i="5"/>
  <c r="AD354" i="5"/>
  <c r="AC354" i="5"/>
  <c r="AA354" i="5"/>
  <c r="W354" i="5"/>
  <c r="X354" i="5" s="1"/>
  <c r="U354" i="5"/>
  <c r="R354" i="5"/>
  <c r="N354" i="5"/>
  <c r="O354" i="5" s="1"/>
  <c r="L354" i="5"/>
  <c r="H354" i="5"/>
  <c r="F354" i="5"/>
  <c r="C354" i="5"/>
  <c r="AC353" i="5"/>
  <c r="AD353" i="5" s="1"/>
  <c r="AA353" i="5"/>
  <c r="X353" i="5"/>
  <c r="W353" i="5"/>
  <c r="U353" i="5"/>
  <c r="R353" i="5"/>
  <c r="N353" i="5"/>
  <c r="O353" i="5" s="1"/>
  <c r="L353" i="5"/>
  <c r="I353" i="5"/>
  <c r="H353" i="5"/>
  <c r="F353" i="5"/>
  <c r="C353" i="5"/>
  <c r="AC352" i="5"/>
  <c r="AD352" i="5" s="1"/>
  <c r="AA352" i="5"/>
  <c r="W352" i="5"/>
  <c r="X352" i="5" s="1"/>
  <c r="U352" i="5"/>
  <c r="R352" i="5"/>
  <c r="N352" i="5"/>
  <c r="O352" i="5" s="1"/>
  <c r="L352" i="5"/>
  <c r="H352" i="5"/>
  <c r="I352" i="5" s="1"/>
  <c r="F352" i="5"/>
  <c r="C352" i="5"/>
  <c r="AD351" i="5"/>
  <c r="AC351" i="5"/>
  <c r="AA351" i="5"/>
  <c r="W351" i="5"/>
  <c r="X351" i="5" s="1"/>
  <c r="U351" i="5"/>
  <c r="R351" i="5"/>
  <c r="N351" i="5"/>
  <c r="L351" i="5"/>
  <c r="H351" i="5"/>
  <c r="I351" i="5" s="1"/>
  <c r="F351" i="5"/>
  <c r="C351" i="5"/>
  <c r="AD350" i="5"/>
  <c r="AC350" i="5"/>
  <c r="AA350" i="5"/>
  <c r="W350" i="5"/>
  <c r="X350" i="5" s="1"/>
  <c r="U350" i="5"/>
  <c r="R350" i="5"/>
  <c r="N350" i="5"/>
  <c r="O350" i="5" s="1"/>
  <c r="L350" i="5"/>
  <c r="H350" i="5"/>
  <c r="F350" i="5"/>
  <c r="C350" i="5"/>
  <c r="AC349" i="5"/>
  <c r="AD349" i="5" s="1"/>
  <c r="AA349" i="5"/>
  <c r="X349" i="5"/>
  <c r="W349" i="5"/>
  <c r="U349" i="5"/>
  <c r="R349" i="5"/>
  <c r="N349" i="5"/>
  <c r="O349" i="5" s="1"/>
  <c r="L349" i="5"/>
  <c r="I349" i="5"/>
  <c r="H349" i="5"/>
  <c r="F349" i="5"/>
  <c r="C349" i="5"/>
  <c r="AC347" i="5"/>
  <c r="AD347" i="5" s="1"/>
  <c r="AA347" i="5"/>
  <c r="W347" i="5"/>
  <c r="X347" i="5" s="1"/>
  <c r="U347" i="5"/>
  <c r="R347" i="5"/>
  <c r="N347" i="5"/>
  <c r="O347" i="5" s="1"/>
  <c r="L347" i="5"/>
  <c r="H347" i="5"/>
  <c r="I347" i="5" s="1"/>
  <c r="F347" i="5"/>
  <c r="C347" i="5"/>
  <c r="AC344" i="5"/>
  <c r="AD344" i="5" s="1"/>
  <c r="AA344" i="5"/>
  <c r="Z344" i="5"/>
  <c r="T344" i="5"/>
  <c r="U344" i="5" s="1"/>
  <c r="R344" i="5"/>
  <c r="Q344" i="5"/>
  <c r="W344" i="5" s="1"/>
  <c r="X344" i="5" s="1"/>
  <c r="L344" i="5"/>
  <c r="K344" i="5"/>
  <c r="E344" i="5"/>
  <c r="H344" i="5" s="1"/>
  <c r="I344" i="5" s="1"/>
  <c r="C344" i="5"/>
  <c r="B344" i="5"/>
  <c r="N344" i="5" s="1"/>
  <c r="O344" i="5" s="1"/>
  <c r="Z343" i="5"/>
  <c r="AA343" i="5" s="1"/>
  <c r="X343" i="5"/>
  <c r="W343" i="5"/>
  <c r="U343" i="5"/>
  <c r="T343" i="5"/>
  <c r="R343" i="5"/>
  <c r="Q343" i="5"/>
  <c r="AC343" i="5" s="1"/>
  <c r="AD343" i="5" s="1"/>
  <c r="L343" i="5"/>
  <c r="K343" i="5"/>
  <c r="I343" i="5"/>
  <c r="F343" i="5"/>
  <c r="E343" i="5"/>
  <c r="B343" i="5"/>
  <c r="H343" i="5" s="1"/>
  <c r="AC342" i="5"/>
  <c r="AD342" i="5" s="1"/>
  <c r="AA342" i="5"/>
  <c r="Z342" i="5"/>
  <c r="T342" i="5"/>
  <c r="U342" i="5" s="1"/>
  <c r="Q342" i="5"/>
  <c r="W342" i="5" s="1"/>
  <c r="X342" i="5" s="1"/>
  <c r="L342" i="5"/>
  <c r="K342" i="5"/>
  <c r="F342" i="5"/>
  <c r="E342" i="5"/>
  <c r="H342" i="5" s="1"/>
  <c r="C342" i="5"/>
  <c r="B342" i="5"/>
  <c r="N342" i="5" s="1"/>
  <c r="O342" i="5" s="1"/>
  <c r="AD341" i="5"/>
  <c r="AC341" i="5"/>
  <c r="AA341" i="5"/>
  <c r="W341" i="5"/>
  <c r="X341" i="5" s="1"/>
  <c r="U341" i="5"/>
  <c r="R341" i="5"/>
  <c r="N341" i="5"/>
  <c r="L341" i="5"/>
  <c r="H341" i="5"/>
  <c r="I341" i="5" s="1"/>
  <c r="F341" i="5"/>
  <c r="C341" i="5"/>
  <c r="AD340" i="5"/>
  <c r="AC340" i="5"/>
  <c r="AA340" i="5"/>
  <c r="W340" i="5"/>
  <c r="X340" i="5" s="1"/>
  <c r="U340" i="5"/>
  <c r="R340" i="5"/>
  <c r="N340" i="5"/>
  <c r="O340" i="5" s="1"/>
  <c r="L340" i="5"/>
  <c r="H340" i="5"/>
  <c r="F340" i="5"/>
  <c r="C340" i="5"/>
  <c r="AC339" i="5"/>
  <c r="AD339" i="5" s="1"/>
  <c r="AA339" i="5"/>
  <c r="X339" i="5"/>
  <c r="W339" i="5"/>
  <c r="U339" i="5"/>
  <c r="R339" i="5"/>
  <c r="N339" i="5"/>
  <c r="O339" i="5" s="1"/>
  <c r="L339" i="5"/>
  <c r="I339" i="5"/>
  <c r="H339" i="5"/>
  <c r="F339" i="5"/>
  <c r="C339" i="5"/>
  <c r="AC338" i="5"/>
  <c r="AD338" i="5" s="1"/>
  <c r="AA338" i="5"/>
  <c r="X338" i="5"/>
  <c r="W338" i="5"/>
  <c r="U338" i="5"/>
  <c r="R338" i="5"/>
  <c r="N338" i="5"/>
  <c r="O338" i="5" s="1"/>
  <c r="L338" i="5"/>
  <c r="I338" i="5"/>
  <c r="H338" i="5"/>
  <c r="F338" i="5"/>
  <c r="C338" i="5"/>
  <c r="AD337" i="5"/>
  <c r="AC337" i="5"/>
  <c r="AA337" i="5"/>
  <c r="W337" i="5"/>
  <c r="X337" i="5" s="1"/>
  <c r="U337" i="5"/>
  <c r="R337" i="5"/>
  <c r="N337" i="5"/>
  <c r="L337" i="5"/>
  <c r="H337" i="5"/>
  <c r="I337" i="5" s="1"/>
  <c r="F337" i="5"/>
  <c r="C337" i="5"/>
  <c r="AD335" i="5"/>
  <c r="AC335" i="5"/>
  <c r="AA335" i="5"/>
  <c r="W335" i="5"/>
  <c r="X335" i="5" s="1"/>
  <c r="U335" i="5"/>
  <c r="R335" i="5"/>
  <c r="N335" i="5"/>
  <c r="O335" i="5" s="1"/>
  <c r="L335" i="5"/>
  <c r="H335" i="5"/>
  <c r="F335" i="5"/>
  <c r="C335" i="5"/>
  <c r="AC334" i="5"/>
  <c r="AD334" i="5" s="1"/>
  <c r="AA334" i="5"/>
  <c r="X334" i="5"/>
  <c r="W334" i="5"/>
  <c r="U334" i="5"/>
  <c r="R334" i="5"/>
  <c r="N334" i="5"/>
  <c r="O334" i="5" s="1"/>
  <c r="L334" i="5"/>
  <c r="I334" i="5"/>
  <c r="H334" i="5"/>
  <c r="F334" i="5"/>
  <c r="C334" i="5"/>
  <c r="AC333" i="5"/>
  <c r="AD333" i="5" s="1"/>
  <c r="AA333" i="5"/>
  <c r="X333" i="5"/>
  <c r="W333" i="5"/>
  <c r="U333" i="5"/>
  <c r="R333" i="5"/>
  <c r="N333" i="5"/>
  <c r="O333" i="5" s="1"/>
  <c r="L333" i="5"/>
  <c r="I333" i="5"/>
  <c r="H333" i="5"/>
  <c r="F333" i="5"/>
  <c r="C333" i="5"/>
  <c r="AD332" i="5"/>
  <c r="AC332" i="5"/>
  <c r="AA332" i="5"/>
  <c r="W332" i="5"/>
  <c r="X332" i="5" s="1"/>
  <c r="U332" i="5"/>
  <c r="R332" i="5"/>
  <c r="N332" i="5"/>
  <c r="L332" i="5"/>
  <c r="H332" i="5"/>
  <c r="I332" i="5" s="1"/>
  <c r="F332" i="5"/>
  <c r="C332" i="5"/>
  <c r="AD331" i="5"/>
  <c r="AC331" i="5"/>
  <c r="AA331" i="5"/>
  <c r="W331" i="5"/>
  <c r="X331" i="5" s="1"/>
  <c r="U331" i="5"/>
  <c r="R331" i="5"/>
  <c r="N331" i="5"/>
  <c r="O331" i="5" s="1"/>
  <c r="L331" i="5"/>
  <c r="H331" i="5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I330" i="5"/>
  <c r="H330" i="5"/>
  <c r="F330" i="5"/>
  <c r="C330" i="5"/>
  <c r="AC329" i="5"/>
  <c r="AD329" i="5" s="1"/>
  <c r="AA329" i="5"/>
  <c r="X329" i="5"/>
  <c r="W329" i="5"/>
  <c r="U329" i="5"/>
  <c r="R329" i="5"/>
  <c r="N329" i="5"/>
  <c r="O329" i="5" s="1"/>
  <c r="L329" i="5"/>
  <c r="I329" i="5"/>
  <c r="H329" i="5"/>
  <c r="F329" i="5"/>
  <c r="C329" i="5"/>
  <c r="AD328" i="5"/>
  <c r="AC328" i="5"/>
  <c r="AA328" i="5"/>
  <c r="W328" i="5"/>
  <c r="X328" i="5" s="1"/>
  <c r="U328" i="5"/>
  <c r="R328" i="5"/>
  <c r="N328" i="5"/>
  <c r="L328" i="5"/>
  <c r="H328" i="5"/>
  <c r="I328" i="5" s="1"/>
  <c r="F328" i="5"/>
  <c r="C328" i="5"/>
  <c r="AD325" i="5"/>
  <c r="AA325" i="5"/>
  <c r="Z325" i="5"/>
  <c r="U325" i="5"/>
  <c r="T325" i="5"/>
  <c r="W325" i="5" s="1"/>
  <c r="X325" i="5" s="1"/>
  <c r="R325" i="5"/>
  <c r="Q325" i="5"/>
  <c r="AC325" i="5" s="1"/>
  <c r="K325" i="5"/>
  <c r="L325" i="5" s="1"/>
  <c r="I325" i="5"/>
  <c r="H325" i="5"/>
  <c r="F325" i="5"/>
  <c r="E325" i="5"/>
  <c r="C325" i="5"/>
  <c r="B325" i="5"/>
  <c r="N325" i="5" s="1"/>
  <c r="O325" i="5" s="1"/>
  <c r="Z324" i="5"/>
  <c r="AA324" i="5" s="1"/>
  <c r="X324" i="5"/>
  <c r="U324" i="5"/>
  <c r="T324" i="5"/>
  <c r="Q324" i="5"/>
  <c r="W324" i="5" s="1"/>
  <c r="O324" i="5"/>
  <c r="N324" i="5"/>
  <c r="L324" i="5"/>
  <c r="K324" i="5"/>
  <c r="E324" i="5"/>
  <c r="F324" i="5" s="1"/>
  <c r="C324" i="5"/>
  <c r="B324" i="5"/>
  <c r="H324" i="5" s="1"/>
  <c r="AD323" i="5"/>
  <c r="AC323" i="5"/>
  <c r="AA323" i="5"/>
  <c r="W323" i="5"/>
  <c r="X323" i="5" s="1"/>
  <c r="U323" i="5"/>
  <c r="R323" i="5"/>
  <c r="O323" i="5"/>
  <c r="N323" i="5"/>
  <c r="L323" i="5"/>
  <c r="H323" i="5"/>
  <c r="F323" i="5"/>
  <c r="C323" i="5"/>
  <c r="AC322" i="5"/>
  <c r="AD322" i="5" s="1"/>
  <c r="AA322" i="5"/>
  <c r="X322" i="5"/>
  <c r="W322" i="5"/>
  <c r="U322" i="5"/>
  <c r="R322" i="5"/>
  <c r="N322" i="5"/>
  <c r="O322" i="5" s="1"/>
  <c r="L322" i="5"/>
  <c r="I322" i="5"/>
  <c r="H322" i="5"/>
  <c r="F322" i="5"/>
  <c r="C322" i="5"/>
  <c r="AC321" i="5"/>
  <c r="AD321" i="5" s="1"/>
  <c r="AA321" i="5"/>
  <c r="W321" i="5"/>
  <c r="X321" i="5" s="1"/>
  <c r="U321" i="5"/>
  <c r="R321" i="5"/>
  <c r="N321" i="5"/>
  <c r="O321" i="5" s="1"/>
  <c r="L321" i="5"/>
  <c r="I321" i="5"/>
  <c r="H321" i="5"/>
  <c r="F321" i="5"/>
  <c r="C321" i="5"/>
  <c r="AD320" i="5"/>
  <c r="AC320" i="5"/>
  <c r="AA320" i="5"/>
  <c r="W320" i="5"/>
  <c r="X320" i="5" s="1"/>
  <c r="U320" i="5"/>
  <c r="R320" i="5"/>
  <c r="O320" i="5"/>
  <c r="N320" i="5"/>
  <c r="L320" i="5"/>
  <c r="H320" i="5"/>
  <c r="I320" i="5" s="1"/>
  <c r="F320" i="5"/>
  <c r="C320" i="5"/>
  <c r="AD319" i="5"/>
  <c r="AC319" i="5"/>
  <c r="AA319" i="5"/>
  <c r="W319" i="5"/>
  <c r="X319" i="5" s="1"/>
  <c r="U319" i="5"/>
  <c r="R319" i="5"/>
  <c r="N319" i="5"/>
  <c r="O319" i="5" s="1"/>
  <c r="L319" i="5"/>
  <c r="H319" i="5"/>
  <c r="F319" i="5"/>
  <c r="C319" i="5"/>
  <c r="AC318" i="5"/>
  <c r="AD318" i="5" s="1"/>
  <c r="AA318" i="5"/>
  <c r="X318" i="5"/>
  <c r="W318" i="5"/>
  <c r="U318" i="5"/>
  <c r="R318" i="5"/>
  <c r="N318" i="5"/>
  <c r="O318" i="5" s="1"/>
  <c r="L318" i="5"/>
  <c r="H318" i="5"/>
  <c r="F318" i="5"/>
  <c r="C318" i="5"/>
  <c r="AC317" i="5"/>
  <c r="AD317" i="5" s="1"/>
  <c r="AA317" i="5"/>
  <c r="X317" i="5"/>
  <c r="W317" i="5"/>
  <c r="U317" i="5"/>
  <c r="R317" i="5"/>
  <c r="N317" i="5"/>
  <c r="O317" i="5" s="1"/>
  <c r="L317" i="5"/>
  <c r="H317" i="5"/>
  <c r="I317" i="5" s="1"/>
  <c r="F317" i="5"/>
  <c r="C317" i="5"/>
  <c r="AD316" i="5"/>
  <c r="AC316" i="5"/>
  <c r="AA316" i="5"/>
  <c r="W316" i="5"/>
  <c r="X316" i="5" s="1"/>
  <c r="U316" i="5"/>
  <c r="R316" i="5"/>
  <c r="O316" i="5"/>
  <c r="N316" i="5"/>
  <c r="L316" i="5"/>
  <c r="H316" i="5"/>
  <c r="I316" i="5" s="1"/>
  <c r="F316" i="5"/>
  <c r="C316" i="5"/>
  <c r="AD315" i="5"/>
  <c r="AC315" i="5"/>
  <c r="AA315" i="5"/>
  <c r="W315" i="5"/>
  <c r="X315" i="5" s="1"/>
  <c r="U315" i="5"/>
  <c r="R315" i="5"/>
  <c r="N315" i="5"/>
  <c r="O315" i="5" s="1"/>
  <c r="L315" i="5"/>
  <c r="H315" i="5"/>
  <c r="F315" i="5"/>
  <c r="C315" i="5"/>
  <c r="AD314" i="5"/>
  <c r="AC314" i="5"/>
  <c r="AA314" i="5"/>
  <c r="X314" i="5"/>
  <c r="W314" i="5"/>
  <c r="U314" i="5"/>
  <c r="R314" i="5"/>
  <c r="N314" i="5"/>
  <c r="O314" i="5" s="1"/>
  <c r="L314" i="5"/>
  <c r="I314" i="5"/>
  <c r="H314" i="5"/>
  <c r="F314" i="5"/>
  <c r="C314" i="5"/>
  <c r="AC313" i="5"/>
  <c r="AD313" i="5" s="1"/>
  <c r="AA313" i="5"/>
  <c r="X313" i="5"/>
  <c r="W313" i="5"/>
  <c r="U313" i="5"/>
  <c r="R313" i="5"/>
  <c r="N313" i="5"/>
  <c r="O313" i="5" s="1"/>
  <c r="L313" i="5"/>
  <c r="I313" i="5"/>
  <c r="H313" i="5"/>
  <c r="F313" i="5"/>
  <c r="C313" i="5"/>
  <c r="AD312" i="5"/>
  <c r="AC312" i="5"/>
  <c r="AA312" i="5"/>
  <c r="W312" i="5"/>
  <c r="X312" i="5" s="1"/>
  <c r="U312" i="5"/>
  <c r="R312" i="5"/>
  <c r="O312" i="5"/>
  <c r="N312" i="5"/>
  <c r="L312" i="5"/>
  <c r="H312" i="5"/>
  <c r="I312" i="5" s="1"/>
  <c r="F312" i="5"/>
  <c r="C312" i="5"/>
  <c r="AD311" i="5"/>
  <c r="AC311" i="5"/>
  <c r="AA311" i="5"/>
  <c r="W311" i="5"/>
  <c r="X311" i="5" s="1"/>
  <c r="U311" i="5"/>
  <c r="R311" i="5"/>
  <c r="N311" i="5"/>
  <c r="O311" i="5" s="1"/>
  <c r="L311" i="5"/>
  <c r="H311" i="5"/>
  <c r="F311" i="5"/>
  <c r="C311" i="5"/>
  <c r="AC310" i="5"/>
  <c r="AD310" i="5" s="1"/>
  <c r="AA310" i="5"/>
  <c r="X310" i="5"/>
  <c r="W310" i="5"/>
  <c r="U310" i="5"/>
  <c r="R310" i="5"/>
  <c r="N310" i="5"/>
  <c r="O310" i="5" s="1"/>
  <c r="L310" i="5"/>
  <c r="I310" i="5"/>
  <c r="H310" i="5"/>
  <c r="F310" i="5"/>
  <c r="C310" i="5"/>
  <c r="AC309" i="5"/>
  <c r="AD309" i="5" s="1"/>
  <c r="AA309" i="5"/>
  <c r="W309" i="5"/>
  <c r="X309" i="5" s="1"/>
  <c r="U309" i="5"/>
  <c r="R309" i="5"/>
  <c r="N309" i="5"/>
  <c r="O309" i="5" s="1"/>
  <c r="L309" i="5"/>
  <c r="I309" i="5"/>
  <c r="H309" i="5"/>
  <c r="F309" i="5"/>
  <c r="C309" i="5"/>
  <c r="AD308" i="5"/>
  <c r="AC308" i="5"/>
  <c r="AA308" i="5"/>
  <c r="X308" i="5"/>
  <c r="W308" i="5"/>
  <c r="U308" i="5"/>
  <c r="R308" i="5"/>
  <c r="O308" i="5"/>
  <c r="N308" i="5"/>
  <c r="L308" i="5"/>
  <c r="H308" i="5"/>
  <c r="F308" i="5"/>
  <c r="C308" i="5"/>
  <c r="AD307" i="5"/>
  <c r="AC307" i="5"/>
  <c r="AA307" i="5"/>
  <c r="W307" i="5"/>
  <c r="X307" i="5" s="1"/>
  <c r="U307" i="5"/>
  <c r="R307" i="5"/>
  <c r="O307" i="5"/>
  <c r="N307" i="5"/>
  <c r="L307" i="5"/>
  <c r="H307" i="5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I306" i="5"/>
  <c r="H306" i="5"/>
  <c r="F306" i="5"/>
  <c r="C306" i="5"/>
  <c r="AC305" i="5"/>
  <c r="AD305" i="5" s="1"/>
  <c r="AA305" i="5"/>
  <c r="X305" i="5"/>
  <c r="W305" i="5"/>
  <c r="U305" i="5"/>
  <c r="R305" i="5"/>
  <c r="N305" i="5"/>
  <c r="O305" i="5" s="1"/>
  <c r="L305" i="5"/>
  <c r="H305" i="5"/>
  <c r="I305" i="5" s="1"/>
  <c r="F305" i="5"/>
  <c r="C305" i="5"/>
  <c r="AD304" i="5"/>
  <c r="AC304" i="5"/>
  <c r="AA304" i="5"/>
  <c r="W304" i="5"/>
  <c r="X304" i="5" s="1"/>
  <c r="U304" i="5"/>
  <c r="R304" i="5"/>
  <c r="O304" i="5"/>
  <c r="N304" i="5"/>
  <c r="L304" i="5"/>
  <c r="H304" i="5"/>
  <c r="I304" i="5" s="1"/>
  <c r="F304" i="5"/>
  <c r="C304" i="5"/>
  <c r="AD303" i="5"/>
  <c r="AC303" i="5"/>
  <c r="AA303" i="5"/>
  <c r="W303" i="5"/>
  <c r="X303" i="5" s="1"/>
  <c r="U303" i="5"/>
  <c r="R303" i="5"/>
  <c r="N303" i="5"/>
  <c r="O303" i="5" s="1"/>
  <c r="L303" i="5"/>
  <c r="H303" i="5"/>
  <c r="F303" i="5"/>
  <c r="C303" i="5"/>
  <c r="AD302" i="5"/>
  <c r="AC302" i="5"/>
  <c r="AA302" i="5"/>
  <c r="X302" i="5"/>
  <c r="W302" i="5"/>
  <c r="U302" i="5"/>
  <c r="R302" i="5"/>
  <c r="O302" i="5"/>
  <c r="N302" i="5"/>
  <c r="L302" i="5"/>
  <c r="I302" i="5"/>
  <c r="H302" i="5"/>
  <c r="F302" i="5"/>
  <c r="C302" i="5"/>
  <c r="AC301" i="5"/>
  <c r="AD301" i="5" s="1"/>
  <c r="AA301" i="5"/>
  <c r="X301" i="5"/>
  <c r="W301" i="5"/>
  <c r="U301" i="5"/>
  <c r="R301" i="5"/>
  <c r="N301" i="5"/>
  <c r="O301" i="5" s="1"/>
  <c r="L301" i="5"/>
  <c r="H301" i="5"/>
  <c r="I301" i="5" s="1"/>
  <c r="F301" i="5"/>
  <c r="C301" i="5"/>
  <c r="AD300" i="5"/>
  <c r="AC300" i="5"/>
  <c r="AA300" i="5"/>
  <c r="X300" i="5"/>
  <c r="W300" i="5"/>
  <c r="U300" i="5"/>
  <c r="R300" i="5"/>
  <c r="O300" i="5"/>
  <c r="N300" i="5"/>
  <c r="L300" i="5"/>
  <c r="H300" i="5"/>
  <c r="I300" i="5" s="1"/>
  <c r="F300" i="5"/>
  <c r="C300" i="5"/>
  <c r="AD299" i="5"/>
  <c r="AC299" i="5"/>
  <c r="AA299" i="5"/>
  <c r="W299" i="5"/>
  <c r="X299" i="5" s="1"/>
  <c r="U299" i="5"/>
  <c r="R299" i="5"/>
  <c r="O299" i="5"/>
  <c r="N299" i="5"/>
  <c r="L299" i="5"/>
  <c r="H299" i="5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C297" i="5"/>
  <c r="AD297" i="5" s="1"/>
  <c r="AA297" i="5"/>
  <c r="W297" i="5"/>
  <c r="X297" i="5" s="1"/>
  <c r="U297" i="5"/>
  <c r="R297" i="5"/>
  <c r="N297" i="5"/>
  <c r="O297" i="5" s="1"/>
  <c r="L297" i="5"/>
  <c r="I297" i="5"/>
  <c r="H297" i="5"/>
  <c r="F297" i="5"/>
  <c r="C297" i="5"/>
  <c r="Z295" i="5"/>
  <c r="AA295" i="5" s="1"/>
  <c r="W295" i="5"/>
  <c r="X295" i="5" s="1"/>
  <c r="U295" i="5"/>
  <c r="T295" i="5"/>
  <c r="R295" i="5"/>
  <c r="Q295" i="5"/>
  <c r="N295" i="5"/>
  <c r="O295" i="5" s="1"/>
  <c r="L295" i="5"/>
  <c r="K295" i="5"/>
  <c r="I295" i="5"/>
  <c r="H295" i="5"/>
  <c r="F295" i="5"/>
  <c r="E295" i="5"/>
  <c r="B295" i="5"/>
  <c r="C295" i="5" s="1"/>
  <c r="AC294" i="5"/>
  <c r="AD294" i="5" s="1"/>
  <c r="AA294" i="5"/>
  <c r="X294" i="5"/>
  <c r="W294" i="5"/>
  <c r="U294" i="5"/>
  <c r="R294" i="5"/>
  <c r="N294" i="5"/>
  <c r="O294" i="5" s="1"/>
  <c r="L294" i="5"/>
  <c r="H294" i="5"/>
  <c r="I294" i="5" s="1"/>
  <c r="F294" i="5"/>
  <c r="C294" i="5"/>
  <c r="AC293" i="5"/>
  <c r="AD293" i="5" s="1"/>
  <c r="AA293" i="5"/>
  <c r="W293" i="5"/>
  <c r="X293" i="5" s="1"/>
  <c r="U293" i="5"/>
  <c r="R293" i="5"/>
  <c r="N293" i="5"/>
  <c r="O293" i="5" s="1"/>
  <c r="L293" i="5"/>
  <c r="H293" i="5"/>
  <c r="I293" i="5" s="1"/>
  <c r="F293" i="5"/>
  <c r="C293" i="5"/>
  <c r="AD292" i="5"/>
  <c r="AC292" i="5"/>
  <c r="AA292" i="5"/>
  <c r="W292" i="5"/>
  <c r="X292" i="5" s="1"/>
  <c r="U292" i="5"/>
  <c r="R292" i="5"/>
  <c r="O292" i="5"/>
  <c r="N292" i="5"/>
  <c r="L292" i="5"/>
  <c r="H292" i="5"/>
  <c r="I292" i="5" s="1"/>
  <c r="F292" i="5"/>
  <c r="C292" i="5"/>
  <c r="AC291" i="5"/>
  <c r="AD291" i="5" s="1"/>
  <c r="AA291" i="5"/>
  <c r="W291" i="5"/>
  <c r="X291" i="5" s="1"/>
  <c r="U291" i="5"/>
  <c r="R291" i="5"/>
  <c r="N291" i="5"/>
  <c r="O291" i="5" s="1"/>
  <c r="L291" i="5"/>
  <c r="H291" i="5"/>
  <c r="F291" i="5"/>
  <c r="C291" i="5"/>
  <c r="AD290" i="5"/>
  <c r="AC290" i="5"/>
  <c r="AA290" i="5"/>
  <c r="X290" i="5"/>
  <c r="W290" i="5"/>
  <c r="U290" i="5"/>
  <c r="R290" i="5"/>
  <c r="N290" i="5"/>
  <c r="O290" i="5" s="1"/>
  <c r="L290" i="5"/>
  <c r="H290" i="5"/>
  <c r="I290" i="5" s="1"/>
  <c r="F290" i="5"/>
  <c r="C290" i="5"/>
  <c r="AC289" i="5"/>
  <c r="AD289" i="5" s="1"/>
  <c r="AA289" i="5"/>
  <c r="X289" i="5"/>
  <c r="W289" i="5"/>
  <c r="U289" i="5"/>
  <c r="R289" i="5"/>
  <c r="N289" i="5"/>
  <c r="O289" i="5" s="1"/>
  <c r="L289" i="5"/>
  <c r="I289" i="5"/>
  <c r="H289" i="5"/>
  <c r="F289" i="5"/>
  <c r="C289" i="5"/>
  <c r="AD288" i="5"/>
  <c r="AC288" i="5"/>
  <c r="AA288" i="5"/>
  <c r="W288" i="5"/>
  <c r="X288" i="5" s="1"/>
  <c r="U288" i="5"/>
  <c r="R288" i="5"/>
  <c r="O288" i="5"/>
  <c r="N288" i="5"/>
  <c r="L288" i="5"/>
  <c r="H288" i="5"/>
  <c r="I288" i="5" s="1"/>
  <c r="F288" i="5"/>
  <c r="C288" i="5"/>
  <c r="AC287" i="5"/>
  <c r="AD287" i="5" s="1"/>
  <c r="AA287" i="5"/>
  <c r="W287" i="5"/>
  <c r="X287" i="5" s="1"/>
  <c r="U287" i="5"/>
  <c r="R287" i="5"/>
  <c r="O287" i="5"/>
  <c r="N287" i="5"/>
  <c r="L287" i="5"/>
  <c r="I287" i="5"/>
  <c r="H287" i="5"/>
  <c r="F287" i="5"/>
  <c r="C287" i="5"/>
  <c r="AC286" i="5"/>
  <c r="AD286" i="5" s="1"/>
  <c r="AA286" i="5"/>
  <c r="W286" i="5"/>
  <c r="X286" i="5" s="1"/>
  <c r="U286" i="5"/>
  <c r="R286" i="5"/>
  <c r="N286" i="5"/>
  <c r="O286" i="5" s="1"/>
  <c r="L286" i="5"/>
  <c r="I286" i="5"/>
  <c r="H286" i="5"/>
  <c r="F286" i="5"/>
  <c r="C286" i="5"/>
  <c r="Z284" i="5"/>
  <c r="AA284" i="5" s="1"/>
  <c r="X284" i="5"/>
  <c r="W284" i="5"/>
  <c r="U284" i="5"/>
  <c r="T284" i="5"/>
  <c r="Q284" i="5"/>
  <c r="R284" i="5" s="1"/>
  <c r="K284" i="5"/>
  <c r="L284" i="5" s="1"/>
  <c r="I284" i="5"/>
  <c r="E284" i="5"/>
  <c r="F284" i="5" s="1"/>
  <c r="C284" i="5"/>
  <c r="B284" i="5"/>
  <c r="H284" i="5" s="1"/>
  <c r="AC283" i="5"/>
  <c r="AD283" i="5" s="1"/>
  <c r="AA283" i="5"/>
  <c r="W283" i="5"/>
  <c r="X283" i="5" s="1"/>
  <c r="U283" i="5"/>
  <c r="R283" i="5"/>
  <c r="O283" i="5"/>
  <c r="N283" i="5"/>
  <c r="L283" i="5"/>
  <c r="I283" i="5"/>
  <c r="H283" i="5"/>
  <c r="F283" i="5"/>
  <c r="C283" i="5"/>
  <c r="AC282" i="5"/>
  <c r="AD282" i="5" s="1"/>
  <c r="AA282" i="5"/>
  <c r="W282" i="5"/>
  <c r="X282" i="5" s="1"/>
  <c r="U282" i="5"/>
  <c r="R282" i="5"/>
  <c r="O282" i="5"/>
  <c r="N282" i="5"/>
  <c r="L282" i="5"/>
  <c r="I282" i="5"/>
  <c r="H282" i="5"/>
  <c r="F282" i="5"/>
  <c r="C282" i="5"/>
  <c r="AC281" i="5"/>
  <c r="AD281" i="5" s="1"/>
  <c r="AA281" i="5"/>
  <c r="X281" i="5"/>
  <c r="W281" i="5"/>
  <c r="U281" i="5"/>
  <c r="R281" i="5"/>
  <c r="N281" i="5"/>
  <c r="O281" i="5" s="1"/>
  <c r="L281" i="5"/>
  <c r="I281" i="5"/>
  <c r="H281" i="5"/>
  <c r="F281" i="5"/>
  <c r="C281" i="5"/>
  <c r="AD280" i="5"/>
  <c r="AC280" i="5"/>
  <c r="AA280" i="5"/>
  <c r="W280" i="5"/>
  <c r="X280" i="5" s="1"/>
  <c r="U280" i="5"/>
  <c r="R280" i="5"/>
  <c r="O280" i="5"/>
  <c r="N280" i="5"/>
  <c r="L280" i="5"/>
  <c r="H280" i="5"/>
  <c r="I280" i="5" s="1"/>
  <c r="F280" i="5"/>
  <c r="C280" i="5"/>
  <c r="AD279" i="5"/>
  <c r="AC279" i="5"/>
  <c r="AA279" i="5"/>
  <c r="W279" i="5"/>
  <c r="X279" i="5" s="1"/>
  <c r="U279" i="5"/>
  <c r="R279" i="5"/>
  <c r="O279" i="5"/>
  <c r="N279" i="5"/>
  <c r="L279" i="5"/>
  <c r="I279" i="5"/>
  <c r="H279" i="5"/>
  <c r="F279" i="5"/>
  <c r="C279" i="5"/>
  <c r="AC278" i="5"/>
  <c r="AD278" i="5" s="1"/>
  <c r="AA278" i="5"/>
  <c r="X278" i="5"/>
  <c r="W278" i="5"/>
  <c r="U278" i="5"/>
  <c r="R278" i="5"/>
  <c r="N278" i="5"/>
  <c r="O278" i="5" s="1"/>
  <c r="L278" i="5"/>
  <c r="H278" i="5"/>
  <c r="I278" i="5" s="1"/>
  <c r="F278" i="5"/>
  <c r="C278" i="5"/>
  <c r="AC277" i="5"/>
  <c r="AD277" i="5" s="1"/>
  <c r="AA277" i="5"/>
  <c r="X277" i="5"/>
  <c r="W277" i="5"/>
  <c r="U277" i="5"/>
  <c r="R277" i="5"/>
  <c r="N277" i="5"/>
  <c r="O277" i="5" s="1"/>
  <c r="L277" i="5"/>
  <c r="H277" i="5"/>
  <c r="I277" i="5" s="1"/>
  <c r="F277" i="5"/>
  <c r="C277" i="5"/>
  <c r="AD276" i="5"/>
  <c r="AC276" i="5"/>
  <c r="AA276" i="5"/>
  <c r="W276" i="5"/>
  <c r="X276" i="5" s="1"/>
  <c r="U276" i="5"/>
  <c r="R276" i="5"/>
  <c r="N276" i="5"/>
  <c r="O276" i="5" s="1"/>
  <c r="L276" i="5"/>
  <c r="H276" i="5"/>
  <c r="I276" i="5" s="1"/>
  <c r="F276" i="5"/>
  <c r="C276" i="5"/>
  <c r="AD275" i="5"/>
  <c r="AC275" i="5"/>
  <c r="AA275" i="5"/>
  <c r="W275" i="5"/>
  <c r="X275" i="5" s="1"/>
  <c r="U275" i="5"/>
  <c r="R275" i="5"/>
  <c r="N275" i="5"/>
  <c r="O275" i="5" s="1"/>
  <c r="L275" i="5"/>
  <c r="I275" i="5"/>
  <c r="H275" i="5"/>
  <c r="F275" i="5"/>
  <c r="C275" i="5"/>
  <c r="AA273" i="5"/>
  <c r="Z273" i="5"/>
  <c r="AC273" i="5" s="1"/>
  <c r="AD273" i="5" s="1"/>
  <c r="U273" i="5"/>
  <c r="T273" i="5"/>
  <c r="Q273" i="5"/>
  <c r="N273" i="5"/>
  <c r="O273" i="5" s="1"/>
  <c r="L273" i="5"/>
  <c r="K273" i="5"/>
  <c r="E273" i="5"/>
  <c r="F273" i="5" s="1"/>
  <c r="B273" i="5"/>
  <c r="AD272" i="5"/>
  <c r="AC272" i="5"/>
  <c r="AA272" i="5"/>
  <c r="X272" i="5"/>
  <c r="W272" i="5"/>
  <c r="U272" i="5"/>
  <c r="R272" i="5"/>
  <c r="N272" i="5"/>
  <c r="O272" i="5" s="1"/>
  <c r="L272" i="5"/>
  <c r="I272" i="5"/>
  <c r="H272" i="5"/>
  <c r="F272" i="5"/>
  <c r="C272" i="5"/>
  <c r="AC271" i="5"/>
  <c r="AD271" i="5" s="1"/>
  <c r="AA271" i="5"/>
  <c r="W271" i="5"/>
  <c r="X271" i="5" s="1"/>
  <c r="U271" i="5"/>
  <c r="R271" i="5"/>
  <c r="N271" i="5"/>
  <c r="O271" i="5" s="1"/>
  <c r="L271" i="5"/>
  <c r="I271" i="5"/>
  <c r="H271" i="5"/>
  <c r="F271" i="5"/>
  <c r="C271" i="5"/>
  <c r="AD270" i="5"/>
  <c r="AC270" i="5"/>
  <c r="AA270" i="5"/>
  <c r="W270" i="5"/>
  <c r="X270" i="5" s="1"/>
  <c r="U270" i="5"/>
  <c r="R270" i="5"/>
  <c r="O270" i="5"/>
  <c r="N270" i="5"/>
  <c r="L270" i="5"/>
  <c r="H270" i="5"/>
  <c r="I270" i="5" s="1"/>
  <c r="F270" i="5"/>
  <c r="C270" i="5"/>
  <c r="AC269" i="5"/>
  <c r="AD269" i="5" s="1"/>
  <c r="AA269" i="5"/>
  <c r="W269" i="5"/>
  <c r="X269" i="5" s="1"/>
  <c r="U269" i="5"/>
  <c r="R269" i="5"/>
  <c r="N269" i="5"/>
  <c r="O269" i="5" s="1"/>
  <c r="L269" i="5"/>
  <c r="I269" i="5"/>
  <c r="H269" i="5"/>
  <c r="F269" i="5"/>
  <c r="C269" i="5"/>
  <c r="AA267" i="5"/>
  <c r="Z267" i="5"/>
  <c r="W267" i="5"/>
  <c r="X267" i="5" s="1"/>
  <c r="U267" i="5"/>
  <c r="T267" i="5"/>
  <c r="R267" i="5"/>
  <c r="Q267" i="5"/>
  <c r="K267" i="5"/>
  <c r="L267" i="5" s="1"/>
  <c r="F267" i="5"/>
  <c r="E267" i="5"/>
  <c r="B267" i="5"/>
  <c r="AC266" i="5"/>
  <c r="AD266" i="5" s="1"/>
  <c r="AA266" i="5"/>
  <c r="W266" i="5"/>
  <c r="X266" i="5" s="1"/>
  <c r="U266" i="5"/>
  <c r="R266" i="5"/>
  <c r="O266" i="5"/>
  <c r="N266" i="5"/>
  <c r="L266" i="5"/>
  <c r="I266" i="5"/>
  <c r="H266" i="5"/>
  <c r="F266" i="5"/>
  <c r="C266" i="5"/>
  <c r="AD265" i="5"/>
  <c r="AC265" i="5"/>
  <c r="AA265" i="5"/>
  <c r="X265" i="5"/>
  <c r="W265" i="5"/>
  <c r="U265" i="5"/>
  <c r="R265" i="5"/>
  <c r="N265" i="5"/>
  <c r="O265" i="5" s="1"/>
  <c r="L265" i="5"/>
  <c r="I265" i="5"/>
  <c r="H265" i="5"/>
  <c r="F265" i="5"/>
  <c r="C265" i="5"/>
  <c r="Z263" i="5"/>
  <c r="AA263" i="5" s="1"/>
  <c r="T263" i="5"/>
  <c r="U263" i="5" s="1"/>
  <c r="R263" i="5"/>
  <c r="Q263" i="5"/>
  <c r="K263" i="5"/>
  <c r="L263" i="5" s="1"/>
  <c r="H263" i="5"/>
  <c r="I263" i="5" s="1"/>
  <c r="F263" i="5"/>
  <c r="E263" i="5"/>
  <c r="B263" i="5"/>
  <c r="C263" i="5" s="1"/>
  <c r="Z262" i="5"/>
  <c r="AA262" i="5" s="1"/>
  <c r="T262" i="5"/>
  <c r="U262" i="5" s="1"/>
  <c r="Q262" i="5"/>
  <c r="L262" i="5"/>
  <c r="K262" i="5"/>
  <c r="E262" i="5"/>
  <c r="C262" i="5"/>
  <c r="B262" i="5"/>
  <c r="N262" i="5" s="1"/>
  <c r="O262" i="5" s="1"/>
  <c r="AD261" i="5"/>
  <c r="AC261" i="5"/>
  <c r="AA261" i="5"/>
  <c r="W261" i="5"/>
  <c r="X261" i="5" s="1"/>
  <c r="U261" i="5"/>
  <c r="R261" i="5"/>
  <c r="N261" i="5"/>
  <c r="O261" i="5" s="1"/>
  <c r="L261" i="5"/>
  <c r="H261" i="5"/>
  <c r="I261" i="5" s="1"/>
  <c r="F261" i="5"/>
  <c r="C261" i="5"/>
  <c r="AD260" i="5"/>
  <c r="AC260" i="5"/>
  <c r="AA260" i="5"/>
  <c r="W260" i="5"/>
  <c r="X260" i="5" s="1"/>
  <c r="U260" i="5"/>
  <c r="R260" i="5"/>
  <c r="N260" i="5"/>
  <c r="O260" i="5" s="1"/>
  <c r="L260" i="5"/>
  <c r="I260" i="5"/>
  <c r="H260" i="5"/>
  <c r="F260" i="5"/>
  <c r="C260" i="5"/>
  <c r="AC259" i="5"/>
  <c r="AD259" i="5" s="1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W258" i="5"/>
  <c r="X258" i="5" s="1"/>
  <c r="U258" i="5"/>
  <c r="R258" i="5"/>
  <c r="N258" i="5"/>
  <c r="O258" i="5" s="1"/>
  <c r="L258" i="5"/>
  <c r="H258" i="5"/>
  <c r="I258" i="5" s="1"/>
  <c r="F258" i="5"/>
  <c r="C258" i="5"/>
  <c r="AD257" i="5"/>
  <c r="AC257" i="5"/>
  <c r="AA257" i="5"/>
  <c r="X257" i="5"/>
  <c r="W257" i="5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W256" i="5"/>
  <c r="X256" i="5" s="1"/>
  <c r="U256" i="5"/>
  <c r="R256" i="5"/>
  <c r="N256" i="5"/>
  <c r="O256" i="5" s="1"/>
  <c r="L256" i="5"/>
  <c r="I256" i="5"/>
  <c r="H256" i="5"/>
  <c r="F256" i="5"/>
  <c r="C256" i="5"/>
  <c r="AD255" i="5"/>
  <c r="AC255" i="5"/>
  <c r="AA255" i="5"/>
  <c r="W255" i="5"/>
  <c r="X255" i="5" s="1"/>
  <c r="U255" i="5"/>
  <c r="R255" i="5"/>
  <c r="O255" i="5"/>
  <c r="N255" i="5"/>
  <c r="L255" i="5"/>
  <c r="I255" i="5"/>
  <c r="H255" i="5"/>
  <c r="F255" i="5"/>
  <c r="C255" i="5"/>
  <c r="AC254" i="5"/>
  <c r="AD254" i="5" s="1"/>
  <c r="AA254" i="5"/>
  <c r="W254" i="5"/>
  <c r="X254" i="5" s="1"/>
  <c r="U254" i="5"/>
  <c r="R254" i="5"/>
  <c r="N254" i="5"/>
  <c r="O254" i="5" s="1"/>
  <c r="L254" i="5"/>
  <c r="H254" i="5"/>
  <c r="I254" i="5" s="1"/>
  <c r="F254" i="5"/>
  <c r="C254" i="5"/>
  <c r="AD253" i="5"/>
  <c r="AC253" i="5"/>
  <c r="AA253" i="5"/>
  <c r="W253" i="5"/>
  <c r="X253" i="5" s="1"/>
  <c r="U253" i="5"/>
  <c r="R253" i="5"/>
  <c r="O253" i="5"/>
  <c r="N253" i="5"/>
  <c r="L253" i="5"/>
  <c r="I253" i="5"/>
  <c r="H253" i="5"/>
  <c r="F253" i="5"/>
  <c r="C253" i="5"/>
  <c r="AC252" i="5"/>
  <c r="AD252" i="5" s="1"/>
  <c r="AA252" i="5"/>
  <c r="W252" i="5"/>
  <c r="X252" i="5" s="1"/>
  <c r="U252" i="5"/>
  <c r="R252" i="5"/>
  <c r="N252" i="5"/>
  <c r="O252" i="5" s="1"/>
  <c r="L252" i="5"/>
  <c r="I252" i="5"/>
  <c r="H252" i="5"/>
  <c r="F252" i="5"/>
  <c r="C252" i="5"/>
  <c r="AC251" i="5"/>
  <c r="AD251" i="5" s="1"/>
  <c r="AA251" i="5"/>
  <c r="W251" i="5"/>
  <c r="X251" i="5" s="1"/>
  <c r="U251" i="5"/>
  <c r="R251" i="5"/>
  <c r="O251" i="5"/>
  <c r="N251" i="5"/>
  <c r="L251" i="5"/>
  <c r="I251" i="5"/>
  <c r="H251" i="5"/>
  <c r="F251" i="5"/>
  <c r="C251" i="5"/>
  <c r="AC250" i="5"/>
  <c r="AD250" i="5" s="1"/>
  <c r="AA250" i="5"/>
  <c r="W250" i="5"/>
  <c r="X250" i="5" s="1"/>
  <c r="U250" i="5"/>
  <c r="R250" i="5"/>
  <c r="N250" i="5"/>
  <c r="O250" i="5" s="1"/>
  <c r="L250" i="5"/>
  <c r="I250" i="5"/>
  <c r="H250" i="5"/>
  <c r="F250" i="5"/>
  <c r="C250" i="5"/>
  <c r="AD249" i="5"/>
  <c r="AC249" i="5"/>
  <c r="AA249" i="5"/>
  <c r="W249" i="5"/>
  <c r="X249" i="5" s="1"/>
  <c r="U249" i="5"/>
  <c r="R249" i="5"/>
  <c r="O249" i="5"/>
  <c r="N249" i="5"/>
  <c r="L249" i="5"/>
  <c r="H249" i="5"/>
  <c r="I249" i="5" s="1"/>
  <c r="F249" i="5"/>
  <c r="C249" i="5"/>
  <c r="AC248" i="5"/>
  <c r="AD248" i="5" s="1"/>
  <c r="AA248" i="5"/>
  <c r="W248" i="5"/>
  <c r="X248" i="5" s="1"/>
  <c r="U248" i="5"/>
  <c r="R248" i="5"/>
  <c r="O248" i="5"/>
  <c r="N248" i="5"/>
  <c r="L248" i="5"/>
  <c r="I248" i="5"/>
  <c r="H248" i="5"/>
  <c r="F248" i="5"/>
  <c r="C248" i="5"/>
  <c r="AC247" i="5"/>
  <c r="AD247" i="5" s="1"/>
  <c r="AA247" i="5"/>
  <c r="W247" i="5"/>
  <c r="X247" i="5" s="1"/>
  <c r="U247" i="5"/>
  <c r="R247" i="5"/>
  <c r="N247" i="5"/>
  <c r="O247" i="5" s="1"/>
  <c r="L247" i="5"/>
  <c r="H247" i="5"/>
  <c r="I247" i="5" s="1"/>
  <c r="F247" i="5"/>
  <c r="C247" i="5"/>
  <c r="AC246" i="5"/>
  <c r="AD246" i="5" s="1"/>
  <c r="AA246" i="5"/>
  <c r="X246" i="5"/>
  <c r="W246" i="5"/>
  <c r="U246" i="5"/>
  <c r="R246" i="5"/>
  <c r="N246" i="5"/>
  <c r="O246" i="5" s="1"/>
  <c r="L246" i="5"/>
  <c r="I246" i="5"/>
  <c r="H246" i="5"/>
  <c r="F246" i="5"/>
  <c r="C246" i="5"/>
  <c r="AD245" i="5"/>
  <c r="AC245" i="5"/>
  <c r="AA245" i="5"/>
  <c r="W245" i="5"/>
  <c r="X245" i="5" s="1"/>
  <c r="U245" i="5"/>
  <c r="R245" i="5"/>
  <c r="N245" i="5"/>
  <c r="O245" i="5" s="1"/>
  <c r="L245" i="5"/>
  <c r="H245" i="5"/>
  <c r="I245" i="5" s="1"/>
  <c r="F245" i="5"/>
  <c r="C245" i="5"/>
  <c r="AD244" i="5"/>
  <c r="AC244" i="5"/>
  <c r="AA244" i="5"/>
  <c r="W244" i="5"/>
  <c r="X244" i="5" s="1"/>
  <c r="U244" i="5"/>
  <c r="R244" i="5"/>
  <c r="N244" i="5"/>
  <c r="O244" i="5" s="1"/>
  <c r="L244" i="5"/>
  <c r="I244" i="5"/>
  <c r="H244" i="5"/>
  <c r="F244" i="5"/>
  <c r="C244" i="5"/>
  <c r="AD243" i="5"/>
  <c r="AC243" i="5"/>
  <c r="AA243" i="5"/>
  <c r="X243" i="5"/>
  <c r="W243" i="5"/>
  <c r="U243" i="5"/>
  <c r="R243" i="5"/>
  <c r="N243" i="5"/>
  <c r="O243" i="5" s="1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N242" i="5"/>
  <c r="O242" i="5" s="1"/>
  <c r="L242" i="5"/>
  <c r="I242" i="5"/>
  <c r="H242" i="5"/>
  <c r="F242" i="5"/>
  <c r="C242" i="5"/>
  <c r="AD241" i="5"/>
  <c r="AC241" i="5"/>
  <c r="AA241" i="5"/>
  <c r="W241" i="5"/>
  <c r="X241" i="5" s="1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W240" i="5"/>
  <c r="X240" i="5" s="1"/>
  <c r="U240" i="5"/>
  <c r="R240" i="5"/>
  <c r="N240" i="5"/>
  <c r="O240" i="5" s="1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O238" i="5"/>
  <c r="N238" i="5"/>
  <c r="L238" i="5"/>
  <c r="I238" i="5"/>
  <c r="H238" i="5"/>
  <c r="F238" i="5"/>
  <c r="C238" i="5"/>
  <c r="AA236" i="5"/>
  <c r="Z236" i="5"/>
  <c r="W236" i="5"/>
  <c r="X236" i="5" s="1"/>
  <c r="U236" i="5"/>
  <c r="T236" i="5"/>
  <c r="Q236" i="5"/>
  <c r="R236" i="5" s="1"/>
  <c r="K236" i="5"/>
  <c r="I236" i="5"/>
  <c r="F236" i="5"/>
  <c r="E236" i="5"/>
  <c r="C236" i="5"/>
  <c r="B236" i="5"/>
  <c r="H236" i="5" s="1"/>
  <c r="AD235" i="5"/>
  <c r="AC235" i="5"/>
  <c r="AA235" i="5"/>
  <c r="W235" i="5"/>
  <c r="X235" i="5" s="1"/>
  <c r="U235" i="5"/>
  <c r="R235" i="5"/>
  <c r="O235" i="5"/>
  <c r="N235" i="5"/>
  <c r="L235" i="5"/>
  <c r="I235" i="5"/>
  <c r="H235" i="5"/>
  <c r="F235" i="5"/>
  <c r="C235" i="5"/>
  <c r="AC234" i="5"/>
  <c r="AD234" i="5" s="1"/>
  <c r="AA234" i="5"/>
  <c r="W234" i="5"/>
  <c r="X234" i="5" s="1"/>
  <c r="U234" i="5"/>
  <c r="R234" i="5"/>
  <c r="O234" i="5"/>
  <c r="N234" i="5"/>
  <c r="L234" i="5"/>
  <c r="I234" i="5"/>
  <c r="H234" i="5"/>
  <c r="F234" i="5"/>
  <c r="C234" i="5"/>
  <c r="AC233" i="5"/>
  <c r="AD233" i="5" s="1"/>
  <c r="AA233" i="5"/>
  <c r="W233" i="5"/>
  <c r="X233" i="5" s="1"/>
  <c r="U233" i="5"/>
  <c r="R233" i="5"/>
  <c r="N233" i="5"/>
  <c r="O233" i="5" s="1"/>
  <c r="L233" i="5"/>
  <c r="I233" i="5"/>
  <c r="H233" i="5"/>
  <c r="F233" i="5"/>
  <c r="C233" i="5"/>
  <c r="AD232" i="5"/>
  <c r="AC232" i="5"/>
  <c r="AA232" i="5"/>
  <c r="W232" i="5"/>
  <c r="X232" i="5" s="1"/>
  <c r="U232" i="5"/>
  <c r="R232" i="5"/>
  <c r="O232" i="5"/>
  <c r="N232" i="5"/>
  <c r="L232" i="5"/>
  <c r="H232" i="5"/>
  <c r="I232" i="5" s="1"/>
  <c r="F232" i="5"/>
  <c r="C232" i="5"/>
  <c r="AC231" i="5"/>
  <c r="AD231" i="5" s="1"/>
  <c r="AA231" i="5"/>
  <c r="W231" i="5"/>
  <c r="X231" i="5" s="1"/>
  <c r="U231" i="5"/>
  <c r="R231" i="5"/>
  <c r="O231" i="5"/>
  <c r="N231" i="5"/>
  <c r="L231" i="5"/>
  <c r="I231" i="5"/>
  <c r="H231" i="5"/>
  <c r="F231" i="5"/>
  <c r="C231" i="5"/>
  <c r="AD230" i="5"/>
  <c r="AC230" i="5"/>
  <c r="AA230" i="5"/>
  <c r="W230" i="5"/>
  <c r="X230" i="5" s="1"/>
  <c r="U230" i="5"/>
  <c r="R230" i="5"/>
  <c r="N230" i="5"/>
  <c r="O230" i="5" s="1"/>
  <c r="L230" i="5"/>
  <c r="H230" i="5"/>
  <c r="I230" i="5" s="1"/>
  <c r="F230" i="5"/>
  <c r="C230" i="5"/>
  <c r="AC229" i="5"/>
  <c r="AD229" i="5" s="1"/>
  <c r="AA229" i="5"/>
  <c r="X229" i="5"/>
  <c r="W229" i="5"/>
  <c r="U229" i="5"/>
  <c r="R229" i="5"/>
  <c r="N229" i="5"/>
  <c r="O229" i="5" s="1"/>
  <c r="L229" i="5"/>
  <c r="I229" i="5"/>
  <c r="H229" i="5"/>
  <c r="F229" i="5"/>
  <c r="C229" i="5"/>
  <c r="Z227" i="5"/>
  <c r="AA227" i="5" s="1"/>
  <c r="T227" i="5"/>
  <c r="R227" i="5"/>
  <c r="Q227" i="5"/>
  <c r="K227" i="5"/>
  <c r="L227" i="5" s="1"/>
  <c r="H227" i="5"/>
  <c r="I227" i="5" s="1"/>
  <c r="F227" i="5"/>
  <c r="E227" i="5"/>
  <c r="B227" i="5"/>
  <c r="C227" i="5" s="1"/>
  <c r="AC226" i="5"/>
  <c r="AD226" i="5" s="1"/>
  <c r="AA226" i="5"/>
  <c r="X226" i="5"/>
  <c r="W226" i="5"/>
  <c r="U226" i="5"/>
  <c r="R226" i="5"/>
  <c r="O226" i="5"/>
  <c r="N226" i="5"/>
  <c r="L226" i="5"/>
  <c r="H226" i="5"/>
  <c r="I226" i="5" s="1"/>
  <c r="F226" i="5"/>
  <c r="C226" i="5"/>
  <c r="AC225" i="5"/>
  <c r="AD225" i="5" s="1"/>
  <c r="AA225" i="5"/>
  <c r="X225" i="5"/>
  <c r="W225" i="5"/>
  <c r="U225" i="5"/>
  <c r="R225" i="5"/>
  <c r="N225" i="5"/>
  <c r="O225" i="5" s="1"/>
  <c r="L225" i="5"/>
  <c r="I225" i="5"/>
  <c r="H225" i="5"/>
  <c r="F225" i="5"/>
  <c r="C225" i="5"/>
  <c r="AD224" i="5"/>
  <c r="AC224" i="5"/>
  <c r="AA224" i="5"/>
  <c r="W224" i="5"/>
  <c r="X224" i="5" s="1"/>
  <c r="U224" i="5"/>
  <c r="R224" i="5"/>
  <c r="N224" i="5"/>
  <c r="O224" i="5" s="1"/>
  <c r="L224" i="5"/>
  <c r="H224" i="5"/>
  <c r="I224" i="5" s="1"/>
  <c r="F224" i="5"/>
  <c r="C224" i="5"/>
  <c r="AD223" i="5"/>
  <c r="AC223" i="5"/>
  <c r="AA223" i="5"/>
  <c r="W223" i="5"/>
  <c r="X223" i="5" s="1"/>
  <c r="U223" i="5"/>
  <c r="R223" i="5"/>
  <c r="O223" i="5"/>
  <c r="N223" i="5"/>
  <c r="L223" i="5"/>
  <c r="I223" i="5"/>
  <c r="H223" i="5"/>
  <c r="F223" i="5"/>
  <c r="C223" i="5"/>
  <c r="AC222" i="5"/>
  <c r="AD222" i="5" s="1"/>
  <c r="AA222" i="5"/>
  <c r="X222" i="5"/>
  <c r="W222" i="5"/>
  <c r="U222" i="5"/>
  <c r="R222" i="5"/>
  <c r="N222" i="5"/>
  <c r="O222" i="5" s="1"/>
  <c r="L222" i="5"/>
  <c r="H222" i="5"/>
  <c r="I222" i="5" s="1"/>
  <c r="F222" i="5"/>
  <c r="C222" i="5"/>
  <c r="AC221" i="5"/>
  <c r="AD221" i="5" s="1"/>
  <c r="AA221" i="5"/>
  <c r="W221" i="5"/>
  <c r="X221" i="5" s="1"/>
  <c r="U221" i="5"/>
  <c r="R221" i="5"/>
  <c r="N221" i="5"/>
  <c r="O221" i="5" s="1"/>
  <c r="L221" i="5"/>
  <c r="I221" i="5"/>
  <c r="H221" i="5"/>
  <c r="F221" i="5"/>
  <c r="C221" i="5"/>
  <c r="AD220" i="5"/>
  <c r="AC220" i="5"/>
  <c r="AA220" i="5"/>
  <c r="W220" i="5"/>
  <c r="X220" i="5" s="1"/>
  <c r="U220" i="5"/>
  <c r="R220" i="5"/>
  <c r="N220" i="5"/>
  <c r="O220" i="5" s="1"/>
  <c r="L220" i="5"/>
  <c r="I220" i="5"/>
  <c r="H220" i="5"/>
  <c r="F220" i="5"/>
  <c r="C220" i="5"/>
  <c r="AC219" i="5"/>
  <c r="AD219" i="5" s="1"/>
  <c r="AA219" i="5"/>
  <c r="W219" i="5"/>
  <c r="X219" i="5" s="1"/>
  <c r="U219" i="5"/>
  <c r="R219" i="5"/>
  <c r="N219" i="5"/>
  <c r="O219" i="5" s="1"/>
  <c r="L219" i="5"/>
  <c r="I219" i="5"/>
  <c r="H219" i="5"/>
  <c r="F219" i="5"/>
  <c r="C219" i="5"/>
  <c r="Z218" i="5"/>
  <c r="AC218" i="5" s="1"/>
  <c r="AD218" i="5" s="1"/>
  <c r="T218" i="5"/>
  <c r="U218" i="5" s="1"/>
  <c r="R218" i="5"/>
  <c r="Q218" i="5"/>
  <c r="L218" i="5"/>
  <c r="K218" i="5"/>
  <c r="F218" i="5"/>
  <c r="E218" i="5"/>
  <c r="B218" i="5"/>
  <c r="N218" i="5" s="1"/>
  <c r="O218" i="5" s="1"/>
  <c r="AD217" i="5"/>
  <c r="AC217" i="5"/>
  <c r="AA217" i="5"/>
  <c r="X217" i="5"/>
  <c r="W217" i="5"/>
  <c r="U217" i="5"/>
  <c r="R217" i="5"/>
  <c r="O217" i="5"/>
  <c r="N217" i="5"/>
  <c r="L217" i="5"/>
  <c r="H217" i="5"/>
  <c r="I217" i="5" s="1"/>
  <c r="F217" i="5"/>
  <c r="C217" i="5"/>
  <c r="AC216" i="5"/>
  <c r="AD216" i="5" s="1"/>
  <c r="AA216" i="5"/>
  <c r="W216" i="5"/>
  <c r="X216" i="5" s="1"/>
  <c r="U216" i="5"/>
  <c r="R216" i="5"/>
  <c r="O216" i="5"/>
  <c r="N216" i="5"/>
  <c r="L216" i="5"/>
  <c r="I216" i="5"/>
  <c r="H216" i="5"/>
  <c r="F216" i="5"/>
  <c r="C216" i="5"/>
  <c r="AD215" i="5"/>
  <c r="AC215" i="5"/>
  <c r="AA215" i="5"/>
  <c r="W215" i="5"/>
  <c r="X215" i="5" s="1"/>
  <c r="U215" i="5"/>
  <c r="R215" i="5"/>
  <c r="N215" i="5"/>
  <c r="O215" i="5" s="1"/>
  <c r="L215" i="5"/>
  <c r="H215" i="5"/>
  <c r="I215" i="5" s="1"/>
  <c r="F215" i="5"/>
  <c r="C215" i="5"/>
  <c r="AD214" i="5"/>
  <c r="AC214" i="5"/>
  <c r="AA214" i="5"/>
  <c r="X214" i="5"/>
  <c r="W214" i="5"/>
  <c r="U214" i="5"/>
  <c r="R214" i="5"/>
  <c r="N214" i="5"/>
  <c r="O214" i="5" s="1"/>
  <c r="L214" i="5"/>
  <c r="H214" i="5"/>
  <c r="I214" i="5" s="1"/>
  <c r="F214" i="5"/>
  <c r="C214" i="5"/>
  <c r="AD213" i="5"/>
  <c r="AC213" i="5"/>
  <c r="AA213" i="5"/>
  <c r="X213" i="5"/>
  <c r="W213" i="5"/>
  <c r="U213" i="5"/>
  <c r="R213" i="5"/>
  <c r="N213" i="5"/>
  <c r="O213" i="5" s="1"/>
  <c r="L213" i="5"/>
  <c r="H213" i="5"/>
  <c r="I213" i="5" s="1"/>
  <c r="F213" i="5"/>
  <c r="C213" i="5"/>
  <c r="AD211" i="5"/>
  <c r="AC211" i="5"/>
  <c r="AA211" i="5"/>
  <c r="W211" i="5"/>
  <c r="X211" i="5" s="1"/>
  <c r="U211" i="5"/>
  <c r="R211" i="5"/>
  <c r="O211" i="5"/>
  <c r="N211" i="5"/>
  <c r="L211" i="5"/>
  <c r="I211" i="5"/>
  <c r="H211" i="5"/>
  <c r="F211" i="5"/>
  <c r="C211" i="5"/>
  <c r="AC209" i="5"/>
  <c r="AD209" i="5" s="1"/>
  <c r="Z209" i="5"/>
  <c r="AA209" i="5" s="1"/>
  <c r="U209" i="5"/>
  <c r="T209" i="5"/>
  <c r="R209" i="5"/>
  <c r="Q209" i="5"/>
  <c r="L209" i="5"/>
  <c r="K209" i="5"/>
  <c r="F209" i="5"/>
  <c r="E209" i="5"/>
  <c r="B209" i="5"/>
  <c r="H209" i="5" s="1"/>
  <c r="I209" i="5" s="1"/>
  <c r="AD208" i="5"/>
  <c r="AC208" i="5"/>
  <c r="AA208" i="5"/>
  <c r="W208" i="5"/>
  <c r="X208" i="5" s="1"/>
  <c r="U208" i="5"/>
  <c r="R208" i="5"/>
  <c r="O208" i="5"/>
  <c r="N208" i="5"/>
  <c r="L208" i="5"/>
  <c r="I208" i="5"/>
  <c r="H208" i="5"/>
  <c r="F208" i="5"/>
  <c r="C208" i="5"/>
  <c r="AC207" i="5"/>
  <c r="AD207" i="5" s="1"/>
  <c r="AA207" i="5"/>
  <c r="W207" i="5"/>
  <c r="X207" i="5" s="1"/>
  <c r="U207" i="5"/>
  <c r="R207" i="5"/>
  <c r="O207" i="5"/>
  <c r="N207" i="5"/>
  <c r="L207" i="5"/>
  <c r="I207" i="5"/>
  <c r="H207" i="5"/>
  <c r="F207" i="5"/>
  <c r="C207" i="5"/>
  <c r="AC206" i="5"/>
  <c r="AD206" i="5" s="1"/>
  <c r="AA206" i="5"/>
  <c r="W206" i="5"/>
  <c r="X206" i="5" s="1"/>
  <c r="U206" i="5"/>
  <c r="R206" i="5"/>
  <c r="O206" i="5"/>
  <c r="N206" i="5"/>
  <c r="L206" i="5"/>
  <c r="H206" i="5"/>
  <c r="I206" i="5" s="1"/>
  <c r="F206" i="5"/>
  <c r="C206" i="5"/>
  <c r="AC205" i="5"/>
  <c r="AD205" i="5" s="1"/>
  <c r="AA205" i="5"/>
  <c r="W205" i="5"/>
  <c r="X205" i="5" s="1"/>
  <c r="U205" i="5"/>
  <c r="R205" i="5"/>
  <c r="N205" i="5"/>
  <c r="O205" i="5" s="1"/>
  <c r="L205" i="5"/>
  <c r="H205" i="5"/>
  <c r="I205" i="5" s="1"/>
  <c r="F205" i="5"/>
  <c r="C205" i="5"/>
  <c r="AD204" i="5"/>
  <c r="AC204" i="5"/>
  <c r="AA204" i="5"/>
  <c r="W204" i="5"/>
  <c r="X204" i="5" s="1"/>
  <c r="U204" i="5"/>
  <c r="R204" i="5"/>
  <c r="N204" i="5"/>
  <c r="O204" i="5" s="1"/>
  <c r="L204" i="5"/>
  <c r="I204" i="5"/>
  <c r="H204" i="5"/>
  <c r="F204" i="5"/>
  <c r="C204" i="5"/>
  <c r="AD203" i="5"/>
  <c r="AC203" i="5"/>
  <c r="AA203" i="5"/>
  <c r="W203" i="5"/>
  <c r="X203" i="5" s="1"/>
  <c r="U203" i="5"/>
  <c r="R203" i="5"/>
  <c r="N203" i="5"/>
  <c r="O203" i="5" s="1"/>
  <c r="L203" i="5"/>
  <c r="I203" i="5"/>
  <c r="H203" i="5"/>
  <c r="F203" i="5"/>
  <c r="C203" i="5"/>
  <c r="AC202" i="5"/>
  <c r="AD202" i="5" s="1"/>
  <c r="AA202" i="5"/>
  <c r="W202" i="5"/>
  <c r="X202" i="5" s="1"/>
  <c r="U202" i="5"/>
  <c r="R202" i="5"/>
  <c r="O202" i="5"/>
  <c r="N202" i="5"/>
  <c r="L202" i="5"/>
  <c r="H202" i="5"/>
  <c r="I202" i="5" s="1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I201" i="5"/>
  <c r="H201" i="5"/>
  <c r="F201" i="5"/>
  <c r="C201" i="5"/>
  <c r="AC197" i="5"/>
  <c r="AD197" i="5" s="1"/>
  <c r="Z197" i="5"/>
  <c r="AA197" i="5" s="1"/>
  <c r="U197" i="5"/>
  <c r="T197" i="5"/>
  <c r="R197" i="5"/>
  <c r="Q197" i="5"/>
  <c r="W197" i="5" s="1"/>
  <c r="X197" i="5" s="1"/>
  <c r="L197" i="5"/>
  <c r="K197" i="5"/>
  <c r="E197" i="5"/>
  <c r="F197" i="5" s="1"/>
  <c r="B197" i="5"/>
  <c r="N197" i="5" s="1"/>
  <c r="O197" i="5" s="1"/>
  <c r="Z196" i="5"/>
  <c r="AA196" i="5" s="1"/>
  <c r="X196" i="5"/>
  <c r="T196" i="5"/>
  <c r="W196" i="5" s="1"/>
  <c r="R196" i="5"/>
  <c r="Q196" i="5"/>
  <c r="AC196" i="5" s="1"/>
  <c r="AD196" i="5" s="1"/>
  <c r="N196" i="5"/>
  <c r="O196" i="5" s="1"/>
  <c r="K196" i="5"/>
  <c r="L196" i="5" s="1"/>
  <c r="H196" i="5"/>
  <c r="I196" i="5" s="1"/>
  <c r="F196" i="5"/>
  <c r="E196" i="5"/>
  <c r="B196" i="5"/>
  <c r="C196" i="5" s="1"/>
  <c r="AD195" i="5"/>
  <c r="AC195" i="5"/>
  <c r="AA195" i="5"/>
  <c r="W195" i="5"/>
  <c r="X195" i="5" s="1"/>
  <c r="U195" i="5"/>
  <c r="R195" i="5"/>
  <c r="O195" i="5"/>
  <c r="N195" i="5"/>
  <c r="L195" i="5"/>
  <c r="I195" i="5"/>
  <c r="H195" i="5"/>
  <c r="F195" i="5"/>
  <c r="C195" i="5"/>
  <c r="AC194" i="5"/>
  <c r="AD194" i="5" s="1"/>
  <c r="AA194" i="5"/>
  <c r="W194" i="5"/>
  <c r="X194" i="5" s="1"/>
  <c r="U194" i="5"/>
  <c r="R194" i="5"/>
  <c r="N194" i="5"/>
  <c r="O194" i="5" s="1"/>
  <c r="L194" i="5"/>
  <c r="H194" i="5"/>
  <c r="I194" i="5" s="1"/>
  <c r="F194" i="5"/>
  <c r="C194" i="5"/>
  <c r="Z193" i="5"/>
  <c r="AA193" i="5" s="1"/>
  <c r="T193" i="5"/>
  <c r="U193" i="5" s="1"/>
  <c r="R193" i="5"/>
  <c r="Q193" i="5"/>
  <c r="K193" i="5"/>
  <c r="L193" i="5" s="1"/>
  <c r="F193" i="5"/>
  <c r="E193" i="5"/>
  <c r="B193" i="5"/>
  <c r="AC192" i="5"/>
  <c r="AD192" i="5" s="1"/>
  <c r="AA192" i="5"/>
  <c r="X192" i="5"/>
  <c r="W192" i="5"/>
  <c r="U192" i="5"/>
  <c r="R192" i="5"/>
  <c r="O192" i="5"/>
  <c r="N192" i="5"/>
  <c r="L192" i="5"/>
  <c r="H192" i="5"/>
  <c r="I192" i="5" s="1"/>
  <c r="F192" i="5"/>
  <c r="C192" i="5"/>
  <c r="AC191" i="5"/>
  <c r="AD191" i="5" s="1"/>
  <c r="AA191" i="5"/>
  <c r="W191" i="5"/>
  <c r="X191" i="5" s="1"/>
  <c r="U191" i="5"/>
  <c r="R191" i="5"/>
  <c r="N191" i="5"/>
  <c r="O191" i="5" s="1"/>
  <c r="L191" i="5"/>
  <c r="I191" i="5"/>
  <c r="H191" i="5"/>
  <c r="F191" i="5"/>
  <c r="C191" i="5"/>
  <c r="AD190" i="5"/>
  <c r="AC190" i="5"/>
  <c r="AA190" i="5"/>
  <c r="X190" i="5"/>
  <c r="W190" i="5"/>
  <c r="U190" i="5"/>
  <c r="R190" i="5"/>
  <c r="N190" i="5"/>
  <c r="O190" i="5" s="1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O189" i="5"/>
  <c r="N189" i="5"/>
  <c r="L189" i="5"/>
  <c r="I189" i="5"/>
  <c r="H189" i="5"/>
  <c r="F189" i="5"/>
  <c r="C189" i="5"/>
  <c r="AD188" i="5"/>
  <c r="AC188" i="5"/>
  <c r="AA188" i="5"/>
  <c r="W188" i="5"/>
  <c r="X188" i="5" s="1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X187" i="5"/>
  <c r="W187" i="5"/>
  <c r="U187" i="5"/>
  <c r="R187" i="5"/>
  <c r="N187" i="5"/>
  <c r="O187" i="5" s="1"/>
  <c r="L187" i="5"/>
  <c r="H187" i="5"/>
  <c r="I187" i="5" s="1"/>
  <c r="F187" i="5"/>
  <c r="C187" i="5"/>
  <c r="AD186" i="5"/>
  <c r="AC186" i="5"/>
  <c r="AA186" i="5"/>
  <c r="X186" i="5"/>
  <c r="W186" i="5"/>
  <c r="U186" i="5"/>
  <c r="R186" i="5"/>
  <c r="N186" i="5"/>
  <c r="O186" i="5" s="1"/>
  <c r="L186" i="5"/>
  <c r="H186" i="5"/>
  <c r="I186" i="5" s="1"/>
  <c r="F186" i="5"/>
  <c r="C186" i="5"/>
  <c r="AD184" i="5"/>
  <c r="AC184" i="5"/>
  <c r="AA184" i="5"/>
  <c r="W184" i="5"/>
  <c r="X184" i="5" s="1"/>
  <c r="U184" i="5"/>
  <c r="R184" i="5"/>
  <c r="O184" i="5"/>
  <c r="N184" i="5"/>
  <c r="L184" i="5"/>
  <c r="I184" i="5"/>
  <c r="H184" i="5"/>
  <c r="F184" i="5"/>
  <c r="C184" i="5"/>
  <c r="AD183" i="5"/>
  <c r="AC183" i="5"/>
  <c r="AA183" i="5"/>
  <c r="X183" i="5"/>
  <c r="W183" i="5"/>
  <c r="U183" i="5"/>
  <c r="R183" i="5"/>
  <c r="N183" i="5"/>
  <c r="O183" i="5" s="1"/>
  <c r="L183" i="5"/>
  <c r="H183" i="5"/>
  <c r="I183" i="5" s="1"/>
  <c r="F183" i="5"/>
  <c r="C183" i="5"/>
  <c r="Z182" i="5"/>
  <c r="AA182" i="5" s="1"/>
  <c r="W182" i="5"/>
  <c r="X182" i="5" s="1"/>
  <c r="U182" i="5"/>
  <c r="T182" i="5"/>
  <c r="R182" i="5"/>
  <c r="Q182" i="5"/>
  <c r="AC182" i="5" s="1"/>
  <c r="AD182" i="5" s="1"/>
  <c r="K182" i="5"/>
  <c r="L182" i="5" s="1"/>
  <c r="F182" i="5"/>
  <c r="E182" i="5"/>
  <c r="C182" i="5"/>
  <c r="B182" i="5"/>
  <c r="AD181" i="5"/>
  <c r="AC181" i="5"/>
  <c r="AA181" i="5"/>
  <c r="W181" i="5"/>
  <c r="X181" i="5" s="1"/>
  <c r="U181" i="5"/>
  <c r="R181" i="5"/>
  <c r="O181" i="5"/>
  <c r="N181" i="5"/>
  <c r="L181" i="5"/>
  <c r="I181" i="5"/>
  <c r="H181" i="5"/>
  <c r="F181" i="5"/>
  <c r="C181" i="5"/>
  <c r="AD180" i="5"/>
  <c r="AC180" i="5"/>
  <c r="AA180" i="5"/>
  <c r="X180" i="5"/>
  <c r="W180" i="5"/>
  <c r="U180" i="5"/>
  <c r="R180" i="5"/>
  <c r="O180" i="5"/>
  <c r="N180" i="5"/>
  <c r="L180" i="5"/>
  <c r="H180" i="5"/>
  <c r="I180" i="5" s="1"/>
  <c r="F180" i="5"/>
  <c r="C180" i="5"/>
  <c r="AC179" i="5"/>
  <c r="AD179" i="5" s="1"/>
  <c r="AA179" i="5"/>
  <c r="X179" i="5"/>
  <c r="W179" i="5"/>
  <c r="U179" i="5"/>
  <c r="R179" i="5"/>
  <c r="N179" i="5"/>
  <c r="O179" i="5" s="1"/>
  <c r="L179" i="5"/>
  <c r="H179" i="5"/>
  <c r="I179" i="5" s="1"/>
  <c r="F179" i="5"/>
  <c r="C179" i="5"/>
  <c r="AD178" i="5"/>
  <c r="AC178" i="5"/>
  <c r="AA178" i="5"/>
  <c r="W178" i="5"/>
  <c r="X178" i="5" s="1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N177" i="5"/>
  <c r="O177" i="5" s="1"/>
  <c r="L177" i="5"/>
  <c r="I177" i="5"/>
  <c r="H177" i="5"/>
  <c r="F177" i="5"/>
  <c r="C177" i="5"/>
  <c r="AC175" i="5"/>
  <c r="AD175" i="5" s="1"/>
  <c r="AA175" i="5"/>
  <c r="W175" i="5"/>
  <c r="X175" i="5" s="1"/>
  <c r="U175" i="5"/>
  <c r="R175" i="5"/>
  <c r="O175" i="5"/>
  <c r="N175" i="5"/>
  <c r="L175" i="5"/>
  <c r="H175" i="5"/>
  <c r="I175" i="5" s="1"/>
  <c r="F175" i="5"/>
  <c r="C175" i="5"/>
  <c r="Q172" i="5"/>
  <c r="K172" i="5"/>
  <c r="E172" i="5"/>
  <c r="AA171" i="5"/>
  <c r="Z171" i="5"/>
  <c r="T171" i="5"/>
  <c r="U171" i="5" s="1"/>
  <c r="Q171" i="5"/>
  <c r="AC171" i="5" s="1"/>
  <c r="AD171" i="5" s="1"/>
  <c r="K171" i="5"/>
  <c r="L171" i="5" s="1"/>
  <c r="I171" i="5"/>
  <c r="H171" i="5"/>
  <c r="F171" i="5"/>
  <c r="E171" i="5"/>
  <c r="C171" i="5"/>
  <c r="B171" i="5"/>
  <c r="N171" i="5" s="1"/>
  <c r="O171" i="5" s="1"/>
  <c r="AC170" i="5"/>
  <c r="AD170" i="5" s="1"/>
  <c r="AA170" i="5"/>
  <c r="Z170" i="5"/>
  <c r="X170" i="5"/>
  <c r="U170" i="5"/>
  <c r="T170" i="5"/>
  <c r="R170" i="5"/>
  <c r="Q170" i="5"/>
  <c r="W170" i="5" s="1"/>
  <c r="L170" i="5"/>
  <c r="K170" i="5"/>
  <c r="E170" i="5"/>
  <c r="F170" i="5" s="1"/>
  <c r="B170" i="5"/>
  <c r="N170" i="5" s="1"/>
  <c r="O170" i="5" s="1"/>
  <c r="AD169" i="5"/>
  <c r="AC169" i="5"/>
  <c r="AA169" i="5"/>
  <c r="W169" i="5"/>
  <c r="X169" i="5" s="1"/>
  <c r="U169" i="5"/>
  <c r="R169" i="5"/>
  <c r="N169" i="5"/>
  <c r="O169" i="5" s="1"/>
  <c r="L169" i="5"/>
  <c r="I169" i="5"/>
  <c r="H169" i="5"/>
  <c r="F169" i="5"/>
  <c r="C169" i="5"/>
  <c r="AD168" i="5"/>
  <c r="AC168" i="5"/>
  <c r="AA168" i="5"/>
  <c r="X168" i="5"/>
  <c r="W168" i="5"/>
  <c r="U168" i="5"/>
  <c r="R168" i="5"/>
  <c r="N168" i="5"/>
  <c r="O168" i="5" s="1"/>
  <c r="L168" i="5"/>
  <c r="H168" i="5"/>
  <c r="I168" i="5" s="1"/>
  <c r="F168" i="5"/>
  <c r="C168" i="5"/>
  <c r="AD167" i="5"/>
  <c r="AC167" i="5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AA166" i="5"/>
  <c r="Z166" i="5"/>
  <c r="W166" i="5"/>
  <c r="X166" i="5" s="1"/>
  <c r="U166" i="5"/>
  <c r="T166" i="5"/>
  <c r="R166" i="5"/>
  <c r="Q166" i="5"/>
  <c r="AC166" i="5" s="1"/>
  <c r="AD166" i="5" s="1"/>
  <c r="L166" i="5"/>
  <c r="K166" i="5"/>
  <c r="H166" i="5"/>
  <c r="I166" i="5" s="1"/>
  <c r="F166" i="5"/>
  <c r="E166" i="5"/>
  <c r="C166" i="5"/>
  <c r="B166" i="5"/>
  <c r="AD165" i="5"/>
  <c r="AC165" i="5"/>
  <c r="AA165" i="5"/>
  <c r="X165" i="5"/>
  <c r="W165" i="5"/>
  <c r="U165" i="5"/>
  <c r="R165" i="5"/>
  <c r="N165" i="5"/>
  <c r="O165" i="5" s="1"/>
  <c r="L165" i="5"/>
  <c r="H165" i="5"/>
  <c r="I165" i="5" s="1"/>
  <c r="F165" i="5"/>
  <c r="C165" i="5"/>
  <c r="AD164" i="5"/>
  <c r="AC164" i="5"/>
  <c r="AA164" i="5"/>
  <c r="X164" i="5"/>
  <c r="W164" i="5"/>
  <c r="U164" i="5"/>
  <c r="R164" i="5"/>
  <c r="N164" i="5"/>
  <c r="O164" i="5" s="1"/>
  <c r="L164" i="5"/>
  <c r="H164" i="5"/>
  <c r="I164" i="5" s="1"/>
  <c r="F164" i="5"/>
  <c r="C164" i="5"/>
  <c r="AD163" i="5"/>
  <c r="AC163" i="5"/>
  <c r="AA163" i="5"/>
  <c r="X163" i="5"/>
  <c r="W163" i="5"/>
  <c r="U163" i="5"/>
  <c r="R163" i="5"/>
  <c r="O163" i="5"/>
  <c r="N163" i="5"/>
  <c r="L163" i="5"/>
  <c r="I163" i="5"/>
  <c r="H163" i="5"/>
  <c r="F163" i="5"/>
  <c r="C163" i="5"/>
  <c r="AC162" i="5"/>
  <c r="AD162" i="5" s="1"/>
  <c r="AA162" i="5"/>
  <c r="W162" i="5"/>
  <c r="X162" i="5" s="1"/>
  <c r="U162" i="5"/>
  <c r="R162" i="5"/>
  <c r="N162" i="5"/>
  <c r="O162" i="5" s="1"/>
  <c r="L162" i="5"/>
  <c r="I162" i="5"/>
  <c r="H162" i="5"/>
  <c r="F162" i="5"/>
  <c r="C162" i="5"/>
  <c r="AD161" i="5"/>
  <c r="AC161" i="5"/>
  <c r="AA161" i="5"/>
  <c r="X161" i="5"/>
  <c r="W161" i="5"/>
  <c r="U161" i="5"/>
  <c r="R161" i="5"/>
  <c r="N161" i="5"/>
  <c r="O161" i="5" s="1"/>
  <c r="L161" i="5"/>
  <c r="H161" i="5"/>
  <c r="I161" i="5" s="1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AA158" i="5"/>
  <c r="Z158" i="5"/>
  <c r="W158" i="5"/>
  <c r="X158" i="5" s="1"/>
  <c r="U158" i="5"/>
  <c r="T158" i="5"/>
  <c r="R158" i="5"/>
  <c r="Q158" i="5"/>
  <c r="AC158" i="5" s="1"/>
  <c r="AD158" i="5" s="1"/>
  <c r="K158" i="5"/>
  <c r="L158" i="5" s="1"/>
  <c r="F158" i="5"/>
  <c r="E158" i="5"/>
  <c r="C158" i="5"/>
  <c r="B158" i="5"/>
  <c r="AC157" i="5"/>
  <c r="AD157" i="5" s="1"/>
  <c r="AA157" i="5"/>
  <c r="W157" i="5"/>
  <c r="X157" i="5" s="1"/>
  <c r="U157" i="5"/>
  <c r="R157" i="5"/>
  <c r="N157" i="5"/>
  <c r="O157" i="5" s="1"/>
  <c r="L157" i="5"/>
  <c r="I157" i="5"/>
  <c r="H157" i="5"/>
  <c r="F157" i="5"/>
  <c r="C157" i="5"/>
  <c r="AC156" i="5"/>
  <c r="AD156" i="5" s="1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D155" i="5"/>
  <c r="AC155" i="5"/>
  <c r="AA155" i="5"/>
  <c r="W155" i="5"/>
  <c r="X155" i="5" s="1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W154" i="5"/>
  <c r="X154" i="5" s="1"/>
  <c r="U154" i="5"/>
  <c r="R154" i="5"/>
  <c r="N154" i="5"/>
  <c r="O154" i="5" s="1"/>
  <c r="L154" i="5"/>
  <c r="I154" i="5"/>
  <c r="H154" i="5"/>
  <c r="F154" i="5"/>
  <c r="C154" i="5"/>
  <c r="AC153" i="5"/>
  <c r="AD153" i="5" s="1"/>
  <c r="AA153" i="5"/>
  <c r="W153" i="5"/>
  <c r="X153" i="5" s="1"/>
  <c r="U153" i="5"/>
  <c r="R153" i="5"/>
  <c r="O153" i="5"/>
  <c r="N153" i="5"/>
  <c r="L153" i="5"/>
  <c r="I153" i="5"/>
  <c r="H153" i="5"/>
  <c r="F153" i="5"/>
  <c r="C153" i="5"/>
  <c r="AC151" i="5"/>
  <c r="AD151" i="5" s="1"/>
  <c r="AA151" i="5"/>
  <c r="W151" i="5"/>
  <c r="X151" i="5" s="1"/>
  <c r="U151" i="5"/>
  <c r="R151" i="5"/>
  <c r="N151" i="5"/>
  <c r="O151" i="5" s="1"/>
  <c r="L151" i="5"/>
  <c r="I151" i="5"/>
  <c r="H151" i="5"/>
  <c r="F151" i="5"/>
  <c r="C151" i="5"/>
  <c r="AA149" i="5"/>
  <c r="Z149" i="5"/>
  <c r="T149" i="5"/>
  <c r="U149" i="5" s="1"/>
  <c r="R149" i="5"/>
  <c r="Q149" i="5"/>
  <c r="AC149" i="5" s="1"/>
  <c r="AD149" i="5" s="1"/>
  <c r="K149" i="5"/>
  <c r="L149" i="5" s="1"/>
  <c r="I149" i="5"/>
  <c r="H149" i="5"/>
  <c r="F149" i="5"/>
  <c r="E149" i="5"/>
  <c r="C149" i="5"/>
  <c r="B149" i="5"/>
  <c r="AC148" i="5"/>
  <c r="AD148" i="5" s="1"/>
  <c r="AA148" i="5"/>
  <c r="Z148" i="5"/>
  <c r="U148" i="5"/>
  <c r="T148" i="5"/>
  <c r="Q148" i="5"/>
  <c r="N148" i="5"/>
  <c r="O148" i="5" s="1"/>
  <c r="L148" i="5"/>
  <c r="K148" i="5"/>
  <c r="H148" i="5"/>
  <c r="I148" i="5" s="1"/>
  <c r="E148" i="5"/>
  <c r="F148" i="5" s="1"/>
  <c r="B148" i="5"/>
  <c r="C148" i="5" s="1"/>
  <c r="AD147" i="5"/>
  <c r="AC147" i="5"/>
  <c r="AA147" i="5"/>
  <c r="X147" i="5"/>
  <c r="W147" i="5"/>
  <c r="U147" i="5"/>
  <c r="R147" i="5"/>
  <c r="N147" i="5"/>
  <c r="O147" i="5" s="1"/>
  <c r="L147" i="5"/>
  <c r="H147" i="5"/>
  <c r="I147" i="5" s="1"/>
  <c r="F147" i="5"/>
  <c r="C147" i="5"/>
  <c r="AC146" i="5"/>
  <c r="AD146" i="5" s="1"/>
  <c r="AA146" i="5"/>
  <c r="W146" i="5"/>
  <c r="X146" i="5" s="1"/>
  <c r="U146" i="5"/>
  <c r="R146" i="5"/>
  <c r="N146" i="5"/>
  <c r="O146" i="5" s="1"/>
  <c r="L146" i="5"/>
  <c r="I146" i="5"/>
  <c r="H146" i="5"/>
  <c r="F146" i="5"/>
  <c r="C146" i="5"/>
  <c r="AD145" i="5"/>
  <c r="AC145" i="5"/>
  <c r="AA145" i="5"/>
  <c r="W145" i="5"/>
  <c r="X145" i="5" s="1"/>
  <c r="U145" i="5"/>
  <c r="R145" i="5"/>
  <c r="O145" i="5"/>
  <c r="N145" i="5"/>
  <c r="L145" i="5"/>
  <c r="I145" i="5"/>
  <c r="H145" i="5"/>
  <c r="F145" i="5"/>
  <c r="C145" i="5"/>
  <c r="AC144" i="5"/>
  <c r="AD144" i="5" s="1"/>
  <c r="AA144" i="5"/>
  <c r="W144" i="5"/>
  <c r="X144" i="5" s="1"/>
  <c r="U144" i="5"/>
  <c r="R144" i="5"/>
  <c r="N144" i="5"/>
  <c r="O144" i="5" s="1"/>
  <c r="L144" i="5"/>
  <c r="H144" i="5"/>
  <c r="I144" i="5" s="1"/>
  <c r="F144" i="5"/>
  <c r="C144" i="5"/>
  <c r="AD143" i="5"/>
  <c r="AC143" i="5"/>
  <c r="AA143" i="5"/>
  <c r="W143" i="5"/>
  <c r="X143" i="5" s="1"/>
  <c r="U143" i="5"/>
  <c r="R143" i="5"/>
  <c r="O143" i="5"/>
  <c r="N143" i="5"/>
  <c r="L143" i="5"/>
  <c r="I143" i="5"/>
  <c r="H143" i="5"/>
  <c r="F143" i="5"/>
  <c r="C143" i="5"/>
  <c r="AA141" i="5"/>
  <c r="Z141" i="5"/>
  <c r="T141" i="5"/>
  <c r="U141" i="5" s="1"/>
  <c r="Q141" i="5"/>
  <c r="K141" i="5"/>
  <c r="L141" i="5" s="1"/>
  <c r="H141" i="5"/>
  <c r="I141" i="5" s="1"/>
  <c r="F141" i="5"/>
  <c r="E141" i="5"/>
  <c r="C141" i="5"/>
  <c r="B141" i="5"/>
  <c r="AC140" i="5"/>
  <c r="AD140" i="5" s="1"/>
  <c r="AA140" i="5"/>
  <c r="X140" i="5"/>
  <c r="W140" i="5"/>
  <c r="U140" i="5"/>
  <c r="R140" i="5"/>
  <c r="N140" i="5"/>
  <c r="O140" i="5" s="1"/>
  <c r="L140" i="5"/>
  <c r="I140" i="5"/>
  <c r="H140" i="5"/>
  <c r="F140" i="5"/>
  <c r="C140" i="5"/>
  <c r="AD139" i="5"/>
  <c r="AC139" i="5"/>
  <c r="AA139" i="5"/>
  <c r="W139" i="5"/>
  <c r="X139" i="5" s="1"/>
  <c r="U139" i="5"/>
  <c r="R139" i="5"/>
  <c r="O139" i="5"/>
  <c r="N139" i="5"/>
  <c r="L139" i="5"/>
  <c r="H139" i="5"/>
  <c r="I139" i="5" s="1"/>
  <c r="F139" i="5"/>
  <c r="C139" i="5"/>
  <c r="AC138" i="5"/>
  <c r="AD138" i="5" s="1"/>
  <c r="AA138" i="5"/>
  <c r="W138" i="5"/>
  <c r="X138" i="5" s="1"/>
  <c r="U138" i="5"/>
  <c r="R138" i="5"/>
  <c r="O138" i="5"/>
  <c r="N138" i="5"/>
  <c r="L138" i="5"/>
  <c r="I138" i="5"/>
  <c r="H138" i="5"/>
  <c r="F138" i="5"/>
  <c r="C138" i="5"/>
  <c r="AD137" i="5"/>
  <c r="AC137" i="5"/>
  <c r="AA137" i="5"/>
  <c r="W137" i="5"/>
  <c r="X137" i="5" s="1"/>
  <c r="U137" i="5"/>
  <c r="R137" i="5"/>
  <c r="N137" i="5"/>
  <c r="O137" i="5" s="1"/>
  <c r="L137" i="5"/>
  <c r="H137" i="5"/>
  <c r="I137" i="5" s="1"/>
  <c r="F137" i="5"/>
  <c r="C137" i="5"/>
  <c r="AD136" i="5"/>
  <c r="AC136" i="5"/>
  <c r="AA136" i="5"/>
  <c r="X136" i="5"/>
  <c r="W136" i="5"/>
  <c r="U136" i="5"/>
  <c r="R136" i="5"/>
  <c r="N136" i="5"/>
  <c r="O136" i="5" s="1"/>
  <c r="L136" i="5"/>
  <c r="H136" i="5"/>
  <c r="I136" i="5" s="1"/>
  <c r="F136" i="5"/>
  <c r="C136" i="5"/>
  <c r="AD135" i="5"/>
  <c r="AC135" i="5"/>
  <c r="AA135" i="5"/>
  <c r="X135" i="5"/>
  <c r="W135" i="5"/>
  <c r="U135" i="5"/>
  <c r="R135" i="5"/>
  <c r="N135" i="5"/>
  <c r="O135" i="5" s="1"/>
  <c r="L135" i="5"/>
  <c r="H135" i="5"/>
  <c r="I135" i="5" s="1"/>
  <c r="F135" i="5"/>
  <c r="C135" i="5"/>
  <c r="AD134" i="5"/>
  <c r="AC134" i="5"/>
  <c r="AA134" i="5"/>
  <c r="W134" i="5"/>
  <c r="X134" i="5" s="1"/>
  <c r="U134" i="5"/>
  <c r="R134" i="5"/>
  <c r="O134" i="5"/>
  <c r="N134" i="5"/>
  <c r="L134" i="5"/>
  <c r="I134" i="5"/>
  <c r="H134" i="5"/>
  <c r="F134" i="5"/>
  <c r="C134" i="5"/>
  <c r="AC133" i="5"/>
  <c r="AD133" i="5" s="1"/>
  <c r="AA133" i="5"/>
  <c r="X133" i="5"/>
  <c r="W133" i="5"/>
  <c r="U133" i="5"/>
  <c r="R133" i="5"/>
  <c r="N133" i="5"/>
  <c r="O133" i="5" s="1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D131" i="5"/>
  <c r="AC131" i="5"/>
  <c r="AA131" i="5"/>
  <c r="X131" i="5"/>
  <c r="W131" i="5"/>
  <c r="U131" i="5"/>
  <c r="R131" i="5"/>
  <c r="N131" i="5"/>
  <c r="O131" i="5" s="1"/>
  <c r="L131" i="5"/>
  <c r="I131" i="5"/>
  <c r="H131" i="5"/>
  <c r="F131" i="5"/>
  <c r="C131" i="5"/>
  <c r="AD130" i="5"/>
  <c r="AC130" i="5"/>
  <c r="AA130" i="5"/>
  <c r="W130" i="5"/>
  <c r="X130" i="5" s="1"/>
  <c r="U130" i="5"/>
  <c r="R130" i="5"/>
  <c r="N130" i="5"/>
  <c r="O130" i="5" s="1"/>
  <c r="L130" i="5"/>
  <c r="I130" i="5"/>
  <c r="H130" i="5"/>
  <c r="F130" i="5"/>
  <c r="C130" i="5"/>
  <c r="AD129" i="5"/>
  <c r="AC129" i="5"/>
  <c r="AA129" i="5"/>
  <c r="W129" i="5"/>
  <c r="X129" i="5" s="1"/>
  <c r="U129" i="5"/>
  <c r="R129" i="5"/>
  <c r="N129" i="5"/>
  <c r="O129" i="5" s="1"/>
  <c r="L129" i="5"/>
  <c r="H129" i="5"/>
  <c r="I129" i="5" s="1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I127" i="5"/>
  <c r="H127" i="5"/>
  <c r="F127" i="5"/>
  <c r="C127" i="5"/>
  <c r="Z124" i="5"/>
  <c r="Z172" i="5" s="1"/>
  <c r="W124" i="5"/>
  <c r="X124" i="5" s="1"/>
  <c r="U124" i="5"/>
  <c r="T124" i="5"/>
  <c r="R124" i="5"/>
  <c r="Q124" i="5"/>
  <c r="N124" i="5"/>
  <c r="O124" i="5" s="1"/>
  <c r="K124" i="5"/>
  <c r="L124" i="5" s="1"/>
  <c r="F124" i="5"/>
  <c r="E124" i="5"/>
  <c r="B124" i="5"/>
  <c r="B172" i="5" s="1"/>
  <c r="AC123" i="5"/>
  <c r="AD123" i="5" s="1"/>
  <c r="AA123" i="5"/>
  <c r="W123" i="5"/>
  <c r="X123" i="5" s="1"/>
  <c r="U123" i="5"/>
  <c r="R123" i="5"/>
  <c r="N123" i="5"/>
  <c r="O123" i="5" s="1"/>
  <c r="L123" i="5"/>
  <c r="I123" i="5"/>
  <c r="H123" i="5"/>
  <c r="F123" i="5"/>
  <c r="C123" i="5"/>
  <c r="AA122" i="5"/>
  <c r="Z122" i="5"/>
  <c r="U122" i="5"/>
  <c r="T122" i="5"/>
  <c r="R122" i="5"/>
  <c r="Q122" i="5"/>
  <c r="N122" i="5"/>
  <c r="O122" i="5" s="1"/>
  <c r="L122" i="5"/>
  <c r="K122" i="5"/>
  <c r="E122" i="5"/>
  <c r="F122" i="5" s="1"/>
  <c r="C122" i="5"/>
  <c r="B122" i="5"/>
  <c r="AC121" i="5"/>
  <c r="AD121" i="5" s="1"/>
  <c r="AA121" i="5"/>
  <c r="W121" i="5"/>
  <c r="X121" i="5" s="1"/>
  <c r="U121" i="5"/>
  <c r="R121" i="5"/>
  <c r="O121" i="5"/>
  <c r="N121" i="5"/>
  <c r="L121" i="5"/>
  <c r="I121" i="5"/>
  <c r="H121" i="5"/>
  <c r="F121" i="5"/>
  <c r="C121" i="5"/>
  <c r="AD120" i="5"/>
  <c r="AC120" i="5"/>
  <c r="AA120" i="5"/>
  <c r="W120" i="5"/>
  <c r="X120" i="5" s="1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X119" i="5"/>
  <c r="W119" i="5"/>
  <c r="U119" i="5"/>
  <c r="R119" i="5"/>
  <c r="N119" i="5"/>
  <c r="O119" i="5" s="1"/>
  <c r="L119" i="5"/>
  <c r="H119" i="5"/>
  <c r="I119" i="5" s="1"/>
  <c r="F119" i="5"/>
  <c r="C119" i="5"/>
  <c r="AA118" i="5"/>
  <c r="Z118" i="5"/>
  <c r="T118" i="5"/>
  <c r="R118" i="5"/>
  <c r="Q118" i="5"/>
  <c r="AC118" i="5" s="1"/>
  <c r="AD118" i="5" s="1"/>
  <c r="K118" i="5"/>
  <c r="L118" i="5" s="1"/>
  <c r="H118" i="5"/>
  <c r="I118" i="5" s="1"/>
  <c r="F118" i="5"/>
  <c r="E118" i="5"/>
  <c r="C118" i="5"/>
  <c r="B118" i="5"/>
  <c r="N118" i="5" s="1"/>
  <c r="O118" i="5" s="1"/>
  <c r="AD117" i="5"/>
  <c r="AC117" i="5"/>
  <c r="AA117" i="5"/>
  <c r="W117" i="5"/>
  <c r="X117" i="5" s="1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X116" i="5"/>
  <c r="W116" i="5"/>
  <c r="U116" i="5"/>
  <c r="R116" i="5"/>
  <c r="N116" i="5"/>
  <c r="O116" i="5" s="1"/>
  <c r="L116" i="5"/>
  <c r="H116" i="5"/>
  <c r="I116" i="5" s="1"/>
  <c r="F116" i="5"/>
  <c r="C116" i="5"/>
  <c r="AD115" i="5"/>
  <c r="AC115" i="5"/>
  <c r="AA115" i="5"/>
  <c r="X115" i="5"/>
  <c r="W115" i="5"/>
  <c r="U115" i="5"/>
  <c r="R115" i="5"/>
  <c r="N115" i="5"/>
  <c r="O115" i="5" s="1"/>
  <c r="L115" i="5"/>
  <c r="H115" i="5"/>
  <c r="I115" i="5" s="1"/>
  <c r="F115" i="5"/>
  <c r="C115" i="5"/>
  <c r="AD114" i="5"/>
  <c r="AC114" i="5"/>
  <c r="AA114" i="5"/>
  <c r="W114" i="5"/>
  <c r="X114" i="5" s="1"/>
  <c r="U114" i="5"/>
  <c r="R114" i="5"/>
  <c r="N114" i="5"/>
  <c r="O114" i="5" s="1"/>
  <c r="L114" i="5"/>
  <c r="I114" i="5"/>
  <c r="H114" i="5"/>
  <c r="F114" i="5"/>
  <c r="C114" i="5"/>
  <c r="AD113" i="5"/>
  <c r="AC113" i="5"/>
  <c r="AA113" i="5"/>
  <c r="W113" i="5"/>
  <c r="X113" i="5" s="1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W111" i="5"/>
  <c r="X111" i="5" s="1"/>
  <c r="U111" i="5"/>
  <c r="R111" i="5"/>
  <c r="O111" i="5"/>
  <c r="N111" i="5"/>
  <c r="L111" i="5"/>
  <c r="I111" i="5"/>
  <c r="H111" i="5"/>
  <c r="F111" i="5"/>
  <c r="C111" i="5"/>
  <c r="AC110" i="5"/>
  <c r="AD110" i="5" s="1"/>
  <c r="AA110" i="5"/>
  <c r="W110" i="5"/>
  <c r="X110" i="5" s="1"/>
  <c r="U110" i="5"/>
  <c r="R110" i="5"/>
  <c r="N110" i="5"/>
  <c r="O110" i="5" s="1"/>
  <c r="L110" i="5"/>
  <c r="I110" i="5"/>
  <c r="H110" i="5"/>
  <c r="F110" i="5"/>
  <c r="C110" i="5"/>
  <c r="AD109" i="5"/>
  <c r="AC109" i="5"/>
  <c r="AA109" i="5"/>
  <c r="W109" i="5"/>
  <c r="X109" i="5" s="1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W108" i="5"/>
  <c r="X108" i="5" s="1"/>
  <c r="U108" i="5"/>
  <c r="R108" i="5"/>
  <c r="N108" i="5"/>
  <c r="O108" i="5" s="1"/>
  <c r="L108" i="5"/>
  <c r="H108" i="5"/>
  <c r="I108" i="5" s="1"/>
  <c r="F108" i="5"/>
  <c r="C108" i="5"/>
  <c r="AD107" i="5"/>
  <c r="AC107" i="5"/>
  <c r="AA107" i="5"/>
  <c r="X107" i="5"/>
  <c r="W107" i="5"/>
  <c r="U107" i="5"/>
  <c r="R107" i="5"/>
  <c r="O107" i="5"/>
  <c r="N107" i="5"/>
  <c r="L107" i="5"/>
  <c r="I107" i="5"/>
  <c r="H107" i="5"/>
  <c r="F107" i="5"/>
  <c r="C107" i="5"/>
  <c r="AC106" i="5"/>
  <c r="AD106" i="5" s="1"/>
  <c r="AA106" i="5"/>
  <c r="W106" i="5"/>
  <c r="X106" i="5" s="1"/>
  <c r="U106" i="5"/>
  <c r="R106" i="5"/>
  <c r="N106" i="5"/>
  <c r="O106" i="5" s="1"/>
  <c r="L106" i="5"/>
  <c r="I106" i="5"/>
  <c r="H106" i="5"/>
  <c r="F106" i="5"/>
  <c r="C106" i="5"/>
  <c r="AD105" i="5"/>
  <c r="AC105" i="5"/>
  <c r="AA105" i="5"/>
  <c r="X105" i="5"/>
  <c r="W105" i="5"/>
  <c r="U105" i="5"/>
  <c r="R105" i="5"/>
  <c r="N105" i="5"/>
  <c r="O105" i="5" s="1"/>
  <c r="L105" i="5"/>
  <c r="H105" i="5"/>
  <c r="I105" i="5" s="1"/>
  <c r="F105" i="5"/>
  <c r="C105" i="5"/>
  <c r="AC104" i="5"/>
  <c r="AD104" i="5" s="1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W103" i="5"/>
  <c r="X103" i="5" s="1"/>
  <c r="U103" i="5"/>
  <c r="R103" i="5"/>
  <c r="N103" i="5"/>
  <c r="O103" i="5" s="1"/>
  <c r="L103" i="5"/>
  <c r="H103" i="5"/>
  <c r="I103" i="5" s="1"/>
  <c r="F103" i="5"/>
  <c r="C103" i="5"/>
  <c r="AD102" i="5"/>
  <c r="AC102" i="5"/>
  <c r="AA102" i="5"/>
  <c r="W102" i="5"/>
  <c r="X102" i="5" s="1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X101" i="5"/>
  <c r="W101" i="5"/>
  <c r="U101" i="5"/>
  <c r="R101" i="5"/>
  <c r="N101" i="5"/>
  <c r="O101" i="5" s="1"/>
  <c r="L101" i="5"/>
  <c r="H101" i="5"/>
  <c r="I101" i="5" s="1"/>
  <c r="F101" i="5"/>
  <c r="C101" i="5"/>
  <c r="AD100" i="5"/>
  <c r="AC100" i="5"/>
  <c r="AA100" i="5"/>
  <c r="X100" i="5"/>
  <c r="W100" i="5"/>
  <c r="U100" i="5"/>
  <c r="R100" i="5"/>
  <c r="N100" i="5"/>
  <c r="O100" i="5" s="1"/>
  <c r="L100" i="5"/>
  <c r="H100" i="5"/>
  <c r="I100" i="5" s="1"/>
  <c r="F100" i="5"/>
  <c r="C100" i="5"/>
  <c r="AD99" i="5"/>
  <c r="AC99" i="5"/>
  <c r="AA99" i="5"/>
  <c r="X99" i="5"/>
  <c r="W99" i="5"/>
  <c r="U99" i="5"/>
  <c r="R99" i="5"/>
  <c r="O99" i="5"/>
  <c r="N99" i="5"/>
  <c r="L99" i="5"/>
  <c r="I99" i="5"/>
  <c r="H99" i="5"/>
  <c r="F99" i="5"/>
  <c r="C99" i="5"/>
  <c r="AC98" i="5"/>
  <c r="AD98" i="5" s="1"/>
  <c r="AA98" i="5"/>
  <c r="W98" i="5"/>
  <c r="X98" i="5" s="1"/>
  <c r="U98" i="5"/>
  <c r="R98" i="5"/>
  <c r="N98" i="5"/>
  <c r="O98" i="5" s="1"/>
  <c r="L98" i="5"/>
  <c r="I98" i="5"/>
  <c r="H98" i="5"/>
  <c r="F98" i="5"/>
  <c r="C98" i="5"/>
  <c r="AD97" i="5"/>
  <c r="AC97" i="5"/>
  <c r="AA97" i="5"/>
  <c r="X97" i="5"/>
  <c r="W97" i="5"/>
  <c r="U97" i="5"/>
  <c r="R97" i="5"/>
  <c r="N97" i="5"/>
  <c r="O97" i="5" s="1"/>
  <c r="L97" i="5"/>
  <c r="H97" i="5"/>
  <c r="I97" i="5" s="1"/>
  <c r="F97" i="5"/>
  <c r="C97" i="5"/>
  <c r="AC96" i="5"/>
  <c r="AD96" i="5" s="1"/>
  <c r="AA96" i="5"/>
  <c r="W96" i="5"/>
  <c r="X96" i="5" s="1"/>
  <c r="U96" i="5"/>
  <c r="R96" i="5"/>
  <c r="N96" i="5"/>
  <c r="O96" i="5" s="1"/>
  <c r="L96" i="5"/>
  <c r="H96" i="5"/>
  <c r="I96" i="5" s="1"/>
  <c r="F96" i="5"/>
  <c r="C96" i="5"/>
  <c r="AD95" i="5"/>
  <c r="AC95" i="5"/>
  <c r="AA95" i="5"/>
  <c r="X95" i="5"/>
  <c r="W95" i="5"/>
  <c r="U95" i="5"/>
  <c r="R95" i="5"/>
  <c r="N95" i="5"/>
  <c r="O95" i="5" s="1"/>
  <c r="L95" i="5"/>
  <c r="H95" i="5"/>
  <c r="I95" i="5" s="1"/>
  <c r="F95" i="5"/>
  <c r="C95" i="5"/>
  <c r="AC94" i="5"/>
  <c r="AD94" i="5" s="1"/>
  <c r="AA94" i="5"/>
  <c r="W94" i="5"/>
  <c r="X94" i="5" s="1"/>
  <c r="U94" i="5"/>
  <c r="R94" i="5"/>
  <c r="O94" i="5"/>
  <c r="N94" i="5"/>
  <c r="L94" i="5"/>
  <c r="I94" i="5"/>
  <c r="H94" i="5"/>
  <c r="F94" i="5"/>
  <c r="C94" i="5"/>
  <c r="AC92" i="5"/>
  <c r="AD92" i="5" s="1"/>
  <c r="AA92" i="5"/>
  <c r="W92" i="5"/>
  <c r="X92" i="5" s="1"/>
  <c r="U92" i="5"/>
  <c r="R92" i="5"/>
  <c r="N92" i="5"/>
  <c r="O92" i="5" s="1"/>
  <c r="L92" i="5"/>
  <c r="I92" i="5"/>
  <c r="H92" i="5"/>
  <c r="F92" i="5"/>
  <c r="C92" i="5"/>
  <c r="AC91" i="5"/>
  <c r="AD91" i="5" s="1"/>
  <c r="AA91" i="5"/>
  <c r="X91" i="5"/>
  <c r="W91" i="5"/>
  <c r="U91" i="5"/>
  <c r="R91" i="5"/>
  <c r="N91" i="5"/>
  <c r="O91" i="5" s="1"/>
  <c r="L91" i="5"/>
  <c r="H91" i="5"/>
  <c r="I91" i="5" s="1"/>
  <c r="F91" i="5"/>
  <c r="C91" i="5"/>
  <c r="AD90" i="5"/>
  <c r="AC90" i="5"/>
  <c r="AA90" i="5"/>
  <c r="W90" i="5"/>
  <c r="X90" i="5" s="1"/>
  <c r="U90" i="5"/>
  <c r="R90" i="5"/>
  <c r="O90" i="5"/>
  <c r="N90" i="5"/>
  <c r="L90" i="5"/>
  <c r="I90" i="5"/>
  <c r="H90" i="5"/>
  <c r="F90" i="5"/>
  <c r="C90" i="5"/>
  <c r="AD89" i="5"/>
  <c r="AC89" i="5"/>
  <c r="AA89" i="5"/>
  <c r="W89" i="5"/>
  <c r="X89" i="5" s="1"/>
  <c r="U89" i="5"/>
  <c r="R89" i="5"/>
  <c r="O89" i="5"/>
  <c r="N89" i="5"/>
  <c r="L89" i="5"/>
  <c r="I89" i="5"/>
  <c r="H89" i="5"/>
  <c r="F89" i="5"/>
  <c r="C89" i="5"/>
  <c r="AA88" i="5"/>
  <c r="Z88" i="5"/>
  <c r="X88" i="5"/>
  <c r="T88" i="5"/>
  <c r="U88" i="5" s="1"/>
  <c r="Q88" i="5"/>
  <c r="W88" i="5" s="1"/>
  <c r="N88" i="5"/>
  <c r="O88" i="5" s="1"/>
  <c r="L88" i="5"/>
  <c r="K88" i="5"/>
  <c r="E88" i="5"/>
  <c r="F88" i="5" s="1"/>
  <c r="C88" i="5"/>
  <c r="B88" i="5"/>
  <c r="AD87" i="5"/>
  <c r="AC87" i="5"/>
  <c r="AA87" i="5"/>
  <c r="X87" i="5"/>
  <c r="W87" i="5"/>
  <c r="U87" i="5"/>
  <c r="R87" i="5"/>
  <c r="N87" i="5"/>
  <c r="O87" i="5" s="1"/>
  <c r="L87" i="5"/>
  <c r="H87" i="5"/>
  <c r="I87" i="5" s="1"/>
  <c r="F87" i="5"/>
  <c r="C87" i="5"/>
  <c r="AC86" i="5"/>
  <c r="AD86" i="5" s="1"/>
  <c r="AA86" i="5"/>
  <c r="W86" i="5"/>
  <c r="X86" i="5" s="1"/>
  <c r="U86" i="5"/>
  <c r="R86" i="5"/>
  <c r="O86" i="5"/>
  <c r="N86" i="5"/>
  <c r="L86" i="5"/>
  <c r="I86" i="5"/>
  <c r="H86" i="5"/>
  <c r="F86" i="5"/>
  <c r="C86" i="5"/>
  <c r="AD85" i="5"/>
  <c r="AC85" i="5"/>
  <c r="AA85" i="5"/>
  <c r="W85" i="5"/>
  <c r="X85" i="5" s="1"/>
  <c r="U85" i="5"/>
  <c r="R85" i="5"/>
  <c r="N85" i="5"/>
  <c r="O85" i="5" s="1"/>
  <c r="L85" i="5"/>
  <c r="I85" i="5"/>
  <c r="H85" i="5"/>
  <c r="F85" i="5"/>
  <c r="C85" i="5"/>
  <c r="AD84" i="5"/>
  <c r="AC84" i="5"/>
  <c r="AA84" i="5"/>
  <c r="X84" i="5"/>
  <c r="W84" i="5"/>
  <c r="U84" i="5"/>
  <c r="R84" i="5"/>
  <c r="N84" i="5"/>
  <c r="O84" i="5" s="1"/>
  <c r="L84" i="5"/>
  <c r="H84" i="5"/>
  <c r="I84" i="5" s="1"/>
  <c r="F84" i="5"/>
  <c r="C84" i="5"/>
  <c r="AD83" i="5"/>
  <c r="AC83" i="5"/>
  <c r="AA83" i="5"/>
  <c r="X83" i="5"/>
  <c r="W83" i="5"/>
  <c r="U83" i="5"/>
  <c r="R83" i="5"/>
  <c r="O83" i="5"/>
  <c r="N83" i="5"/>
  <c r="L83" i="5"/>
  <c r="H83" i="5"/>
  <c r="I83" i="5" s="1"/>
  <c r="F83" i="5"/>
  <c r="C83" i="5"/>
  <c r="AC82" i="5"/>
  <c r="AD82" i="5" s="1"/>
  <c r="AA82" i="5"/>
  <c r="W82" i="5"/>
  <c r="X82" i="5" s="1"/>
  <c r="U82" i="5"/>
  <c r="R82" i="5"/>
  <c r="N82" i="5"/>
  <c r="O82" i="5" s="1"/>
  <c r="L82" i="5"/>
  <c r="I82" i="5"/>
  <c r="H82" i="5"/>
  <c r="F82" i="5"/>
  <c r="C82" i="5"/>
  <c r="AD81" i="5"/>
  <c r="AC81" i="5"/>
  <c r="AA81" i="5"/>
  <c r="W81" i="5"/>
  <c r="X81" i="5" s="1"/>
  <c r="U81" i="5"/>
  <c r="R81" i="5"/>
  <c r="N81" i="5"/>
  <c r="O81" i="5" s="1"/>
  <c r="L81" i="5"/>
  <c r="H81" i="5"/>
  <c r="I81" i="5" s="1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W79" i="5"/>
  <c r="X79" i="5" s="1"/>
  <c r="U79" i="5"/>
  <c r="R79" i="5"/>
  <c r="O79" i="5"/>
  <c r="N79" i="5"/>
  <c r="L79" i="5"/>
  <c r="I79" i="5"/>
  <c r="H79" i="5"/>
  <c r="F79" i="5"/>
  <c r="C79" i="5"/>
  <c r="AC78" i="5"/>
  <c r="AD78" i="5" s="1"/>
  <c r="AA78" i="5"/>
  <c r="W78" i="5"/>
  <c r="X78" i="5" s="1"/>
  <c r="U78" i="5"/>
  <c r="R78" i="5"/>
  <c r="N78" i="5"/>
  <c r="O78" i="5" s="1"/>
  <c r="L78" i="5"/>
  <c r="I78" i="5"/>
  <c r="H78" i="5"/>
  <c r="F78" i="5"/>
  <c r="C78" i="5"/>
  <c r="AD77" i="5"/>
  <c r="AC77" i="5"/>
  <c r="AA77" i="5"/>
  <c r="W77" i="5"/>
  <c r="X77" i="5" s="1"/>
  <c r="U77" i="5"/>
  <c r="R77" i="5"/>
  <c r="N77" i="5"/>
  <c r="O77" i="5" s="1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H76" i="5"/>
  <c r="I76" i="5" s="1"/>
  <c r="F76" i="5"/>
  <c r="C76" i="5"/>
  <c r="AD75" i="5"/>
  <c r="AC75" i="5"/>
  <c r="AA75" i="5"/>
  <c r="X75" i="5"/>
  <c r="W75" i="5"/>
  <c r="U75" i="5"/>
  <c r="R75" i="5"/>
  <c r="O75" i="5"/>
  <c r="N75" i="5"/>
  <c r="L75" i="5"/>
  <c r="H75" i="5"/>
  <c r="I75" i="5" s="1"/>
  <c r="F75" i="5"/>
  <c r="C75" i="5"/>
  <c r="AC73" i="5"/>
  <c r="AD73" i="5" s="1"/>
  <c r="AA73" i="5"/>
  <c r="Z73" i="5"/>
  <c r="T73" i="5"/>
  <c r="U73" i="5" s="1"/>
  <c r="R73" i="5"/>
  <c r="Q73" i="5"/>
  <c r="W73" i="5" s="1"/>
  <c r="X73" i="5" s="1"/>
  <c r="L73" i="5"/>
  <c r="K73" i="5"/>
  <c r="E73" i="5"/>
  <c r="C73" i="5"/>
  <c r="B73" i="5"/>
  <c r="AD72" i="5"/>
  <c r="AC72" i="5"/>
  <c r="AA72" i="5"/>
  <c r="X72" i="5"/>
  <c r="W72" i="5"/>
  <c r="U72" i="5"/>
  <c r="R72" i="5"/>
  <c r="N72" i="5"/>
  <c r="O72" i="5" s="1"/>
  <c r="L72" i="5"/>
  <c r="H72" i="5"/>
  <c r="I72" i="5" s="1"/>
  <c r="F72" i="5"/>
  <c r="C72" i="5"/>
  <c r="AD71" i="5"/>
  <c r="AC71" i="5"/>
  <c r="AA71" i="5"/>
  <c r="X71" i="5"/>
  <c r="W71" i="5"/>
  <c r="U71" i="5"/>
  <c r="R71" i="5"/>
  <c r="N71" i="5"/>
  <c r="O71" i="5" s="1"/>
  <c r="L71" i="5"/>
  <c r="H71" i="5"/>
  <c r="I71" i="5" s="1"/>
  <c r="F71" i="5"/>
  <c r="C71" i="5"/>
  <c r="AC70" i="5"/>
  <c r="AD70" i="5" s="1"/>
  <c r="AA70" i="5"/>
  <c r="W70" i="5"/>
  <c r="X70" i="5" s="1"/>
  <c r="U70" i="5"/>
  <c r="R70" i="5"/>
  <c r="O70" i="5"/>
  <c r="N70" i="5"/>
  <c r="L70" i="5"/>
  <c r="I70" i="5"/>
  <c r="H70" i="5"/>
  <c r="F70" i="5"/>
  <c r="C70" i="5"/>
  <c r="AD69" i="5"/>
  <c r="AC69" i="5"/>
  <c r="AA69" i="5"/>
  <c r="W69" i="5"/>
  <c r="X69" i="5" s="1"/>
  <c r="U69" i="5"/>
  <c r="R69" i="5"/>
  <c r="N69" i="5"/>
  <c r="O69" i="5" s="1"/>
  <c r="L69" i="5"/>
  <c r="I69" i="5"/>
  <c r="H69" i="5"/>
  <c r="F69" i="5"/>
  <c r="C69" i="5"/>
  <c r="AD68" i="5"/>
  <c r="AC68" i="5"/>
  <c r="AA68" i="5"/>
  <c r="X68" i="5"/>
  <c r="W68" i="5"/>
  <c r="U68" i="5"/>
  <c r="R68" i="5"/>
  <c r="N68" i="5"/>
  <c r="O68" i="5" s="1"/>
  <c r="L68" i="5"/>
  <c r="H68" i="5"/>
  <c r="I68" i="5" s="1"/>
  <c r="F68" i="5"/>
  <c r="C68" i="5"/>
  <c r="AD67" i="5"/>
  <c r="AC67" i="5"/>
  <c r="AA67" i="5"/>
  <c r="X67" i="5"/>
  <c r="W67" i="5"/>
  <c r="U67" i="5"/>
  <c r="R67" i="5"/>
  <c r="O67" i="5"/>
  <c r="N67" i="5"/>
  <c r="L67" i="5"/>
  <c r="H67" i="5"/>
  <c r="I67" i="5" s="1"/>
  <c r="F67" i="5"/>
  <c r="C67" i="5"/>
  <c r="AC66" i="5"/>
  <c r="AD66" i="5" s="1"/>
  <c r="AA66" i="5"/>
  <c r="W66" i="5"/>
  <c r="X66" i="5" s="1"/>
  <c r="U66" i="5"/>
  <c r="R66" i="5"/>
  <c r="N66" i="5"/>
  <c r="O66" i="5" s="1"/>
  <c r="L66" i="5"/>
  <c r="I66" i="5"/>
  <c r="H66" i="5"/>
  <c r="F66" i="5"/>
  <c r="C66" i="5"/>
  <c r="AD65" i="5"/>
  <c r="AC65" i="5"/>
  <c r="AA65" i="5"/>
  <c r="W65" i="5"/>
  <c r="X65" i="5" s="1"/>
  <c r="U65" i="5"/>
  <c r="R65" i="5"/>
  <c r="N65" i="5"/>
  <c r="O65" i="5" s="1"/>
  <c r="L65" i="5"/>
  <c r="H65" i="5"/>
  <c r="I65" i="5" s="1"/>
  <c r="F65" i="5"/>
  <c r="C65" i="5"/>
  <c r="AD64" i="5"/>
  <c r="AC64" i="5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X62" i="5"/>
  <c r="W62" i="5"/>
  <c r="U62" i="5"/>
  <c r="T62" i="5"/>
  <c r="R62" i="5"/>
  <c r="Q62" i="5"/>
  <c r="O62" i="5"/>
  <c r="N62" i="5"/>
  <c r="L62" i="5"/>
  <c r="K62" i="5"/>
  <c r="F62" i="5"/>
  <c r="E62" i="5"/>
  <c r="B62" i="5"/>
  <c r="AA61" i="5"/>
  <c r="Z61" i="5"/>
  <c r="U61" i="5"/>
  <c r="T61" i="5"/>
  <c r="Q61" i="5"/>
  <c r="L61" i="5"/>
  <c r="K61" i="5"/>
  <c r="F61" i="5"/>
  <c r="E61" i="5"/>
  <c r="B61" i="5"/>
  <c r="AD60" i="5"/>
  <c r="AC60" i="5"/>
  <c r="AA60" i="5"/>
  <c r="W60" i="5"/>
  <c r="X60" i="5" s="1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N59" i="5"/>
  <c r="O59" i="5" s="1"/>
  <c r="L59" i="5"/>
  <c r="I59" i="5"/>
  <c r="H59" i="5"/>
  <c r="F59" i="5"/>
  <c r="C59" i="5"/>
  <c r="AC58" i="5"/>
  <c r="AD58" i="5" s="1"/>
  <c r="AA58" i="5"/>
  <c r="X58" i="5"/>
  <c r="W58" i="5"/>
  <c r="U58" i="5"/>
  <c r="R58" i="5"/>
  <c r="O58" i="5"/>
  <c r="N58" i="5"/>
  <c r="L58" i="5"/>
  <c r="H58" i="5"/>
  <c r="I58" i="5" s="1"/>
  <c r="F58" i="5"/>
  <c r="C58" i="5"/>
  <c r="AC57" i="5"/>
  <c r="AD57" i="5" s="1"/>
  <c r="AA57" i="5"/>
  <c r="W57" i="5"/>
  <c r="X57" i="5" s="1"/>
  <c r="U57" i="5"/>
  <c r="R57" i="5"/>
  <c r="N57" i="5"/>
  <c r="O57" i="5" s="1"/>
  <c r="L57" i="5"/>
  <c r="I57" i="5"/>
  <c r="H57" i="5"/>
  <c r="F57" i="5"/>
  <c r="C57" i="5"/>
  <c r="AD56" i="5"/>
  <c r="AC56" i="5"/>
  <c r="AA56" i="5"/>
  <c r="W56" i="5"/>
  <c r="X56" i="5" s="1"/>
  <c r="U56" i="5"/>
  <c r="R56" i="5"/>
  <c r="N56" i="5"/>
  <c r="O56" i="5" s="1"/>
  <c r="L56" i="5"/>
  <c r="H56" i="5"/>
  <c r="I56" i="5" s="1"/>
  <c r="F56" i="5"/>
  <c r="C56" i="5"/>
  <c r="AC55" i="5"/>
  <c r="AD55" i="5" s="1"/>
  <c r="AA55" i="5"/>
  <c r="W55" i="5"/>
  <c r="X55" i="5" s="1"/>
  <c r="U55" i="5"/>
  <c r="R55" i="5"/>
  <c r="N55" i="5"/>
  <c r="O55" i="5" s="1"/>
  <c r="L55" i="5"/>
  <c r="I55" i="5"/>
  <c r="H55" i="5"/>
  <c r="F55" i="5"/>
  <c r="C55" i="5"/>
  <c r="AC54" i="5"/>
  <c r="AD54" i="5" s="1"/>
  <c r="AA54" i="5"/>
  <c r="W54" i="5"/>
  <c r="X54" i="5" s="1"/>
  <c r="U54" i="5"/>
  <c r="R54" i="5"/>
  <c r="N54" i="5"/>
  <c r="O54" i="5" s="1"/>
  <c r="L54" i="5"/>
  <c r="I54" i="5"/>
  <c r="H54" i="5"/>
  <c r="F54" i="5"/>
  <c r="C54" i="5"/>
  <c r="AD53" i="5"/>
  <c r="AC53" i="5"/>
  <c r="AA53" i="5"/>
  <c r="W53" i="5"/>
  <c r="X53" i="5" s="1"/>
  <c r="U53" i="5"/>
  <c r="R53" i="5"/>
  <c r="N53" i="5"/>
  <c r="O53" i="5" s="1"/>
  <c r="L53" i="5"/>
  <c r="H53" i="5"/>
  <c r="I53" i="5" s="1"/>
  <c r="F53" i="5"/>
  <c r="C53" i="5"/>
  <c r="AD52" i="5"/>
  <c r="AC52" i="5"/>
  <c r="AA52" i="5"/>
  <c r="X52" i="5"/>
  <c r="W52" i="5"/>
  <c r="U52" i="5"/>
  <c r="R52" i="5"/>
  <c r="N52" i="5"/>
  <c r="O52" i="5" s="1"/>
  <c r="L52" i="5"/>
  <c r="H52" i="5"/>
  <c r="I52" i="5" s="1"/>
  <c r="F52" i="5"/>
  <c r="C52" i="5"/>
  <c r="AD51" i="5"/>
  <c r="AC51" i="5"/>
  <c r="AA51" i="5"/>
  <c r="W51" i="5"/>
  <c r="X51" i="5" s="1"/>
  <c r="U51" i="5"/>
  <c r="R51" i="5"/>
  <c r="N51" i="5"/>
  <c r="O51" i="5" s="1"/>
  <c r="L51" i="5"/>
  <c r="I51" i="5"/>
  <c r="H51" i="5"/>
  <c r="F51" i="5"/>
  <c r="C51" i="5"/>
  <c r="AD50" i="5"/>
  <c r="AC50" i="5"/>
  <c r="AA50" i="5"/>
  <c r="W50" i="5"/>
  <c r="X50" i="5" s="1"/>
  <c r="U50" i="5"/>
  <c r="R50" i="5"/>
  <c r="O50" i="5"/>
  <c r="N50" i="5"/>
  <c r="L50" i="5"/>
  <c r="H50" i="5"/>
  <c r="I50" i="5" s="1"/>
  <c r="F50" i="5"/>
  <c r="C50" i="5"/>
  <c r="AD49" i="5"/>
  <c r="AC49" i="5"/>
  <c r="AA49" i="5"/>
  <c r="W49" i="5"/>
  <c r="X49" i="5" s="1"/>
  <c r="U49" i="5"/>
  <c r="R49" i="5"/>
  <c r="N49" i="5"/>
  <c r="O49" i="5" s="1"/>
  <c r="L49" i="5"/>
  <c r="I49" i="5"/>
  <c r="H49" i="5"/>
  <c r="F49" i="5"/>
  <c r="C49" i="5"/>
  <c r="AD48" i="5"/>
  <c r="AC48" i="5"/>
  <c r="AA48" i="5"/>
  <c r="W48" i="5"/>
  <c r="X48" i="5" s="1"/>
  <c r="U48" i="5"/>
  <c r="R48" i="5"/>
  <c r="N48" i="5"/>
  <c r="O48" i="5" s="1"/>
  <c r="L48" i="5"/>
  <c r="I48" i="5"/>
  <c r="H48" i="5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I47" i="5"/>
  <c r="H47" i="5"/>
  <c r="F47" i="5"/>
  <c r="C47" i="5"/>
  <c r="AD46" i="5"/>
  <c r="AC46" i="5"/>
  <c r="AA46" i="5"/>
  <c r="W46" i="5"/>
  <c r="X46" i="5" s="1"/>
  <c r="U46" i="5"/>
  <c r="R46" i="5"/>
  <c r="N46" i="5"/>
  <c r="O46" i="5" s="1"/>
  <c r="L46" i="5"/>
  <c r="I46" i="5"/>
  <c r="H46" i="5"/>
  <c r="F46" i="5"/>
  <c r="C46" i="5"/>
  <c r="AC44" i="5"/>
  <c r="AD44" i="5" s="1"/>
  <c r="AA44" i="5"/>
  <c r="X44" i="5"/>
  <c r="W44" i="5"/>
  <c r="U44" i="5"/>
  <c r="R44" i="5"/>
  <c r="N44" i="5"/>
  <c r="O44" i="5" s="1"/>
  <c r="L44" i="5"/>
  <c r="H44" i="5"/>
  <c r="I44" i="5" s="1"/>
  <c r="F44" i="5"/>
  <c r="C44" i="5"/>
  <c r="AD43" i="5"/>
  <c r="AC43" i="5"/>
  <c r="AA43" i="5"/>
  <c r="W43" i="5"/>
  <c r="X43" i="5" s="1"/>
  <c r="U43" i="5"/>
  <c r="R43" i="5"/>
  <c r="O43" i="5"/>
  <c r="N43" i="5"/>
  <c r="L43" i="5"/>
  <c r="H43" i="5"/>
  <c r="I43" i="5" s="1"/>
  <c r="F43" i="5"/>
  <c r="C43" i="5"/>
  <c r="AD42" i="5"/>
  <c r="AC42" i="5"/>
  <c r="AA42" i="5"/>
  <c r="W42" i="5"/>
  <c r="X42" i="5" s="1"/>
  <c r="U42" i="5"/>
  <c r="R42" i="5"/>
  <c r="N42" i="5"/>
  <c r="O42" i="5" s="1"/>
  <c r="L42" i="5"/>
  <c r="I42" i="5"/>
  <c r="H42" i="5"/>
  <c r="F42" i="5"/>
  <c r="C42" i="5"/>
  <c r="Z40" i="5"/>
  <c r="T40" i="5"/>
  <c r="U40" i="5" s="1"/>
  <c r="R40" i="5"/>
  <c r="Q40" i="5"/>
  <c r="L40" i="5"/>
  <c r="K40" i="5"/>
  <c r="F40" i="5"/>
  <c r="E40" i="5"/>
  <c r="B40" i="5"/>
  <c r="AD39" i="5"/>
  <c r="AC39" i="5"/>
  <c r="AA39" i="5"/>
  <c r="W39" i="5"/>
  <c r="X39" i="5" s="1"/>
  <c r="U39" i="5"/>
  <c r="R39" i="5"/>
  <c r="N39" i="5"/>
  <c r="O39" i="5" s="1"/>
  <c r="L39" i="5"/>
  <c r="H39" i="5"/>
  <c r="I39" i="5" s="1"/>
  <c r="F39" i="5"/>
  <c r="C39" i="5"/>
  <c r="AD38" i="5"/>
  <c r="AC38" i="5"/>
  <c r="AA38" i="5"/>
  <c r="W38" i="5"/>
  <c r="X38" i="5" s="1"/>
  <c r="U38" i="5"/>
  <c r="R38" i="5"/>
  <c r="N38" i="5"/>
  <c r="O38" i="5" s="1"/>
  <c r="L38" i="5"/>
  <c r="I38" i="5"/>
  <c r="H38" i="5"/>
  <c r="F38" i="5"/>
  <c r="C38" i="5"/>
  <c r="AD37" i="5"/>
  <c r="AC37" i="5"/>
  <c r="AA37" i="5"/>
  <c r="X37" i="5"/>
  <c r="W37" i="5"/>
  <c r="U37" i="5"/>
  <c r="R37" i="5"/>
  <c r="N37" i="5"/>
  <c r="O37" i="5" s="1"/>
  <c r="L37" i="5"/>
  <c r="H37" i="5"/>
  <c r="I37" i="5" s="1"/>
  <c r="F37" i="5"/>
  <c r="C37" i="5"/>
  <c r="AD36" i="5"/>
  <c r="AC36" i="5"/>
  <c r="AA36" i="5"/>
  <c r="X36" i="5"/>
  <c r="W36" i="5"/>
  <c r="U36" i="5"/>
  <c r="R36" i="5"/>
  <c r="N36" i="5"/>
  <c r="O36" i="5" s="1"/>
  <c r="L36" i="5"/>
  <c r="H36" i="5"/>
  <c r="I36" i="5" s="1"/>
  <c r="F36" i="5"/>
  <c r="C36" i="5"/>
  <c r="AD35" i="5"/>
  <c r="AC35" i="5"/>
  <c r="AA35" i="5"/>
  <c r="X35" i="5"/>
  <c r="W35" i="5"/>
  <c r="U35" i="5"/>
  <c r="R35" i="5"/>
  <c r="O35" i="5"/>
  <c r="N35" i="5"/>
  <c r="L35" i="5"/>
  <c r="I35" i="5"/>
  <c r="H35" i="5"/>
  <c r="F35" i="5"/>
  <c r="C35" i="5"/>
  <c r="AC34" i="5"/>
  <c r="AD34" i="5" s="1"/>
  <c r="AA34" i="5"/>
  <c r="W34" i="5"/>
  <c r="X34" i="5" s="1"/>
  <c r="U34" i="5"/>
  <c r="R34" i="5"/>
  <c r="N34" i="5"/>
  <c r="O34" i="5" s="1"/>
  <c r="L34" i="5"/>
  <c r="I34" i="5"/>
  <c r="H34" i="5"/>
  <c r="F34" i="5"/>
  <c r="C34" i="5"/>
  <c r="AD33" i="5"/>
  <c r="AC33" i="5"/>
  <c r="AA33" i="5"/>
  <c r="X33" i="5"/>
  <c r="W33" i="5"/>
  <c r="U33" i="5"/>
  <c r="R33" i="5"/>
  <c r="O33" i="5"/>
  <c r="N33" i="5"/>
  <c r="L33" i="5"/>
  <c r="H33" i="5"/>
  <c r="I33" i="5" s="1"/>
  <c r="F33" i="5"/>
  <c r="C33" i="5"/>
  <c r="AC32" i="5"/>
  <c r="AD32" i="5" s="1"/>
  <c r="AA32" i="5"/>
  <c r="W32" i="5"/>
  <c r="X32" i="5" s="1"/>
  <c r="U32" i="5"/>
  <c r="R32" i="5"/>
  <c r="N32" i="5"/>
  <c r="O32" i="5" s="1"/>
  <c r="L32" i="5"/>
  <c r="H32" i="5"/>
  <c r="I32" i="5" s="1"/>
  <c r="F32" i="5"/>
  <c r="C32" i="5"/>
  <c r="AD31" i="5"/>
  <c r="AC31" i="5"/>
  <c r="AA31" i="5"/>
  <c r="X31" i="5"/>
  <c r="W31" i="5"/>
  <c r="U31" i="5"/>
  <c r="R31" i="5"/>
  <c r="N31" i="5"/>
  <c r="O31" i="5" s="1"/>
  <c r="L31" i="5"/>
  <c r="H31" i="5"/>
  <c r="I31" i="5" s="1"/>
  <c r="F31" i="5"/>
  <c r="C31" i="5"/>
  <c r="AC29" i="5"/>
  <c r="AD29" i="5" s="1"/>
  <c r="AA29" i="5"/>
  <c r="Z29" i="5"/>
  <c r="U29" i="5"/>
  <c r="T29" i="5"/>
  <c r="Q29" i="5"/>
  <c r="R29" i="5" s="1"/>
  <c r="K29" i="5"/>
  <c r="L29" i="5" s="1"/>
  <c r="H29" i="5"/>
  <c r="I29" i="5" s="1"/>
  <c r="F29" i="5"/>
  <c r="E29" i="5"/>
  <c r="C29" i="5"/>
  <c r="B29" i="5"/>
  <c r="AC28" i="5"/>
  <c r="AD28" i="5" s="1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D27" i="5"/>
  <c r="AC27" i="5"/>
  <c r="AA27" i="5"/>
  <c r="W27" i="5"/>
  <c r="X27" i="5" s="1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N26" i="5"/>
  <c r="O26" i="5" s="1"/>
  <c r="L26" i="5"/>
  <c r="I26" i="5"/>
  <c r="H26" i="5"/>
  <c r="F26" i="5"/>
  <c r="C26" i="5"/>
  <c r="AC25" i="5"/>
  <c r="AD25" i="5" s="1"/>
  <c r="AA25" i="5"/>
  <c r="X25" i="5"/>
  <c r="W25" i="5"/>
  <c r="U25" i="5"/>
  <c r="R25" i="5"/>
  <c r="O25" i="5"/>
  <c r="N25" i="5"/>
  <c r="L25" i="5"/>
  <c r="H25" i="5"/>
  <c r="I25" i="5" s="1"/>
  <c r="F25" i="5"/>
  <c r="C25" i="5"/>
  <c r="AD24" i="5"/>
  <c r="AC24" i="5"/>
  <c r="AA24" i="5"/>
  <c r="X24" i="5"/>
  <c r="W24" i="5"/>
  <c r="U24" i="5"/>
  <c r="R24" i="5"/>
  <c r="N24" i="5"/>
  <c r="O24" i="5" s="1"/>
  <c r="L24" i="5"/>
  <c r="I24" i="5"/>
  <c r="H24" i="5"/>
  <c r="F24" i="5"/>
  <c r="C24" i="5"/>
  <c r="AD23" i="5"/>
  <c r="AC23" i="5"/>
  <c r="AA23" i="5"/>
  <c r="X23" i="5"/>
  <c r="W23" i="5"/>
  <c r="U23" i="5"/>
  <c r="R23" i="5"/>
  <c r="N23" i="5"/>
  <c r="O23" i="5" s="1"/>
  <c r="L23" i="5"/>
  <c r="H23" i="5"/>
  <c r="I23" i="5" s="1"/>
  <c r="F23" i="5"/>
  <c r="C23" i="5"/>
  <c r="AC22" i="5"/>
  <c r="AD22" i="5" s="1"/>
  <c r="AA22" i="5"/>
  <c r="W22" i="5"/>
  <c r="X22" i="5" s="1"/>
  <c r="U22" i="5"/>
  <c r="R22" i="5"/>
  <c r="O22" i="5"/>
  <c r="N22" i="5"/>
  <c r="L22" i="5"/>
  <c r="I22" i="5"/>
  <c r="H22" i="5"/>
  <c r="F22" i="5"/>
  <c r="C22" i="5"/>
  <c r="AC21" i="5"/>
  <c r="AD21" i="5" s="1"/>
  <c r="AA21" i="5"/>
  <c r="W21" i="5"/>
  <c r="X21" i="5" s="1"/>
  <c r="U21" i="5"/>
  <c r="R21" i="5"/>
  <c r="N21" i="5"/>
  <c r="O21" i="5" s="1"/>
  <c r="L21" i="5"/>
  <c r="I21" i="5"/>
  <c r="H21" i="5"/>
  <c r="F21" i="5"/>
  <c r="C21" i="5"/>
  <c r="AD19" i="5"/>
  <c r="AC19" i="5"/>
  <c r="AA19" i="5"/>
  <c r="W19" i="5"/>
  <c r="X19" i="5" s="1"/>
  <c r="U19" i="5"/>
  <c r="R19" i="5"/>
  <c r="N19" i="5"/>
  <c r="O19" i="5" s="1"/>
  <c r="L19" i="5"/>
  <c r="H19" i="5"/>
  <c r="I19" i="5" s="1"/>
  <c r="F19" i="5"/>
  <c r="C19" i="5"/>
  <c r="AD18" i="5"/>
  <c r="AA18" i="5"/>
  <c r="Z18" i="5"/>
  <c r="X18" i="5"/>
  <c r="U18" i="5"/>
  <c r="T18" i="5"/>
  <c r="W18" i="5" s="1"/>
  <c r="R18" i="5"/>
  <c r="Q18" i="5"/>
  <c r="AC18" i="5" s="1"/>
  <c r="L18" i="5"/>
  <c r="K18" i="5"/>
  <c r="F18" i="5"/>
  <c r="E18" i="5"/>
  <c r="B18" i="5"/>
  <c r="N18" i="5" s="1"/>
  <c r="O18" i="5" s="1"/>
  <c r="AD17" i="5"/>
  <c r="AC17" i="5"/>
  <c r="AA17" i="5"/>
  <c r="W17" i="5"/>
  <c r="X17" i="5" s="1"/>
  <c r="U17" i="5"/>
  <c r="R17" i="5"/>
  <c r="O17" i="5"/>
  <c r="N17" i="5"/>
  <c r="L17" i="5"/>
  <c r="I17" i="5"/>
  <c r="H17" i="5"/>
  <c r="F17" i="5"/>
  <c r="C17" i="5"/>
  <c r="AC16" i="5"/>
  <c r="AD16" i="5" s="1"/>
  <c r="AA16" i="5"/>
  <c r="W16" i="5"/>
  <c r="X16" i="5" s="1"/>
  <c r="U16" i="5"/>
  <c r="R16" i="5"/>
  <c r="N16" i="5"/>
  <c r="O16" i="5" s="1"/>
  <c r="L16" i="5"/>
  <c r="H16" i="5"/>
  <c r="I16" i="5" s="1"/>
  <c r="F16" i="5"/>
  <c r="C16" i="5"/>
  <c r="AD15" i="5"/>
  <c r="AC15" i="5"/>
  <c r="AA15" i="5"/>
  <c r="W15" i="5"/>
  <c r="X15" i="5" s="1"/>
  <c r="U15" i="5"/>
  <c r="R15" i="5"/>
  <c r="N15" i="5"/>
  <c r="O15" i="5" s="1"/>
  <c r="L15" i="5"/>
  <c r="I15" i="5"/>
  <c r="H15" i="5"/>
  <c r="F15" i="5"/>
  <c r="C15" i="5"/>
  <c r="AC14" i="5"/>
  <c r="AD14" i="5" s="1"/>
  <c r="AA14" i="5"/>
  <c r="W14" i="5"/>
  <c r="X14" i="5" s="1"/>
  <c r="U14" i="5"/>
  <c r="R14" i="5"/>
  <c r="N14" i="5"/>
  <c r="O14" i="5" s="1"/>
  <c r="L14" i="5"/>
  <c r="I14" i="5"/>
  <c r="H14" i="5"/>
  <c r="F14" i="5"/>
  <c r="C14" i="5"/>
  <c r="AD13" i="5"/>
  <c r="AC13" i="5"/>
  <c r="AA13" i="5"/>
  <c r="W13" i="5"/>
  <c r="X13" i="5" s="1"/>
  <c r="U13" i="5"/>
  <c r="R13" i="5"/>
  <c r="N13" i="5"/>
  <c r="O13" i="5" s="1"/>
  <c r="L13" i="5"/>
  <c r="I13" i="5"/>
  <c r="H13" i="5"/>
  <c r="F13" i="5"/>
  <c r="C13" i="5"/>
  <c r="AD12" i="5"/>
  <c r="AC12" i="5"/>
  <c r="AA12" i="5"/>
  <c r="X12" i="5"/>
  <c r="W12" i="5"/>
  <c r="U12" i="5"/>
  <c r="R12" i="5"/>
  <c r="N12" i="5"/>
  <c r="O12" i="5" s="1"/>
  <c r="L12" i="5"/>
  <c r="H12" i="5"/>
  <c r="I12" i="5" s="1"/>
  <c r="F12" i="5"/>
  <c r="C12" i="5"/>
  <c r="AD11" i="5"/>
  <c r="AC11" i="5"/>
  <c r="AA11" i="5"/>
  <c r="X11" i="5"/>
  <c r="W11" i="5"/>
  <c r="U11" i="5"/>
  <c r="R11" i="5"/>
  <c r="O11" i="5"/>
  <c r="N11" i="5"/>
  <c r="L11" i="5"/>
  <c r="H11" i="5"/>
  <c r="I11" i="5" s="1"/>
  <c r="F11" i="5"/>
  <c r="C11" i="5"/>
  <c r="AD10" i="5"/>
  <c r="AC10" i="5"/>
  <c r="AA10" i="5"/>
  <c r="W10" i="5"/>
  <c r="X10" i="5" s="1"/>
  <c r="U10" i="5"/>
  <c r="R10" i="5"/>
  <c r="O10" i="5"/>
  <c r="N10" i="5"/>
  <c r="L10" i="5"/>
  <c r="I10" i="5"/>
  <c r="H10" i="5"/>
  <c r="F10" i="5"/>
  <c r="C10" i="5"/>
  <c r="AC8" i="5"/>
  <c r="AD8" i="5" s="1"/>
  <c r="AA8" i="5"/>
  <c r="X8" i="5"/>
  <c r="W8" i="5"/>
  <c r="U8" i="5"/>
  <c r="R8" i="5"/>
  <c r="N8" i="5"/>
  <c r="O8" i="5" s="1"/>
  <c r="L8" i="5"/>
  <c r="H8" i="5"/>
  <c r="I8" i="5" s="1"/>
  <c r="F8" i="5"/>
  <c r="C8" i="5"/>
  <c r="AC444" i="4"/>
  <c r="W444" i="4"/>
  <c r="N444" i="4"/>
  <c r="H444" i="4"/>
  <c r="I424" i="4" s="1"/>
  <c r="Z442" i="4"/>
  <c r="AA442" i="4" s="1"/>
  <c r="U442" i="4"/>
  <c r="T442" i="4"/>
  <c r="Q442" i="4"/>
  <c r="N442" i="4"/>
  <c r="O442" i="4" s="1"/>
  <c r="L442" i="4"/>
  <c r="K442" i="4"/>
  <c r="F442" i="4"/>
  <c r="E442" i="4"/>
  <c r="C442" i="4"/>
  <c r="B442" i="4"/>
  <c r="AA441" i="4"/>
  <c r="Z441" i="4"/>
  <c r="U441" i="4"/>
  <c r="T441" i="4"/>
  <c r="Q441" i="4"/>
  <c r="K441" i="4"/>
  <c r="L441" i="4" s="1"/>
  <c r="H441" i="4"/>
  <c r="I441" i="4" s="1"/>
  <c r="E441" i="4"/>
  <c r="F441" i="4" s="1"/>
  <c r="C441" i="4"/>
  <c r="B441" i="4"/>
  <c r="N441" i="4" s="1"/>
  <c r="AC440" i="4"/>
  <c r="AD440" i="4" s="1"/>
  <c r="AA440" i="4"/>
  <c r="X440" i="4"/>
  <c r="W440" i="4"/>
  <c r="U440" i="4"/>
  <c r="R440" i="4"/>
  <c r="N440" i="4"/>
  <c r="O440" i="4" s="1"/>
  <c r="L440" i="4"/>
  <c r="H440" i="4"/>
  <c r="I440" i="4" s="1"/>
  <c r="F440" i="4"/>
  <c r="C440" i="4"/>
  <c r="AD439" i="4"/>
  <c r="AC439" i="4"/>
  <c r="AA439" i="4"/>
  <c r="W439" i="4"/>
  <c r="X439" i="4" s="1"/>
  <c r="U439" i="4"/>
  <c r="R439" i="4"/>
  <c r="N439" i="4"/>
  <c r="L439" i="4"/>
  <c r="I439" i="4"/>
  <c r="H439" i="4"/>
  <c r="F439" i="4"/>
  <c r="C439" i="4"/>
  <c r="AD438" i="4"/>
  <c r="AC438" i="4"/>
  <c r="AA438" i="4"/>
  <c r="W438" i="4"/>
  <c r="X438" i="4" s="1"/>
  <c r="U438" i="4"/>
  <c r="R438" i="4"/>
  <c r="N438" i="4"/>
  <c r="O438" i="4" s="1"/>
  <c r="L438" i="4"/>
  <c r="H438" i="4"/>
  <c r="F438" i="4"/>
  <c r="C438" i="4"/>
  <c r="AC437" i="4"/>
  <c r="AD437" i="4" s="1"/>
  <c r="AA437" i="4"/>
  <c r="X437" i="4"/>
  <c r="W437" i="4"/>
  <c r="U437" i="4"/>
  <c r="R437" i="4"/>
  <c r="N437" i="4"/>
  <c r="O437" i="4" s="1"/>
  <c r="L437" i="4"/>
  <c r="H437" i="4"/>
  <c r="I437" i="4" s="1"/>
  <c r="F437" i="4"/>
  <c r="C437" i="4"/>
  <c r="AD436" i="4"/>
  <c r="AC436" i="4"/>
  <c r="AA436" i="4"/>
  <c r="X436" i="4"/>
  <c r="W436" i="4"/>
  <c r="U436" i="4"/>
  <c r="R436" i="4"/>
  <c r="N436" i="4"/>
  <c r="L436" i="4"/>
  <c r="I436" i="4"/>
  <c r="H436" i="4"/>
  <c r="F436" i="4"/>
  <c r="C436" i="4"/>
  <c r="AD435" i="4"/>
  <c r="AC435" i="4"/>
  <c r="AA435" i="4"/>
  <c r="X435" i="4"/>
  <c r="W435" i="4"/>
  <c r="U435" i="4"/>
  <c r="R435" i="4"/>
  <c r="N435" i="4"/>
  <c r="O435" i="4" s="1"/>
  <c r="L435" i="4"/>
  <c r="H435" i="4"/>
  <c r="I435" i="4" s="1"/>
  <c r="F435" i="4"/>
  <c r="C435" i="4"/>
  <c r="AD434" i="4"/>
  <c r="AC434" i="4"/>
  <c r="AA434" i="4"/>
  <c r="W434" i="4"/>
  <c r="U434" i="4"/>
  <c r="R434" i="4"/>
  <c r="N434" i="4"/>
  <c r="O434" i="4" s="1"/>
  <c r="L434" i="4"/>
  <c r="H434" i="4"/>
  <c r="F434" i="4"/>
  <c r="C434" i="4"/>
  <c r="AC433" i="4"/>
  <c r="AD433" i="4" s="1"/>
  <c r="AA433" i="4"/>
  <c r="X433" i="4"/>
  <c r="W433" i="4"/>
  <c r="U433" i="4"/>
  <c r="R433" i="4"/>
  <c r="N433" i="4"/>
  <c r="O433" i="4" s="1"/>
  <c r="L433" i="4"/>
  <c r="H433" i="4"/>
  <c r="I433" i="4" s="1"/>
  <c r="F433" i="4"/>
  <c r="C433" i="4"/>
  <c r="AD432" i="4"/>
  <c r="AC432" i="4"/>
  <c r="AA432" i="4"/>
  <c r="W432" i="4"/>
  <c r="X432" i="4" s="1"/>
  <c r="U432" i="4"/>
  <c r="R432" i="4"/>
  <c r="N432" i="4"/>
  <c r="L432" i="4"/>
  <c r="H432" i="4"/>
  <c r="I432" i="4" s="1"/>
  <c r="F432" i="4"/>
  <c r="C432" i="4"/>
  <c r="Z429" i="4"/>
  <c r="AA429" i="4" s="1"/>
  <c r="X429" i="4"/>
  <c r="U429" i="4"/>
  <c r="T429" i="4"/>
  <c r="W429" i="4" s="1"/>
  <c r="R429" i="4"/>
  <c r="Q429" i="4"/>
  <c r="L429" i="4"/>
  <c r="K429" i="4"/>
  <c r="H429" i="4"/>
  <c r="I429" i="4" s="1"/>
  <c r="F429" i="4"/>
  <c r="E429" i="4"/>
  <c r="B429" i="4"/>
  <c r="Z428" i="4"/>
  <c r="AA428" i="4" s="1"/>
  <c r="U428" i="4"/>
  <c r="T428" i="4"/>
  <c r="Q428" i="4"/>
  <c r="L428" i="4"/>
  <c r="K428" i="4"/>
  <c r="F428" i="4"/>
  <c r="E428" i="4"/>
  <c r="B428" i="4"/>
  <c r="AD427" i="4"/>
  <c r="AC427" i="4"/>
  <c r="AA427" i="4"/>
  <c r="W427" i="4"/>
  <c r="X427" i="4" s="1"/>
  <c r="U427" i="4"/>
  <c r="R427" i="4"/>
  <c r="N427" i="4"/>
  <c r="O427" i="4" s="1"/>
  <c r="L427" i="4"/>
  <c r="I427" i="4"/>
  <c r="H427" i="4"/>
  <c r="F427" i="4"/>
  <c r="C427" i="4"/>
  <c r="AC426" i="4"/>
  <c r="AD426" i="4" s="1"/>
  <c r="AA426" i="4"/>
  <c r="W426" i="4"/>
  <c r="X426" i="4" s="1"/>
  <c r="U426" i="4"/>
  <c r="R426" i="4"/>
  <c r="N426" i="4"/>
  <c r="O426" i="4" s="1"/>
  <c r="L426" i="4"/>
  <c r="I426" i="4"/>
  <c r="H426" i="4"/>
  <c r="F426" i="4"/>
  <c r="C426" i="4"/>
  <c r="AC425" i="4"/>
  <c r="AD425" i="4" s="1"/>
  <c r="AA425" i="4"/>
  <c r="W425" i="4"/>
  <c r="X425" i="4" s="1"/>
  <c r="U425" i="4"/>
  <c r="R425" i="4"/>
  <c r="N425" i="4"/>
  <c r="L425" i="4"/>
  <c r="I425" i="4"/>
  <c r="H425" i="4"/>
  <c r="F425" i="4"/>
  <c r="C425" i="4"/>
  <c r="AD424" i="4"/>
  <c r="AC424" i="4"/>
  <c r="AA424" i="4"/>
  <c r="X424" i="4"/>
  <c r="W424" i="4"/>
  <c r="U424" i="4"/>
  <c r="R424" i="4"/>
  <c r="N424" i="4"/>
  <c r="O424" i="4" s="1"/>
  <c r="L424" i="4"/>
  <c r="H424" i="4"/>
  <c r="F424" i="4"/>
  <c r="C424" i="4"/>
  <c r="AC423" i="4"/>
  <c r="AA423" i="4"/>
  <c r="W423" i="4"/>
  <c r="X423" i="4" s="1"/>
  <c r="U423" i="4"/>
  <c r="R423" i="4"/>
  <c r="O423" i="4"/>
  <c r="N423" i="4"/>
  <c r="L423" i="4"/>
  <c r="I423" i="4"/>
  <c r="H423" i="4"/>
  <c r="F423" i="4"/>
  <c r="C423" i="4"/>
  <c r="AC422" i="4"/>
  <c r="AD422" i="4" s="1"/>
  <c r="AA422" i="4"/>
  <c r="W422" i="4"/>
  <c r="X422" i="4" s="1"/>
  <c r="U422" i="4"/>
  <c r="R422" i="4"/>
  <c r="O422" i="4"/>
  <c r="N422" i="4"/>
  <c r="L422" i="4"/>
  <c r="I422" i="4"/>
  <c r="H422" i="4"/>
  <c r="F422" i="4"/>
  <c r="C422" i="4"/>
  <c r="AD421" i="4"/>
  <c r="AC421" i="4"/>
  <c r="AA421" i="4"/>
  <c r="W421" i="4"/>
  <c r="X421" i="4" s="1"/>
  <c r="U421" i="4"/>
  <c r="R421" i="4"/>
  <c r="N421" i="4"/>
  <c r="O421" i="4" s="1"/>
  <c r="L421" i="4"/>
  <c r="H421" i="4"/>
  <c r="F421" i="4"/>
  <c r="C421" i="4"/>
  <c r="AC420" i="4"/>
  <c r="AD420" i="4" s="1"/>
  <c r="AA420" i="4"/>
  <c r="X420" i="4"/>
  <c r="W420" i="4"/>
  <c r="U420" i="4"/>
  <c r="R420" i="4"/>
  <c r="N420" i="4"/>
  <c r="L420" i="4"/>
  <c r="H420" i="4"/>
  <c r="I420" i="4" s="1"/>
  <c r="F420" i="4"/>
  <c r="C420" i="4"/>
  <c r="AD419" i="4"/>
  <c r="AC419" i="4"/>
  <c r="AA419" i="4"/>
  <c r="W419" i="4"/>
  <c r="X419" i="4" s="1"/>
  <c r="U419" i="4"/>
  <c r="R419" i="4"/>
  <c r="N419" i="4"/>
  <c r="O419" i="4" s="1"/>
  <c r="L419" i="4"/>
  <c r="H419" i="4"/>
  <c r="I419" i="4" s="1"/>
  <c r="F419" i="4"/>
  <c r="C419" i="4"/>
  <c r="AD418" i="4"/>
  <c r="AC418" i="4"/>
  <c r="AA418" i="4"/>
  <c r="W418" i="4"/>
  <c r="X418" i="4" s="1"/>
  <c r="U418" i="4"/>
  <c r="R418" i="4"/>
  <c r="O418" i="4"/>
  <c r="N418" i="4"/>
  <c r="L418" i="4"/>
  <c r="H418" i="4"/>
  <c r="F418" i="4"/>
  <c r="C418" i="4"/>
  <c r="AC417" i="4"/>
  <c r="AD417" i="4" s="1"/>
  <c r="AA417" i="4"/>
  <c r="X417" i="4"/>
  <c r="W417" i="4"/>
  <c r="U417" i="4"/>
  <c r="R417" i="4"/>
  <c r="N417" i="4"/>
  <c r="O417" i="4" s="1"/>
  <c r="L417" i="4"/>
  <c r="H417" i="4"/>
  <c r="I417" i="4" s="1"/>
  <c r="F417" i="4"/>
  <c r="C417" i="4"/>
  <c r="AD416" i="4"/>
  <c r="AC416" i="4"/>
  <c r="AA416" i="4"/>
  <c r="W416" i="4"/>
  <c r="X416" i="4" s="1"/>
  <c r="U416" i="4"/>
  <c r="R416" i="4"/>
  <c r="N416" i="4"/>
  <c r="O416" i="4" s="1"/>
  <c r="L416" i="4"/>
  <c r="H416" i="4"/>
  <c r="I416" i="4" s="1"/>
  <c r="F416" i="4"/>
  <c r="C416" i="4"/>
  <c r="AD415" i="4"/>
  <c r="AC415" i="4"/>
  <c r="AA415" i="4"/>
  <c r="X415" i="4"/>
  <c r="W415" i="4"/>
  <c r="U415" i="4"/>
  <c r="R415" i="4"/>
  <c r="N415" i="4"/>
  <c r="L415" i="4"/>
  <c r="H415" i="4"/>
  <c r="I415" i="4" s="1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I414" i="4"/>
  <c r="H414" i="4"/>
  <c r="F414" i="4"/>
  <c r="C414" i="4"/>
  <c r="AD413" i="4"/>
  <c r="AC413" i="4"/>
  <c r="AA413" i="4"/>
  <c r="W413" i="4"/>
  <c r="X413" i="4" s="1"/>
  <c r="U413" i="4"/>
  <c r="R413" i="4"/>
  <c r="N413" i="4"/>
  <c r="L413" i="4"/>
  <c r="H413" i="4"/>
  <c r="I413" i="4" s="1"/>
  <c r="F413" i="4"/>
  <c r="C413" i="4"/>
  <c r="AC412" i="4"/>
  <c r="AD412" i="4" s="1"/>
  <c r="AA412" i="4"/>
  <c r="W412" i="4"/>
  <c r="X412" i="4" s="1"/>
  <c r="U412" i="4"/>
  <c r="R412" i="4"/>
  <c r="N412" i="4"/>
  <c r="O412" i="4" s="1"/>
  <c r="L412" i="4"/>
  <c r="H412" i="4"/>
  <c r="I412" i="4" s="1"/>
  <c r="F412" i="4"/>
  <c r="C412" i="4"/>
  <c r="AD411" i="4"/>
  <c r="AC411" i="4"/>
  <c r="AA411" i="4"/>
  <c r="W411" i="4"/>
  <c r="X411" i="4" s="1"/>
  <c r="U411" i="4"/>
  <c r="R411" i="4"/>
  <c r="N411" i="4"/>
  <c r="L411" i="4"/>
  <c r="I411" i="4"/>
  <c r="H411" i="4"/>
  <c r="F411" i="4"/>
  <c r="C411" i="4"/>
  <c r="AC410" i="4"/>
  <c r="AD410" i="4" s="1"/>
  <c r="AA410" i="4"/>
  <c r="W410" i="4"/>
  <c r="X410" i="4" s="1"/>
  <c r="U410" i="4"/>
  <c r="R410" i="4"/>
  <c r="N410" i="4"/>
  <c r="O410" i="4" s="1"/>
  <c r="L410" i="4"/>
  <c r="I410" i="4"/>
  <c r="H410" i="4"/>
  <c r="F410" i="4"/>
  <c r="C410" i="4"/>
  <c r="AC409" i="4"/>
  <c r="AD409" i="4" s="1"/>
  <c r="AA409" i="4"/>
  <c r="W409" i="4"/>
  <c r="X409" i="4" s="1"/>
  <c r="U409" i="4"/>
  <c r="R409" i="4"/>
  <c r="N409" i="4"/>
  <c r="L409" i="4"/>
  <c r="I409" i="4"/>
  <c r="H409" i="4"/>
  <c r="F409" i="4"/>
  <c r="C409" i="4"/>
  <c r="AC408" i="4"/>
  <c r="AD408" i="4" s="1"/>
  <c r="AA408" i="4"/>
  <c r="W408" i="4"/>
  <c r="X408" i="4" s="1"/>
  <c r="U408" i="4"/>
  <c r="R408" i="4"/>
  <c r="N408" i="4"/>
  <c r="L408" i="4"/>
  <c r="I408" i="4"/>
  <c r="H408" i="4"/>
  <c r="F408" i="4"/>
  <c r="C408" i="4"/>
  <c r="AC407" i="4"/>
  <c r="AA407" i="4"/>
  <c r="W407" i="4"/>
  <c r="X407" i="4" s="1"/>
  <c r="U407" i="4"/>
  <c r="R407" i="4"/>
  <c r="N407" i="4"/>
  <c r="L407" i="4"/>
  <c r="I407" i="4"/>
  <c r="H407" i="4"/>
  <c r="F407" i="4"/>
  <c r="C407" i="4"/>
  <c r="Z403" i="4"/>
  <c r="AA403" i="4" s="1"/>
  <c r="W403" i="4"/>
  <c r="X403" i="4" s="1"/>
  <c r="U403" i="4"/>
  <c r="T403" i="4"/>
  <c r="R403" i="4"/>
  <c r="Q403" i="4"/>
  <c r="K403" i="4"/>
  <c r="L403" i="4" s="1"/>
  <c r="E403" i="4"/>
  <c r="F403" i="4" s="1"/>
  <c r="B403" i="4"/>
  <c r="AC402" i="4"/>
  <c r="AD402" i="4" s="1"/>
  <c r="AA402" i="4"/>
  <c r="W402" i="4"/>
  <c r="X402" i="4" s="1"/>
  <c r="U402" i="4"/>
  <c r="R402" i="4"/>
  <c r="N402" i="4"/>
  <c r="L402" i="4"/>
  <c r="H402" i="4"/>
  <c r="F402" i="4"/>
  <c r="C402" i="4"/>
  <c r="AD401" i="4"/>
  <c r="AC401" i="4"/>
  <c r="AA401" i="4"/>
  <c r="X401" i="4"/>
  <c r="W401" i="4"/>
  <c r="U401" i="4"/>
  <c r="R401" i="4"/>
  <c r="N401" i="4"/>
  <c r="O401" i="4" s="1"/>
  <c r="L401" i="4"/>
  <c r="I401" i="4"/>
  <c r="H401" i="4"/>
  <c r="F401" i="4"/>
  <c r="C401" i="4"/>
  <c r="AC400" i="4"/>
  <c r="AD400" i="4" s="1"/>
  <c r="AA400" i="4"/>
  <c r="W400" i="4"/>
  <c r="X400" i="4" s="1"/>
  <c r="U400" i="4"/>
  <c r="R400" i="4"/>
  <c r="N400" i="4"/>
  <c r="O400" i="4" s="1"/>
  <c r="L400" i="4"/>
  <c r="H400" i="4"/>
  <c r="I400" i="4" s="1"/>
  <c r="F400" i="4"/>
  <c r="C400" i="4"/>
  <c r="AD399" i="4"/>
  <c r="AC399" i="4"/>
  <c r="AA399" i="4"/>
  <c r="W399" i="4"/>
  <c r="X399" i="4" s="1"/>
  <c r="U399" i="4"/>
  <c r="R399" i="4"/>
  <c r="N399" i="4"/>
  <c r="O399" i="4" s="1"/>
  <c r="L399" i="4"/>
  <c r="I399" i="4"/>
  <c r="H399" i="4"/>
  <c r="F399" i="4"/>
  <c r="C399" i="4"/>
  <c r="AC398" i="4"/>
  <c r="AD398" i="4" s="1"/>
  <c r="AA398" i="4"/>
  <c r="W398" i="4"/>
  <c r="X398" i="4" s="1"/>
  <c r="U398" i="4"/>
  <c r="R398" i="4"/>
  <c r="O398" i="4"/>
  <c r="N398" i="4"/>
  <c r="L398" i="4"/>
  <c r="I398" i="4"/>
  <c r="H398" i="4"/>
  <c r="F398" i="4"/>
  <c r="C398" i="4"/>
  <c r="AC397" i="4"/>
  <c r="AD397" i="4" s="1"/>
  <c r="AA397" i="4"/>
  <c r="W397" i="4"/>
  <c r="X397" i="4" s="1"/>
  <c r="U397" i="4"/>
  <c r="R397" i="4"/>
  <c r="N397" i="4"/>
  <c r="L397" i="4"/>
  <c r="I397" i="4"/>
  <c r="H397" i="4"/>
  <c r="F397" i="4"/>
  <c r="C397" i="4"/>
  <c r="Z396" i="4"/>
  <c r="AA396" i="4" s="1"/>
  <c r="X396" i="4"/>
  <c r="U396" i="4"/>
  <c r="T396" i="4"/>
  <c r="Q396" i="4"/>
  <c r="W396" i="4" s="1"/>
  <c r="N396" i="4"/>
  <c r="O396" i="4" s="1"/>
  <c r="L396" i="4"/>
  <c r="K396" i="4"/>
  <c r="E396" i="4"/>
  <c r="F396" i="4" s="1"/>
  <c r="C396" i="4"/>
  <c r="B396" i="4"/>
  <c r="AD395" i="4"/>
  <c r="AC395" i="4"/>
  <c r="AA395" i="4"/>
  <c r="W395" i="4"/>
  <c r="X395" i="4" s="1"/>
  <c r="U395" i="4"/>
  <c r="R395" i="4"/>
  <c r="N395" i="4"/>
  <c r="L395" i="4"/>
  <c r="I395" i="4"/>
  <c r="H395" i="4"/>
  <c r="F395" i="4"/>
  <c r="C395" i="4"/>
  <c r="AD394" i="4"/>
  <c r="AC394" i="4"/>
  <c r="AA394" i="4"/>
  <c r="X394" i="4"/>
  <c r="W394" i="4"/>
  <c r="U394" i="4"/>
  <c r="R394" i="4"/>
  <c r="N394" i="4"/>
  <c r="O394" i="4" s="1"/>
  <c r="L394" i="4"/>
  <c r="H394" i="4"/>
  <c r="I394" i="4" s="1"/>
  <c r="F394" i="4"/>
  <c r="C394" i="4"/>
  <c r="AC393" i="4"/>
  <c r="AD393" i="4" s="1"/>
  <c r="Z393" i="4"/>
  <c r="AA393" i="4" s="1"/>
  <c r="U393" i="4"/>
  <c r="T393" i="4"/>
  <c r="Q393" i="4"/>
  <c r="K393" i="4"/>
  <c r="L393" i="4" s="1"/>
  <c r="E393" i="4"/>
  <c r="F393" i="4" s="1"/>
  <c r="C393" i="4"/>
  <c r="B393" i="4"/>
  <c r="AD392" i="4"/>
  <c r="AC392" i="4"/>
  <c r="AA392" i="4"/>
  <c r="W392" i="4"/>
  <c r="X392" i="4" s="1"/>
  <c r="U392" i="4"/>
  <c r="R392" i="4"/>
  <c r="N392" i="4"/>
  <c r="L392" i="4"/>
  <c r="H392" i="4"/>
  <c r="F392" i="4"/>
  <c r="C392" i="4"/>
  <c r="AC391" i="4"/>
  <c r="AD391" i="4" s="1"/>
  <c r="AA391" i="4"/>
  <c r="X391" i="4"/>
  <c r="W391" i="4"/>
  <c r="U391" i="4"/>
  <c r="R391" i="4"/>
  <c r="N391" i="4"/>
  <c r="O391" i="4" s="1"/>
  <c r="L391" i="4"/>
  <c r="H391" i="4"/>
  <c r="I391" i="4" s="1"/>
  <c r="F391" i="4"/>
  <c r="C391" i="4"/>
  <c r="AD390" i="4"/>
  <c r="AC390" i="4"/>
  <c r="AA390" i="4"/>
  <c r="W390" i="4"/>
  <c r="X390" i="4" s="1"/>
  <c r="U390" i="4"/>
  <c r="R390" i="4"/>
  <c r="N390" i="4"/>
  <c r="L390" i="4"/>
  <c r="H390" i="4"/>
  <c r="I390" i="4" s="1"/>
  <c r="F390" i="4"/>
  <c r="C390" i="4"/>
  <c r="AD389" i="4"/>
  <c r="AC389" i="4"/>
  <c r="AA389" i="4"/>
  <c r="X389" i="4"/>
  <c r="W389" i="4"/>
  <c r="U389" i="4"/>
  <c r="R389" i="4"/>
  <c r="N389" i="4"/>
  <c r="O389" i="4" s="1"/>
  <c r="L389" i="4"/>
  <c r="H389" i="4"/>
  <c r="I389" i="4" s="1"/>
  <c r="F389" i="4"/>
  <c r="C389" i="4"/>
  <c r="AD388" i="4"/>
  <c r="AC388" i="4"/>
  <c r="AA388" i="4"/>
  <c r="W388" i="4"/>
  <c r="X388" i="4" s="1"/>
  <c r="U388" i="4"/>
  <c r="R388" i="4"/>
  <c r="N388" i="4"/>
  <c r="O388" i="4" s="1"/>
  <c r="L388" i="4"/>
  <c r="I388" i="4"/>
  <c r="H388" i="4"/>
  <c r="F388" i="4"/>
  <c r="C388" i="4"/>
  <c r="AD386" i="4"/>
  <c r="AC386" i="4"/>
  <c r="AA386" i="4"/>
  <c r="W386" i="4"/>
  <c r="X386" i="4" s="1"/>
  <c r="U386" i="4"/>
  <c r="R386" i="4"/>
  <c r="O386" i="4"/>
  <c r="N386" i="4"/>
  <c r="L386" i="4"/>
  <c r="I386" i="4"/>
  <c r="H386" i="4"/>
  <c r="F386" i="4"/>
  <c r="C386" i="4"/>
  <c r="AC385" i="4"/>
  <c r="AD385" i="4" s="1"/>
  <c r="AA385" i="4"/>
  <c r="W385" i="4"/>
  <c r="X385" i="4" s="1"/>
  <c r="U385" i="4"/>
  <c r="R385" i="4"/>
  <c r="N385" i="4"/>
  <c r="L385" i="4"/>
  <c r="H385" i="4"/>
  <c r="I385" i="4" s="1"/>
  <c r="F385" i="4"/>
  <c r="C385" i="4"/>
  <c r="AD383" i="4"/>
  <c r="AC383" i="4"/>
  <c r="AA383" i="4"/>
  <c r="W383" i="4"/>
  <c r="X383" i="4" s="1"/>
  <c r="U383" i="4"/>
  <c r="R383" i="4"/>
  <c r="O383" i="4"/>
  <c r="N383" i="4"/>
  <c r="L383" i="4"/>
  <c r="I383" i="4"/>
  <c r="H383" i="4"/>
  <c r="F383" i="4"/>
  <c r="C383" i="4"/>
  <c r="AC382" i="4"/>
  <c r="AD382" i="4" s="1"/>
  <c r="AA382" i="4"/>
  <c r="W382" i="4"/>
  <c r="X382" i="4" s="1"/>
  <c r="U382" i="4"/>
  <c r="R382" i="4"/>
  <c r="O382" i="4"/>
  <c r="N382" i="4"/>
  <c r="L382" i="4"/>
  <c r="I382" i="4"/>
  <c r="H382" i="4"/>
  <c r="F382" i="4"/>
  <c r="C382" i="4"/>
  <c r="AC381" i="4"/>
  <c r="AD381" i="4" s="1"/>
  <c r="AA381" i="4"/>
  <c r="W381" i="4"/>
  <c r="X381" i="4" s="1"/>
  <c r="U381" i="4"/>
  <c r="R381" i="4"/>
  <c r="O381" i="4"/>
  <c r="N381" i="4"/>
  <c r="L381" i="4"/>
  <c r="I381" i="4"/>
  <c r="H381" i="4"/>
  <c r="F381" i="4"/>
  <c r="C381" i="4"/>
  <c r="AC380" i="4"/>
  <c r="AD380" i="4" s="1"/>
  <c r="AA380" i="4"/>
  <c r="X380" i="4"/>
  <c r="W380" i="4"/>
  <c r="U380" i="4"/>
  <c r="R380" i="4"/>
  <c r="N380" i="4"/>
  <c r="L380" i="4"/>
  <c r="I380" i="4"/>
  <c r="H380" i="4"/>
  <c r="F380" i="4"/>
  <c r="C380" i="4"/>
  <c r="AC379" i="4"/>
  <c r="AA379" i="4"/>
  <c r="W379" i="4"/>
  <c r="X379" i="4" s="1"/>
  <c r="U379" i="4"/>
  <c r="R379" i="4"/>
  <c r="O379" i="4"/>
  <c r="N379" i="4"/>
  <c r="L379" i="4"/>
  <c r="I379" i="4"/>
  <c r="H379" i="4"/>
  <c r="F379" i="4"/>
  <c r="C379" i="4"/>
  <c r="AC378" i="4"/>
  <c r="AD378" i="4" s="1"/>
  <c r="AA378" i="4"/>
  <c r="W378" i="4"/>
  <c r="X378" i="4" s="1"/>
  <c r="U378" i="4"/>
  <c r="R378" i="4"/>
  <c r="N378" i="4"/>
  <c r="L378" i="4"/>
  <c r="I378" i="4"/>
  <c r="H378" i="4"/>
  <c r="F378" i="4"/>
  <c r="C378" i="4"/>
  <c r="AC377" i="4"/>
  <c r="AD377" i="4" s="1"/>
  <c r="AA377" i="4"/>
  <c r="W377" i="4"/>
  <c r="X377" i="4" s="1"/>
  <c r="U377" i="4"/>
  <c r="R377" i="4"/>
  <c r="O377" i="4"/>
  <c r="N377" i="4"/>
  <c r="L377" i="4"/>
  <c r="H377" i="4"/>
  <c r="I377" i="4" s="1"/>
  <c r="F377" i="4"/>
  <c r="C377" i="4"/>
  <c r="AC376" i="4"/>
  <c r="AD376" i="4" s="1"/>
  <c r="AA376" i="4"/>
  <c r="X376" i="4"/>
  <c r="W376" i="4"/>
  <c r="U376" i="4"/>
  <c r="R376" i="4"/>
  <c r="N376" i="4"/>
  <c r="L376" i="4"/>
  <c r="H376" i="4"/>
  <c r="I376" i="4" s="1"/>
  <c r="F376" i="4"/>
  <c r="C376" i="4"/>
  <c r="AD375" i="4"/>
  <c r="AC375" i="4"/>
  <c r="AA375" i="4"/>
  <c r="W375" i="4"/>
  <c r="X375" i="4" s="1"/>
  <c r="U375" i="4"/>
  <c r="R375" i="4"/>
  <c r="N375" i="4"/>
  <c r="L375" i="4"/>
  <c r="H375" i="4"/>
  <c r="I375" i="4" s="1"/>
  <c r="F375" i="4"/>
  <c r="C375" i="4"/>
  <c r="AD374" i="4"/>
  <c r="AC374" i="4"/>
  <c r="AA374" i="4"/>
  <c r="W374" i="4"/>
  <c r="X374" i="4" s="1"/>
  <c r="U374" i="4"/>
  <c r="R374" i="4"/>
  <c r="O374" i="4"/>
  <c r="N374" i="4"/>
  <c r="L374" i="4"/>
  <c r="H374" i="4"/>
  <c r="F374" i="4"/>
  <c r="C374" i="4"/>
  <c r="AD373" i="4"/>
  <c r="AC373" i="4"/>
  <c r="AA373" i="4"/>
  <c r="X373" i="4"/>
  <c r="W373" i="4"/>
  <c r="U373" i="4"/>
  <c r="R373" i="4"/>
  <c r="N373" i="4"/>
  <c r="L373" i="4"/>
  <c r="H373" i="4"/>
  <c r="I373" i="4" s="1"/>
  <c r="F373" i="4"/>
  <c r="C373" i="4"/>
  <c r="AD372" i="4"/>
  <c r="AC372" i="4"/>
  <c r="AA372" i="4"/>
  <c r="X372" i="4"/>
  <c r="W372" i="4"/>
  <c r="U372" i="4"/>
  <c r="R372" i="4"/>
  <c r="N372" i="4"/>
  <c r="L372" i="4"/>
  <c r="H372" i="4"/>
  <c r="I372" i="4" s="1"/>
  <c r="F372" i="4"/>
  <c r="C372" i="4"/>
  <c r="AD371" i="4"/>
  <c r="AC371" i="4"/>
  <c r="AA371" i="4"/>
  <c r="X371" i="4"/>
  <c r="W371" i="4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L370" i="4"/>
  <c r="I370" i="4"/>
  <c r="H370" i="4"/>
  <c r="F370" i="4"/>
  <c r="C370" i="4"/>
  <c r="AD369" i="4"/>
  <c r="AC369" i="4"/>
  <c r="AA369" i="4"/>
  <c r="W369" i="4"/>
  <c r="X369" i="4" s="1"/>
  <c r="U369" i="4"/>
  <c r="R369" i="4"/>
  <c r="N369" i="4"/>
  <c r="O369" i="4" s="1"/>
  <c r="L369" i="4"/>
  <c r="I369" i="4"/>
  <c r="H369" i="4"/>
  <c r="F369" i="4"/>
  <c r="C369" i="4"/>
  <c r="AA368" i="4"/>
  <c r="Z368" i="4"/>
  <c r="W368" i="4"/>
  <c r="X368" i="4" s="1"/>
  <c r="U368" i="4"/>
  <c r="T368" i="4"/>
  <c r="Q368" i="4"/>
  <c r="K368" i="4"/>
  <c r="L368" i="4" s="1"/>
  <c r="F368" i="4"/>
  <c r="E368" i="4"/>
  <c r="B368" i="4"/>
  <c r="AC367" i="4"/>
  <c r="AD367" i="4" s="1"/>
  <c r="AA367" i="4"/>
  <c r="W367" i="4"/>
  <c r="X367" i="4" s="1"/>
  <c r="U367" i="4"/>
  <c r="R367" i="4"/>
  <c r="N367" i="4"/>
  <c r="O367" i="4" s="1"/>
  <c r="L367" i="4"/>
  <c r="I367" i="4"/>
  <c r="H367" i="4"/>
  <c r="F367" i="4"/>
  <c r="C367" i="4"/>
  <c r="AC366" i="4"/>
  <c r="AD366" i="4" s="1"/>
  <c r="AA366" i="4"/>
  <c r="W366" i="4"/>
  <c r="X366" i="4" s="1"/>
  <c r="U366" i="4"/>
  <c r="R366" i="4"/>
  <c r="N366" i="4"/>
  <c r="L366" i="4"/>
  <c r="I366" i="4"/>
  <c r="H366" i="4"/>
  <c r="F366" i="4"/>
  <c r="C366" i="4"/>
  <c r="AC365" i="4"/>
  <c r="AD365" i="4" s="1"/>
  <c r="AA365" i="4"/>
  <c r="W365" i="4"/>
  <c r="X365" i="4" s="1"/>
  <c r="U365" i="4"/>
  <c r="R365" i="4"/>
  <c r="N365" i="4"/>
  <c r="O365" i="4" s="1"/>
  <c r="L365" i="4"/>
  <c r="I365" i="4"/>
  <c r="H365" i="4"/>
  <c r="F365" i="4"/>
  <c r="C365" i="4"/>
  <c r="AC364" i="4"/>
  <c r="AA364" i="4"/>
  <c r="X364" i="4"/>
  <c r="W364" i="4"/>
  <c r="U364" i="4"/>
  <c r="R364" i="4"/>
  <c r="N364" i="4"/>
  <c r="L364" i="4"/>
  <c r="H364" i="4"/>
  <c r="I364" i="4" s="1"/>
  <c r="F364" i="4"/>
  <c r="C364" i="4"/>
  <c r="AD363" i="4"/>
  <c r="AC363" i="4"/>
  <c r="AA363" i="4"/>
  <c r="W363" i="4"/>
  <c r="X363" i="4" s="1"/>
  <c r="U363" i="4"/>
  <c r="R363" i="4"/>
  <c r="N363" i="4"/>
  <c r="L363" i="4"/>
  <c r="I363" i="4"/>
  <c r="H363" i="4"/>
  <c r="F363" i="4"/>
  <c r="C363" i="4"/>
  <c r="AD362" i="4"/>
  <c r="AC362" i="4"/>
  <c r="AA362" i="4"/>
  <c r="X362" i="4"/>
  <c r="W362" i="4"/>
  <c r="U362" i="4"/>
  <c r="R362" i="4"/>
  <c r="N362" i="4"/>
  <c r="O362" i="4" s="1"/>
  <c r="L362" i="4"/>
  <c r="H362" i="4"/>
  <c r="I362" i="4" s="1"/>
  <c r="F362" i="4"/>
  <c r="C362" i="4"/>
  <c r="AD361" i="4"/>
  <c r="AC361" i="4"/>
  <c r="AA361" i="4"/>
  <c r="X361" i="4"/>
  <c r="W361" i="4"/>
  <c r="U361" i="4"/>
  <c r="R361" i="4"/>
  <c r="N361" i="4"/>
  <c r="L361" i="4"/>
  <c r="H361" i="4"/>
  <c r="I361" i="4" s="1"/>
  <c r="F361" i="4"/>
  <c r="C361" i="4"/>
  <c r="AD360" i="4"/>
  <c r="AC360" i="4"/>
  <c r="AA360" i="4"/>
  <c r="X360" i="4"/>
  <c r="W360" i="4"/>
  <c r="U360" i="4"/>
  <c r="R360" i="4"/>
  <c r="N360" i="4"/>
  <c r="L360" i="4"/>
  <c r="H360" i="4"/>
  <c r="I360" i="4" s="1"/>
  <c r="F360" i="4"/>
  <c r="C360" i="4"/>
  <c r="AA358" i="4"/>
  <c r="Z358" i="4"/>
  <c r="T358" i="4"/>
  <c r="R358" i="4"/>
  <c r="Q358" i="4"/>
  <c r="AC358" i="4" s="1"/>
  <c r="AD358" i="4" s="1"/>
  <c r="L358" i="4"/>
  <c r="K358" i="4"/>
  <c r="H358" i="4"/>
  <c r="I358" i="4" s="1"/>
  <c r="E358" i="4"/>
  <c r="F358" i="4" s="1"/>
  <c r="C358" i="4"/>
  <c r="B358" i="4"/>
  <c r="N358" i="4" s="1"/>
  <c r="O358" i="4" s="1"/>
  <c r="AD357" i="4"/>
  <c r="AC357" i="4"/>
  <c r="AA357" i="4"/>
  <c r="X357" i="4"/>
  <c r="W357" i="4"/>
  <c r="U357" i="4"/>
  <c r="R357" i="4"/>
  <c r="N357" i="4"/>
  <c r="L357" i="4"/>
  <c r="H357" i="4"/>
  <c r="I357" i="4" s="1"/>
  <c r="F357" i="4"/>
  <c r="C357" i="4"/>
  <c r="AD356" i="4"/>
  <c r="AC356" i="4"/>
  <c r="AA356" i="4"/>
  <c r="X356" i="4"/>
  <c r="W356" i="4"/>
  <c r="U356" i="4"/>
  <c r="R356" i="4"/>
  <c r="O356" i="4"/>
  <c r="N356" i="4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N355" i="4"/>
  <c r="L355" i="4"/>
  <c r="I355" i="4"/>
  <c r="H355" i="4"/>
  <c r="F355" i="4"/>
  <c r="C355" i="4"/>
  <c r="AD354" i="4"/>
  <c r="AC354" i="4"/>
  <c r="AA354" i="4"/>
  <c r="X354" i="4"/>
  <c r="W354" i="4"/>
  <c r="U354" i="4"/>
  <c r="R354" i="4"/>
  <c r="N354" i="4"/>
  <c r="O354" i="4" s="1"/>
  <c r="L354" i="4"/>
  <c r="H354" i="4"/>
  <c r="I354" i="4" s="1"/>
  <c r="F354" i="4"/>
  <c r="C354" i="4"/>
  <c r="AC353" i="4"/>
  <c r="AD353" i="4" s="1"/>
  <c r="AA353" i="4"/>
  <c r="W353" i="4"/>
  <c r="X353" i="4" s="1"/>
  <c r="U353" i="4"/>
  <c r="R353" i="4"/>
  <c r="N353" i="4"/>
  <c r="O353" i="4" s="1"/>
  <c r="L353" i="4"/>
  <c r="I353" i="4"/>
  <c r="H353" i="4"/>
  <c r="F353" i="4"/>
  <c r="C353" i="4"/>
  <c r="AD352" i="4"/>
  <c r="AC352" i="4"/>
  <c r="AA352" i="4"/>
  <c r="W352" i="4"/>
  <c r="X352" i="4" s="1"/>
  <c r="U352" i="4"/>
  <c r="R352" i="4"/>
  <c r="O352" i="4"/>
  <c r="N352" i="4"/>
  <c r="L352" i="4"/>
  <c r="I352" i="4"/>
  <c r="H352" i="4"/>
  <c r="F352" i="4"/>
  <c r="C352" i="4"/>
  <c r="AC351" i="4"/>
  <c r="AD351" i="4" s="1"/>
  <c r="AA351" i="4"/>
  <c r="W351" i="4"/>
  <c r="X351" i="4" s="1"/>
  <c r="U351" i="4"/>
  <c r="R351" i="4"/>
  <c r="O351" i="4"/>
  <c r="N351" i="4"/>
  <c r="L351" i="4"/>
  <c r="I351" i="4"/>
  <c r="H351" i="4"/>
  <c r="F351" i="4"/>
  <c r="C351" i="4"/>
  <c r="AC350" i="4"/>
  <c r="AD350" i="4" s="1"/>
  <c r="AA350" i="4"/>
  <c r="W350" i="4"/>
  <c r="X350" i="4" s="1"/>
  <c r="U350" i="4"/>
  <c r="R350" i="4"/>
  <c r="O350" i="4"/>
  <c r="N350" i="4"/>
  <c r="L350" i="4"/>
  <c r="I350" i="4"/>
  <c r="H350" i="4"/>
  <c r="F350" i="4"/>
  <c r="C350" i="4"/>
  <c r="AC349" i="4"/>
  <c r="AD349" i="4" s="1"/>
  <c r="AA349" i="4"/>
  <c r="W349" i="4"/>
  <c r="X349" i="4" s="1"/>
  <c r="U349" i="4"/>
  <c r="R349" i="4"/>
  <c r="N349" i="4"/>
  <c r="O349" i="4" s="1"/>
  <c r="L349" i="4"/>
  <c r="I349" i="4"/>
  <c r="H349" i="4"/>
  <c r="F349" i="4"/>
  <c r="C349" i="4"/>
  <c r="AC347" i="4"/>
  <c r="AA347" i="4"/>
  <c r="W347" i="4"/>
  <c r="X347" i="4" s="1"/>
  <c r="U347" i="4"/>
  <c r="R347" i="4"/>
  <c r="N347" i="4"/>
  <c r="L347" i="4"/>
  <c r="H347" i="4"/>
  <c r="I347" i="4" s="1"/>
  <c r="F347" i="4"/>
  <c r="C347" i="4"/>
  <c r="Z344" i="4"/>
  <c r="AA344" i="4" s="1"/>
  <c r="X344" i="4"/>
  <c r="W344" i="4"/>
  <c r="U344" i="4"/>
  <c r="T344" i="4"/>
  <c r="R344" i="4"/>
  <c r="Q344" i="4"/>
  <c r="N344" i="4"/>
  <c r="O344" i="4" s="1"/>
  <c r="L344" i="4"/>
  <c r="K344" i="4"/>
  <c r="E344" i="4"/>
  <c r="F344" i="4" s="1"/>
  <c r="B344" i="4"/>
  <c r="AD343" i="4"/>
  <c r="AC343" i="4"/>
  <c r="AA343" i="4"/>
  <c r="Z343" i="4"/>
  <c r="T343" i="4"/>
  <c r="U343" i="4" s="1"/>
  <c r="Q343" i="4"/>
  <c r="K343" i="4"/>
  <c r="L343" i="4" s="1"/>
  <c r="I343" i="4"/>
  <c r="E343" i="4"/>
  <c r="H343" i="4" s="1"/>
  <c r="C343" i="4"/>
  <c r="B343" i="4"/>
  <c r="AC342" i="4"/>
  <c r="AD342" i="4" s="1"/>
  <c r="AA342" i="4"/>
  <c r="Z342" i="4"/>
  <c r="U342" i="4"/>
  <c r="T342" i="4"/>
  <c r="Q342" i="4"/>
  <c r="R342" i="4" s="1"/>
  <c r="L342" i="4"/>
  <c r="K342" i="4"/>
  <c r="F342" i="4"/>
  <c r="E342" i="4"/>
  <c r="C342" i="4"/>
  <c r="B342" i="4"/>
  <c r="AC341" i="4"/>
  <c r="AD341" i="4" s="1"/>
  <c r="AA341" i="4"/>
  <c r="W341" i="4"/>
  <c r="X341" i="4" s="1"/>
  <c r="U341" i="4"/>
  <c r="R341" i="4"/>
  <c r="N341" i="4"/>
  <c r="O341" i="4" s="1"/>
  <c r="L341" i="4"/>
  <c r="I341" i="4"/>
  <c r="H341" i="4"/>
  <c r="F341" i="4"/>
  <c r="C341" i="4"/>
  <c r="AC340" i="4"/>
  <c r="AD340" i="4" s="1"/>
  <c r="AA340" i="4"/>
  <c r="W340" i="4"/>
  <c r="X340" i="4" s="1"/>
  <c r="U340" i="4"/>
  <c r="R340" i="4"/>
  <c r="O340" i="4"/>
  <c r="N340" i="4"/>
  <c r="L340" i="4"/>
  <c r="I340" i="4"/>
  <c r="H340" i="4"/>
  <c r="F340" i="4"/>
  <c r="C340" i="4"/>
  <c r="AC339" i="4"/>
  <c r="AD339" i="4" s="1"/>
  <c r="AA339" i="4"/>
  <c r="X339" i="4"/>
  <c r="W339" i="4"/>
  <c r="U339" i="4"/>
  <c r="R339" i="4"/>
  <c r="N339" i="4"/>
  <c r="L339" i="4"/>
  <c r="I339" i="4"/>
  <c r="H339" i="4"/>
  <c r="F339" i="4"/>
  <c r="C339" i="4"/>
  <c r="AC338" i="4"/>
  <c r="AA338" i="4"/>
  <c r="W338" i="4"/>
  <c r="X338" i="4" s="1"/>
  <c r="U338" i="4"/>
  <c r="R338" i="4"/>
  <c r="O338" i="4"/>
  <c r="N338" i="4"/>
  <c r="L338" i="4"/>
  <c r="I338" i="4"/>
  <c r="H338" i="4"/>
  <c r="F338" i="4"/>
  <c r="C338" i="4"/>
  <c r="AD337" i="4"/>
  <c r="AC337" i="4"/>
  <c r="AA337" i="4"/>
  <c r="W337" i="4"/>
  <c r="X337" i="4" s="1"/>
  <c r="U337" i="4"/>
  <c r="R337" i="4"/>
  <c r="O337" i="4"/>
  <c r="N337" i="4"/>
  <c r="L337" i="4"/>
  <c r="I337" i="4"/>
  <c r="H337" i="4"/>
  <c r="F337" i="4"/>
  <c r="C337" i="4"/>
  <c r="AC335" i="4"/>
  <c r="AD335" i="4" s="1"/>
  <c r="AA335" i="4"/>
  <c r="W335" i="4"/>
  <c r="X335" i="4" s="1"/>
  <c r="U335" i="4"/>
  <c r="R335" i="4"/>
  <c r="N335" i="4"/>
  <c r="L335" i="4"/>
  <c r="H335" i="4"/>
  <c r="I335" i="4" s="1"/>
  <c r="F335" i="4"/>
  <c r="C335" i="4"/>
  <c r="AC334" i="4"/>
  <c r="AD334" i="4" s="1"/>
  <c r="AA334" i="4"/>
  <c r="X334" i="4"/>
  <c r="W334" i="4"/>
  <c r="U334" i="4"/>
  <c r="R334" i="4"/>
  <c r="N334" i="4"/>
  <c r="L334" i="4"/>
  <c r="H334" i="4"/>
  <c r="I334" i="4" s="1"/>
  <c r="F334" i="4"/>
  <c r="C334" i="4"/>
  <c r="AD333" i="4"/>
  <c r="AC333" i="4"/>
  <c r="AA333" i="4"/>
  <c r="W333" i="4"/>
  <c r="X333" i="4" s="1"/>
  <c r="U333" i="4"/>
  <c r="R333" i="4"/>
  <c r="N333" i="4"/>
  <c r="L333" i="4"/>
  <c r="H333" i="4"/>
  <c r="I333" i="4" s="1"/>
  <c r="F333" i="4"/>
  <c r="C333" i="4"/>
  <c r="AD332" i="4"/>
  <c r="AC332" i="4"/>
  <c r="AA332" i="4"/>
  <c r="W332" i="4"/>
  <c r="X332" i="4" s="1"/>
  <c r="U332" i="4"/>
  <c r="R332" i="4"/>
  <c r="O332" i="4"/>
  <c r="N332" i="4"/>
  <c r="L332" i="4"/>
  <c r="H332" i="4"/>
  <c r="F332" i="4"/>
  <c r="C332" i="4"/>
  <c r="AC331" i="4"/>
  <c r="AD331" i="4" s="1"/>
  <c r="AA331" i="4"/>
  <c r="X331" i="4"/>
  <c r="W331" i="4"/>
  <c r="U331" i="4"/>
  <c r="R331" i="4"/>
  <c r="N331" i="4"/>
  <c r="L331" i="4"/>
  <c r="H331" i="4"/>
  <c r="I331" i="4" s="1"/>
  <c r="F331" i="4"/>
  <c r="C331" i="4"/>
  <c r="AD330" i="4"/>
  <c r="AC330" i="4"/>
  <c r="AA330" i="4"/>
  <c r="W330" i="4"/>
  <c r="X330" i="4" s="1"/>
  <c r="U330" i="4"/>
  <c r="R330" i="4"/>
  <c r="N330" i="4"/>
  <c r="L330" i="4"/>
  <c r="H330" i="4"/>
  <c r="I330" i="4" s="1"/>
  <c r="F330" i="4"/>
  <c r="C330" i="4"/>
  <c r="AD329" i="4"/>
  <c r="AC329" i="4"/>
  <c r="AA329" i="4"/>
  <c r="X329" i="4"/>
  <c r="W329" i="4"/>
  <c r="U329" i="4"/>
  <c r="R329" i="4"/>
  <c r="N329" i="4"/>
  <c r="O329" i="4" s="1"/>
  <c r="L329" i="4"/>
  <c r="H329" i="4"/>
  <c r="I329" i="4" s="1"/>
  <c r="F329" i="4"/>
  <c r="C329" i="4"/>
  <c r="AD328" i="4"/>
  <c r="AC328" i="4"/>
  <c r="AA328" i="4"/>
  <c r="W328" i="4"/>
  <c r="X328" i="4" s="1"/>
  <c r="U328" i="4"/>
  <c r="R328" i="4"/>
  <c r="N328" i="4"/>
  <c r="O328" i="4" s="1"/>
  <c r="L328" i="4"/>
  <c r="I328" i="4"/>
  <c r="H328" i="4"/>
  <c r="F328" i="4"/>
  <c r="C328" i="4"/>
  <c r="Z325" i="4"/>
  <c r="AA325" i="4" s="1"/>
  <c r="U325" i="4"/>
  <c r="T325" i="4"/>
  <c r="Q325" i="4"/>
  <c r="L325" i="4"/>
  <c r="K325" i="4"/>
  <c r="E325" i="4"/>
  <c r="F325" i="4" s="1"/>
  <c r="B325" i="4"/>
  <c r="Z324" i="4"/>
  <c r="AA324" i="4" s="1"/>
  <c r="W324" i="4"/>
  <c r="X324" i="4" s="1"/>
  <c r="U324" i="4"/>
  <c r="T324" i="4"/>
  <c r="R324" i="4"/>
  <c r="Q324" i="4"/>
  <c r="AC324" i="4" s="1"/>
  <c r="AD324" i="4" s="1"/>
  <c r="K324" i="4"/>
  <c r="L324" i="4" s="1"/>
  <c r="F324" i="4"/>
  <c r="E324" i="4"/>
  <c r="B324" i="4"/>
  <c r="AC323" i="4"/>
  <c r="AD323" i="4" s="1"/>
  <c r="AA323" i="4"/>
  <c r="W323" i="4"/>
  <c r="X323" i="4" s="1"/>
  <c r="U323" i="4"/>
  <c r="R323" i="4"/>
  <c r="N323" i="4"/>
  <c r="L323" i="4"/>
  <c r="I323" i="4"/>
  <c r="H323" i="4"/>
  <c r="F323" i="4"/>
  <c r="C323" i="4"/>
  <c r="AC322" i="4"/>
  <c r="AD322" i="4" s="1"/>
  <c r="AA322" i="4"/>
  <c r="W322" i="4"/>
  <c r="X322" i="4" s="1"/>
  <c r="U322" i="4"/>
  <c r="R322" i="4"/>
  <c r="N322" i="4"/>
  <c r="O322" i="4" s="1"/>
  <c r="L322" i="4"/>
  <c r="I322" i="4"/>
  <c r="H322" i="4"/>
  <c r="F322" i="4"/>
  <c r="C322" i="4"/>
  <c r="AC321" i="4"/>
  <c r="AA321" i="4"/>
  <c r="X321" i="4"/>
  <c r="W321" i="4"/>
  <c r="U321" i="4"/>
  <c r="R321" i="4"/>
  <c r="N321" i="4"/>
  <c r="L321" i="4"/>
  <c r="H321" i="4"/>
  <c r="I321" i="4" s="1"/>
  <c r="F321" i="4"/>
  <c r="C321" i="4"/>
  <c r="AD320" i="4"/>
  <c r="AC320" i="4"/>
  <c r="AA320" i="4"/>
  <c r="W320" i="4"/>
  <c r="X320" i="4" s="1"/>
  <c r="U320" i="4"/>
  <c r="R320" i="4"/>
  <c r="N320" i="4"/>
  <c r="L320" i="4"/>
  <c r="I320" i="4"/>
  <c r="H320" i="4"/>
  <c r="F320" i="4"/>
  <c r="C320" i="4"/>
  <c r="AD319" i="4"/>
  <c r="AC319" i="4"/>
  <c r="AA319" i="4"/>
  <c r="X319" i="4"/>
  <c r="W319" i="4"/>
  <c r="U319" i="4"/>
  <c r="R319" i="4"/>
  <c r="N319" i="4"/>
  <c r="O319" i="4" s="1"/>
  <c r="L319" i="4"/>
  <c r="H319" i="4"/>
  <c r="I319" i="4" s="1"/>
  <c r="F319" i="4"/>
  <c r="C319" i="4"/>
  <c r="AD318" i="4"/>
  <c r="AC318" i="4"/>
  <c r="AA318" i="4"/>
  <c r="X318" i="4"/>
  <c r="W318" i="4"/>
  <c r="U318" i="4"/>
  <c r="R318" i="4"/>
  <c r="N318" i="4"/>
  <c r="L318" i="4"/>
  <c r="H318" i="4"/>
  <c r="I318" i="4" s="1"/>
  <c r="F318" i="4"/>
  <c r="C318" i="4"/>
  <c r="AD317" i="4"/>
  <c r="AC317" i="4"/>
  <c r="AA317" i="4"/>
  <c r="X317" i="4"/>
  <c r="W317" i="4"/>
  <c r="U317" i="4"/>
  <c r="R317" i="4"/>
  <c r="N317" i="4"/>
  <c r="L317" i="4"/>
  <c r="H317" i="4"/>
  <c r="I317" i="4" s="1"/>
  <c r="F317" i="4"/>
  <c r="C317" i="4"/>
  <c r="AD316" i="4"/>
  <c r="AC316" i="4"/>
  <c r="AA316" i="4"/>
  <c r="W316" i="4"/>
  <c r="X316" i="4" s="1"/>
  <c r="U316" i="4"/>
  <c r="R316" i="4"/>
  <c r="N316" i="4"/>
  <c r="O316" i="4" s="1"/>
  <c r="L316" i="4"/>
  <c r="H316" i="4"/>
  <c r="F316" i="4"/>
  <c r="C316" i="4"/>
  <c r="AC315" i="4"/>
  <c r="AD315" i="4" s="1"/>
  <c r="AA315" i="4"/>
  <c r="X315" i="4"/>
  <c r="W315" i="4"/>
  <c r="U315" i="4"/>
  <c r="R315" i="4"/>
  <c r="N315" i="4"/>
  <c r="L315" i="4"/>
  <c r="I315" i="4"/>
  <c r="H315" i="4"/>
  <c r="F315" i="4"/>
  <c r="C315" i="4"/>
  <c r="AD314" i="4"/>
  <c r="AC314" i="4"/>
  <c r="AA314" i="4"/>
  <c r="W314" i="4"/>
  <c r="X314" i="4" s="1"/>
  <c r="U314" i="4"/>
  <c r="R314" i="4"/>
  <c r="N314" i="4"/>
  <c r="L314" i="4"/>
  <c r="H314" i="4"/>
  <c r="I314" i="4" s="1"/>
  <c r="F314" i="4"/>
  <c r="C314" i="4"/>
  <c r="AD313" i="4"/>
  <c r="AC313" i="4"/>
  <c r="AA313" i="4"/>
  <c r="X313" i="4"/>
  <c r="W313" i="4"/>
  <c r="U313" i="4"/>
  <c r="R313" i="4"/>
  <c r="N313" i="4"/>
  <c r="O313" i="4" s="1"/>
  <c r="L313" i="4"/>
  <c r="I313" i="4"/>
  <c r="H313" i="4"/>
  <c r="F313" i="4"/>
  <c r="C313" i="4"/>
  <c r="AC312" i="4"/>
  <c r="AD312" i="4" s="1"/>
  <c r="AA312" i="4"/>
  <c r="W312" i="4"/>
  <c r="X312" i="4" s="1"/>
  <c r="U312" i="4"/>
  <c r="R312" i="4"/>
  <c r="N312" i="4"/>
  <c r="L312" i="4"/>
  <c r="I312" i="4"/>
  <c r="H312" i="4"/>
  <c r="F312" i="4"/>
  <c r="C312" i="4"/>
  <c r="AD311" i="4"/>
  <c r="AC311" i="4"/>
  <c r="AA311" i="4"/>
  <c r="X311" i="4"/>
  <c r="W311" i="4"/>
  <c r="U311" i="4"/>
  <c r="R311" i="4"/>
  <c r="N311" i="4"/>
  <c r="O311" i="4" s="1"/>
  <c r="L311" i="4"/>
  <c r="H311" i="4"/>
  <c r="I311" i="4" s="1"/>
  <c r="F311" i="4"/>
  <c r="C311" i="4"/>
  <c r="AC310" i="4"/>
  <c r="AD310" i="4" s="1"/>
  <c r="AA310" i="4"/>
  <c r="W310" i="4"/>
  <c r="X310" i="4" s="1"/>
  <c r="U310" i="4"/>
  <c r="R310" i="4"/>
  <c r="N310" i="4"/>
  <c r="O310" i="4" s="1"/>
  <c r="L310" i="4"/>
  <c r="H310" i="4"/>
  <c r="I310" i="4" s="1"/>
  <c r="F310" i="4"/>
  <c r="C310" i="4"/>
  <c r="AC309" i="4"/>
  <c r="AD309" i="4" s="1"/>
  <c r="AA309" i="4"/>
  <c r="W309" i="4"/>
  <c r="X309" i="4" s="1"/>
  <c r="U309" i="4"/>
  <c r="R309" i="4"/>
  <c r="O309" i="4"/>
  <c r="N309" i="4"/>
  <c r="L309" i="4"/>
  <c r="I309" i="4"/>
  <c r="H309" i="4"/>
  <c r="F309" i="4"/>
  <c r="C309" i="4"/>
  <c r="AC308" i="4"/>
  <c r="AD308" i="4" s="1"/>
  <c r="AA308" i="4"/>
  <c r="X308" i="4"/>
  <c r="W308" i="4"/>
  <c r="U308" i="4"/>
  <c r="R308" i="4"/>
  <c r="N308" i="4"/>
  <c r="L308" i="4"/>
  <c r="H308" i="4"/>
  <c r="I308" i="4" s="1"/>
  <c r="F308" i="4"/>
  <c r="C308" i="4"/>
  <c r="AD307" i="4"/>
  <c r="AC307" i="4"/>
  <c r="AA307" i="4"/>
  <c r="X307" i="4"/>
  <c r="W307" i="4"/>
  <c r="U307" i="4"/>
  <c r="R307" i="4"/>
  <c r="N307" i="4"/>
  <c r="L307" i="4"/>
  <c r="H307" i="4"/>
  <c r="I307" i="4" s="1"/>
  <c r="F307" i="4"/>
  <c r="C307" i="4"/>
  <c r="AD306" i="4"/>
  <c r="AC306" i="4"/>
  <c r="AA306" i="4"/>
  <c r="X306" i="4"/>
  <c r="W306" i="4"/>
  <c r="U306" i="4"/>
  <c r="R306" i="4"/>
  <c r="N306" i="4"/>
  <c r="L306" i="4"/>
  <c r="H306" i="4"/>
  <c r="I306" i="4" s="1"/>
  <c r="F306" i="4"/>
  <c r="C306" i="4"/>
  <c r="AC305" i="4"/>
  <c r="AD305" i="4" s="1"/>
  <c r="AA305" i="4"/>
  <c r="W305" i="4"/>
  <c r="X305" i="4" s="1"/>
  <c r="U305" i="4"/>
  <c r="R305" i="4"/>
  <c r="O305" i="4"/>
  <c r="N305" i="4"/>
  <c r="L305" i="4"/>
  <c r="I305" i="4"/>
  <c r="H305" i="4"/>
  <c r="F305" i="4"/>
  <c r="C305" i="4"/>
  <c r="AC304" i="4"/>
  <c r="AD304" i="4" s="1"/>
  <c r="AA304" i="4"/>
  <c r="W304" i="4"/>
  <c r="X304" i="4" s="1"/>
  <c r="U304" i="4"/>
  <c r="R304" i="4"/>
  <c r="N304" i="4"/>
  <c r="L304" i="4"/>
  <c r="I304" i="4"/>
  <c r="H304" i="4"/>
  <c r="F304" i="4"/>
  <c r="C304" i="4"/>
  <c r="AD303" i="4"/>
  <c r="AC303" i="4"/>
  <c r="AA303" i="4"/>
  <c r="W303" i="4"/>
  <c r="X303" i="4" s="1"/>
  <c r="U303" i="4"/>
  <c r="R303" i="4"/>
  <c r="N303" i="4"/>
  <c r="O303" i="4" s="1"/>
  <c r="L303" i="4"/>
  <c r="H303" i="4"/>
  <c r="I303" i="4" s="1"/>
  <c r="F303" i="4"/>
  <c r="C303" i="4"/>
  <c r="AD302" i="4"/>
  <c r="AC302" i="4"/>
  <c r="AA302" i="4"/>
  <c r="X302" i="4"/>
  <c r="W302" i="4"/>
  <c r="U302" i="4"/>
  <c r="R302" i="4"/>
  <c r="N302" i="4"/>
  <c r="L302" i="4"/>
  <c r="H302" i="4"/>
  <c r="I302" i="4" s="1"/>
  <c r="F302" i="4"/>
  <c r="C302" i="4"/>
  <c r="AC301" i="4"/>
  <c r="AD301" i="4" s="1"/>
  <c r="AA301" i="4"/>
  <c r="W301" i="4"/>
  <c r="X301" i="4" s="1"/>
  <c r="U301" i="4"/>
  <c r="R301" i="4"/>
  <c r="N301" i="4"/>
  <c r="O301" i="4" s="1"/>
  <c r="L301" i="4"/>
  <c r="I301" i="4"/>
  <c r="H301" i="4"/>
  <c r="F301" i="4"/>
  <c r="C301" i="4"/>
  <c r="AC300" i="4"/>
  <c r="AD300" i="4" s="1"/>
  <c r="AA300" i="4"/>
  <c r="X300" i="4"/>
  <c r="W300" i="4"/>
  <c r="U300" i="4"/>
  <c r="R300" i="4"/>
  <c r="N300" i="4"/>
  <c r="L300" i="4"/>
  <c r="H300" i="4"/>
  <c r="I300" i="4" s="1"/>
  <c r="F300" i="4"/>
  <c r="C300" i="4"/>
  <c r="AD299" i="4"/>
  <c r="AC299" i="4"/>
  <c r="AA299" i="4"/>
  <c r="W299" i="4"/>
  <c r="X299" i="4" s="1"/>
  <c r="U299" i="4"/>
  <c r="R299" i="4"/>
  <c r="N299" i="4"/>
  <c r="L299" i="4"/>
  <c r="H299" i="4"/>
  <c r="I299" i="4" s="1"/>
  <c r="F299" i="4"/>
  <c r="C299" i="4"/>
  <c r="AD298" i="4"/>
  <c r="AC298" i="4"/>
  <c r="AA298" i="4"/>
  <c r="X298" i="4"/>
  <c r="W298" i="4"/>
  <c r="U298" i="4"/>
  <c r="R298" i="4"/>
  <c r="N298" i="4"/>
  <c r="O298" i="4" s="1"/>
  <c r="L298" i="4"/>
  <c r="H298" i="4"/>
  <c r="I298" i="4" s="1"/>
  <c r="F298" i="4"/>
  <c r="C298" i="4"/>
  <c r="AD297" i="4"/>
  <c r="AC297" i="4"/>
  <c r="AA297" i="4"/>
  <c r="W297" i="4"/>
  <c r="X297" i="4" s="1"/>
  <c r="U297" i="4"/>
  <c r="R297" i="4"/>
  <c r="O297" i="4"/>
  <c r="N297" i="4"/>
  <c r="L297" i="4"/>
  <c r="I297" i="4"/>
  <c r="H297" i="4"/>
  <c r="F297" i="4"/>
  <c r="C297" i="4"/>
  <c r="AA295" i="4"/>
  <c r="Z295" i="4"/>
  <c r="U295" i="4"/>
  <c r="T295" i="4"/>
  <c r="Q295" i="4"/>
  <c r="N295" i="4"/>
  <c r="O295" i="4" s="1"/>
  <c r="L295" i="4"/>
  <c r="K295" i="4"/>
  <c r="H295" i="4"/>
  <c r="I295" i="4" s="1"/>
  <c r="E295" i="4"/>
  <c r="F295" i="4" s="1"/>
  <c r="C295" i="4"/>
  <c r="B295" i="4"/>
  <c r="AD294" i="4"/>
  <c r="AC294" i="4"/>
  <c r="AA294" i="4"/>
  <c r="X294" i="4"/>
  <c r="W294" i="4"/>
  <c r="U294" i="4"/>
  <c r="R294" i="4"/>
  <c r="N294" i="4"/>
  <c r="O294" i="4" s="1"/>
  <c r="L294" i="4"/>
  <c r="H294" i="4"/>
  <c r="I294" i="4" s="1"/>
  <c r="F294" i="4"/>
  <c r="C294" i="4"/>
  <c r="AD293" i="4"/>
  <c r="AC293" i="4"/>
  <c r="AA293" i="4"/>
  <c r="W293" i="4"/>
  <c r="X293" i="4" s="1"/>
  <c r="U293" i="4"/>
  <c r="R293" i="4"/>
  <c r="O293" i="4"/>
  <c r="N293" i="4"/>
  <c r="L293" i="4"/>
  <c r="H293" i="4"/>
  <c r="I293" i="4" s="1"/>
  <c r="F293" i="4"/>
  <c r="C293" i="4"/>
  <c r="AC292" i="4"/>
  <c r="AD292" i="4" s="1"/>
  <c r="AA292" i="4"/>
  <c r="X292" i="4"/>
  <c r="W292" i="4"/>
  <c r="U292" i="4"/>
  <c r="R292" i="4"/>
  <c r="N292" i="4"/>
  <c r="L292" i="4"/>
  <c r="H292" i="4"/>
  <c r="I292" i="4" s="1"/>
  <c r="F292" i="4"/>
  <c r="C292" i="4"/>
  <c r="AC291" i="4"/>
  <c r="AD291" i="4" s="1"/>
  <c r="AA291" i="4"/>
  <c r="W291" i="4"/>
  <c r="X291" i="4" s="1"/>
  <c r="U291" i="4"/>
  <c r="R291" i="4"/>
  <c r="N291" i="4"/>
  <c r="O291" i="4" s="1"/>
  <c r="L291" i="4"/>
  <c r="H291" i="4"/>
  <c r="I291" i="4" s="1"/>
  <c r="F291" i="4"/>
  <c r="C291" i="4"/>
  <c r="AD290" i="4"/>
  <c r="AC290" i="4"/>
  <c r="AA290" i="4"/>
  <c r="X290" i="4"/>
  <c r="W290" i="4"/>
  <c r="U290" i="4"/>
  <c r="R290" i="4"/>
  <c r="N290" i="4"/>
  <c r="O290" i="4" s="1"/>
  <c r="L290" i="4"/>
  <c r="H290" i="4"/>
  <c r="I290" i="4" s="1"/>
  <c r="F290" i="4"/>
  <c r="C290" i="4"/>
  <c r="AD289" i="4"/>
  <c r="AC289" i="4"/>
  <c r="AA289" i="4"/>
  <c r="X289" i="4"/>
  <c r="W289" i="4"/>
  <c r="U289" i="4"/>
  <c r="R289" i="4"/>
  <c r="N289" i="4"/>
  <c r="O289" i="4" s="1"/>
  <c r="L289" i="4"/>
  <c r="H289" i="4"/>
  <c r="I289" i="4" s="1"/>
  <c r="F289" i="4"/>
  <c r="C289" i="4"/>
  <c r="AC288" i="4"/>
  <c r="AD288" i="4" s="1"/>
  <c r="AA288" i="4"/>
  <c r="X288" i="4"/>
  <c r="W288" i="4"/>
  <c r="U288" i="4"/>
  <c r="R288" i="4"/>
  <c r="N288" i="4"/>
  <c r="L288" i="4"/>
  <c r="H288" i="4"/>
  <c r="I288" i="4" s="1"/>
  <c r="F288" i="4"/>
  <c r="C288" i="4"/>
  <c r="AD287" i="4"/>
  <c r="AC287" i="4"/>
  <c r="AA287" i="4"/>
  <c r="X287" i="4"/>
  <c r="W287" i="4"/>
  <c r="U287" i="4"/>
  <c r="R287" i="4"/>
  <c r="O287" i="4"/>
  <c r="N287" i="4"/>
  <c r="L287" i="4"/>
  <c r="H287" i="4"/>
  <c r="I287" i="4" s="1"/>
  <c r="F287" i="4"/>
  <c r="C287" i="4"/>
  <c r="AC286" i="4"/>
  <c r="AD286" i="4" s="1"/>
  <c r="AA286" i="4"/>
  <c r="X286" i="4"/>
  <c r="W286" i="4"/>
  <c r="U286" i="4"/>
  <c r="R286" i="4"/>
  <c r="N286" i="4"/>
  <c r="O286" i="4" s="1"/>
  <c r="L286" i="4"/>
  <c r="H286" i="4"/>
  <c r="I286" i="4" s="1"/>
  <c r="F286" i="4"/>
  <c r="C286" i="4"/>
  <c r="Z284" i="4"/>
  <c r="AA284" i="4" s="1"/>
  <c r="W284" i="4"/>
  <c r="X284" i="4" s="1"/>
  <c r="T284" i="4"/>
  <c r="U284" i="4" s="1"/>
  <c r="Q284" i="4"/>
  <c r="K284" i="4"/>
  <c r="H284" i="4"/>
  <c r="I284" i="4" s="1"/>
  <c r="E284" i="4"/>
  <c r="F284" i="4" s="1"/>
  <c r="C284" i="4"/>
  <c r="B284" i="4"/>
  <c r="AD283" i="4"/>
  <c r="AC283" i="4"/>
  <c r="AA283" i="4"/>
  <c r="X283" i="4"/>
  <c r="W283" i="4"/>
  <c r="U283" i="4"/>
  <c r="R283" i="4"/>
  <c r="N283" i="4"/>
  <c r="O283" i="4" s="1"/>
  <c r="L283" i="4"/>
  <c r="H283" i="4"/>
  <c r="I283" i="4" s="1"/>
  <c r="F283" i="4"/>
  <c r="C283" i="4"/>
  <c r="AC282" i="4"/>
  <c r="AD282" i="4" s="1"/>
  <c r="AA282" i="4"/>
  <c r="X282" i="4"/>
  <c r="W282" i="4"/>
  <c r="U282" i="4"/>
  <c r="R282" i="4"/>
  <c r="N282" i="4"/>
  <c r="O282" i="4" s="1"/>
  <c r="L282" i="4"/>
  <c r="H282" i="4"/>
  <c r="I282" i="4" s="1"/>
  <c r="F282" i="4"/>
  <c r="C282" i="4"/>
  <c r="AD281" i="4"/>
  <c r="AC281" i="4"/>
  <c r="AA281" i="4"/>
  <c r="X281" i="4"/>
  <c r="W281" i="4"/>
  <c r="U281" i="4"/>
  <c r="R281" i="4"/>
  <c r="O281" i="4"/>
  <c r="N281" i="4"/>
  <c r="L281" i="4"/>
  <c r="H281" i="4"/>
  <c r="I281" i="4" s="1"/>
  <c r="F281" i="4"/>
  <c r="C281" i="4"/>
  <c r="AC280" i="4"/>
  <c r="AD280" i="4" s="1"/>
  <c r="AA280" i="4"/>
  <c r="X280" i="4"/>
  <c r="W280" i="4"/>
  <c r="U280" i="4"/>
  <c r="R280" i="4"/>
  <c r="N280" i="4"/>
  <c r="L280" i="4"/>
  <c r="I280" i="4"/>
  <c r="H280" i="4"/>
  <c r="F280" i="4"/>
  <c r="C280" i="4"/>
  <c r="AD279" i="4"/>
  <c r="AC279" i="4"/>
  <c r="AA279" i="4"/>
  <c r="X279" i="4"/>
  <c r="W279" i="4"/>
  <c r="U279" i="4"/>
  <c r="R279" i="4"/>
  <c r="N279" i="4"/>
  <c r="O279" i="4" s="1"/>
  <c r="L279" i="4"/>
  <c r="H279" i="4"/>
  <c r="I279" i="4" s="1"/>
  <c r="F279" i="4"/>
  <c r="C279" i="4"/>
  <c r="AD278" i="4"/>
  <c r="AC278" i="4"/>
  <c r="AA278" i="4"/>
  <c r="X278" i="4"/>
  <c r="W278" i="4"/>
  <c r="U278" i="4"/>
  <c r="R278" i="4"/>
  <c r="O278" i="4"/>
  <c r="N278" i="4"/>
  <c r="L278" i="4"/>
  <c r="H278" i="4"/>
  <c r="I278" i="4" s="1"/>
  <c r="F278" i="4"/>
  <c r="C278" i="4"/>
  <c r="AC277" i="4"/>
  <c r="AD277" i="4" s="1"/>
  <c r="AA277" i="4"/>
  <c r="W277" i="4"/>
  <c r="X277" i="4" s="1"/>
  <c r="U277" i="4"/>
  <c r="R277" i="4"/>
  <c r="O277" i="4"/>
  <c r="N277" i="4"/>
  <c r="L277" i="4"/>
  <c r="I277" i="4"/>
  <c r="H277" i="4"/>
  <c r="F277" i="4"/>
  <c r="C277" i="4"/>
  <c r="AC276" i="4"/>
  <c r="AD276" i="4" s="1"/>
  <c r="AA276" i="4"/>
  <c r="X276" i="4"/>
  <c r="W276" i="4"/>
  <c r="U276" i="4"/>
  <c r="R276" i="4"/>
  <c r="N276" i="4"/>
  <c r="L276" i="4"/>
  <c r="H276" i="4"/>
  <c r="I276" i="4" s="1"/>
  <c r="F276" i="4"/>
  <c r="C276" i="4"/>
  <c r="AC275" i="4"/>
  <c r="AD275" i="4" s="1"/>
  <c r="AA275" i="4"/>
  <c r="W275" i="4"/>
  <c r="X275" i="4" s="1"/>
  <c r="U275" i="4"/>
  <c r="R275" i="4"/>
  <c r="O275" i="4"/>
  <c r="N275" i="4"/>
  <c r="L275" i="4"/>
  <c r="H275" i="4"/>
  <c r="I275" i="4" s="1"/>
  <c r="F275" i="4"/>
  <c r="C275" i="4"/>
  <c r="AA273" i="4"/>
  <c r="Z273" i="4"/>
  <c r="U273" i="4"/>
  <c r="T273" i="4"/>
  <c r="Q273" i="4"/>
  <c r="AC273" i="4" s="1"/>
  <c r="AD273" i="4" s="1"/>
  <c r="O273" i="4"/>
  <c r="N273" i="4"/>
  <c r="K273" i="4"/>
  <c r="L273" i="4" s="1"/>
  <c r="E273" i="4"/>
  <c r="F273" i="4" s="1"/>
  <c r="C273" i="4"/>
  <c r="B273" i="4"/>
  <c r="H273" i="4" s="1"/>
  <c r="I273" i="4" s="1"/>
  <c r="AC272" i="4"/>
  <c r="AD272" i="4" s="1"/>
  <c r="AA272" i="4"/>
  <c r="W272" i="4"/>
  <c r="X272" i="4" s="1"/>
  <c r="U272" i="4"/>
  <c r="R272" i="4"/>
  <c r="N272" i="4"/>
  <c r="L272" i="4"/>
  <c r="H272" i="4"/>
  <c r="I272" i="4" s="1"/>
  <c r="F272" i="4"/>
  <c r="C272" i="4"/>
  <c r="AD271" i="4"/>
  <c r="AC271" i="4"/>
  <c r="AA271" i="4"/>
  <c r="X271" i="4"/>
  <c r="W271" i="4"/>
  <c r="U271" i="4"/>
  <c r="R271" i="4"/>
  <c r="N271" i="4"/>
  <c r="O271" i="4" s="1"/>
  <c r="L271" i="4"/>
  <c r="H271" i="4"/>
  <c r="I271" i="4" s="1"/>
  <c r="F271" i="4"/>
  <c r="C271" i="4"/>
  <c r="AC270" i="4"/>
  <c r="AD270" i="4" s="1"/>
  <c r="AA270" i="4"/>
  <c r="X270" i="4"/>
  <c r="W270" i="4"/>
  <c r="U270" i="4"/>
  <c r="R270" i="4"/>
  <c r="N270" i="4"/>
  <c r="L270" i="4"/>
  <c r="H270" i="4"/>
  <c r="I270" i="4" s="1"/>
  <c r="F270" i="4"/>
  <c r="C270" i="4"/>
  <c r="AD269" i="4"/>
  <c r="AC269" i="4"/>
  <c r="AA269" i="4"/>
  <c r="X269" i="4"/>
  <c r="W269" i="4"/>
  <c r="U269" i="4"/>
  <c r="R269" i="4"/>
  <c r="N269" i="4"/>
  <c r="O269" i="4" s="1"/>
  <c r="L269" i="4"/>
  <c r="H269" i="4"/>
  <c r="I269" i="4" s="1"/>
  <c r="F269" i="4"/>
  <c r="C269" i="4"/>
  <c r="AA267" i="4"/>
  <c r="Z267" i="4"/>
  <c r="T267" i="4"/>
  <c r="U267" i="4" s="1"/>
  <c r="Q267" i="4"/>
  <c r="K267" i="4"/>
  <c r="L267" i="4" s="1"/>
  <c r="E267" i="4"/>
  <c r="C267" i="4"/>
  <c r="B267" i="4"/>
  <c r="AC266" i="4"/>
  <c r="AD266" i="4" s="1"/>
  <c r="AA266" i="4"/>
  <c r="X266" i="4"/>
  <c r="W266" i="4"/>
  <c r="U266" i="4"/>
  <c r="R266" i="4"/>
  <c r="N266" i="4"/>
  <c r="L266" i="4"/>
  <c r="H266" i="4"/>
  <c r="I266" i="4" s="1"/>
  <c r="F266" i="4"/>
  <c r="C266" i="4"/>
  <c r="AD265" i="4"/>
  <c r="AC265" i="4"/>
  <c r="AA265" i="4"/>
  <c r="X265" i="4"/>
  <c r="W265" i="4"/>
  <c r="U265" i="4"/>
  <c r="R265" i="4"/>
  <c r="O265" i="4"/>
  <c r="N265" i="4"/>
  <c r="L265" i="4"/>
  <c r="H265" i="4"/>
  <c r="I265" i="4" s="1"/>
  <c r="F265" i="4"/>
  <c r="C265" i="4"/>
  <c r="AC263" i="4"/>
  <c r="AD263" i="4" s="1"/>
  <c r="AA263" i="4"/>
  <c r="Z263" i="4"/>
  <c r="T263" i="4"/>
  <c r="R263" i="4"/>
  <c r="Q263" i="4"/>
  <c r="K263" i="4"/>
  <c r="L263" i="4" s="1"/>
  <c r="H263" i="4"/>
  <c r="I263" i="4" s="1"/>
  <c r="E263" i="4"/>
  <c r="F263" i="4" s="1"/>
  <c r="C263" i="4"/>
  <c r="B263" i="4"/>
  <c r="Z262" i="4"/>
  <c r="AA262" i="4" s="1"/>
  <c r="X262" i="4"/>
  <c r="W262" i="4"/>
  <c r="U262" i="4"/>
  <c r="T262" i="4"/>
  <c r="Q262" i="4"/>
  <c r="K262" i="4"/>
  <c r="L262" i="4" s="1"/>
  <c r="E262" i="4"/>
  <c r="F262" i="4" s="1"/>
  <c r="B262" i="4"/>
  <c r="AC261" i="4"/>
  <c r="AD261" i="4" s="1"/>
  <c r="AA261" i="4"/>
  <c r="W261" i="4"/>
  <c r="X261" i="4" s="1"/>
  <c r="U261" i="4"/>
  <c r="R261" i="4"/>
  <c r="O261" i="4"/>
  <c r="N261" i="4"/>
  <c r="L261" i="4"/>
  <c r="I261" i="4"/>
  <c r="H261" i="4"/>
  <c r="F261" i="4"/>
  <c r="C261" i="4"/>
  <c r="AC260" i="4"/>
  <c r="AD260" i="4" s="1"/>
  <c r="AA260" i="4"/>
  <c r="X260" i="4"/>
  <c r="W260" i="4"/>
  <c r="U260" i="4"/>
  <c r="R260" i="4"/>
  <c r="N260" i="4"/>
  <c r="L260" i="4"/>
  <c r="H260" i="4"/>
  <c r="I260" i="4" s="1"/>
  <c r="F260" i="4"/>
  <c r="C260" i="4"/>
  <c r="AC259" i="4"/>
  <c r="AD259" i="4" s="1"/>
  <c r="AA259" i="4"/>
  <c r="W259" i="4"/>
  <c r="X259" i="4" s="1"/>
  <c r="U259" i="4"/>
  <c r="R259" i="4"/>
  <c r="N259" i="4"/>
  <c r="O259" i="4" s="1"/>
  <c r="L259" i="4"/>
  <c r="H259" i="4"/>
  <c r="I259" i="4" s="1"/>
  <c r="F259" i="4"/>
  <c r="C259" i="4"/>
  <c r="AD258" i="4"/>
  <c r="AC258" i="4"/>
  <c r="AA258" i="4"/>
  <c r="X258" i="4"/>
  <c r="W258" i="4"/>
  <c r="U258" i="4"/>
  <c r="R258" i="4"/>
  <c r="N258" i="4"/>
  <c r="O258" i="4" s="1"/>
  <c r="L258" i="4"/>
  <c r="H258" i="4"/>
  <c r="I258" i="4" s="1"/>
  <c r="F258" i="4"/>
  <c r="C258" i="4"/>
  <c r="AD257" i="4"/>
  <c r="AC257" i="4"/>
  <c r="AA257" i="4"/>
  <c r="W257" i="4"/>
  <c r="X257" i="4" s="1"/>
  <c r="U257" i="4"/>
  <c r="R257" i="4"/>
  <c r="N257" i="4"/>
  <c r="O257" i="4" s="1"/>
  <c r="L257" i="4"/>
  <c r="I257" i="4"/>
  <c r="H257" i="4"/>
  <c r="F257" i="4"/>
  <c r="C257" i="4"/>
  <c r="AC256" i="4"/>
  <c r="AD256" i="4" s="1"/>
  <c r="AA256" i="4"/>
  <c r="X256" i="4"/>
  <c r="W256" i="4"/>
  <c r="U256" i="4"/>
  <c r="R256" i="4"/>
  <c r="O256" i="4"/>
  <c r="N256" i="4"/>
  <c r="L256" i="4"/>
  <c r="H256" i="4"/>
  <c r="I256" i="4" s="1"/>
  <c r="F256" i="4"/>
  <c r="C256" i="4"/>
  <c r="AC255" i="4"/>
  <c r="AD255" i="4" s="1"/>
  <c r="AA255" i="4"/>
  <c r="X255" i="4"/>
  <c r="W255" i="4"/>
  <c r="U255" i="4"/>
  <c r="R255" i="4"/>
  <c r="N255" i="4"/>
  <c r="L255" i="4"/>
  <c r="H255" i="4"/>
  <c r="I255" i="4" s="1"/>
  <c r="F255" i="4"/>
  <c r="C255" i="4"/>
  <c r="AD254" i="4"/>
  <c r="AC254" i="4"/>
  <c r="AA254" i="4"/>
  <c r="X254" i="4"/>
  <c r="W254" i="4"/>
  <c r="U254" i="4"/>
  <c r="R254" i="4"/>
  <c r="O254" i="4"/>
  <c r="N254" i="4"/>
  <c r="L254" i="4"/>
  <c r="H254" i="4"/>
  <c r="I254" i="4" s="1"/>
  <c r="F254" i="4"/>
  <c r="C254" i="4"/>
  <c r="AC253" i="4"/>
  <c r="AD253" i="4" s="1"/>
  <c r="AA253" i="4"/>
  <c r="W253" i="4"/>
  <c r="X253" i="4" s="1"/>
  <c r="U253" i="4"/>
  <c r="R253" i="4"/>
  <c r="N253" i="4"/>
  <c r="L253" i="4"/>
  <c r="I253" i="4"/>
  <c r="H253" i="4"/>
  <c r="F253" i="4"/>
  <c r="C253" i="4"/>
  <c r="AC252" i="4"/>
  <c r="AD252" i="4" s="1"/>
  <c r="AA252" i="4"/>
  <c r="W252" i="4"/>
  <c r="X252" i="4" s="1"/>
  <c r="U252" i="4"/>
  <c r="R252" i="4"/>
  <c r="O252" i="4"/>
  <c r="N252" i="4"/>
  <c r="L252" i="4"/>
  <c r="I252" i="4"/>
  <c r="H252" i="4"/>
  <c r="F252" i="4"/>
  <c r="C252" i="4"/>
  <c r="AC251" i="4"/>
  <c r="AD251" i="4" s="1"/>
  <c r="AA251" i="4"/>
  <c r="W251" i="4"/>
  <c r="X251" i="4" s="1"/>
  <c r="U251" i="4"/>
  <c r="R251" i="4"/>
  <c r="N251" i="4"/>
  <c r="O251" i="4" s="1"/>
  <c r="L251" i="4"/>
  <c r="H251" i="4"/>
  <c r="I251" i="4" s="1"/>
  <c r="F251" i="4"/>
  <c r="C251" i="4"/>
  <c r="AD250" i="4"/>
  <c r="AC250" i="4"/>
  <c r="AA250" i="4"/>
  <c r="X250" i="4"/>
  <c r="W250" i="4"/>
  <c r="U250" i="4"/>
  <c r="R250" i="4"/>
  <c r="N250" i="4"/>
  <c r="O250" i="4" s="1"/>
  <c r="L250" i="4"/>
  <c r="H250" i="4"/>
  <c r="I250" i="4" s="1"/>
  <c r="F250" i="4"/>
  <c r="C250" i="4"/>
  <c r="AC249" i="4"/>
  <c r="AD249" i="4" s="1"/>
  <c r="AA249" i="4"/>
  <c r="W249" i="4"/>
  <c r="X249" i="4" s="1"/>
  <c r="U249" i="4"/>
  <c r="R249" i="4"/>
  <c r="O249" i="4"/>
  <c r="N249" i="4"/>
  <c r="L249" i="4"/>
  <c r="I249" i="4"/>
  <c r="H249" i="4"/>
  <c r="F249" i="4"/>
  <c r="C249" i="4"/>
  <c r="AC248" i="4"/>
  <c r="AD248" i="4" s="1"/>
  <c r="AA248" i="4"/>
  <c r="W248" i="4"/>
  <c r="X248" i="4" s="1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X247" i="4"/>
  <c r="W247" i="4"/>
  <c r="U247" i="4"/>
  <c r="R247" i="4"/>
  <c r="N247" i="4"/>
  <c r="O247" i="4" s="1"/>
  <c r="L247" i="4"/>
  <c r="H247" i="4"/>
  <c r="I247" i="4" s="1"/>
  <c r="F247" i="4"/>
  <c r="C247" i="4"/>
  <c r="AD246" i="4"/>
  <c r="AC246" i="4"/>
  <c r="AA246" i="4"/>
  <c r="X246" i="4"/>
  <c r="W246" i="4"/>
  <c r="U246" i="4"/>
  <c r="R246" i="4"/>
  <c r="N246" i="4"/>
  <c r="L246" i="4"/>
  <c r="H246" i="4"/>
  <c r="I246" i="4" s="1"/>
  <c r="F246" i="4"/>
  <c r="C246" i="4"/>
  <c r="AD245" i="4"/>
  <c r="AC245" i="4"/>
  <c r="AA245" i="4"/>
  <c r="W245" i="4"/>
  <c r="X245" i="4" s="1"/>
  <c r="U245" i="4"/>
  <c r="R245" i="4"/>
  <c r="N245" i="4"/>
  <c r="O245" i="4" s="1"/>
  <c r="L245" i="4"/>
  <c r="I245" i="4"/>
  <c r="H245" i="4"/>
  <c r="F245" i="4"/>
  <c r="C245" i="4"/>
  <c r="AC244" i="4"/>
  <c r="AD244" i="4" s="1"/>
  <c r="AA244" i="4"/>
  <c r="W244" i="4"/>
  <c r="X244" i="4" s="1"/>
  <c r="U244" i="4"/>
  <c r="R244" i="4"/>
  <c r="N244" i="4"/>
  <c r="L244" i="4"/>
  <c r="I244" i="4"/>
  <c r="H244" i="4"/>
  <c r="F244" i="4"/>
  <c r="C244" i="4"/>
  <c r="AC243" i="4"/>
  <c r="AD243" i="4" s="1"/>
  <c r="AA243" i="4"/>
  <c r="W243" i="4"/>
  <c r="X243" i="4" s="1"/>
  <c r="U243" i="4"/>
  <c r="R243" i="4"/>
  <c r="N243" i="4"/>
  <c r="O243" i="4" s="1"/>
  <c r="L243" i="4"/>
  <c r="H243" i="4"/>
  <c r="I243" i="4" s="1"/>
  <c r="F243" i="4"/>
  <c r="C243" i="4"/>
  <c r="AD242" i="4"/>
  <c r="AC242" i="4"/>
  <c r="AA242" i="4"/>
  <c r="X242" i="4"/>
  <c r="W242" i="4"/>
  <c r="U242" i="4"/>
  <c r="R242" i="4"/>
  <c r="N242" i="4"/>
  <c r="O242" i="4" s="1"/>
  <c r="L242" i="4"/>
  <c r="H242" i="4"/>
  <c r="I242" i="4" s="1"/>
  <c r="F242" i="4"/>
  <c r="C242" i="4"/>
  <c r="AD241" i="4"/>
  <c r="AC241" i="4"/>
  <c r="AA241" i="4"/>
  <c r="W241" i="4"/>
  <c r="X241" i="4" s="1"/>
  <c r="U241" i="4"/>
  <c r="R241" i="4"/>
  <c r="N241" i="4"/>
  <c r="O241" i="4" s="1"/>
  <c r="L241" i="4"/>
  <c r="I241" i="4"/>
  <c r="H241" i="4"/>
  <c r="F241" i="4"/>
  <c r="C241" i="4"/>
  <c r="AC240" i="4"/>
  <c r="AD240" i="4" s="1"/>
  <c r="AA240" i="4"/>
  <c r="X240" i="4"/>
  <c r="W240" i="4"/>
  <c r="U240" i="4"/>
  <c r="R240" i="4"/>
  <c r="O240" i="4"/>
  <c r="N240" i="4"/>
  <c r="L240" i="4"/>
  <c r="H240" i="4"/>
  <c r="I240" i="4" s="1"/>
  <c r="F240" i="4"/>
  <c r="C240" i="4"/>
  <c r="AC238" i="4"/>
  <c r="AD238" i="4" s="1"/>
  <c r="AA238" i="4"/>
  <c r="X238" i="4"/>
  <c r="W238" i="4"/>
  <c r="U238" i="4"/>
  <c r="R238" i="4"/>
  <c r="N238" i="4"/>
  <c r="L238" i="4"/>
  <c r="H238" i="4"/>
  <c r="I238" i="4" s="1"/>
  <c r="F238" i="4"/>
  <c r="C238" i="4"/>
  <c r="Z236" i="4"/>
  <c r="AA236" i="4" s="1"/>
  <c r="W236" i="4"/>
  <c r="X236" i="4" s="1"/>
  <c r="U236" i="4"/>
  <c r="T236" i="4"/>
  <c r="R236" i="4"/>
  <c r="Q236" i="4"/>
  <c r="AC236" i="4" s="1"/>
  <c r="AD236" i="4" s="1"/>
  <c r="K236" i="4"/>
  <c r="L236" i="4" s="1"/>
  <c r="F236" i="4"/>
  <c r="E236" i="4"/>
  <c r="B236" i="4"/>
  <c r="C236" i="4" s="1"/>
  <c r="AC235" i="4"/>
  <c r="AD235" i="4" s="1"/>
  <c r="AA235" i="4"/>
  <c r="W235" i="4"/>
  <c r="X235" i="4" s="1"/>
  <c r="U235" i="4"/>
  <c r="R235" i="4"/>
  <c r="N235" i="4"/>
  <c r="L235" i="4"/>
  <c r="I235" i="4"/>
  <c r="H235" i="4"/>
  <c r="F235" i="4"/>
  <c r="C235" i="4"/>
  <c r="AC234" i="4"/>
  <c r="AD234" i="4" s="1"/>
  <c r="AA234" i="4"/>
  <c r="W234" i="4"/>
  <c r="X234" i="4" s="1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N233" i="4"/>
  <c r="O233" i="4" s="1"/>
  <c r="L233" i="4"/>
  <c r="H233" i="4"/>
  <c r="I233" i="4" s="1"/>
  <c r="F233" i="4"/>
  <c r="C233" i="4"/>
  <c r="AD232" i="4"/>
  <c r="AC232" i="4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C231" i="4"/>
  <c r="AD231" i="4" s="1"/>
  <c r="AA231" i="4"/>
  <c r="X231" i="4"/>
  <c r="W231" i="4"/>
  <c r="U231" i="4"/>
  <c r="R231" i="4"/>
  <c r="O231" i="4"/>
  <c r="N231" i="4"/>
  <c r="L231" i="4"/>
  <c r="H231" i="4"/>
  <c r="I231" i="4" s="1"/>
  <c r="F231" i="4"/>
  <c r="C231" i="4"/>
  <c r="AC230" i="4"/>
  <c r="AD230" i="4" s="1"/>
  <c r="AA230" i="4"/>
  <c r="W230" i="4"/>
  <c r="X230" i="4" s="1"/>
  <c r="U230" i="4"/>
  <c r="R230" i="4"/>
  <c r="N230" i="4"/>
  <c r="L230" i="4"/>
  <c r="H230" i="4"/>
  <c r="I230" i="4" s="1"/>
  <c r="F230" i="4"/>
  <c r="C230" i="4"/>
  <c r="AD229" i="4"/>
  <c r="AC229" i="4"/>
  <c r="AA229" i="4"/>
  <c r="X229" i="4"/>
  <c r="W229" i="4"/>
  <c r="U229" i="4"/>
  <c r="R229" i="4"/>
  <c r="N229" i="4"/>
  <c r="O229" i="4" s="1"/>
  <c r="L229" i="4"/>
  <c r="H229" i="4"/>
  <c r="I229" i="4" s="1"/>
  <c r="F229" i="4"/>
  <c r="C229" i="4"/>
  <c r="AC227" i="4"/>
  <c r="AD227" i="4" s="1"/>
  <c r="AA227" i="4"/>
  <c r="Z227" i="4"/>
  <c r="T227" i="4"/>
  <c r="U227" i="4" s="1"/>
  <c r="R227" i="4"/>
  <c r="Q227" i="4"/>
  <c r="K227" i="4"/>
  <c r="L227" i="4" s="1"/>
  <c r="H227" i="4"/>
  <c r="I227" i="4" s="1"/>
  <c r="F227" i="4"/>
  <c r="E227" i="4"/>
  <c r="C227" i="4"/>
  <c r="B227" i="4"/>
  <c r="AC226" i="4"/>
  <c r="AD226" i="4" s="1"/>
  <c r="AA226" i="4"/>
  <c r="W226" i="4"/>
  <c r="X226" i="4" s="1"/>
  <c r="U226" i="4"/>
  <c r="R226" i="4"/>
  <c r="N226" i="4"/>
  <c r="O226" i="4" s="1"/>
  <c r="L226" i="4"/>
  <c r="H226" i="4"/>
  <c r="I226" i="4" s="1"/>
  <c r="F226" i="4"/>
  <c r="C226" i="4"/>
  <c r="AD225" i="4"/>
  <c r="AC225" i="4"/>
  <c r="AA225" i="4"/>
  <c r="X225" i="4"/>
  <c r="W225" i="4"/>
  <c r="U225" i="4"/>
  <c r="R225" i="4"/>
  <c r="N225" i="4"/>
  <c r="O225" i="4" s="1"/>
  <c r="L225" i="4"/>
  <c r="H225" i="4"/>
  <c r="I225" i="4" s="1"/>
  <c r="F225" i="4"/>
  <c r="C225" i="4"/>
  <c r="AC224" i="4"/>
  <c r="AD224" i="4" s="1"/>
  <c r="AA224" i="4"/>
  <c r="W224" i="4"/>
  <c r="X224" i="4" s="1"/>
  <c r="U224" i="4"/>
  <c r="R224" i="4"/>
  <c r="O224" i="4"/>
  <c r="N224" i="4"/>
  <c r="L224" i="4"/>
  <c r="I224" i="4"/>
  <c r="H224" i="4"/>
  <c r="F224" i="4"/>
  <c r="C224" i="4"/>
  <c r="AC223" i="4"/>
  <c r="AD223" i="4" s="1"/>
  <c r="AA223" i="4"/>
  <c r="X223" i="4"/>
  <c r="W223" i="4"/>
  <c r="U223" i="4"/>
  <c r="R223" i="4"/>
  <c r="O223" i="4"/>
  <c r="N223" i="4"/>
  <c r="L223" i="4"/>
  <c r="I223" i="4"/>
  <c r="H223" i="4"/>
  <c r="F223" i="4"/>
  <c r="C223" i="4"/>
  <c r="AC222" i="4"/>
  <c r="AD222" i="4" s="1"/>
  <c r="AA222" i="4"/>
  <c r="W222" i="4"/>
  <c r="X222" i="4" s="1"/>
  <c r="U222" i="4"/>
  <c r="R222" i="4"/>
  <c r="N222" i="4"/>
  <c r="L222" i="4"/>
  <c r="H222" i="4"/>
  <c r="I222" i="4" s="1"/>
  <c r="F222" i="4"/>
  <c r="C222" i="4"/>
  <c r="AD221" i="4"/>
  <c r="AC221" i="4"/>
  <c r="AA221" i="4"/>
  <c r="X221" i="4"/>
  <c r="W221" i="4"/>
  <c r="U221" i="4"/>
  <c r="R221" i="4"/>
  <c r="N221" i="4"/>
  <c r="O221" i="4" s="1"/>
  <c r="L221" i="4"/>
  <c r="H221" i="4"/>
  <c r="I221" i="4" s="1"/>
  <c r="F221" i="4"/>
  <c r="C221" i="4"/>
  <c r="AD220" i="4"/>
  <c r="AC220" i="4"/>
  <c r="AA220" i="4"/>
  <c r="W220" i="4"/>
  <c r="X220" i="4" s="1"/>
  <c r="U220" i="4"/>
  <c r="R220" i="4"/>
  <c r="N220" i="4"/>
  <c r="O220" i="4" s="1"/>
  <c r="L220" i="4"/>
  <c r="I220" i="4"/>
  <c r="H220" i="4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H219" i="4"/>
  <c r="I219" i="4" s="1"/>
  <c r="F219" i="4"/>
  <c r="C219" i="4"/>
  <c r="AC218" i="4"/>
  <c r="AD218" i="4" s="1"/>
  <c r="Z218" i="4"/>
  <c r="AA218" i="4" s="1"/>
  <c r="U218" i="4"/>
  <c r="T218" i="4"/>
  <c r="Q218" i="4"/>
  <c r="N218" i="4"/>
  <c r="O218" i="4" s="1"/>
  <c r="L218" i="4"/>
  <c r="K218" i="4"/>
  <c r="E218" i="4"/>
  <c r="F218" i="4" s="1"/>
  <c r="B218" i="4"/>
  <c r="AC217" i="4"/>
  <c r="AD217" i="4" s="1"/>
  <c r="AA217" i="4"/>
  <c r="W217" i="4"/>
  <c r="X217" i="4" s="1"/>
  <c r="U217" i="4"/>
  <c r="R217" i="4"/>
  <c r="N217" i="4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O216" i="4"/>
  <c r="N216" i="4"/>
  <c r="L216" i="4"/>
  <c r="I216" i="4"/>
  <c r="H216" i="4"/>
  <c r="F216" i="4"/>
  <c r="C216" i="4"/>
  <c r="AC215" i="4"/>
  <c r="AD215" i="4" s="1"/>
  <c r="AA215" i="4"/>
  <c r="X215" i="4"/>
  <c r="W215" i="4"/>
  <c r="U215" i="4"/>
  <c r="R215" i="4"/>
  <c r="N215" i="4"/>
  <c r="O215" i="4" s="1"/>
  <c r="L215" i="4"/>
  <c r="H215" i="4"/>
  <c r="I215" i="4" s="1"/>
  <c r="F215" i="4"/>
  <c r="C215" i="4"/>
  <c r="AD214" i="4"/>
  <c r="AC214" i="4"/>
  <c r="AA214" i="4"/>
  <c r="X214" i="4"/>
  <c r="W214" i="4"/>
  <c r="U214" i="4"/>
  <c r="R214" i="4"/>
  <c r="O214" i="4"/>
  <c r="N214" i="4"/>
  <c r="L214" i="4"/>
  <c r="H214" i="4"/>
  <c r="I214" i="4" s="1"/>
  <c r="F214" i="4"/>
  <c r="C214" i="4"/>
  <c r="AC213" i="4"/>
  <c r="AD213" i="4" s="1"/>
  <c r="AA213" i="4"/>
  <c r="W213" i="4"/>
  <c r="X213" i="4" s="1"/>
  <c r="U213" i="4"/>
  <c r="R213" i="4"/>
  <c r="O213" i="4"/>
  <c r="N213" i="4"/>
  <c r="L213" i="4"/>
  <c r="I213" i="4"/>
  <c r="H213" i="4"/>
  <c r="F213" i="4"/>
  <c r="C213" i="4"/>
  <c r="AC211" i="4"/>
  <c r="AD211" i="4" s="1"/>
  <c r="AA211" i="4"/>
  <c r="X211" i="4"/>
  <c r="W211" i="4"/>
  <c r="U211" i="4"/>
  <c r="R211" i="4"/>
  <c r="O211" i="4"/>
  <c r="N211" i="4"/>
  <c r="L211" i="4"/>
  <c r="I211" i="4"/>
  <c r="H211" i="4"/>
  <c r="F211" i="4"/>
  <c r="C211" i="4"/>
  <c r="Z209" i="4"/>
  <c r="AA209" i="4" s="1"/>
  <c r="U209" i="4"/>
  <c r="T209" i="4"/>
  <c r="Q209" i="4"/>
  <c r="K209" i="4"/>
  <c r="L209" i="4" s="1"/>
  <c r="E209" i="4"/>
  <c r="F209" i="4" s="1"/>
  <c r="B209" i="4"/>
  <c r="AD208" i="4"/>
  <c r="AC208" i="4"/>
  <c r="AA208" i="4"/>
  <c r="W208" i="4"/>
  <c r="X208" i="4" s="1"/>
  <c r="U208" i="4"/>
  <c r="R208" i="4"/>
  <c r="N208" i="4"/>
  <c r="O208" i="4" s="1"/>
  <c r="L208" i="4"/>
  <c r="I208" i="4"/>
  <c r="H208" i="4"/>
  <c r="F208" i="4"/>
  <c r="C208" i="4"/>
  <c r="AC207" i="4"/>
  <c r="AD207" i="4" s="1"/>
  <c r="AA207" i="4"/>
  <c r="W207" i="4"/>
  <c r="X207" i="4" s="1"/>
  <c r="U207" i="4"/>
  <c r="R207" i="4"/>
  <c r="O207" i="4"/>
  <c r="N207" i="4"/>
  <c r="L207" i="4"/>
  <c r="H207" i="4"/>
  <c r="I207" i="4" s="1"/>
  <c r="F207" i="4"/>
  <c r="C207" i="4"/>
  <c r="AC206" i="4"/>
  <c r="AD206" i="4" s="1"/>
  <c r="AA206" i="4"/>
  <c r="X206" i="4"/>
  <c r="W206" i="4"/>
  <c r="U206" i="4"/>
  <c r="R206" i="4"/>
  <c r="N206" i="4"/>
  <c r="O206" i="4" s="1"/>
  <c r="L206" i="4"/>
  <c r="H206" i="4"/>
  <c r="I206" i="4" s="1"/>
  <c r="F206" i="4"/>
  <c r="C206" i="4"/>
  <c r="AD205" i="4"/>
  <c r="AC205" i="4"/>
  <c r="AA205" i="4"/>
  <c r="X205" i="4"/>
  <c r="W205" i="4"/>
  <c r="U205" i="4"/>
  <c r="R205" i="4"/>
  <c r="O205" i="4"/>
  <c r="N205" i="4"/>
  <c r="L205" i="4"/>
  <c r="H205" i="4"/>
  <c r="I205" i="4" s="1"/>
  <c r="F205" i="4"/>
  <c r="C205" i="4"/>
  <c r="AD204" i="4"/>
  <c r="AC204" i="4"/>
  <c r="AA204" i="4"/>
  <c r="W204" i="4"/>
  <c r="X204" i="4" s="1"/>
  <c r="U204" i="4"/>
  <c r="R204" i="4"/>
  <c r="N204" i="4"/>
  <c r="O204" i="4" s="1"/>
  <c r="L204" i="4"/>
  <c r="I204" i="4"/>
  <c r="H204" i="4"/>
  <c r="F204" i="4"/>
  <c r="C204" i="4"/>
  <c r="AC203" i="4"/>
  <c r="AD203" i="4" s="1"/>
  <c r="AA203" i="4"/>
  <c r="W203" i="4"/>
  <c r="X203" i="4" s="1"/>
  <c r="U203" i="4"/>
  <c r="R203" i="4"/>
  <c r="N203" i="4"/>
  <c r="L203" i="4"/>
  <c r="H203" i="4"/>
  <c r="I203" i="4" s="1"/>
  <c r="F203" i="4"/>
  <c r="C203" i="4"/>
  <c r="AC202" i="4"/>
  <c r="AD202" i="4" s="1"/>
  <c r="AA202" i="4"/>
  <c r="W202" i="4"/>
  <c r="X202" i="4" s="1"/>
  <c r="U202" i="4"/>
  <c r="R202" i="4"/>
  <c r="N202" i="4"/>
  <c r="O202" i="4" s="1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Q198" i="4"/>
  <c r="AC197" i="4"/>
  <c r="AD197" i="4" s="1"/>
  <c r="Z197" i="4"/>
  <c r="AA197" i="4" s="1"/>
  <c r="W197" i="4"/>
  <c r="X197" i="4" s="1"/>
  <c r="U197" i="4"/>
  <c r="T197" i="4"/>
  <c r="Q197" i="4"/>
  <c r="R197" i="4" s="1"/>
  <c r="L197" i="4"/>
  <c r="K197" i="4"/>
  <c r="N197" i="4" s="1"/>
  <c r="O197" i="4" s="1"/>
  <c r="E197" i="4"/>
  <c r="F197" i="4" s="1"/>
  <c r="B197" i="4"/>
  <c r="AC196" i="4"/>
  <c r="AD196" i="4" s="1"/>
  <c r="AA196" i="4"/>
  <c r="Z196" i="4"/>
  <c r="W196" i="4"/>
  <c r="X196" i="4" s="1"/>
  <c r="T196" i="4"/>
  <c r="U196" i="4" s="1"/>
  <c r="R196" i="4"/>
  <c r="Q196" i="4"/>
  <c r="K196" i="4"/>
  <c r="L196" i="4" s="1"/>
  <c r="F196" i="4"/>
  <c r="E196" i="4"/>
  <c r="H196" i="4" s="1"/>
  <c r="I196" i="4" s="1"/>
  <c r="C196" i="4"/>
  <c r="B196" i="4"/>
  <c r="N196" i="4" s="1"/>
  <c r="O196" i="4" s="1"/>
  <c r="AC195" i="4"/>
  <c r="AD195" i="4" s="1"/>
  <c r="AA195" i="4"/>
  <c r="W195" i="4"/>
  <c r="X195" i="4" s="1"/>
  <c r="U195" i="4"/>
  <c r="R195" i="4"/>
  <c r="N195" i="4"/>
  <c r="O195" i="4" s="1"/>
  <c r="L195" i="4"/>
  <c r="H195" i="4"/>
  <c r="I195" i="4" s="1"/>
  <c r="F195" i="4"/>
  <c r="C195" i="4"/>
  <c r="AD194" i="4"/>
  <c r="AC194" i="4"/>
  <c r="AA194" i="4"/>
  <c r="X194" i="4"/>
  <c r="W194" i="4"/>
  <c r="U194" i="4"/>
  <c r="R194" i="4"/>
  <c r="N194" i="4"/>
  <c r="O194" i="4" s="1"/>
  <c r="L194" i="4"/>
  <c r="H194" i="4"/>
  <c r="I194" i="4" s="1"/>
  <c r="F194" i="4"/>
  <c r="C194" i="4"/>
  <c r="AA193" i="4"/>
  <c r="Z193" i="4"/>
  <c r="T193" i="4"/>
  <c r="U193" i="4" s="1"/>
  <c r="Q193" i="4"/>
  <c r="K193" i="4"/>
  <c r="L193" i="4" s="1"/>
  <c r="H193" i="4"/>
  <c r="I193" i="4" s="1"/>
  <c r="F193" i="4"/>
  <c r="E193" i="4"/>
  <c r="C193" i="4"/>
  <c r="B193" i="4"/>
  <c r="N193" i="4" s="1"/>
  <c r="O193" i="4" s="1"/>
  <c r="AC192" i="4"/>
  <c r="AD192" i="4" s="1"/>
  <c r="AA192" i="4"/>
  <c r="W192" i="4"/>
  <c r="X192" i="4" s="1"/>
  <c r="U192" i="4"/>
  <c r="R192" i="4"/>
  <c r="N192" i="4"/>
  <c r="O192" i="4" s="1"/>
  <c r="L192" i="4"/>
  <c r="H192" i="4"/>
  <c r="I192" i="4" s="1"/>
  <c r="F192" i="4"/>
  <c r="C192" i="4"/>
  <c r="AD191" i="4"/>
  <c r="AC191" i="4"/>
  <c r="AA191" i="4"/>
  <c r="X191" i="4"/>
  <c r="W191" i="4"/>
  <c r="U191" i="4"/>
  <c r="R191" i="4"/>
  <c r="N191" i="4"/>
  <c r="O191" i="4" s="1"/>
  <c r="L191" i="4"/>
  <c r="H191" i="4"/>
  <c r="I191" i="4" s="1"/>
  <c r="F191" i="4"/>
  <c r="C191" i="4"/>
  <c r="AD190" i="4"/>
  <c r="AC190" i="4"/>
  <c r="AA190" i="4"/>
  <c r="W190" i="4"/>
  <c r="X190" i="4" s="1"/>
  <c r="U190" i="4"/>
  <c r="R190" i="4"/>
  <c r="O190" i="4"/>
  <c r="N190" i="4"/>
  <c r="L190" i="4"/>
  <c r="I190" i="4"/>
  <c r="H190" i="4"/>
  <c r="F190" i="4"/>
  <c r="C190" i="4"/>
  <c r="AC189" i="4"/>
  <c r="AD189" i="4" s="1"/>
  <c r="AA189" i="4"/>
  <c r="X189" i="4"/>
  <c r="W189" i="4"/>
  <c r="U189" i="4"/>
  <c r="R189" i="4"/>
  <c r="O189" i="4"/>
  <c r="N189" i="4"/>
  <c r="L189" i="4"/>
  <c r="I189" i="4"/>
  <c r="H189" i="4"/>
  <c r="F189" i="4"/>
  <c r="C189" i="4"/>
  <c r="AC188" i="4"/>
  <c r="AD188" i="4" s="1"/>
  <c r="AA188" i="4"/>
  <c r="W188" i="4"/>
  <c r="X188" i="4" s="1"/>
  <c r="U188" i="4"/>
  <c r="R188" i="4"/>
  <c r="N188" i="4"/>
  <c r="O188" i="4" s="1"/>
  <c r="L188" i="4"/>
  <c r="H188" i="4"/>
  <c r="I188" i="4" s="1"/>
  <c r="F188" i="4"/>
  <c r="C188" i="4"/>
  <c r="AD187" i="4"/>
  <c r="AC187" i="4"/>
  <c r="AA187" i="4"/>
  <c r="X187" i="4"/>
  <c r="W187" i="4"/>
  <c r="U187" i="4"/>
  <c r="R187" i="4"/>
  <c r="N187" i="4"/>
  <c r="O187" i="4" s="1"/>
  <c r="L187" i="4"/>
  <c r="H187" i="4"/>
  <c r="I187" i="4" s="1"/>
  <c r="F187" i="4"/>
  <c r="C187" i="4"/>
  <c r="AC186" i="4"/>
  <c r="AD186" i="4" s="1"/>
  <c r="AA186" i="4"/>
  <c r="W186" i="4"/>
  <c r="X186" i="4" s="1"/>
  <c r="U186" i="4"/>
  <c r="R186" i="4"/>
  <c r="O186" i="4"/>
  <c r="N186" i="4"/>
  <c r="L186" i="4"/>
  <c r="I186" i="4"/>
  <c r="H186" i="4"/>
  <c r="F186" i="4"/>
  <c r="C186" i="4"/>
  <c r="AC184" i="4"/>
  <c r="AD184" i="4" s="1"/>
  <c r="AA184" i="4"/>
  <c r="X184" i="4"/>
  <c r="W184" i="4"/>
  <c r="U184" i="4"/>
  <c r="R184" i="4"/>
  <c r="O184" i="4"/>
  <c r="N184" i="4"/>
  <c r="L184" i="4"/>
  <c r="I184" i="4"/>
  <c r="H184" i="4"/>
  <c r="F184" i="4"/>
  <c r="C184" i="4"/>
  <c r="AC183" i="4"/>
  <c r="AD183" i="4" s="1"/>
  <c r="AA183" i="4"/>
  <c r="X183" i="4"/>
  <c r="W183" i="4"/>
  <c r="U183" i="4"/>
  <c r="R183" i="4"/>
  <c r="N183" i="4"/>
  <c r="L183" i="4"/>
  <c r="H183" i="4"/>
  <c r="I183" i="4" s="1"/>
  <c r="F183" i="4"/>
  <c r="C183" i="4"/>
  <c r="Z182" i="4"/>
  <c r="AA182" i="4" s="1"/>
  <c r="T182" i="4"/>
  <c r="R182" i="4"/>
  <c r="Q182" i="4"/>
  <c r="AC182" i="4" s="1"/>
  <c r="AD182" i="4" s="1"/>
  <c r="N182" i="4"/>
  <c r="O182" i="4" s="1"/>
  <c r="K182" i="4"/>
  <c r="L182" i="4" s="1"/>
  <c r="F182" i="4"/>
  <c r="E182" i="4"/>
  <c r="B182" i="4"/>
  <c r="AC181" i="4"/>
  <c r="AD181" i="4" s="1"/>
  <c r="AA181" i="4"/>
  <c r="X181" i="4"/>
  <c r="W181" i="4"/>
  <c r="U181" i="4"/>
  <c r="R181" i="4"/>
  <c r="O181" i="4"/>
  <c r="N181" i="4"/>
  <c r="L181" i="4"/>
  <c r="H181" i="4"/>
  <c r="I181" i="4" s="1"/>
  <c r="F181" i="4"/>
  <c r="C181" i="4"/>
  <c r="AC180" i="4"/>
  <c r="AD180" i="4" s="1"/>
  <c r="AA180" i="4"/>
  <c r="W180" i="4"/>
  <c r="X180" i="4" s="1"/>
  <c r="U180" i="4"/>
  <c r="R180" i="4"/>
  <c r="N180" i="4"/>
  <c r="O180" i="4" s="1"/>
  <c r="L180" i="4"/>
  <c r="H180" i="4"/>
  <c r="I180" i="4" s="1"/>
  <c r="F180" i="4"/>
  <c r="C180" i="4"/>
  <c r="AD179" i="4"/>
  <c r="AC179" i="4"/>
  <c r="AA179" i="4"/>
  <c r="X179" i="4"/>
  <c r="W179" i="4"/>
  <c r="U179" i="4"/>
  <c r="R179" i="4"/>
  <c r="N179" i="4"/>
  <c r="O179" i="4" s="1"/>
  <c r="L179" i="4"/>
  <c r="H179" i="4"/>
  <c r="I179" i="4" s="1"/>
  <c r="F179" i="4"/>
  <c r="C179" i="4"/>
  <c r="AC178" i="4"/>
  <c r="AD178" i="4" s="1"/>
  <c r="AA178" i="4"/>
  <c r="W178" i="4"/>
  <c r="X178" i="4" s="1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X177" i="4"/>
  <c r="W177" i="4"/>
  <c r="U177" i="4"/>
  <c r="R177" i="4"/>
  <c r="O177" i="4"/>
  <c r="N177" i="4"/>
  <c r="L177" i="4"/>
  <c r="I177" i="4"/>
  <c r="H177" i="4"/>
  <c r="F177" i="4"/>
  <c r="C177" i="4"/>
  <c r="AC175" i="4"/>
  <c r="AD175" i="4" s="1"/>
  <c r="AA175" i="4"/>
  <c r="W175" i="4"/>
  <c r="X175" i="4" s="1"/>
  <c r="U175" i="4"/>
  <c r="R175" i="4"/>
  <c r="N175" i="4"/>
  <c r="L175" i="4"/>
  <c r="H175" i="4"/>
  <c r="I175" i="4" s="1"/>
  <c r="F175" i="4"/>
  <c r="C175" i="4"/>
  <c r="Z172" i="4"/>
  <c r="K172" i="4"/>
  <c r="AC171" i="4"/>
  <c r="AD171" i="4" s="1"/>
  <c r="AA171" i="4"/>
  <c r="Z171" i="4"/>
  <c r="T171" i="4"/>
  <c r="U171" i="4" s="1"/>
  <c r="Q171" i="4"/>
  <c r="L171" i="4"/>
  <c r="K171" i="4"/>
  <c r="H171" i="4"/>
  <c r="I171" i="4" s="1"/>
  <c r="E171" i="4"/>
  <c r="F171" i="4" s="1"/>
  <c r="B171" i="4"/>
  <c r="N171" i="4" s="1"/>
  <c r="O171" i="4" s="1"/>
  <c r="Z170" i="4"/>
  <c r="AA170" i="4" s="1"/>
  <c r="W170" i="4"/>
  <c r="X170" i="4" s="1"/>
  <c r="T170" i="4"/>
  <c r="U170" i="4" s="1"/>
  <c r="R170" i="4"/>
  <c r="Q170" i="4"/>
  <c r="AC170" i="4" s="1"/>
  <c r="AD170" i="4" s="1"/>
  <c r="N170" i="4"/>
  <c r="O170" i="4" s="1"/>
  <c r="K170" i="4"/>
  <c r="L170" i="4" s="1"/>
  <c r="H170" i="4"/>
  <c r="I170" i="4" s="1"/>
  <c r="F170" i="4"/>
  <c r="E170" i="4"/>
  <c r="B170" i="4"/>
  <c r="C170" i="4" s="1"/>
  <c r="AC169" i="4"/>
  <c r="AD169" i="4" s="1"/>
  <c r="AA169" i="4"/>
  <c r="X169" i="4"/>
  <c r="W169" i="4"/>
  <c r="U169" i="4"/>
  <c r="R169" i="4"/>
  <c r="O169" i="4"/>
  <c r="N169" i="4"/>
  <c r="L169" i="4"/>
  <c r="I169" i="4"/>
  <c r="H169" i="4"/>
  <c r="F169" i="4"/>
  <c r="C169" i="4"/>
  <c r="AD168" i="4"/>
  <c r="AC168" i="4"/>
  <c r="AA168" i="4"/>
  <c r="W168" i="4"/>
  <c r="X168" i="4" s="1"/>
  <c r="U168" i="4"/>
  <c r="R168" i="4"/>
  <c r="N168" i="4"/>
  <c r="O168" i="4" s="1"/>
  <c r="L168" i="4"/>
  <c r="H168" i="4"/>
  <c r="I168" i="4" s="1"/>
  <c r="F168" i="4"/>
  <c r="C168" i="4"/>
  <c r="AD167" i="4"/>
  <c r="AC167" i="4"/>
  <c r="AA167" i="4"/>
  <c r="X167" i="4"/>
  <c r="W167" i="4"/>
  <c r="U167" i="4"/>
  <c r="R167" i="4"/>
  <c r="N167" i="4"/>
  <c r="O167" i="4" s="1"/>
  <c r="L167" i="4"/>
  <c r="H167" i="4"/>
  <c r="I167" i="4" s="1"/>
  <c r="F167" i="4"/>
  <c r="C167" i="4"/>
  <c r="AA166" i="4"/>
  <c r="Z166" i="4"/>
  <c r="T166" i="4"/>
  <c r="R166" i="4"/>
  <c r="Q166" i="4"/>
  <c r="AC166" i="4" s="1"/>
  <c r="AD166" i="4" s="1"/>
  <c r="L166" i="4"/>
  <c r="K166" i="4"/>
  <c r="F166" i="4"/>
  <c r="E166" i="4"/>
  <c r="H166" i="4" s="1"/>
  <c r="I166" i="4" s="1"/>
  <c r="C166" i="4"/>
  <c r="B166" i="4"/>
  <c r="N166" i="4" s="1"/>
  <c r="O166" i="4" s="1"/>
  <c r="AD165" i="4"/>
  <c r="AC165" i="4"/>
  <c r="AA165" i="4"/>
  <c r="W165" i="4"/>
  <c r="X165" i="4" s="1"/>
  <c r="U165" i="4"/>
  <c r="R165" i="4"/>
  <c r="N165" i="4"/>
  <c r="O165" i="4" s="1"/>
  <c r="L165" i="4"/>
  <c r="H165" i="4"/>
  <c r="I165" i="4" s="1"/>
  <c r="F165" i="4"/>
  <c r="C165" i="4"/>
  <c r="AD164" i="4"/>
  <c r="AC164" i="4"/>
  <c r="AA164" i="4"/>
  <c r="X164" i="4"/>
  <c r="W164" i="4"/>
  <c r="U164" i="4"/>
  <c r="R164" i="4"/>
  <c r="N164" i="4"/>
  <c r="O164" i="4" s="1"/>
  <c r="L164" i="4"/>
  <c r="H164" i="4"/>
  <c r="I164" i="4" s="1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I163" i="4"/>
  <c r="H163" i="4"/>
  <c r="F163" i="4"/>
  <c r="C163" i="4"/>
  <c r="AC162" i="4"/>
  <c r="AD162" i="4" s="1"/>
  <c r="AA162" i="4"/>
  <c r="X162" i="4"/>
  <c r="W162" i="4"/>
  <c r="U162" i="4"/>
  <c r="R162" i="4"/>
  <c r="O162" i="4"/>
  <c r="N162" i="4"/>
  <c r="L162" i="4"/>
  <c r="H162" i="4"/>
  <c r="I162" i="4" s="1"/>
  <c r="F162" i="4"/>
  <c r="C162" i="4"/>
  <c r="AC161" i="4"/>
  <c r="AD161" i="4" s="1"/>
  <c r="AA161" i="4"/>
  <c r="W161" i="4"/>
  <c r="X161" i="4" s="1"/>
  <c r="U161" i="4"/>
  <c r="R161" i="4"/>
  <c r="N161" i="4"/>
  <c r="L161" i="4"/>
  <c r="H161" i="4"/>
  <c r="I161" i="4" s="1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I160" i="4"/>
  <c r="H160" i="4"/>
  <c r="F160" i="4"/>
  <c r="C160" i="4"/>
  <c r="AC158" i="4"/>
  <c r="AD158" i="4" s="1"/>
  <c r="AA158" i="4"/>
  <c r="Z158" i="4"/>
  <c r="T158" i="4"/>
  <c r="U158" i="4" s="1"/>
  <c r="Q158" i="4"/>
  <c r="K158" i="4"/>
  <c r="L158" i="4" s="1"/>
  <c r="E158" i="4"/>
  <c r="C158" i="4"/>
  <c r="B158" i="4"/>
  <c r="AC157" i="4"/>
  <c r="AD157" i="4" s="1"/>
  <c r="AA157" i="4"/>
  <c r="X157" i="4"/>
  <c r="W157" i="4"/>
  <c r="U157" i="4"/>
  <c r="R157" i="4"/>
  <c r="N157" i="4"/>
  <c r="O157" i="4" s="1"/>
  <c r="L157" i="4"/>
  <c r="H157" i="4"/>
  <c r="I157" i="4" s="1"/>
  <c r="F157" i="4"/>
  <c r="C157" i="4"/>
  <c r="AD156" i="4"/>
  <c r="AC156" i="4"/>
  <c r="AA156" i="4"/>
  <c r="X156" i="4"/>
  <c r="W156" i="4"/>
  <c r="U156" i="4"/>
  <c r="R156" i="4"/>
  <c r="N156" i="4"/>
  <c r="L156" i="4"/>
  <c r="H156" i="4"/>
  <c r="I156" i="4" s="1"/>
  <c r="F156" i="4"/>
  <c r="C156" i="4"/>
  <c r="AD155" i="4"/>
  <c r="AC155" i="4"/>
  <c r="AA155" i="4"/>
  <c r="W155" i="4"/>
  <c r="X155" i="4" s="1"/>
  <c r="U155" i="4"/>
  <c r="R155" i="4"/>
  <c r="O155" i="4"/>
  <c r="N155" i="4"/>
  <c r="L155" i="4"/>
  <c r="I155" i="4"/>
  <c r="H155" i="4"/>
  <c r="F155" i="4"/>
  <c r="C155" i="4"/>
  <c r="AC154" i="4"/>
  <c r="AD154" i="4" s="1"/>
  <c r="AA154" i="4"/>
  <c r="W154" i="4"/>
  <c r="X154" i="4" s="1"/>
  <c r="U154" i="4"/>
  <c r="R154" i="4"/>
  <c r="O154" i="4"/>
  <c r="N154" i="4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N153" i="4"/>
  <c r="L153" i="4"/>
  <c r="H153" i="4"/>
  <c r="I153" i="4" s="1"/>
  <c r="F153" i="4"/>
  <c r="C153" i="4"/>
  <c r="AD151" i="4"/>
  <c r="AC151" i="4"/>
  <c r="AA151" i="4"/>
  <c r="X151" i="4"/>
  <c r="W151" i="4"/>
  <c r="U151" i="4"/>
  <c r="R151" i="4"/>
  <c r="N151" i="4"/>
  <c r="O151" i="4" s="1"/>
  <c r="L151" i="4"/>
  <c r="I151" i="4"/>
  <c r="H151" i="4"/>
  <c r="F151" i="4"/>
  <c r="C151" i="4"/>
  <c r="AA149" i="4"/>
  <c r="Z149" i="4"/>
  <c r="T149" i="4"/>
  <c r="U149" i="4" s="1"/>
  <c r="Q149" i="4"/>
  <c r="K149" i="4"/>
  <c r="L149" i="4" s="1"/>
  <c r="H149" i="4"/>
  <c r="I149" i="4" s="1"/>
  <c r="F149" i="4"/>
  <c r="E149" i="4"/>
  <c r="C149" i="4"/>
  <c r="B149" i="4"/>
  <c r="N149" i="4" s="1"/>
  <c r="O149" i="4" s="1"/>
  <c r="Z148" i="4"/>
  <c r="AA148" i="4" s="1"/>
  <c r="U148" i="4"/>
  <c r="T148" i="4"/>
  <c r="Q148" i="4"/>
  <c r="K148" i="4"/>
  <c r="L148" i="4" s="1"/>
  <c r="E148" i="4"/>
  <c r="F148" i="4" s="1"/>
  <c r="B148" i="4"/>
  <c r="AD147" i="4"/>
  <c r="AC147" i="4"/>
  <c r="AA147" i="4"/>
  <c r="W147" i="4"/>
  <c r="X147" i="4" s="1"/>
  <c r="U147" i="4"/>
  <c r="R147" i="4"/>
  <c r="N147" i="4"/>
  <c r="O147" i="4" s="1"/>
  <c r="L147" i="4"/>
  <c r="I147" i="4"/>
  <c r="H147" i="4"/>
  <c r="F147" i="4"/>
  <c r="C147" i="4"/>
  <c r="AC146" i="4"/>
  <c r="AD146" i="4" s="1"/>
  <c r="AA146" i="4"/>
  <c r="X146" i="4"/>
  <c r="W146" i="4"/>
  <c r="U146" i="4"/>
  <c r="R146" i="4"/>
  <c r="O146" i="4"/>
  <c r="N146" i="4"/>
  <c r="L146" i="4"/>
  <c r="H146" i="4"/>
  <c r="I146" i="4" s="1"/>
  <c r="F146" i="4"/>
  <c r="C146" i="4"/>
  <c r="AD145" i="4"/>
  <c r="AC145" i="4"/>
  <c r="AA145" i="4"/>
  <c r="W145" i="4"/>
  <c r="X145" i="4" s="1"/>
  <c r="U145" i="4"/>
  <c r="R145" i="4"/>
  <c r="N145" i="4"/>
  <c r="O145" i="4" s="1"/>
  <c r="L145" i="4"/>
  <c r="H145" i="4"/>
  <c r="I145" i="4" s="1"/>
  <c r="F145" i="4"/>
  <c r="C145" i="4"/>
  <c r="AD144" i="4"/>
  <c r="AC144" i="4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D143" i="4"/>
  <c r="AC143" i="4"/>
  <c r="AA143" i="4"/>
  <c r="W143" i="4"/>
  <c r="X143" i="4" s="1"/>
  <c r="U143" i="4"/>
  <c r="R143" i="4"/>
  <c r="O143" i="4"/>
  <c r="N143" i="4"/>
  <c r="L143" i="4"/>
  <c r="I143" i="4"/>
  <c r="H143" i="4"/>
  <c r="F143" i="4"/>
  <c r="C143" i="4"/>
  <c r="AA141" i="4"/>
  <c r="Z141" i="4"/>
  <c r="T141" i="4"/>
  <c r="U141" i="4" s="1"/>
  <c r="Q141" i="4"/>
  <c r="L141" i="4"/>
  <c r="K141" i="4"/>
  <c r="E141" i="4"/>
  <c r="F141" i="4" s="1"/>
  <c r="B141" i="4"/>
  <c r="AD140" i="4"/>
  <c r="AC140" i="4"/>
  <c r="AA140" i="4"/>
  <c r="X140" i="4"/>
  <c r="W140" i="4"/>
  <c r="U140" i="4"/>
  <c r="R140" i="4"/>
  <c r="O140" i="4"/>
  <c r="N140" i="4"/>
  <c r="L140" i="4"/>
  <c r="H140" i="4"/>
  <c r="I140" i="4" s="1"/>
  <c r="F140" i="4"/>
  <c r="C140" i="4"/>
  <c r="AC139" i="4"/>
  <c r="AD139" i="4" s="1"/>
  <c r="AA139" i="4"/>
  <c r="W139" i="4"/>
  <c r="X139" i="4" s="1"/>
  <c r="U139" i="4"/>
  <c r="R139" i="4"/>
  <c r="N139" i="4"/>
  <c r="O139" i="4" s="1"/>
  <c r="L139" i="4"/>
  <c r="I139" i="4"/>
  <c r="H139" i="4"/>
  <c r="F139" i="4"/>
  <c r="C139" i="4"/>
  <c r="AC138" i="4"/>
  <c r="AD138" i="4" s="1"/>
  <c r="AA138" i="4"/>
  <c r="W138" i="4"/>
  <c r="X138" i="4" s="1"/>
  <c r="U138" i="4"/>
  <c r="R138" i="4"/>
  <c r="O138" i="4"/>
  <c r="N138" i="4"/>
  <c r="L138" i="4"/>
  <c r="H138" i="4"/>
  <c r="I138" i="4" s="1"/>
  <c r="F138" i="4"/>
  <c r="C138" i="4"/>
  <c r="AD137" i="4"/>
  <c r="AC137" i="4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D136" i="4"/>
  <c r="AC136" i="4"/>
  <c r="AA136" i="4"/>
  <c r="X136" i="4"/>
  <c r="W136" i="4"/>
  <c r="U136" i="4"/>
  <c r="R136" i="4"/>
  <c r="O136" i="4"/>
  <c r="N136" i="4"/>
  <c r="L136" i="4"/>
  <c r="I136" i="4"/>
  <c r="H136" i="4"/>
  <c r="F136" i="4"/>
  <c r="C136" i="4"/>
  <c r="AD135" i="4"/>
  <c r="AC135" i="4"/>
  <c r="AA135" i="4"/>
  <c r="W135" i="4"/>
  <c r="X135" i="4" s="1"/>
  <c r="U135" i="4"/>
  <c r="R135" i="4"/>
  <c r="O135" i="4"/>
  <c r="N135" i="4"/>
  <c r="L135" i="4"/>
  <c r="I135" i="4"/>
  <c r="H135" i="4"/>
  <c r="F135" i="4"/>
  <c r="C135" i="4"/>
  <c r="AC134" i="4"/>
  <c r="AD134" i="4" s="1"/>
  <c r="AA134" i="4"/>
  <c r="W134" i="4"/>
  <c r="X134" i="4" s="1"/>
  <c r="U134" i="4"/>
  <c r="R134" i="4"/>
  <c r="O134" i="4"/>
  <c r="N134" i="4"/>
  <c r="L134" i="4"/>
  <c r="I134" i="4"/>
  <c r="H134" i="4"/>
  <c r="F134" i="4"/>
  <c r="C134" i="4"/>
  <c r="AC133" i="4"/>
  <c r="AD133" i="4" s="1"/>
  <c r="AA133" i="4"/>
  <c r="X133" i="4"/>
  <c r="W133" i="4"/>
  <c r="U133" i="4"/>
  <c r="R133" i="4"/>
  <c r="N133" i="4"/>
  <c r="O133" i="4" s="1"/>
  <c r="L133" i="4"/>
  <c r="H133" i="4"/>
  <c r="I133" i="4" s="1"/>
  <c r="F133" i="4"/>
  <c r="C133" i="4"/>
  <c r="AD132" i="4"/>
  <c r="AC132" i="4"/>
  <c r="AA132" i="4"/>
  <c r="X132" i="4"/>
  <c r="W132" i="4"/>
  <c r="U132" i="4"/>
  <c r="R132" i="4"/>
  <c r="N132" i="4"/>
  <c r="O132" i="4" s="1"/>
  <c r="L132" i="4"/>
  <c r="H132" i="4"/>
  <c r="I132" i="4" s="1"/>
  <c r="F132" i="4"/>
  <c r="C132" i="4"/>
  <c r="AC131" i="4"/>
  <c r="AD131" i="4" s="1"/>
  <c r="AA131" i="4"/>
  <c r="W131" i="4"/>
  <c r="X131" i="4" s="1"/>
  <c r="U131" i="4"/>
  <c r="R131" i="4"/>
  <c r="N131" i="4"/>
  <c r="O131" i="4" s="1"/>
  <c r="L131" i="4"/>
  <c r="I131" i="4"/>
  <c r="H131" i="4"/>
  <c r="F131" i="4"/>
  <c r="C131" i="4"/>
  <c r="AC130" i="4"/>
  <c r="AD130" i="4" s="1"/>
  <c r="AA130" i="4"/>
  <c r="W130" i="4"/>
  <c r="X130" i="4" s="1"/>
  <c r="U130" i="4"/>
  <c r="R130" i="4"/>
  <c r="O130" i="4"/>
  <c r="N130" i="4"/>
  <c r="L130" i="4"/>
  <c r="H130" i="4"/>
  <c r="I130" i="4" s="1"/>
  <c r="F130" i="4"/>
  <c r="C130" i="4"/>
  <c r="AC129" i="4"/>
  <c r="AD129" i="4" s="1"/>
  <c r="AA129" i="4"/>
  <c r="X129" i="4"/>
  <c r="W129" i="4"/>
  <c r="U129" i="4"/>
  <c r="R129" i="4"/>
  <c r="N129" i="4"/>
  <c r="O129" i="4" s="1"/>
  <c r="L129" i="4"/>
  <c r="H129" i="4"/>
  <c r="I129" i="4" s="1"/>
  <c r="F129" i="4"/>
  <c r="C129" i="4"/>
  <c r="AD127" i="4"/>
  <c r="AC127" i="4"/>
  <c r="AA127" i="4"/>
  <c r="X127" i="4"/>
  <c r="W127" i="4"/>
  <c r="U127" i="4"/>
  <c r="R127" i="4"/>
  <c r="O127" i="4"/>
  <c r="N127" i="4"/>
  <c r="L127" i="4"/>
  <c r="I127" i="4"/>
  <c r="H127" i="4"/>
  <c r="F127" i="4"/>
  <c r="C127" i="4"/>
  <c r="AA124" i="4"/>
  <c r="Z124" i="4"/>
  <c r="X124" i="4"/>
  <c r="W124" i="4"/>
  <c r="T124" i="4"/>
  <c r="U124" i="4" s="1"/>
  <c r="Q124" i="4"/>
  <c r="Q172" i="4" s="1"/>
  <c r="R172" i="4" s="1"/>
  <c r="K124" i="4"/>
  <c r="L124" i="4" s="1"/>
  <c r="F124" i="4"/>
  <c r="E124" i="4"/>
  <c r="E172" i="4" s="1"/>
  <c r="F172" i="4" s="1"/>
  <c r="B124" i="4"/>
  <c r="H124" i="4" s="1"/>
  <c r="I124" i="4" s="1"/>
  <c r="AD123" i="4"/>
  <c r="AC123" i="4"/>
  <c r="AA123" i="4"/>
  <c r="W123" i="4"/>
  <c r="X123" i="4" s="1"/>
  <c r="U123" i="4"/>
  <c r="R123" i="4"/>
  <c r="N123" i="4"/>
  <c r="O123" i="4" s="1"/>
  <c r="L123" i="4"/>
  <c r="H123" i="4"/>
  <c r="I123" i="4" s="1"/>
  <c r="F123" i="4"/>
  <c r="C123" i="4"/>
  <c r="Z122" i="4"/>
  <c r="AA122" i="4" s="1"/>
  <c r="T122" i="4"/>
  <c r="U122" i="4" s="1"/>
  <c r="R122" i="4"/>
  <c r="Q122" i="4"/>
  <c r="N122" i="4"/>
  <c r="O122" i="4" s="1"/>
  <c r="K122" i="4"/>
  <c r="L122" i="4" s="1"/>
  <c r="E122" i="4"/>
  <c r="F122" i="4" s="1"/>
  <c r="C122" i="4"/>
  <c r="B122" i="4"/>
  <c r="AC121" i="4"/>
  <c r="AD121" i="4" s="1"/>
  <c r="AA121" i="4"/>
  <c r="W121" i="4"/>
  <c r="X121" i="4" s="1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X120" i="4"/>
  <c r="W120" i="4"/>
  <c r="U120" i="4"/>
  <c r="R120" i="4"/>
  <c r="N120" i="4"/>
  <c r="O120" i="4" s="1"/>
  <c r="L120" i="4"/>
  <c r="H120" i="4"/>
  <c r="I120" i="4" s="1"/>
  <c r="F120" i="4"/>
  <c r="C120" i="4"/>
  <c r="AC119" i="4"/>
  <c r="AD119" i="4" s="1"/>
  <c r="AA119" i="4"/>
  <c r="X119" i="4"/>
  <c r="W119" i="4"/>
  <c r="U119" i="4"/>
  <c r="R119" i="4"/>
  <c r="O119" i="4"/>
  <c r="N119" i="4"/>
  <c r="L119" i="4"/>
  <c r="I119" i="4"/>
  <c r="H119" i="4"/>
  <c r="F119" i="4"/>
  <c r="C119" i="4"/>
  <c r="Z118" i="4"/>
  <c r="AA118" i="4" s="1"/>
  <c r="W118" i="4"/>
  <c r="X118" i="4" s="1"/>
  <c r="T118" i="4"/>
  <c r="U118" i="4" s="1"/>
  <c r="Q118" i="4"/>
  <c r="R118" i="4" s="1"/>
  <c r="K118" i="4"/>
  <c r="L118" i="4" s="1"/>
  <c r="E118" i="4"/>
  <c r="F118" i="4" s="1"/>
  <c r="B118" i="4"/>
  <c r="N118" i="4" s="1"/>
  <c r="O118" i="4" s="1"/>
  <c r="AC117" i="4"/>
  <c r="AD117" i="4" s="1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N116" i="4"/>
  <c r="O116" i="4" s="1"/>
  <c r="L116" i="4"/>
  <c r="I116" i="4"/>
  <c r="H116" i="4"/>
  <c r="F116" i="4"/>
  <c r="C116" i="4"/>
  <c r="AD115" i="4"/>
  <c r="AC115" i="4"/>
  <c r="AA115" i="4"/>
  <c r="X115" i="4"/>
  <c r="W115" i="4"/>
  <c r="U115" i="4"/>
  <c r="R115" i="4"/>
  <c r="N115" i="4"/>
  <c r="O115" i="4" s="1"/>
  <c r="L115" i="4"/>
  <c r="H115" i="4"/>
  <c r="I115" i="4" s="1"/>
  <c r="F115" i="4"/>
  <c r="C115" i="4"/>
  <c r="AC114" i="4"/>
  <c r="AD114" i="4" s="1"/>
  <c r="AA114" i="4"/>
  <c r="X114" i="4"/>
  <c r="W114" i="4"/>
  <c r="U114" i="4"/>
  <c r="R114" i="4"/>
  <c r="N114" i="4"/>
  <c r="O114" i="4" s="1"/>
  <c r="L114" i="4"/>
  <c r="I114" i="4"/>
  <c r="H114" i="4"/>
  <c r="F114" i="4"/>
  <c r="C114" i="4"/>
  <c r="AD113" i="4"/>
  <c r="AC113" i="4"/>
  <c r="AA113" i="4"/>
  <c r="W113" i="4"/>
  <c r="X113" i="4" s="1"/>
  <c r="U113" i="4"/>
  <c r="R113" i="4"/>
  <c r="N113" i="4"/>
  <c r="O113" i="4" s="1"/>
  <c r="L113" i="4"/>
  <c r="H113" i="4"/>
  <c r="I113" i="4" s="1"/>
  <c r="F113" i="4"/>
  <c r="C113" i="4"/>
  <c r="AC112" i="4"/>
  <c r="AD112" i="4" s="1"/>
  <c r="AA112" i="4"/>
  <c r="W112" i="4"/>
  <c r="X112" i="4" s="1"/>
  <c r="U112" i="4"/>
  <c r="R112" i="4"/>
  <c r="N112" i="4"/>
  <c r="O112" i="4" s="1"/>
  <c r="L112" i="4"/>
  <c r="I112" i="4"/>
  <c r="H112" i="4"/>
  <c r="F112" i="4"/>
  <c r="C112" i="4"/>
  <c r="AC111" i="4"/>
  <c r="AD111" i="4" s="1"/>
  <c r="AA111" i="4"/>
  <c r="W111" i="4"/>
  <c r="X111" i="4" s="1"/>
  <c r="U111" i="4"/>
  <c r="R111" i="4"/>
  <c r="O111" i="4"/>
  <c r="N111" i="4"/>
  <c r="L111" i="4"/>
  <c r="I111" i="4"/>
  <c r="H111" i="4"/>
  <c r="F111" i="4"/>
  <c r="C111" i="4"/>
  <c r="AC110" i="4"/>
  <c r="AD110" i="4" s="1"/>
  <c r="AA110" i="4"/>
  <c r="W110" i="4"/>
  <c r="X110" i="4" s="1"/>
  <c r="U110" i="4"/>
  <c r="R110" i="4"/>
  <c r="N110" i="4"/>
  <c r="O110" i="4" s="1"/>
  <c r="L110" i="4"/>
  <c r="H110" i="4"/>
  <c r="I110" i="4" s="1"/>
  <c r="F110" i="4"/>
  <c r="C110" i="4"/>
  <c r="AD109" i="4"/>
  <c r="AC109" i="4"/>
  <c r="AA109" i="4"/>
  <c r="W109" i="4"/>
  <c r="X109" i="4" s="1"/>
  <c r="U109" i="4"/>
  <c r="R109" i="4"/>
  <c r="N109" i="4"/>
  <c r="O109" i="4" s="1"/>
  <c r="L109" i="4"/>
  <c r="H109" i="4"/>
  <c r="I109" i="4" s="1"/>
  <c r="F109" i="4"/>
  <c r="C109" i="4"/>
  <c r="AD108" i="4"/>
  <c r="AC108" i="4"/>
  <c r="AA108" i="4"/>
  <c r="W108" i="4"/>
  <c r="X108" i="4" s="1"/>
  <c r="U108" i="4"/>
  <c r="R108" i="4"/>
  <c r="N108" i="4"/>
  <c r="O108" i="4" s="1"/>
  <c r="L108" i="4"/>
  <c r="I108" i="4"/>
  <c r="H108" i="4"/>
  <c r="F108" i="4"/>
  <c r="C108" i="4"/>
  <c r="AD107" i="4"/>
  <c r="AC107" i="4"/>
  <c r="AA107" i="4"/>
  <c r="X107" i="4"/>
  <c r="W107" i="4"/>
  <c r="U107" i="4"/>
  <c r="R107" i="4"/>
  <c r="N107" i="4"/>
  <c r="O107" i="4" s="1"/>
  <c r="L107" i="4"/>
  <c r="H107" i="4"/>
  <c r="I107" i="4" s="1"/>
  <c r="F107" i="4"/>
  <c r="C107" i="4"/>
  <c r="AC106" i="4"/>
  <c r="AD106" i="4" s="1"/>
  <c r="AA106" i="4"/>
  <c r="X106" i="4"/>
  <c r="W106" i="4"/>
  <c r="U106" i="4"/>
  <c r="R106" i="4"/>
  <c r="N106" i="4"/>
  <c r="O106" i="4" s="1"/>
  <c r="L106" i="4"/>
  <c r="I106" i="4"/>
  <c r="H106" i="4"/>
  <c r="F106" i="4"/>
  <c r="C106" i="4"/>
  <c r="AD105" i="4"/>
  <c r="AC105" i="4"/>
  <c r="AA105" i="4"/>
  <c r="W105" i="4"/>
  <c r="X105" i="4" s="1"/>
  <c r="U105" i="4"/>
  <c r="R105" i="4"/>
  <c r="N105" i="4"/>
  <c r="O105" i="4" s="1"/>
  <c r="L105" i="4"/>
  <c r="H105" i="4"/>
  <c r="I105" i="4" s="1"/>
  <c r="F105" i="4"/>
  <c r="C105" i="4"/>
  <c r="AC104" i="4"/>
  <c r="AD104" i="4" s="1"/>
  <c r="AA104" i="4"/>
  <c r="W104" i="4"/>
  <c r="X104" i="4" s="1"/>
  <c r="U104" i="4"/>
  <c r="R104" i="4"/>
  <c r="N104" i="4"/>
  <c r="O104" i="4" s="1"/>
  <c r="L104" i="4"/>
  <c r="I104" i="4"/>
  <c r="H104" i="4"/>
  <c r="F104" i="4"/>
  <c r="C104" i="4"/>
  <c r="AC103" i="4"/>
  <c r="AD103" i="4" s="1"/>
  <c r="AA103" i="4"/>
  <c r="W103" i="4"/>
  <c r="X103" i="4" s="1"/>
  <c r="U103" i="4"/>
  <c r="R103" i="4"/>
  <c r="O103" i="4"/>
  <c r="N103" i="4"/>
  <c r="L103" i="4"/>
  <c r="I103" i="4"/>
  <c r="H103" i="4"/>
  <c r="F103" i="4"/>
  <c r="C103" i="4"/>
  <c r="AC102" i="4"/>
  <c r="AD102" i="4" s="1"/>
  <c r="AA102" i="4"/>
  <c r="W102" i="4"/>
  <c r="X102" i="4" s="1"/>
  <c r="U102" i="4"/>
  <c r="R102" i="4"/>
  <c r="N102" i="4"/>
  <c r="O102" i="4" s="1"/>
  <c r="L102" i="4"/>
  <c r="H102" i="4"/>
  <c r="I102" i="4" s="1"/>
  <c r="F102" i="4"/>
  <c r="C102" i="4"/>
  <c r="AD101" i="4"/>
  <c r="AC101" i="4"/>
  <c r="AA101" i="4"/>
  <c r="W101" i="4"/>
  <c r="X101" i="4" s="1"/>
  <c r="U101" i="4"/>
  <c r="R101" i="4"/>
  <c r="N101" i="4"/>
  <c r="O101" i="4" s="1"/>
  <c r="L101" i="4"/>
  <c r="H101" i="4"/>
  <c r="I101" i="4" s="1"/>
  <c r="F101" i="4"/>
  <c r="C101" i="4"/>
  <c r="AD100" i="4"/>
  <c r="AC100" i="4"/>
  <c r="AA100" i="4"/>
  <c r="W100" i="4"/>
  <c r="X100" i="4" s="1"/>
  <c r="U100" i="4"/>
  <c r="R100" i="4"/>
  <c r="N100" i="4"/>
  <c r="O100" i="4" s="1"/>
  <c r="L100" i="4"/>
  <c r="I100" i="4"/>
  <c r="H100" i="4"/>
  <c r="F100" i="4"/>
  <c r="C100" i="4"/>
  <c r="AD99" i="4"/>
  <c r="AC99" i="4"/>
  <c r="AA99" i="4"/>
  <c r="X99" i="4"/>
  <c r="W99" i="4"/>
  <c r="U99" i="4"/>
  <c r="R99" i="4"/>
  <c r="N99" i="4"/>
  <c r="O99" i="4" s="1"/>
  <c r="L99" i="4"/>
  <c r="I99" i="4"/>
  <c r="H99" i="4"/>
  <c r="F99" i="4"/>
  <c r="C99" i="4"/>
  <c r="AC98" i="4"/>
  <c r="AD98" i="4" s="1"/>
  <c r="AA98" i="4"/>
  <c r="X98" i="4"/>
  <c r="W98" i="4"/>
  <c r="U98" i="4"/>
  <c r="R98" i="4"/>
  <c r="N98" i="4"/>
  <c r="O98" i="4" s="1"/>
  <c r="L98" i="4"/>
  <c r="I98" i="4"/>
  <c r="H98" i="4"/>
  <c r="F98" i="4"/>
  <c r="C98" i="4"/>
  <c r="AD97" i="4"/>
  <c r="AC97" i="4"/>
  <c r="AA97" i="4"/>
  <c r="W97" i="4"/>
  <c r="X97" i="4" s="1"/>
  <c r="U97" i="4"/>
  <c r="R97" i="4"/>
  <c r="N97" i="4"/>
  <c r="O97" i="4" s="1"/>
  <c r="L97" i="4"/>
  <c r="H97" i="4"/>
  <c r="I97" i="4" s="1"/>
  <c r="F97" i="4"/>
  <c r="C97" i="4"/>
  <c r="AC96" i="4"/>
  <c r="AD96" i="4" s="1"/>
  <c r="AA96" i="4"/>
  <c r="W96" i="4"/>
  <c r="X96" i="4" s="1"/>
  <c r="U96" i="4"/>
  <c r="R96" i="4"/>
  <c r="N96" i="4"/>
  <c r="O96" i="4" s="1"/>
  <c r="L96" i="4"/>
  <c r="I96" i="4"/>
  <c r="H96" i="4"/>
  <c r="F96" i="4"/>
  <c r="C96" i="4"/>
  <c r="AC95" i="4"/>
  <c r="AD95" i="4" s="1"/>
  <c r="AA95" i="4"/>
  <c r="W95" i="4"/>
  <c r="X95" i="4" s="1"/>
  <c r="U95" i="4"/>
  <c r="R95" i="4"/>
  <c r="O95" i="4"/>
  <c r="N95" i="4"/>
  <c r="L95" i="4"/>
  <c r="I95" i="4"/>
  <c r="H95" i="4"/>
  <c r="F95" i="4"/>
  <c r="C95" i="4"/>
  <c r="AC94" i="4"/>
  <c r="AD94" i="4" s="1"/>
  <c r="AA94" i="4"/>
  <c r="W94" i="4"/>
  <c r="X94" i="4" s="1"/>
  <c r="U94" i="4"/>
  <c r="R94" i="4"/>
  <c r="N94" i="4"/>
  <c r="O94" i="4" s="1"/>
  <c r="L94" i="4"/>
  <c r="H94" i="4"/>
  <c r="I94" i="4" s="1"/>
  <c r="F94" i="4"/>
  <c r="C94" i="4"/>
  <c r="AD92" i="4"/>
  <c r="AC92" i="4"/>
  <c r="AA92" i="4"/>
  <c r="W92" i="4"/>
  <c r="X92" i="4" s="1"/>
  <c r="U92" i="4"/>
  <c r="R92" i="4"/>
  <c r="N92" i="4"/>
  <c r="O92" i="4" s="1"/>
  <c r="L92" i="4"/>
  <c r="H92" i="4"/>
  <c r="I92" i="4" s="1"/>
  <c r="F92" i="4"/>
  <c r="C92" i="4"/>
  <c r="AD91" i="4"/>
  <c r="AC91" i="4"/>
  <c r="AA91" i="4"/>
  <c r="W91" i="4"/>
  <c r="X91" i="4" s="1"/>
  <c r="U91" i="4"/>
  <c r="R91" i="4"/>
  <c r="N91" i="4"/>
  <c r="O91" i="4" s="1"/>
  <c r="L91" i="4"/>
  <c r="I91" i="4"/>
  <c r="H91" i="4"/>
  <c r="F91" i="4"/>
  <c r="C91" i="4"/>
  <c r="AD90" i="4"/>
  <c r="AC90" i="4"/>
  <c r="AA90" i="4"/>
  <c r="X90" i="4"/>
  <c r="W90" i="4"/>
  <c r="U90" i="4"/>
  <c r="R90" i="4"/>
  <c r="N90" i="4"/>
  <c r="O90" i="4" s="1"/>
  <c r="L90" i="4"/>
  <c r="H90" i="4"/>
  <c r="I90" i="4" s="1"/>
  <c r="F90" i="4"/>
  <c r="C90" i="4"/>
  <c r="AC89" i="4"/>
  <c r="AD89" i="4" s="1"/>
  <c r="AA89" i="4"/>
  <c r="X89" i="4"/>
  <c r="W89" i="4"/>
  <c r="U89" i="4"/>
  <c r="R89" i="4"/>
  <c r="N89" i="4"/>
  <c r="O89" i="4" s="1"/>
  <c r="L89" i="4"/>
  <c r="H89" i="4"/>
  <c r="I89" i="4" s="1"/>
  <c r="F89" i="4"/>
  <c r="C89" i="4"/>
  <c r="Z88" i="4"/>
  <c r="AA88" i="4" s="1"/>
  <c r="T88" i="4"/>
  <c r="W88" i="4" s="1"/>
  <c r="X88" i="4" s="1"/>
  <c r="R88" i="4"/>
  <c r="Q88" i="4"/>
  <c r="N88" i="4"/>
  <c r="O88" i="4" s="1"/>
  <c r="L88" i="4"/>
  <c r="K88" i="4"/>
  <c r="H88" i="4"/>
  <c r="I88" i="4" s="1"/>
  <c r="F88" i="4"/>
  <c r="E88" i="4"/>
  <c r="B88" i="4"/>
  <c r="C88" i="4" s="1"/>
  <c r="AD87" i="4"/>
  <c r="AC87" i="4"/>
  <c r="AA87" i="4"/>
  <c r="W87" i="4"/>
  <c r="X87" i="4" s="1"/>
  <c r="U87" i="4"/>
  <c r="R87" i="4"/>
  <c r="N87" i="4"/>
  <c r="O87" i="4" s="1"/>
  <c r="L87" i="4"/>
  <c r="H87" i="4"/>
  <c r="I87" i="4" s="1"/>
  <c r="F87" i="4"/>
  <c r="C87" i="4"/>
  <c r="AC86" i="4"/>
  <c r="AD86" i="4" s="1"/>
  <c r="AA86" i="4"/>
  <c r="W86" i="4"/>
  <c r="X86" i="4" s="1"/>
  <c r="U86" i="4"/>
  <c r="R86" i="4"/>
  <c r="N86" i="4"/>
  <c r="O86" i="4" s="1"/>
  <c r="L86" i="4"/>
  <c r="I86" i="4"/>
  <c r="H86" i="4"/>
  <c r="F86" i="4"/>
  <c r="C86" i="4"/>
  <c r="AD85" i="4"/>
  <c r="AC85" i="4"/>
  <c r="AA85" i="4"/>
  <c r="W85" i="4"/>
  <c r="X85" i="4" s="1"/>
  <c r="U85" i="4"/>
  <c r="R85" i="4"/>
  <c r="O85" i="4"/>
  <c r="N85" i="4"/>
  <c r="L85" i="4"/>
  <c r="H85" i="4"/>
  <c r="I85" i="4" s="1"/>
  <c r="F85" i="4"/>
  <c r="C85" i="4"/>
  <c r="AC84" i="4"/>
  <c r="AD84" i="4" s="1"/>
  <c r="AA84" i="4"/>
  <c r="W84" i="4"/>
  <c r="X84" i="4" s="1"/>
  <c r="U84" i="4"/>
  <c r="R84" i="4"/>
  <c r="N84" i="4"/>
  <c r="O84" i="4" s="1"/>
  <c r="L84" i="4"/>
  <c r="I84" i="4"/>
  <c r="H84" i="4"/>
  <c r="F84" i="4"/>
  <c r="C84" i="4"/>
  <c r="AD83" i="4"/>
  <c r="AC83" i="4"/>
  <c r="AA83" i="4"/>
  <c r="W83" i="4"/>
  <c r="X83" i="4" s="1"/>
  <c r="U83" i="4"/>
  <c r="R83" i="4"/>
  <c r="O83" i="4"/>
  <c r="N83" i="4"/>
  <c r="L83" i="4"/>
  <c r="I83" i="4"/>
  <c r="H83" i="4"/>
  <c r="F83" i="4"/>
  <c r="C83" i="4"/>
  <c r="AC82" i="4"/>
  <c r="AD82" i="4" s="1"/>
  <c r="AA82" i="4"/>
  <c r="W82" i="4"/>
  <c r="X82" i="4" s="1"/>
  <c r="U82" i="4"/>
  <c r="R82" i="4"/>
  <c r="N82" i="4"/>
  <c r="O82" i="4" s="1"/>
  <c r="L82" i="4"/>
  <c r="H82" i="4"/>
  <c r="I82" i="4" s="1"/>
  <c r="F82" i="4"/>
  <c r="C82" i="4"/>
  <c r="AD81" i="4"/>
  <c r="AC81" i="4"/>
  <c r="AA81" i="4"/>
  <c r="X81" i="4"/>
  <c r="W81" i="4"/>
  <c r="U81" i="4"/>
  <c r="R81" i="4"/>
  <c r="N81" i="4"/>
  <c r="O81" i="4" s="1"/>
  <c r="L81" i="4"/>
  <c r="H81" i="4"/>
  <c r="I81" i="4" s="1"/>
  <c r="F81" i="4"/>
  <c r="C81" i="4"/>
  <c r="AC80" i="4"/>
  <c r="AD80" i="4" s="1"/>
  <c r="AA80" i="4"/>
  <c r="W80" i="4"/>
  <c r="X80" i="4" s="1"/>
  <c r="U80" i="4"/>
  <c r="R80" i="4"/>
  <c r="O80" i="4"/>
  <c r="N80" i="4"/>
  <c r="L80" i="4"/>
  <c r="I80" i="4"/>
  <c r="H80" i="4"/>
  <c r="F80" i="4"/>
  <c r="C80" i="4"/>
  <c r="AC79" i="4"/>
  <c r="AD79" i="4" s="1"/>
  <c r="AA79" i="4"/>
  <c r="W79" i="4"/>
  <c r="X79" i="4" s="1"/>
  <c r="U79" i="4"/>
  <c r="R79" i="4"/>
  <c r="N79" i="4"/>
  <c r="O79" i="4" s="1"/>
  <c r="L79" i="4"/>
  <c r="H79" i="4"/>
  <c r="I79" i="4" s="1"/>
  <c r="F79" i="4"/>
  <c r="C79" i="4"/>
  <c r="AC78" i="4"/>
  <c r="AD78" i="4" s="1"/>
  <c r="AA78" i="4"/>
  <c r="X78" i="4"/>
  <c r="W78" i="4"/>
  <c r="U78" i="4"/>
  <c r="R78" i="4"/>
  <c r="N78" i="4"/>
  <c r="O78" i="4" s="1"/>
  <c r="L78" i="4"/>
  <c r="I78" i="4"/>
  <c r="H78" i="4"/>
  <c r="F78" i="4"/>
  <c r="C78" i="4"/>
  <c r="AD77" i="4"/>
  <c r="AC77" i="4"/>
  <c r="AA77" i="4"/>
  <c r="W77" i="4"/>
  <c r="X77" i="4" s="1"/>
  <c r="U77" i="4"/>
  <c r="R77" i="4"/>
  <c r="O77" i="4"/>
  <c r="N77" i="4"/>
  <c r="L77" i="4"/>
  <c r="H77" i="4"/>
  <c r="I77" i="4" s="1"/>
  <c r="F77" i="4"/>
  <c r="C77" i="4"/>
  <c r="AC76" i="4"/>
  <c r="AD76" i="4" s="1"/>
  <c r="AA76" i="4"/>
  <c r="W76" i="4"/>
  <c r="X76" i="4" s="1"/>
  <c r="U76" i="4"/>
  <c r="R76" i="4"/>
  <c r="O76" i="4"/>
  <c r="N76" i="4"/>
  <c r="L76" i="4"/>
  <c r="I76" i="4"/>
  <c r="H76" i="4"/>
  <c r="F76" i="4"/>
  <c r="C76" i="4"/>
  <c r="AD75" i="4"/>
  <c r="AC75" i="4"/>
  <c r="AA75" i="4"/>
  <c r="W75" i="4"/>
  <c r="X75" i="4" s="1"/>
  <c r="U75" i="4"/>
  <c r="R75" i="4"/>
  <c r="N75" i="4"/>
  <c r="O75" i="4" s="1"/>
  <c r="L75" i="4"/>
  <c r="I75" i="4"/>
  <c r="H75" i="4"/>
  <c r="F75" i="4"/>
  <c r="C75" i="4"/>
  <c r="AA73" i="4"/>
  <c r="Z73" i="4"/>
  <c r="U73" i="4"/>
  <c r="T73" i="4"/>
  <c r="Q73" i="4"/>
  <c r="L73" i="4"/>
  <c r="K73" i="4"/>
  <c r="E73" i="4"/>
  <c r="F73" i="4" s="1"/>
  <c r="B73" i="4"/>
  <c r="H73" i="4" s="1"/>
  <c r="I73" i="4" s="1"/>
  <c r="AC72" i="4"/>
  <c r="AD72" i="4" s="1"/>
  <c r="AA72" i="4"/>
  <c r="W72" i="4"/>
  <c r="X72" i="4" s="1"/>
  <c r="U72" i="4"/>
  <c r="R72" i="4"/>
  <c r="O72" i="4"/>
  <c r="N72" i="4"/>
  <c r="L72" i="4"/>
  <c r="I72" i="4"/>
  <c r="H72" i="4"/>
  <c r="F72" i="4"/>
  <c r="C72" i="4"/>
  <c r="AC71" i="4"/>
  <c r="AD71" i="4" s="1"/>
  <c r="AA71" i="4"/>
  <c r="W71" i="4"/>
  <c r="X71" i="4" s="1"/>
  <c r="U71" i="4"/>
  <c r="R71" i="4"/>
  <c r="O71" i="4"/>
  <c r="N71" i="4"/>
  <c r="L71" i="4"/>
  <c r="I71" i="4"/>
  <c r="H71" i="4"/>
  <c r="F71" i="4"/>
  <c r="C71" i="4"/>
  <c r="AC70" i="4"/>
  <c r="AD70" i="4" s="1"/>
  <c r="AA70" i="4"/>
  <c r="W70" i="4"/>
  <c r="X70" i="4" s="1"/>
  <c r="U70" i="4"/>
  <c r="R70" i="4"/>
  <c r="N70" i="4"/>
  <c r="O70" i="4" s="1"/>
  <c r="L70" i="4"/>
  <c r="H70" i="4"/>
  <c r="I70" i="4" s="1"/>
  <c r="F70" i="4"/>
  <c r="C70" i="4"/>
  <c r="AD69" i="4"/>
  <c r="AC69" i="4"/>
  <c r="AA69" i="4"/>
  <c r="X69" i="4"/>
  <c r="W69" i="4"/>
  <c r="U69" i="4"/>
  <c r="R69" i="4"/>
  <c r="O69" i="4"/>
  <c r="N69" i="4"/>
  <c r="L69" i="4"/>
  <c r="H69" i="4"/>
  <c r="I69" i="4" s="1"/>
  <c r="F69" i="4"/>
  <c r="C69" i="4"/>
  <c r="AD68" i="4"/>
  <c r="AC68" i="4"/>
  <c r="AA68" i="4"/>
  <c r="W68" i="4"/>
  <c r="X68" i="4" s="1"/>
  <c r="U68" i="4"/>
  <c r="R68" i="4"/>
  <c r="O68" i="4"/>
  <c r="N68" i="4"/>
  <c r="L68" i="4"/>
  <c r="I68" i="4"/>
  <c r="H68" i="4"/>
  <c r="F68" i="4"/>
  <c r="C68" i="4"/>
  <c r="AD67" i="4"/>
  <c r="AC67" i="4"/>
  <c r="AA67" i="4"/>
  <c r="X67" i="4"/>
  <c r="W67" i="4"/>
  <c r="U67" i="4"/>
  <c r="R67" i="4"/>
  <c r="N67" i="4"/>
  <c r="O67" i="4" s="1"/>
  <c r="L67" i="4"/>
  <c r="I67" i="4"/>
  <c r="H67" i="4"/>
  <c r="F67" i="4"/>
  <c r="C67" i="4"/>
  <c r="AC66" i="4"/>
  <c r="AD66" i="4" s="1"/>
  <c r="AA66" i="4"/>
  <c r="W66" i="4"/>
  <c r="X66" i="4" s="1"/>
  <c r="U66" i="4"/>
  <c r="R66" i="4"/>
  <c r="N66" i="4"/>
  <c r="O66" i="4" s="1"/>
  <c r="L66" i="4"/>
  <c r="I66" i="4"/>
  <c r="H66" i="4"/>
  <c r="F66" i="4"/>
  <c r="C66" i="4"/>
  <c r="AD65" i="4"/>
  <c r="AC65" i="4"/>
  <c r="AA65" i="4"/>
  <c r="W65" i="4"/>
  <c r="X65" i="4" s="1"/>
  <c r="U65" i="4"/>
  <c r="R65" i="4"/>
  <c r="O65" i="4"/>
  <c r="N65" i="4"/>
  <c r="L65" i="4"/>
  <c r="H65" i="4"/>
  <c r="I65" i="4" s="1"/>
  <c r="F65" i="4"/>
  <c r="C65" i="4"/>
  <c r="AC64" i="4"/>
  <c r="AD64" i="4" s="1"/>
  <c r="AA64" i="4"/>
  <c r="W64" i="4"/>
  <c r="X64" i="4" s="1"/>
  <c r="U64" i="4"/>
  <c r="R64" i="4"/>
  <c r="O64" i="4"/>
  <c r="N64" i="4"/>
  <c r="L64" i="4"/>
  <c r="I64" i="4"/>
  <c r="H64" i="4"/>
  <c r="F64" i="4"/>
  <c r="C64" i="4"/>
  <c r="AA62" i="4"/>
  <c r="Z62" i="4"/>
  <c r="X62" i="4"/>
  <c r="T62" i="4"/>
  <c r="U62" i="4" s="1"/>
  <c r="Q62" i="4"/>
  <c r="W62" i="4" s="1"/>
  <c r="N62" i="4"/>
  <c r="O62" i="4" s="1"/>
  <c r="L62" i="4"/>
  <c r="K62" i="4"/>
  <c r="F62" i="4"/>
  <c r="E62" i="4"/>
  <c r="H62" i="4" s="1"/>
  <c r="I62" i="4" s="1"/>
  <c r="C62" i="4"/>
  <c r="B62" i="4"/>
  <c r="Z61" i="4"/>
  <c r="AA61" i="4" s="1"/>
  <c r="T61" i="4"/>
  <c r="W61" i="4" s="1"/>
  <c r="X61" i="4" s="1"/>
  <c r="R61" i="4"/>
  <c r="Q61" i="4"/>
  <c r="N61" i="4"/>
  <c r="O61" i="4" s="1"/>
  <c r="L61" i="4"/>
  <c r="K61" i="4"/>
  <c r="I61" i="4"/>
  <c r="H61" i="4"/>
  <c r="F61" i="4"/>
  <c r="E61" i="4"/>
  <c r="B61" i="4"/>
  <c r="C61" i="4" s="1"/>
  <c r="AD60" i="4"/>
  <c r="AC60" i="4"/>
  <c r="AA60" i="4"/>
  <c r="X60" i="4"/>
  <c r="W60" i="4"/>
  <c r="U60" i="4"/>
  <c r="R60" i="4"/>
  <c r="N60" i="4"/>
  <c r="O60" i="4" s="1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N59" i="4"/>
  <c r="O59" i="4" s="1"/>
  <c r="L59" i="4"/>
  <c r="I59" i="4"/>
  <c r="H59" i="4"/>
  <c r="F59" i="4"/>
  <c r="C59" i="4"/>
  <c r="AD58" i="4"/>
  <c r="AC58" i="4"/>
  <c r="AA58" i="4"/>
  <c r="X58" i="4"/>
  <c r="W58" i="4"/>
  <c r="U58" i="4"/>
  <c r="R58" i="4"/>
  <c r="O58" i="4"/>
  <c r="N58" i="4"/>
  <c r="L58" i="4"/>
  <c r="H58" i="4"/>
  <c r="I58" i="4" s="1"/>
  <c r="F58" i="4"/>
  <c r="C58" i="4"/>
  <c r="AC57" i="4"/>
  <c r="AD57" i="4" s="1"/>
  <c r="AA57" i="4"/>
  <c r="W57" i="4"/>
  <c r="X57" i="4" s="1"/>
  <c r="U57" i="4"/>
  <c r="R57" i="4"/>
  <c r="N57" i="4"/>
  <c r="O57" i="4" s="1"/>
  <c r="L57" i="4"/>
  <c r="I57" i="4"/>
  <c r="H57" i="4"/>
  <c r="F57" i="4"/>
  <c r="C57" i="4"/>
  <c r="AD56" i="4"/>
  <c r="AC56" i="4"/>
  <c r="AA56" i="4"/>
  <c r="W56" i="4"/>
  <c r="X56" i="4" s="1"/>
  <c r="U56" i="4"/>
  <c r="R56" i="4"/>
  <c r="N56" i="4"/>
  <c r="O56" i="4" s="1"/>
  <c r="L56" i="4"/>
  <c r="I56" i="4"/>
  <c r="H56" i="4"/>
  <c r="F56" i="4"/>
  <c r="C56" i="4"/>
  <c r="AC55" i="4"/>
  <c r="AD55" i="4" s="1"/>
  <c r="AA55" i="4"/>
  <c r="X55" i="4"/>
  <c r="W55" i="4"/>
  <c r="U55" i="4"/>
  <c r="R55" i="4"/>
  <c r="N55" i="4"/>
  <c r="O55" i="4" s="1"/>
  <c r="L55" i="4"/>
  <c r="H55" i="4"/>
  <c r="I55" i="4" s="1"/>
  <c r="F55" i="4"/>
  <c r="C55" i="4"/>
  <c r="AD54" i="4"/>
  <c r="AC54" i="4"/>
  <c r="AA54" i="4"/>
  <c r="X54" i="4"/>
  <c r="W54" i="4"/>
  <c r="U54" i="4"/>
  <c r="R54" i="4"/>
  <c r="O54" i="4"/>
  <c r="N54" i="4"/>
  <c r="L54" i="4"/>
  <c r="H54" i="4"/>
  <c r="I54" i="4" s="1"/>
  <c r="F54" i="4"/>
  <c r="C54" i="4"/>
  <c r="AC53" i="4"/>
  <c r="AD53" i="4" s="1"/>
  <c r="AA53" i="4"/>
  <c r="W53" i="4"/>
  <c r="X53" i="4" s="1"/>
  <c r="U53" i="4"/>
  <c r="R53" i="4"/>
  <c r="O53" i="4"/>
  <c r="N53" i="4"/>
  <c r="L53" i="4"/>
  <c r="I53" i="4"/>
  <c r="H53" i="4"/>
  <c r="F53" i="4"/>
  <c r="C53" i="4"/>
  <c r="AD52" i="4"/>
  <c r="AC52" i="4"/>
  <c r="AA52" i="4"/>
  <c r="W52" i="4"/>
  <c r="X52" i="4" s="1"/>
  <c r="U52" i="4"/>
  <c r="R52" i="4"/>
  <c r="N52" i="4"/>
  <c r="O52" i="4" s="1"/>
  <c r="L52" i="4"/>
  <c r="H52" i="4"/>
  <c r="I52" i="4" s="1"/>
  <c r="F52" i="4"/>
  <c r="C52" i="4"/>
  <c r="AC51" i="4"/>
  <c r="AD51" i="4" s="1"/>
  <c r="AA51" i="4"/>
  <c r="X51" i="4"/>
  <c r="W51" i="4"/>
  <c r="U51" i="4"/>
  <c r="R51" i="4"/>
  <c r="N51" i="4"/>
  <c r="O51" i="4" s="1"/>
  <c r="L51" i="4"/>
  <c r="I51" i="4"/>
  <c r="H51" i="4"/>
  <c r="F51" i="4"/>
  <c r="C51" i="4"/>
  <c r="AD50" i="4"/>
  <c r="AC50" i="4"/>
  <c r="AA50" i="4"/>
  <c r="W50" i="4"/>
  <c r="X50" i="4" s="1"/>
  <c r="U50" i="4"/>
  <c r="R50" i="4"/>
  <c r="O50" i="4"/>
  <c r="N50" i="4"/>
  <c r="L50" i="4"/>
  <c r="H50" i="4"/>
  <c r="I50" i="4" s="1"/>
  <c r="F50" i="4"/>
  <c r="C50" i="4"/>
  <c r="AC49" i="4"/>
  <c r="AD49" i="4" s="1"/>
  <c r="AA49" i="4"/>
  <c r="W49" i="4"/>
  <c r="X49" i="4" s="1"/>
  <c r="U49" i="4"/>
  <c r="R49" i="4"/>
  <c r="O49" i="4"/>
  <c r="N49" i="4"/>
  <c r="L49" i="4"/>
  <c r="I49" i="4"/>
  <c r="H49" i="4"/>
  <c r="F49" i="4"/>
  <c r="C49" i="4"/>
  <c r="AC48" i="4"/>
  <c r="AD48" i="4" s="1"/>
  <c r="AA48" i="4"/>
  <c r="W48" i="4"/>
  <c r="X48" i="4" s="1"/>
  <c r="U48" i="4"/>
  <c r="R48" i="4"/>
  <c r="N48" i="4"/>
  <c r="O48" i="4" s="1"/>
  <c r="L48" i="4"/>
  <c r="I48" i="4"/>
  <c r="H48" i="4"/>
  <c r="F48" i="4"/>
  <c r="C48" i="4"/>
  <c r="AC47" i="4"/>
  <c r="AD47" i="4" s="1"/>
  <c r="AA47" i="4"/>
  <c r="X47" i="4"/>
  <c r="W47" i="4"/>
  <c r="U47" i="4"/>
  <c r="R47" i="4"/>
  <c r="N47" i="4"/>
  <c r="O47" i="4" s="1"/>
  <c r="L47" i="4"/>
  <c r="H47" i="4"/>
  <c r="I47" i="4" s="1"/>
  <c r="F47" i="4"/>
  <c r="C47" i="4"/>
  <c r="AD46" i="4"/>
  <c r="AC46" i="4"/>
  <c r="AA46" i="4"/>
  <c r="X46" i="4"/>
  <c r="W46" i="4"/>
  <c r="U46" i="4"/>
  <c r="R46" i="4"/>
  <c r="O46" i="4"/>
  <c r="N46" i="4"/>
  <c r="L46" i="4"/>
  <c r="H46" i="4"/>
  <c r="I46" i="4" s="1"/>
  <c r="F46" i="4"/>
  <c r="C46" i="4"/>
  <c r="AD44" i="4"/>
  <c r="AC44" i="4"/>
  <c r="AA44" i="4"/>
  <c r="W44" i="4"/>
  <c r="X44" i="4" s="1"/>
  <c r="U44" i="4"/>
  <c r="R44" i="4"/>
  <c r="O44" i="4"/>
  <c r="N44" i="4"/>
  <c r="L44" i="4"/>
  <c r="I44" i="4"/>
  <c r="H44" i="4"/>
  <c r="F44" i="4"/>
  <c r="C44" i="4"/>
  <c r="AC43" i="4"/>
  <c r="AD43" i="4" s="1"/>
  <c r="AA43" i="4"/>
  <c r="X43" i="4"/>
  <c r="W43" i="4"/>
  <c r="U43" i="4"/>
  <c r="R43" i="4"/>
  <c r="N43" i="4"/>
  <c r="O43" i="4" s="1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N42" i="4"/>
  <c r="O42" i="4" s="1"/>
  <c r="L42" i="4"/>
  <c r="I42" i="4"/>
  <c r="H42" i="4"/>
  <c r="F42" i="4"/>
  <c r="C42" i="4"/>
  <c r="Z40" i="4"/>
  <c r="AA40" i="4" s="1"/>
  <c r="W40" i="4"/>
  <c r="X40" i="4" s="1"/>
  <c r="U40" i="4"/>
  <c r="T40" i="4"/>
  <c r="R40" i="4"/>
  <c r="Q40" i="4"/>
  <c r="L40" i="4"/>
  <c r="K40" i="4"/>
  <c r="F40" i="4"/>
  <c r="E40" i="4"/>
  <c r="B40" i="4"/>
  <c r="AC39" i="4"/>
  <c r="AD39" i="4" s="1"/>
  <c r="AA39" i="4"/>
  <c r="W39" i="4"/>
  <c r="X39" i="4" s="1"/>
  <c r="U39" i="4"/>
  <c r="R39" i="4"/>
  <c r="O39" i="4"/>
  <c r="N39" i="4"/>
  <c r="L39" i="4"/>
  <c r="I39" i="4"/>
  <c r="H39" i="4"/>
  <c r="F39" i="4"/>
  <c r="C39" i="4"/>
  <c r="AC38" i="4"/>
  <c r="AD38" i="4" s="1"/>
  <c r="AA38" i="4"/>
  <c r="W38" i="4"/>
  <c r="X38" i="4" s="1"/>
  <c r="U38" i="4"/>
  <c r="R38" i="4"/>
  <c r="N38" i="4"/>
  <c r="O38" i="4" s="1"/>
  <c r="L38" i="4"/>
  <c r="H38" i="4"/>
  <c r="I38" i="4" s="1"/>
  <c r="F38" i="4"/>
  <c r="C38" i="4"/>
  <c r="AD37" i="4"/>
  <c r="AC37" i="4"/>
  <c r="AA37" i="4"/>
  <c r="W37" i="4"/>
  <c r="X37" i="4" s="1"/>
  <c r="U37" i="4"/>
  <c r="R37" i="4"/>
  <c r="N37" i="4"/>
  <c r="O37" i="4" s="1"/>
  <c r="L37" i="4"/>
  <c r="H37" i="4"/>
  <c r="I37" i="4" s="1"/>
  <c r="F37" i="4"/>
  <c r="C37" i="4"/>
  <c r="AD36" i="4"/>
  <c r="AC36" i="4"/>
  <c r="AA36" i="4"/>
  <c r="W36" i="4"/>
  <c r="X36" i="4" s="1"/>
  <c r="U36" i="4"/>
  <c r="R36" i="4"/>
  <c r="N36" i="4"/>
  <c r="O36" i="4" s="1"/>
  <c r="L36" i="4"/>
  <c r="I36" i="4"/>
  <c r="H36" i="4"/>
  <c r="F36" i="4"/>
  <c r="C36" i="4"/>
  <c r="AD35" i="4"/>
  <c r="AC35" i="4"/>
  <c r="AA35" i="4"/>
  <c r="X35" i="4"/>
  <c r="W35" i="4"/>
  <c r="U35" i="4"/>
  <c r="R35" i="4"/>
  <c r="O35" i="4"/>
  <c r="N35" i="4"/>
  <c r="L35" i="4"/>
  <c r="H35" i="4"/>
  <c r="I35" i="4" s="1"/>
  <c r="F35" i="4"/>
  <c r="C35" i="4"/>
  <c r="AC34" i="4"/>
  <c r="AD34" i="4" s="1"/>
  <c r="AA34" i="4"/>
  <c r="X34" i="4"/>
  <c r="W34" i="4"/>
  <c r="U34" i="4"/>
  <c r="R34" i="4"/>
  <c r="N34" i="4"/>
  <c r="O34" i="4" s="1"/>
  <c r="L34" i="4"/>
  <c r="H34" i="4"/>
  <c r="I34" i="4" s="1"/>
  <c r="F34" i="4"/>
  <c r="C34" i="4"/>
  <c r="AD33" i="4"/>
  <c r="AC33" i="4"/>
  <c r="AA33" i="4"/>
  <c r="W33" i="4"/>
  <c r="X33" i="4" s="1"/>
  <c r="U33" i="4"/>
  <c r="R33" i="4"/>
  <c r="N33" i="4"/>
  <c r="O33" i="4" s="1"/>
  <c r="L33" i="4"/>
  <c r="H33" i="4"/>
  <c r="I33" i="4" s="1"/>
  <c r="F33" i="4"/>
  <c r="C33" i="4"/>
  <c r="AC32" i="4"/>
  <c r="AD32" i="4" s="1"/>
  <c r="AA32" i="4"/>
  <c r="W32" i="4"/>
  <c r="X32" i="4" s="1"/>
  <c r="U32" i="4"/>
  <c r="R32" i="4"/>
  <c r="N32" i="4"/>
  <c r="O32" i="4" s="1"/>
  <c r="L32" i="4"/>
  <c r="I32" i="4"/>
  <c r="H32" i="4"/>
  <c r="F32" i="4"/>
  <c r="C32" i="4"/>
  <c r="AC31" i="4"/>
  <c r="AD31" i="4" s="1"/>
  <c r="AA31" i="4"/>
  <c r="W31" i="4"/>
  <c r="X31" i="4" s="1"/>
  <c r="U31" i="4"/>
  <c r="R31" i="4"/>
  <c r="O31" i="4"/>
  <c r="N31" i="4"/>
  <c r="L31" i="4"/>
  <c r="H31" i="4"/>
  <c r="I31" i="4" s="1"/>
  <c r="F31" i="4"/>
  <c r="C31" i="4"/>
  <c r="AC29" i="4"/>
  <c r="AD29" i="4" s="1"/>
  <c r="AA29" i="4"/>
  <c r="Z29" i="4"/>
  <c r="W29" i="4"/>
  <c r="X29" i="4" s="1"/>
  <c r="U29" i="4"/>
  <c r="T29" i="4"/>
  <c r="Q29" i="4"/>
  <c r="R29" i="4" s="1"/>
  <c r="N29" i="4"/>
  <c r="O29" i="4" s="1"/>
  <c r="K29" i="4"/>
  <c r="L29" i="4" s="1"/>
  <c r="E29" i="4"/>
  <c r="F29" i="4" s="1"/>
  <c r="C29" i="4"/>
  <c r="B29" i="4"/>
  <c r="AD28" i="4"/>
  <c r="AC28" i="4"/>
  <c r="AA28" i="4"/>
  <c r="W28" i="4"/>
  <c r="X28" i="4" s="1"/>
  <c r="U28" i="4"/>
  <c r="R28" i="4"/>
  <c r="O28" i="4"/>
  <c r="N28" i="4"/>
  <c r="L28" i="4"/>
  <c r="I28" i="4"/>
  <c r="H28" i="4"/>
  <c r="F28" i="4"/>
  <c r="C28" i="4"/>
  <c r="AD27" i="4"/>
  <c r="AC27" i="4"/>
  <c r="AA27" i="4"/>
  <c r="X27" i="4"/>
  <c r="W27" i="4"/>
  <c r="U27" i="4"/>
  <c r="R27" i="4"/>
  <c r="N27" i="4"/>
  <c r="O27" i="4" s="1"/>
  <c r="L27" i="4"/>
  <c r="H27" i="4"/>
  <c r="I27" i="4" s="1"/>
  <c r="F27" i="4"/>
  <c r="C27" i="4"/>
  <c r="AC26" i="4"/>
  <c r="AD26" i="4" s="1"/>
  <c r="AA26" i="4"/>
  <c r="W26" i="4"/>
  <c r="X26" i="4" s="1"/>
  <c r="U26" i="4"/>
  <c r="R26" i="4"/>
  <c r="N26" i="4"/>
  <c r="O26" i="4" s="1"/>
  <c r="L26" i="4"/>
  <c r="I26" i="4"/>
  <c r="H26" i="4"/>
  <c r="F26" i="4"/>
  <c r="C26" i="4"/>
  <c r="AD25" i="4"/>
  <c r="AC25" i="4"/>
  <c r="AA25" i="4"/>
  <c r="W25" i="4"/>
  <c r="X25" i="4" s="1"/>
  <c r="U25" i="4"/>
  <c r="R25" i="4"/>
  <c r="O25" i="4"/>
  <c r="N25" i="4"/>
  <c r="L25" i="4"/>
  <c r="H25" i="4"/>
  <c r="I25" i="4" s="1"/>
  <c r="F25" i="4"/>
  <c r="C25" i="4"/>
  <c r="AD24" i="4"/>
  <c r="AC24" i="4"/>
  <c r="AA24" i="4"/>
  <c r="W24" i="4"/>
  <c r="X24" i="4" s="1"/>
  <c r="U24" i="4"/>
  <c r="R24" i="4"/>
  <c r="N24" i="4"/>
  <c r="O24" i="4" s="1"/>
  <c r="L24" i="4"/>
  <c r="I24" i="4"/>
  <c r="H24" i="4"/>
  <c r="F24" i="4"/>
  <c r="C24" i="4"/>
  <c r="AD23" i="4"/>
  <c r="AC23" i="4"/>
  <c r="AA23" i="4"/>
  <c r="W23" i="4"/>
  <c r="X23" i="4" s="1"/>
  <c r="U23" i="4"/>
  <c r="R23" i="4"/>
  <c r="O23" i="4"/>
  <c r="N23" i="4"/>
  <c r="L23" i="4"/>
  <c r="I23" i="4"/>
  <c r="H23" i="4"/>
  <c r="F23" i="4"/>
  <c r="C23" i="4"/>
  <c r="AC22" i="4"/>
  <c r="AD22" i="4" s="1"/>
  <c r="AA22" i="4"/>
  <c r="X22" i="4"/>
  <c r="W22" i="4"/>
  <c r="U22" i="4"/>
  <c r="R22" i="4"/>
  <c r="N22" i="4"/>
  <c r="O22" i="4" s="1"/>
  <c r="L22" i="4"/>
  <c r="H22" i="4"/>
  <c r="I22" i="4" s="1"/>
  <c r="F22" i="4"/>
  <c r="C22" i="4"/>
  <c r="AD21" i="4"/>
  <c r="AC21" i="4"/>
  <c r="AA21" i="4"/>
  <c r="X21" i="4"/>
  <c r="W21" i="4"/>
  <c r="U21" i="4"/>
  <c r="R21" i="4"/>
  <c r="N21" i="4"/>
  <c r="O21" i="4" s="1"/>
  <c r="L21" i="4"/>
  <c r="H21" i="4"/>
  <c r="I21" i="4" s="1"/>
  <c r="F21" i="4"/>
  <c r="C21" i="4"/>
  <c r="AC19" i="4"/>
  <c r="AD19" i="4" s="1"/>
  <c r="AA19" i="4"/>
  <c r="W19" i="4"/>
  <c r="X19" i="4" s="1"/>
  <c r="U19" i="4"/>
  <c r="R19" i="4"/>
  <c r="O19" i="4"/>
  <c r="N19" i="4"/>
  <c r="L19" i="4"/>
  <c r="I19" i="4"/>
  <c r="H19" i="4"/>
  <c r="F19" i="4"/>
  <c r="C19" i="4"/>
  <c r="Z18" i="4"/>
  <c r="AA18" i="4" s="1"/>
  <c r="T18" i="4"/>
  <c r="U18" i="4" s="1"/>
  <c r="Q18" i="4"/>
  <c r="W18" i="4" s="1"/>
  <c r="X18" i="4" s="1"/>
  <c r="L18" i="4"/>
  <c r="K18" i="4"/>
  <c r="E18" i="4"/>
  <c r="F18" i="4" s="1"/>
  <c r="B18" i="4"/>
  <c r="H18" i="4" s="1"/>
  <c r="I18" i="4" s="1"/>
  <c r="AD17" i="4"/>
  <c r="AC17" i="4"/>
  <c r="AA17" i="4"/>
  <c r="X17" i="4"/>
  <c r="W17" i="4"/>
  <c r="U17" i="4"/>
  <c r="R17" i="4"/>
  <c r="O17" i="4"/>
  <c r="N17" i="4"/>
  <c r="L17" i="4"/>
  <c r="H17" i="4"/>
  <c r="I17" i="4" s="1"/>
  <c r="F17" i="4"/>
  <c r="C17" i="4"/>
  <c r="AC16" i="4"/>
  <c r="AD16" i="4" s="1"/>
  <c r="AA16" i="4"/>
  <c r="W16" i="4"/>
  <c r="X16" i="4" s="1"/>
  <c r="U16" i="4"/>
  <c r="R16" i="4"/>
  <c r="O16" i="4"/>
  <c r="N16" i="4"/>
  <c r="L16" i="4"/>
  <c r="I16" i="4"/>
  <c r="H16" i="4"/>
  <c r="F16" i="4"/>
  <c r="C16" i="4"/>
  <c r="AC15" i="4"/>
  <c r="AD15" i="4" s="1"/>
  <c r="AA15" i="4"/>
  <c r="W15" i="4"/>
  <c r="X15" i="4" s="1"/>
  <c r="U15" i="4"/>
  <c r="R15" i="4"/>
  <c r="N15" i="4"/>
  <c r="O15" i="4" s="1"/>
  <c r="L15" i="4"/>
  <c r="H15" i="4"/>
  <c r="I15" i="4" s="1"/>
  <c r="F15" i="4"/>
  <c r="C15" i="4"/>
  <c r="AC14" i="4"/>
  <c r="AD14" i="4" s="1"/>
  <c r="AA14" i="4"/>
  <c r="W14" i="4"/>
  <c r="X14" i="4" s="1"/>
  <c r="U14" i="4"/>
  <c r="R14" i="4"/>
  <c r="N14" i="4"/>
  <c r="O14" i="4" s="1"/>
  <c r="L14" i="4"/>
  <c r="I14" i="4"/>
  <c r="H14" i="4"/>
  <c r="F14" i="4"/>
  <c r="C14" i="4"/>
  <c r="AD13" i="4"/>
  <c r="AC13" i="4"/>
  <c r="AA13" i="4"/>
  <c r="W13" i="4"/>
  <c r="X13" i="4" s="1"/>
  <c r="U13" i="4"/>
  <c r="R13" i="4"/>
  <c r="O13" i="4"/>
  <c r="N13" i="4"/>
  <c r="L13" i="4"/>
  <c r="H13" i="4"/>
  <c r="I13" i="4" s="1"/>
  <c r="F13" i="4"/>
  <c r="C13" i="4"/>
  <c r="AC12" i="4"/>
  <c r="AD12" i="4" s="1"/>
  <c r="AA12" i="4"/>
  <c r="W12" i="4"/>
  <c r="X12" i="4" s="1"/>
  <c r="U12" i="4"/>
  <c r="R12" i="4"/>
  <c r="N12" i="4"/>
  <c r="O12" i="4" s="1"/>
  <c r="L12" i="4"/>
  <c r="I12" i="4"/>
  <c r="H12" i="4"/>
  <c r="F12" i="4"/>
  <c r="C12" i="4"/>
  <c r="AD11" i="4"/>
  <c r="AC11" i="4"/>
  <c r="AA11" i="4"/>
  <c r="W11" i="4"/>
  <c r="X11" i="4" s="1"/>
  <c r="U11" i="4"/>
  <c r="R11" i="4"/>
  <c r="O11" i="4"/>
  <c r="N11" i="4"/>
  <c r="L11" i="4"/>
  <c r="I11" i="4"/>
  <c r="H11" i="4"/>
  <c r="F11" i="4"/>
  <c r="C11" i="4"/>
  <c r="AC10" i="4"/>
  <c r="AD10" i="4" s="1"/>
  <c r="AA10" i="4"/>
  <c r="W10" i="4"/>
  <c r="X10" i="4" s="1"/>
  <c r="U10" i="4"/>
  <c r="R10" i="4"/>
  <c r="N10" i="4"/>
  <c r="O10" i="4" s="1"/>
  <c r="L10" i="4"/>
  <c r="H10" i="4"/>
  <c r="I10" i="4" s="1"/>
  <c r="F10" i="4"/>
  <c r="C10" i="4"/>
  <c r="AD8" i="4"/>
  <c r="AC8" i="4"/>
  <c r="AA8" i="4"/>
  <c r="X8" i="4"/>
  <c r="W8" i="4"/>
  <c r="U8" i="4"/>
  <c r="R8" i="4"/>
  <c r="N8" i="4"/>
  <c r="O8" i="4" s="1"/>
  <c r="L8" i="4"/>
  <c r="H8" i="4"/>
  <c r="I8" i="4" s="1"/>
  <c r="F8" i="4"/>
  <c r="C8" i="4"/>
  <c r="AC444" i="3"/>
  <c r="AD407" i="3" s="1"/>
  <c r="W444" i="3"/>
  <c r="X421" i="3" s="1"/>
  <c r="N444" i="3"/>
  <c r="H444" i="3"/>
  <c r="AA442" i="3"/>
  <c r="Z442" i="3"/>
  <c r="T442" i="3"/>
  <c r="U442" i="3" s="1"/>
  <c r="Q442" i="3"/>
  <c r="K442" i="3"/>
  <c r="L442" i="3" s="1"/>
  <c r="I442" i="3"/>
  <c r="E442" i="3"/>
  <c r="H442" i="3" s="1"/>
  <c r="C442" i="3"/>
  <c r="B442" i="3"/>
  <c r="N442" i="3" s="1"/>
  <c r="O442" i="3" s="1"/>
  <c r="Z441" i="3"/>
  <c r="AA441" i="3" s="1"/>
  <c r="U441" i="3"/>
  <c r="T441" i="3"/>
  <c r="Q441" i="3"/>
  <c r="L441" i="3"/>
  <c r="K441" i="3"/>
  <c r="E441" i="3"/>
  <c r="F441" i="3" s="1"/>
  <c r="C441" i="3"/>
  <c r="B441" i="3"/>
  <c r="N441" i="3" s="1"/>
  <c r="O441" i="3" s="1"/>
  <c r="AC440" i="3"/>
  <c r="AD440" i="3" s="1"/>
  <c r="AA440" i="3"/>
  <c r="W440" i="3"/>
  <c r="U440" i="3"/>
  <c r="R440" i="3"/>
  <c r="N440" i="3"/>
  <c r="O440" i="3" s="1"/>
  <c r="L440" i="3"/>
  <c r="I440" i="3"/>
  <c r="H440" i="3"/>
  <c r="F440" i="3"/>
  <c r="C440" i="3"/>
  <c r="AC439" i="3"/>
  <c r="AD439" i="3" s="1"/>
  <c r="AA439" i="3"/>
  <c r="W439" i="3"/>
  <c r="U439" i="3"/>
  <c r="R439" i="3"/>
  <c r="O439" i="3"/>
  <c r="N439" i="3"/>
  <c r="L439" i="3"/>
  <c r="I439" i="3"/>
  <c r="H439" i="3"/>
  <c r="F439" i="3"/>
  <c r="C439" i="3"/>
  <c r="AC438" i="3"/>
  <c r="AA438" i="3"/>
  <c r="W438" i="3"/>
  <c r="X438" i="3" s="1"/>
  <c r="U438" i="3"/>
  <c r="R438" i="3"/>
  <c r="N438" i="3"/>
  <c r="L438" i="3"/>
  <c r="H438" i="3"/>
  <c r="I438" i="3" s="1"/>
  <c r="F438" i="3"/>
  <c r="C438" i="3"/>
  <c r="AC437" i="3"/>
  <c r="AA437" i="3"/>
  <c r="W437" i="3"/>
  <c r="U437" i="3"/>
  <c r="R437" i="3"/>
  <c r="N437" i="3"/>
  <c r="O437" i="3" s="1"/>
  <c r="L437" i="3"/>
  <c r="H437" i="3"/>
  <c r="I437" i="3" s="1"/>
  <c r="F437" i="3"/>
  <c r="C437" i="3"/>
  <c r="AC436" i="3"/>
  <c r="AD436" i="3" s="1"/>
  <c r="AA436" i="3"/>
  <c r="W436" i="3"/>
  <c r="U436" i="3"/>
  <c r="R436" i="3"/>
  <c r="O436" i="3"/>
  <c r="N436" i="3"/>
  <c r="L436" i="3"/>
  <c r="I436" i="3"/>
  <c r="H436" i="3"/>
  <c r="F436" i="3"/>
  <c r="C436" i="3"/>
  <c r="AD435" i="3"/>
  <c r="AC435" i="3"/>
  <c r="AA435" i="3"/>
  <c r="W435" i="3"/>
  <c r="X435" i="3" s="1"/>
  <c r="U435" i="3"/>
  <c r="R435" i="3"/>
  <c r="N435" i="3"/>
  <c r="O435" i="3" s="1"/>
  <c r="L435" i="3"/>
  <c r="H435" i="3"/>
  <c r="I435" i="3" s="1"/>
  <c r="F435" i="3"/>
  <c r="C435" i="3"/>
  <c r="AC434" i="3"/>
  <c r="AD434" i="3" s="1"/>
  <c r="AA434" i="3"/>
  <c r="W434" i="3"/>
  <c r="X434" i="3" s="1"/>
  <c r="U434" i="3"/>
  <c r="R434" i="3"/>
  <c r="N434" i="3"/>
  <c r="L434" i="3"/>
  <c r="I434" i="3"/>
  <c r="H434" i="3"/>
  <c r="F434" i="3"/>
  <c r="C434" i="3"/>
  <c r="AC433" i="3"/>
  <c r="AA433" i="3"/>
  <c r="X433" i="3"/>
  <c r="W433" i="3"/>
  <c r="U433" i="3"/>
  <c r="R433" i="3"/>
  <c r="O433" i="3"/>
  <c r="N433" i="3"/>
  <c r="L433" i="3"/>
  <c r="H433" i="3"/>
  <c r="I433" i="3" s="1"/>
  <c r="F433" i="3"/>
  <c r="C433" i="3"/>
  <c r="AC432" i="3"/>
  <c r="AD432" i="3" s="1"/>
  <c r="AA432" i="3"/>
  <c r="W432" i="3"/>
  <c r="U432" i="3"/>
  <c r="R432" i="3"/>
  <c r="N432" i="3"/>
  <c r="O432" i="3" s="1"/>
  <c r="L432" i="3"/>
  <c r="I432" i="3"/>
  <c r="H432" i="3"/>
  <c r="F432" i="3"/>
  <c r="C432" i="3"/>
  <c r="AD429" i="3"/>
  <c r="AC429" i="3"/>
  <c r="AA429" i="3"/>
  <c r="Z429" i="3"/>
  <c r="T429" i="3"/>
  <c r="U429" i="3" s="1"/>
  <c r="Q429" i="3"/>
  <c r="N429" i="3"/>
  <c r="O429" i="3" s="1"/>
  <c r="L429" i="3"/>
  <c r="K429" i="3"/>
  <c r="F429" i="3"/>
  <c r="E429" i="3"/>
  <c r="B429" i="3"/>
  <c r="C429" i="3" s="1"/>
  <c r="Z428" i="3"/>
  <c r="AA428" i="3" s="1"/>
  <c r="W428" i="3"/>
  <c r="X428" i="3" s="1"/>
  <c r="U428" i="3"/>
  <c r="T428" i="3"/>
  <c r="R428" i="3"/>
  <c r="Q428" i="3"/>
  <c r="N428" i="3"/>
  <c r="O428" i="3" s="1"/>
  <c r="L428" i="3"/>
  <c r="K428" i="3"/>
  <c r="F428" i="3"/>
  <c r="E428" i="3"/>
  <c r="B428" i="3"/>
  <c r="C428" i="3" s="1"/>
  <c r="AC427" i="3"/>
  <c r="AD427" i="3" s="1"/>
  <c r="AA427" i="3"/>
  <c r="X427" i="3"/>
  <c r="W427" i="3"/>
  <c r="U427" i="3"/>
  <c r="R427" i="3"/>
  <c r="N427" i="3"/>
  <c r="O427" i="3" s="1"/>
  <c r="L427" i="3"/>
  <c r="H427" i="3"/>
  <c r="I427" i="3" s="1"/>
  <c r="F427" i="3"/>
  <c r="C427" i="3"/>
  <c r="AC426" i="3"/>
  <c r="AD426" i="3" s="1"/>
  <c r="AA426" i="3"/>
  <c r="W426" i="3"/>
  <c r="X426" i="3" s="1"/>
  <c r="U426" i="3"/>
  <c r="R426" i="3"/>
  <c r="N426" i="3"/>
  <c r="L426" i="3"/>
  <c r="I426" i="3"/>
  <c r="H426" i="3"/>
  <c r="F426" i="3"/>
  <c r="C426" i="3"/>
  <c r="AC425" i="3"/>
  <c r="AA425" i="3"/>
  <c r="W425" i="3"/>
  <c r="X425" i="3" s="1"/>
  <c r="U425" i="3"/>
  <c r="R425" i="3"/>
  <c r="O425" i="3"/>
  <c r="N425" i="3"/>
  <c r="L425" i="3"/>
  <c r="H425" i="3"/>
  <c r="I425" i="3" s="1"/>
  <c r="F425" i="3"/>
  <c r="C425" i="3"/>
  <c r="AC424" i="3"/>
  <c r="AD424" i="3" s="1"/>
  <c r="AA424" i="3"/>
  <c r="W424" i="3"/>
  <c r="U424" i="3"/>
  <c r="R424" i="3"/>
  <c r="N424" i="3"/>
  <c r="O424" i="3" s="1"/>
  <c r="L424" i="3"/>
  <c r="I424" i="3"/>
  <c r="H424" i="3"/>
  <c r="F424" i="3"/>
  <c r="C424" i="3"/>
  <c r="AD423" i="3"/>
  <c r="AC423" i="3"/>
  <c r="AA423" i="3"/>
  <c r="X423" i="3"/>
  <c r="W423" i="3"/>
  <c r="U423" i="3"/>
  <c r="R423" i="3"/>
  <c r="N423" i="3"/>
  <c r="O423" i="3" s="1"/>
  <c r="L423" i="3"/>
  <c r="H423" i="3"/>
  <c r="I423" i="3" s="1"/>
  <c r="F423" i="3"/>
  <c r="C423" i="3"/>
  <c r="AC422" i="3"/>
  <c r="AA422" i="3"/>
  <c r="X422" i="3"/>
  <c r="W422" i="3"/>
  <c r="U422" i="3"/>
  <c r="R422" i="3"/>
  <c r="N422" i="3"/>
  <c r="L422" i="3"/>
  <c r="H422" i="3"/>
  <c r="I422" i="3" s="1"/>
  <c r="F422" i="3"/>
  <c r="C422" i="3"/>
  <c r="AD421" i="3"/>
  <c r="AC421" i="3"/>
  <c r="AA421" i="3"/>
  <c r="W421" i="3"/>
  <c r="U421" i="3"/>
  <c r="R421" i="3"/>
  <c r="N421" i="3"/>
  <c r="O421" i="3" s="1"/>
  <c r="L421" i="3"/>
  <c r="H421" i="3"/>
  <c r="I421" i="3" s="1"/>
  <c r="F421" i="3"/>
  <c r="C421" i="3"/>
  <c r="AD420" i="3"/>
  <c r="AC420" i="3"/>
  <c r="AA420" i="3"/>
  <c r="W420" i="3"/>
  <c r="X420" i="3" s="1"/>
  <c r="U420" i="3"/>
  <c r="R420" i="3"/>
  <c r="O420" i="3"/>
  <c r="N420" i="3"/>
  <c r="L420" i="3"/>
  <c r="I420" i="3"/>
  <c r="H420" i="3"/>
  <c r="F420" i="3"/>
  <c r="C420" i="3"/>
  <c r="AC419" i="3"/>
  <c r="AD419" i="3" s="1"/>
  <c r="AA419" i="3"/>
  <c r="X419" i="3"/>
  <c r="W419" i="3"/>
  <c r="U419" i="3"/>
  <c r="R419" i="3"/>
  <c r="O419" i="3"/>
  <c r="N419" i="3"/>
  <c r="L419" i="3"/>
  <c r="H419" i="3"/>
  <c r="I419" i="3" s="1"/>
  <c r="F419" i="3"/>
  <c r="C419" i="3"/>
  <c r="AC418" i="3"/>
  <c r="AA418" i="3"/>
  <c r="X418" i="3"/>
  <c r="W418" i="3"/>
  <c r="U418" i="3"/>
  <c r="R418" i="3"/>
  <c r="N418" i="3"/>
  <c r="O418" i="3" s="1"/>
  <c r="L418" i="3"/>
  <c r="H418" i="3"/>
  <c r="I418" i="3" s="1"/>
  <c r="F418" i="3"/>
  <c r="C418" i="3"/>
  <c r="AC417" i="3"/>
  <c r="AA417" i="3"/>
  <c r="W417" i="3"/>
  <c r="X417" i="3" s="1"/>
  <c r="U417" i="3"/>
  <c r="R417" i="3"/>
  <c r="O417" i="3"/>
  <c r="N417" i="3"/>
  <c r="L417" i="3"/>
  <c r="H417" i="3"/>
  <c r="I417" i="3" s="1"/>
  <c r="F417" i="3"/>
  <c r="C417" i="3"/>
  <c r="AC416" i="3"/>
  <c r="AD416" i="3" s="1"/>
  <c r="AA416" i="3"/>
  <c r="W416" i="3"/>
  <c r="U416" i="3"/>
  <c r="R416" i="3"/>
  <c r="N416" i="3"/>
  <c r="O416" i="3" s="1"/>
  <c r="L416" i="3"/>
  <c r="I416" i="3"/>
  <c r="H416" i="3"/>
  <c r="F416" i="3"/>
  <c r="C416" i="3"/>
  <c r="AD415" i="3"/>
  <c r="AC415" i="3"/>
  <c r="AA415" i="3"/>
  <c r="X415" i="3"/>
  <c r="W415" i="3"/>
  <c r="U415" i="3"/>
  <c r="R415" i="3"/>
  <c r="O415" i="3"/>
  <c r="N415" i="3"/>
  <c r="L415" i="3"/>
  <c r="H415" i="3"/>
  <c r="I415" i="3" s="1"/>
  <c r="F415" i="3"/>
  <c r="C415" i="3"/>
  <c r="AC414" i="3"/>
  <c r="AA414" i="3"/>
  <c r="X414" i="3"/>
  <c r="W414" i="3"/>
  <c r="U414" i="3"/>
  <c r="R414" i="3"/>
  <c r="N414" i="3"/>
  <c r="L414" i="3"/>
  <c r="H414" i="3"/>
  <c r="I414" i="3" s="1"/>
  <c r="F414" i="3"/>
  <c r="C414" i="3"/>
  <c r="AD413" i="3"/>
  <c r="AC413" i="3"/>
  <c r="AA413" i="3"/>
  <c r="W413" i="3"/>
  <c r="U413" i="3"/>
  <c r="R413" i="3"/>
  <c r="N413" i="3"/>
  <c r="O413" i="3" s="1"/>
  <c r="L413" i="3"/>
  <c r="H413" i="3"/>
  <c r="I413" i="3" s="1"/>
  <c r="F413" i="3"/>
  <c r="C413" i="3"/>
  <c r="AC412" i="3"/>
  <c r="AD412" i="3" s="1"/>
  <c r="AA412" i="3"/>
  <c r="W412" i="3"/>
  <c r="U412" i="3"/>
  <c r="R412" i="3"/>
  <c r="O412" i="3"/>
  <c r="N412" i="3"/>
  <c r="L412" i="3"/>
  <c r="I412" i="3"/>
  <c r="H412" i="3"/>
  <c r="F412" i="3"/>
  <c r="C412" i="3"/>
  <c r="AC411" i="3"/>
  <c r="AD411" i="3" s="1"/>
  <c r="AA411" i="3"/>
  <c r="W411" i="3"/>
  <c r="X411" i="3" s="1"/>
  <c r="U411" i="3"/>
  <c r="R411" i="3"/>
  <c r="O411" i="3"/>
  <c r="N411" i="3"/>
  <c r="L411" i="3"/>
  <c r="H411" i="3"/>
  <c r="I411" i="3" s="1"/>
  <c r="F411" i="3"/>
  <c r="C411" i="3"/>
  <c r="AC410" i="3"/>
  <c r="AD410" i="3" s="1"/>
  <c r="AA410" i="3"/>
  <c r="X410" i="3"/>
  <c r="W410" i="3"/>
  <c r="U410" i="3"/>
  <c r="R410" i="3"/>
  <c r="N410" i="3"/>
  <c r="L410" i="3"/>
  <c r="I410" i="3"/>
  <c r="H410" i="3"/>
  <c r="F410" i="3"/>
  <c r="C410" i="3"/>
  <c r="AC409" i="3"/>
  <c r="AA409" i="3"/>
  <c r="W409" i="3"/>
  <c r="U409" i="3"/>
  <c r="R409" i="3"/>
  <c r="O409" i="3"/>
  <c r="N409" i="3"/>
  <c r="L409" i="3"/>
  <c r="H409" i="3"/>
  <c r="I409" i="3" s="1"/>
  <c r="F409" i="3"/>
  <c r="C409" i="3"/>
  <c r="AC408" i="3"/>
  <c r="AD408" i="3" s="1"/>
  <c r="AA408" i="3"/>
  <c r="W408" i="3"/>
  <c r="U408" i="3"/>
  <c r="R408" i="3"/>
  <c r="N408" i="3"/>
  <c r="O408" i="3" s="1"/>
  <c r="L408" i="3"/>
  <c r="I408" i="3"/>
  <c r="H408" i="3"/>
  <c r="F408" i="3"/>
  <c r="C408" i="3"/>
  <c r="AC407" i="3"/>
  <c r="AA407" i="3"/>
  <c r="W407" i="3"/>
  <c r="X407" i="3" s="1"/>
  <c r="U407" i="3"/>
  <c r="R407" i="3"/>
  <c r="O407" i="3"/>
  <c r="N407" i="3"/>
  <c r="L407" i="3"/>
  <c r="H407" i="3"/>
  <c r="I407" i="3" s="1"/>
  <c r="F407" i="3"/>
  <c r="C407" i="3"/>
  <c r="AA403" i="3"/>
  <c r="Z403" i="3"/>
  <c r="T403" i="3"/>
  <c r="U403" i="3" s="1"/>
  <c r="Q403" i="3"/>
  <c r="K403" i="3"/>
  <c r="L403" i="3" s="1"/>
  <c r="I403" i="3"/>
  <c r="E403" i="3"/>
  <c r="H403" i="3" s="1"/>
  <c r="C403" i="3"/>
  <c r="B403" i="3"/>
  <c r="N403" i="3" s="1"/>
  <c r="O403" i="3" s="1"/>
  <c r="AC402" i="3"/>
  <c r="AA402" i="3"/>
  <c r="W402" i="3"/>
  <c r="U402" i="3"/>
  <c r="R402" i="3"/>
  <c r="N402" i="3"/>
  <c r="L402" i="3"/>
  <c r="H402" i="3"/>
  <c r="I402" i="3" s="1"/>
  <c r="F402" i="3"/>
  <c r="C402" i="3"/>
  <c r="AD401" i="3"/>
  <c r="AC401" i="3"/>
  <c r="AA401" i="3"/>
  <c r="X401" i="3"/>
  <c r="W401" i="3"/>
  <c r="U401" i="3"/>
  <c r="R401" i="3"/>
  <c r="N401" i="3"/>
  <c r="O401" i="3" s="1"/>
  <c r="L401" i="3"/>
  <c r="H401" i="3"/>
  <c r="I401" i="3" s="1"/>
  <c r="F401" i="3"/>
  <c r="C401" i="3"/>
  <c r="AD400" i="3"/>
  <c r="AC400" i="3"/>
  <c r="AA400" i="3"/>
  <c r="W400" i="3"/>
  <c r="U400" i="3"/>
  <c r="R400" i="3"/>
  <c r="O400" i="3"/>
  <c r="N400" i="3"/>
  <c r="L400" i="3"/>
  <c r="I400" i="3"/>
  <c r="H400" i="3"/>
  <c r="F400" i="3"/>
  <c r="C400" i="3"/>
  <c r="AC399" i="3"/>
  <c r="AD399" i="3" s="1"/>
  <c r="AA399" i="3"/>
  <c r="X399" i="3"/>
  <c r="W399" i="3"/>
  <c r="U399" i="3"/>
  <c r="R399" i="3"/>
  <c r="O399" i="3"/>
  <c r="N399" i="3"/>
  <c r="L399" i="3"/>
  <c r="H399" i="3"/>
  <c r="I399" i="3" s="1"/>
  <c r="F399" i="3"/>
  <c r="C399" i="3"/>
  <c r="AC398" i="3"/>
  <c r="AD398" i="3" s="1"/>
  <c r="AA398" i="3"/>
  <c r="X398" i="3"/>
  <c r="W398" i="3"/>
  <c r="U398" i="3"/>
  <c r="R398" i="3"/>
  <c r="N398" i="3"/>
  <c r="L398" i="3"/>
  <c r="I398" i="3"/>
  <c r="H398" i="3"/>
  <c r="F398" i="3"/>
  <c r="C398" i="3"/>
  <c r="AC397" i="3"/>
  <c r="AA397" i="3"/>
  <c r="W397" i="3"/>
  <c r="X397" i="3" s="1"/>
  <c r="U397" i="3"/>
  <c r="R397" i="3"/>
  <c r="O397" i="3"/>
  <c r="N397" i="3"/>
  <c r="L397" i="3"/>
  <c r="H397" i="3"/>
  <c r="I397" i="3" s="1"/>
  <c r="F397" i="3"/>
  <c r="C397" i="3"/>
  <c r="AC396" i="3"/>
  <c r="AD396" i="3" s="1"/>
  <c r="AA396" i="3"/>
  <c r="Z396" i="3"/>
  <c r="U396" i="3"/>
  <c r="T396" i="3"/>
  <c r="R396" i="3"/>
  <c r="Q396" i="3"/>
  <c r="W396" i="3" s="1"/>
  <c r="X396" i="3" s="1"/>
  <c r="K396" i="3"/>
  <c r="L396" i="3" s="1"/>
  <c r="H396" i="3"/>
  <c r="I396" i="3" s="1"/>
  <c r="F396" i="3"/>
  <c r="E396" i="3"/>
  <c r="C396" i="3"/>
  <c r="B396" i="3"/>
  <c r="N396" i="3" s="1"/>
  <c r="O396" i="3" s="1"/>
  <c r="AC395" i="3"/>
  <c r="AD395" i="3" s="1"/>
  <c r="AA395" i="3"/>
  <c r="W395" i="3"/>
  <c r="U395" i="3"/>
  <c r="R395" i="3"/>
  <c r="N395" i="3"/>
  <c r="L395" i="3"/>
  <c r="H395" i="3"/>
  <c r="I395" i="3" s="1"/>
  <c r="F395" i="3"/>
  <c r="C395" i="3"/>
  <c r="AD394" i="3"/>
  <c r="AC394" i="3"/>
  <c r="AA394" i="3"/>
  <c r="W394" i="3"/>
  <c r="X394" i="3" s="1"/>
  <c r="U394" i="3"/>
  <c r="R394" i="3"/>
  <c r="N394" i="3"/>
  <c r="O394" i="3" s="1"/>
  <c r="L394" i="3"/>
  <c r="H394" i="3"/>
  <c r="I394" i="3" s="1"/>
  <c r="F394" i="3"/>
  <c r="C394" i="3"/>
  <c r="AA393" i="3"/>
  <c r="Z393" i="3"/>
  <c r="U393" i="3"/>
  <c r="T393" i="3"/>
  <c r="Q393" i="3"/>
  <c r="K393" i="3"/>
  <c r="L393" i="3" s="1"/>
  <c r="I393" i="3"/>
  <c r="F393" i="3"/>
  <c r="E393" i="3"/>
  <c r="H393" i="3" s="1"/>
  <c r="C393" i="3"/>
  <c r="B393" i="3"/>
  <c r="AC392" i="3"/>
  <c r="AA392" i="3"/>
  <c r="X392" i="3"/>
  <c r="W392" i="3"/>
  <c r="U392" i="3"/>
  <c r="R392" i="3"/>
  <c r="N392" i="3"/>
  <c r="L392" i="3"/>
  <c r="H392" i="3"/>
  <c r="I392" i="3" s="1"/>
  <c r="F392" i="3"/>
  <c r="C392" i="3"/>
  <c r="AD391" i="3"/>
  <c r="AC391" i="3"/>
  <c r="AA391" i="3"/>
  <c r="X391" i="3"/>
  <c r="W391" i="3"/>
  <c r="U391" i="3"/>
  <c r="R391" i="3"/>
  <c r="N391" i="3"/>
  <c r="O391" i="3" s="1"/>
  <c r="L391" i="3"/>
  <c r="H391" i="3"/>
  <c r="I391" i="3" s="1"/>
  <c r="F391" i="3"/>
  <c r="C391" i="3"/>
  <c r="AC390" i="3"/>
  <c r="AD390" i="3" s="1"/>
  <c r="AA390" i="3"/>
  <c r="W390" i="3"/>
  <c r="U390" i="3"/>
  <c r="R390" i="3"/>
  <c r="O390" i="3"/>
  <c r="N390" i="3"/>
  <c r="L390" i="3"/>
  <c r="I390" i="3"/>
  <c r="H390" i="3"/>
  <c r="F390" i="3"/>
  <c r="C390" i="3"/>
  <c r="AD389" i="3"/>
  <c r="AC389" i="3"/>
  <c r="AA389" i="3"/>
  <c r="W389" i="3"/>
  <c r="X389" i="3" s="1"/>
  <c r="U389" i="3"/>
  <c r="R389" i="3"/>
  <c r="O389" i="3"/>
  <c r="N389" i="3"/>
  <c r="L389" i="3"/>
  <c r="H389" i="3"/>
  <c r="I389" i="3" s="1"/>
  <c r="F389" i="3"/>
  <c r="C389" i="3"/>
  <c r="AC388" i="3"/>
  <c r="AD388" i="3" s="1"/>
  <c r="AA388" i="3"/>
  <c r="X388" i="3"/>
  <c r="W388" i="3"/>
  <c r="U388" i="3"/>
  <c r="R388" i="3"/>
  <c r="N388" i="3"/>
  <c r="L388" i="3"/>
  <c r="I388" i="3"/>
  <c r="H388" i="3"/>
  <c r="F388" i="3"/>
  <c r="C388" i="3"/>
  <c r="AC386" i="3"/>
  <c r="AA386" i="3"/>
  <c r="W386" i="3"/>
  <c r="U386" i="3"/>
  <c r="R386" i="3"/>
  <c r="O386" i="3"/>
  <c r="N386" i="3"/>
  <c r="L386" i="3"/>
  <c r="H386" i="3"/>
  <c r="I386" i="3" s="1"/>
  <c r="F386" i="3"/>
  <c r="C386" i="3"/>
  <c r="AC385" i="3"/>
  <c r="AD385" i="3" s="1"/>
  <c r="AA385" i="3"/>
  <c r="W385" i="3"/>
  <c r="U385" i="3"/>
  <c r="R385" i="3"/>
  <c r="N385" i="3"/>
  <c r="O385" i="3" s="1"/>
  <c r="L385" i="3"/>
  <c r="I385" i="3"/>
  <c r="H385" i="3"/>
  <c r="F385" i="3"/>
  <c r="C385" i="3"/>
  <c r="AD383" i="3"/>
  <c r="AC383" i="3"/>
  <c r="AA383" i="3"/>
  <c r="W383" i="3"/>
  <c r="X383" i="3" s="1"/>
  <c r="U383" i="3"/>
  <c r="R383" i="3"/>
  <c r="O383" i="3"/>
  <c r="N383" i="3"/>
  <c r="L383" i="3"/>
  <c r="I383" i="3"/>
  <c r="H383" i="3"/>
  <c r="F383" i="3"/>
  <c r="C383" i="3"/>
  <c r="AC382" i="3"/>
  <c r="AA382" i="3"/>
  <c r="X382" i="3"/>
  <c r="W382" i="3"/>
  <c r="U382" i="3"/>
  <c r="R382" i="3"/>
  <c r="N382" i="3"/>
  <c r="L382" i="3"/>
  <c r="H382" i="3"/>
  <c r="I382" i="3" s="1"/>
  <c r="F382" i="3"/>
  <c r="C382" i="3"/>
  <c r="AC381" i="3"/>
  <c r="AA381" i="3"/>
  <c r="W381" i="3"/>
  <c r="U381" i="3"/>
  <c r="R381" i="3"/>
  <c r="N381" i="3"/>
  <c r="O381" i="3" s="1"/>
  <c r="L381" i="3"/>
  <c r="H381" i="3"/>
  <c r="I381" i="3" s="1"/>
  <c r="F381" i="3"/>
  <c r="C381" i="3"/>
  <c r="AD380" i="3"/>
  <c r="AC380" i="3"/>
  <c r="AA380" i="3"/>
  <c r="W380" i="3"/>
  <c r="U380" i="3"/>
  <c r="R380" i="3"/>
  <c r="O380" i="3"/>
  <c r="N380" i="3"/>
  <c r="L380" i="3"/>
  <c r="I380" i="3"/>
  <c r="H380" i="3"/>
  <c r="F380" i="3"/>
  <c r="C380" i="3"/>
  <c r="AD379" i="3"/>
  <c r="AC379" i="3"/>
  <c r="AA379" i="3"/>
  <c r="W379" i="3"/>
  <c r="X379" i="3" s="1"/>
  <c r="U379" i="3"/>
  <c r="R379" i="3"/>
  <c r="N379" i="3"/>
  <c r="O379" i="3" s="1"/>
  <c r="L379" i="3"/>
  <c r="H379" i="3"/>
  <c r="I379" i="3" s="1"/>
  <c r="F379" i="3"/>
  <c r="C379" i="3"/>
  <c r="AC378" i="3"/>
  <c r="AD378" i="3" s="1"/>
  <c r="AA378" i="3"/>
  <c r="W378" i="3"/>
  <c r="X378" i="3" s="1"/>
  <c r="U378" i="3"/>
  <c r="R378" i="3"/>
  <c r="N378" i="3"/>
  <c r="L378" i="3"/>
  <c r="H378" i="3"/>
  <c r="I378" i="3" s="1"/>
  <c r="F378" i="3"/>
  <c r="C378" i="3"/>
  <c r="AC377" i="3"/>
  <c r="AA377" i="3"/>
  <c r="W377" i="3"/>
  <c r="X377" i="3" s="1"/>
  <c r="U377" i="3"/>
  <c r="R377" i="3"/>
  <c r="O377" i="3"/>
  <c r="N377" i="3"/>
  <c r="L377" i="3"/>
  <c r="H377" i="3"/>
  <c r="I377" i="3" s="1"/>
  <c r="F377" i="3"/>
  <c r="C377" i="3"/>
  <c r="AC376" i="3"/>
  <c r="AD376" i="3" s="1"/>
  <c r="AA376" i="3"/>
  <c r="W376" i="3"/>
  <c r="U376" i="3"/>
  <c r="R376" i="3"/>
  <c r="N376" i="3"/>
  <c r="O376" i="3" s="1"/>
  <c r="L376" i="3"/>
  <c r="I376" i="3"/>
  <c r="H376" i="3"/>
  <c r="F376" i="3"/>
  <c r="C376" i="3"/>
  <c r="AD375" i="3"/>
  <c r="AC375" i="3"/>
  <c r="AA375" i="3"/>
  <c r="X375" i="3"/>
  <c r="W375" i="3"/>
  <c r="U375" i="3"/>
  <c r="R375" i="3"/>
  <c r="N375" i="3"/>
  <c r="O375" i="3" s="1"/>
  <c r="L375" i="3"/>
  <c r="H375" i="3"/>
  <c r="I375" i="3" s="1"/>
  <c r="F375" i="3"/>
  <c r="C375" i="3"/>
  <c r="AC374" i="3"/>
  <c r="AA374" i="3"/>
  <c r="X374" i="3"/>
  <c r="W374" i="3"/>
  <c r="U374" i="3"/>
  <c r="R374" i="3"/>
  <c r="N374" i="3"/>
  <c r="L374" i="3"/>
  <c r="H374" i="3"/>
  <c r="I374" i="3" s="1"/>
  <c r="F374" i="3"/>
  <c r="C374" i="3"/>
  <c r="AC373" i="3"/>
  <c r="AA373" i="3"/>
  <c r="X373" i="3"/>
  <c r="W373" i="3"/>
  <c r="U373" i="3"/>
  <c r="R373" i="3"/>
  <c r="N373" i="3"/>
  <c r="O373" i="3" s="1"/>
  <c r="L373" i="3"/>
  <c r="H373" i="3"/>
  <c r="I373" i="3" s="1"/>
  <c r="F373" i="3"/>
  <c r="C373" i="3"/>
  <c r="AC372" i="3"/>
  <c r="AD372" i="3" s="1"/>
  <c r="AA372" i="3"/>
  <c r="W372" i="3"/>
  <c r="U372" i="3"/>
  <c r="R372" i="3"/>
  <c r="O372" i="3"/>
  <c r="N372" i="3"/>
  <c r="L372" i="3"/>
  <c r="I372" i="3"/>
  <c r="H372" i="3"/>
  <c r="F372" i="3"/>
  <c r="C372" i="3"/>
  <c r="AC371" i="3"/>
  <c r="AD371" i="3" s="1"/>
  <c r="AA371" i="3"/>
  <c r="X371" i="3"/>
  <c r="W371" i="3"/>
  <c r="U371" i="3"/>
  <c r="R371" i="3"/>
  <c r="N371" i="3"/>
  <c r="O371" i="3" s="1"/>
  <c r="L371" i="3"/>
  <c r="H371" i="3"/>
  <c r="I371" i="3" s="1"/>
  <c r="F371" i="3"/>
  <c r="C371" i="3"/>
  <c r="AC370" i="3"/>
  <c r="AA370" i="3"/>
  <c r="W370" i="3"/>
  <c r="X370" i="3" s="1"/>
  <c r="U370" i="3"/>
  <c r="R370" i="3"/>
  <c r="N370" i="3"/>
  <c r="L370" i="3"/>
  <c r="H370" i="3"/>
  <c r="I370" i="3" s="1"/>
  <c r="F370" i="3"/>
  <c r="C370" i="3"/>
  <c r="AC369" i="3"/>
  <c r="AA369" i="3"/>
  <c r="W369" i="3"/>
  <c r="X369" i="3" s="1"/>
  <c r="U369" i="3"/>
  <c r="R369" i="3"/>
  <c r="O369" i="3"/>
  <c r="N369" i="3"/>
  <c r="L369" i="3"/>
  <c r="H369" i="3"/>
  <c r="I369" i="3" s="1"/>
  <c r="F369" i="3"/>
  <c r="C369" i="3"/>
  <c r="AA368" i="3"/>
  <c r="Z368" i="3"/>
  <c r="U368" i="3"/>
  <c r="T368" i="3"/>
  <c r="Q368" i="3"/>
  <c r="K368" i="3"/>
  <c r="L368" i="3" s="1"/>
  <c r="H368" i="3"/>
  <c r="I368" i="3" s="1"/>
  <c r="F368" i="3"/>
  <c r="E368" i="3"/>
  <c r="C368" i="3"/>
  <c r="B368" i="3"/>
  <c r="AC367" i="3"/>
  <c r="AD367" i="3" s="1"/>
  <c r="AA367" i="3"/>
  <c r="W367" i="3"/>
  <c r="X367" i="3" s="1"/>
  <c r="U367" i="3"/>
  <c r="R367" i="3"/>
  <c r="N367" i="3"/>
  <c r="L367" i="3"/>
  <c r="I367" i="3"/>
  <c r="H367" i="3"/>
  <c r="F367" i="3"/>
  <c r="C367" i="3"/>
  <c r="AC366" i="3"/>
  <c r="AA366" i="3"/>
  <c r="X366" i="3"/>
  <c r="W366" i="3"/>
  <c r="U366" i="3"/>
  <c r="R366" i="3"/>
  <c r="O366" i="3"/>
  <c r="N366" i="3"/>
  <c r="L366" i="3"/>
  <c r="H366" i="3"/>
  <c r="I366" i="3" s="1"/>
  <c r="F366" i="3"/>
  <c r="C366" i="3"/>
  <c r="AD365" i="3"/>
  <c r="AC365" i="3"/>
  <c r="AA365" i="3"/>
  <c r="W365" i="3"/>
  <c r="U365" i="3"/>
  <c r="R365" i="3"/>
  <c r="O365" i="3"/>
  <c r="N365" i="3"/>
  <c r="L365" i="3"/>
  <c r="I365" i="3"/>
  <c r="H365" i="3"/>
  <c r="F365" i="3"/>
  <c r="C365" i="3"/>
  <c r="AD364" i="3"/>
  <c r="AC364" i="3"/>
  <c r="AA364" i="3"/>
  <c r="X364" i="3"/>
  <c r="W364" i="3"/>
  <c r="U364" i="3"/>
  <c r="R364" i="3"/>
  <c r="N364" i="3"/>
  <c r="O364" i="3" s="1"/>
  <c r="L364" i="3"/>
  <c r="I364" i="3"/>
  <c r="H364" i="3"/>
  <c r="F364" i="3"/>
  <c r="C364" i="3"/>
  <c r="AC363" i="3"/>
  <c r="AD363" i="3" s="1"/>
  <c r="AA363" i="3"/>
  <c r="W363" i="3"/>
  <c r="X363" i="3" s="1"/>
  <c r="U363" i="3"/>
  <c r="R363" i="3"/>
  <c r="N363" i="3"/>
  <c r="L363" i="3"/>
  <c r="I363" i="3"/>
  <c r="H363" i="3"/>
  <c r="F363" i="3"/>
  <c r="C363" i="3"/>
  <c r="AD362" i="3"/>
  <c r="AC362" i="3"/>
  <c r="AA362" i="3"/>
  <c r="W362" i="3"/>
  <c r="X362" i="3" s="1"/>
  <c r="U362" i="3"/>
  <c r="R362" i="3"/>
  <c r="O362" i="3"/>
  <c r="N362" i="3"/>
  <c r="L362" i="3"/>
  <c r="H362" i="3"/>
  <c r="I362" i="3" s="1"/>
  <c r="F362" i="3"/>
  <c r="C362" i="3"/>
  <c r="AC361" i="3"/>
  <c r="AA361" i="3"/>
  <c r="W361" i="3"/>
  <c r="U361" i="3"/>
  <c r="R361" i="3"/>
  <c r="O361" i="3"/>
  <c r="N361" i="3"/>
  <c r="L361" i="3"/>
  <c r="I361" i="3"/>
  <c r="H361" i="3"/>
  <c r="F361" i="3"/>
  <c r="C361" i="3"/>
  <c r="AC360" i="3"/>
  <c r="AD360" i="3" s="1"/>
  <c r="AA360" i="3"/>
  <c r="W360" i="3"/>
  <c r="U360" i="3"/>
  <c r="R360" i="3"/>
  <c r="O360" i="3"/>
  <c r="N360" i="3"/>
  <c r="L360" i="3"/>
  <c r="I360" i="3"/>
  <c r="H360" i="3"/>
  <c r="F360" i="3"/>
  <c r="C360" i="3"/>
  <c r="AA358" i="3"/>
  <c r="Z358" i="3"/>
  <c r="W358" i="3"/>
  <c r="X358" i="3" s="1"/>
  <c r="U358" i="3"/>
  <c r="T358" i="3"/>
  <c r="Q358" i="3"/>
  <c r="K358" i="3"/>
  <c r="I358" i="3"/>
  <c r="E358" i="3"/>
  <c r="F358" i="3" s="1"/>
  <c r="C358" i="3"/>
  <c r="B358" i="3"/>
  <c r="H358" i="3" s="1"/>
  <c r="AD357" i="3"/>
  <c r="AC357" i="3"/>
  <c r="AA357" i="3"/>
  <c r="W357" i="3"/>
  <c r="U357" i="3"/>
  <c r="R357" i="3"/>
  <c r="O357" i="3"/>
  <c r="N357" i="3"/>
  <c r="L357" i="3"/>
  <c r="I357" i="3"/>
  <c r="H357" i="3"/>
  <c r="F357" i="3"/>
  <c r="C357" i="3"/>
  <c r="AC356" i="3"/>
  <c r="AD356" i="3" s="1"/>
  <c r="AA356" i="3"/>
  <c r="W356" i="3"/>
  <c r="X356" i="3" s="1"/>
  <c r="U356" i="3"/>
  <c r="R356" i="3"/>
  <c r="O356" i="3"/>
  <c r="N356" i="3"/>
  <c r="L356" i="3"/>
  <c r="I356" i="3"/>
  <c r="H356" i="3"/>
  <c r="F356" i="3"/>
  <c r="C356" i="3"/>
  <c r="AC355" i="3"/>
  <c r="AA355" i="3"/>
  <c r="W355" i="3"/>
  <c r="X355" i="3" s="1"/>
  <c r="U355" i="3"/>
  <c r="R355" i="3"/>
  <c r="N355" i="3"/>
  <c r="L355" i="3"/>
  <c r="H355" i="3"/>
  <c r="I355" i="3" s="1"/>
  <c r="F355" i="3"/>
  <c r="C355" i="3"/>
  <c r="AD354" i="3"/>
  <c r="AC354" i="3"/>
  <c r="AA354" i="3"/>
  <c r="W354" i="3"/>
  <c r="X354" i="3" s="1"/>
  <c r="U354" i="3"/>
  <c r="R354" i="3"/>
  <c r="O354" i="3"/>
  <c r="N354" i="3"/>
  <c r="L354" i="3"/>
  <c r="H354" i="3"/>
  <c r="I354" i="3" s="1"/>
  <c r="F354" i="3"/>
  <c r="C354" i="3"/>
  <c r="AC353" i="3"/>
  <c r="AA353" i="3"/>
  <c r="W353" i="3"/>
  <c r="U353" i="3"/>
  <c r="R353" i="3"/>
  <c r="N353" i="3"/>
  <c r="O353" i="3" s="1"/>
  <c r="L353" i="3"/>
  <c r="I353" i="3"/>
  <c r="H353" i="3"/>
  <c r="F353" i="3"/>
  <c r="C353" i="3"/>
  <c r="AD352" i="3"/>
  <c r="AC352" i="3"/>
  <c r="AA352" i="3"/>
  <c r="X352" i="3"/>
  <c r="W352" i="3"/>
  <c r="U352" i="3"/>
  <c r="R352" i="3"/>
  <c r="O352" i="3"/>
  <c r="N352" i="3"/>
  <c r="L352" i="3"/>
  <c r="H352" i="3"/>
  <c r="I352" i="3" s="1"/>
  <c r="F352" i="3"/>
  <c r="C352" i="3"/>
  <c r="AC351" i="3"/>
  <c r="AD351" i="3" s="1"/>
  <c r="AA351" i="3"/>
  <c r="X351" i="3"/>
  <c r="W351" i="3"/>
  <c r="U351" i="3"/>
  <c r="R351" i="3"/>
  <c r="N351" i="3"/>
  <c r="L351" i="3"/>
  <c r="H351" i="3"/>
  <c r="I351" i="3" s="1"/>
  <c r="F351" i="3"/>
  <c r="C351" i="3"/>
  <c r="AC350" i="3"/>
  <c r="AA350" i="3"/>
  <c r="W350" i="3"/>
  <c r="X350" i="3" s="1"/>
  <c r="U350" i="3"/>
  <c r="R350" i="3"/>
  <c r="N350" i="3"/>
  <c r="O350" i="3" s="1"/>
  <c r="L350" i="3"/>
  <c r="H350" i="3"/>
  <c r="I350" i="3" s="1"/>
  <c r="F350" i="3"/>
  <c r="C350" i="3"/>
  <c r="AD349" i="3"/>
  <c r="AC349" i="3"/>
  <c r="AA349" i="3"/>
  <c r="W349" i="3"/>
  <c r="X349" i="3" s="1"/>
  <c r="U349" i="3"/>
  <c r="R349" i="3"/>
  <c r="N349" i="3"/>
  <c r="O349" i="3" s="1"/>
  <c r="L349" i="3"/>
  <c r="I349" i="3"/>
  <c r="H349" i="3"/>
  <c r="F349" i="3"/>
  <c r="C349" i="3"/>
  <c r="AC347" i="3"/>
  <c r="AD347" i="3" s="1"/>
  <c r="AA347" i="3"/>
  <c r="W347" i="3"/>
  <c r="X347" i="3" s="1"/>
  <c r="U347" i="3"/>
  <c r="R347" i="3"/>
  <c r="O347" i="3"/>
  <c r="N347" i="3"/>
  <c r="L347" i="3"/>
  <c r="H347" i="3"/>
  <c r="I347" i="3" s="1"/>
  <c r="F347" i="3"/>
  <c r="C347" i="3"/>
  <c r="Z344" i="3"/>
  <c r="AC344" i="3" s="1"/>
  <c r="AD344" i="3" s="1"/>
  <c r="U344" i="3"/>
  <c r="T344" i="3"/>
  <c r="Q344" i="3"/>
  <c r="K344" i="3"/>
  <c r="L344" i="3" s="1"/>
  <c r="F344" i="3"/>
  <c r="E344" i="3"/>
  <c r="B344" i="3"/>
  <c r="AA343" i="3"/>
  <c r="Z343" i="3"/>
  <c r="T343" i="3"/>
  <c r="U343" i="3" s="1"/>
  <c r="Q343" i="3"/>
  <c r="R343" i="3" s="1"/>
  <c r="L343" i="3"/>
  <c r="K343" i="3"/>
  <c r="H343" i="3"/>
  <c r="I343" i="3" s="1"/>
  <c r="E343" i="3"/>
  <c r="F343" i="3" s="1"/>
  <c r="C343" i="3"/>
  <c r="B343" i="3"/>
  <c r="N343" i="3" s="1"/>
  <c r="O343" i="3" s="1"/>
  <c r="AA342" i="3"/>
  <c r="Z342" i="3"/>
  <c r="U342" i="3"/>
  <c r="T342" i="3"/>
  <c r="R342" i="3"/>
  <c r="Q342" i="3"/>
  <c r="W342" i="3" s="1"/>
  <c r="X342" i="3" s="1"/>
  <c r="K342" i="3"/>
  <c r="L342" i="3" s="1"/>
  <c r="E342" i="3"/>
  <c r="F342" i="3" s="1"/>
  <c r="B342" i="3"/>
  <c r="H342" i="3" s="1"/>
  <c r="I342" i="3" s="1"/>
  <c r="AC341" i="3"/>
  <c r="AD341" i="3" s="1"/>
  <c r="AA341" i="3"/>
  <c r="W341" i="3"/>
  <c r="U341" i="3"/>
  <c r="R341" i="3"/>
  <c r="O341" i="3"/>
  <c r="N341" i="3"/>
  <c r="L341" i="3"/>
  <c r="I341" i="3"/>
  <c r="H341" i="3"/>
  <c r="F341" i="3"/>
  <c r="C341" i="3"/>
  <c r="AC340" i="3"/>
  <c r="AD340" i="3" s="1"/>
  <c r="AA340" i="3"/>
  <c r="W340" i="3"/>
  <c r="X340" i="3" s="1"/>
  <c r="U340" i="3"/>
  <c r="R340" i="3"/>
  <c r="O340" i="3"/>
  <c r="N340" i="3"/>
  <c r="L340" i="3"/>
  <c r="H340" i="3"/>
  <c r="I340" i="3" s="1"/>
  <c r="F340" i="3"/>
  <c r="C340" i="3"/>
  <c r="AD339" i="3"/>
  <c r="AC339" i="3"/>
  <c r="AA339" i="3"/>
  <c r="W339" i="3"/>
  <c r="U339" i="3"/>
  <c r="R339" i="3"/>
  <c r="N339" i="3"/>
  <c r="O339" i="3" s="1"/>
  <c r="L339" i="3"/>
  <c r="H339" i="3"/>
  <c r="I339" i="3" s="1"/>
  <c r="F339" i="3"/>
  <c r="C339" i="3"/>
  <c r="AD338" i="3"/>
  <c r="AC338" i="3"/>
  <c r="AA338" i="3"/>
  <c r="X338" i="3"/>
  <c r="W338" i="3"/>
  <c r="U338" i="3"/>
  <c r="R338" i="3"/>
  <c r="N338" i="3"/>
  <c r="O338" i="3" s="1"/>
  <c r="L338" i="3"/>
  <c r="H338" i="3"/>
  <c r="I338" i="3" s="1"/>
  <c r="F338" i="3"/>
  <c r="C338" i="3"/>
  <c r="AC337" i="3"/>
  <c r="AA337" i="3"/>
  <c r="W337" i="3"/>
  <c r="X337" i="3" s="1"/>
  <c r="U337" i="3"/>
  <c r="R337" i="3"/>
  <c r="O337" i="3"/>
  <c r="N337" i="3"/>
  <c r="L337" i="3"/>
  <c r="I337" i="3"/>
  <c r="H337" i="3"/>
  <c r="F337" i="3"/>
  <c r="C337" i="3"/>
  <c r="AC335" i="3"/>
  <c r="AD335" i="3" s="1"/>
  <c r="AA335" i="3"/>
  <c r="X335" i="3"/>
  <c r="W335" i="3"/>
  <c r="U335" i="3"/>
  <c r="R335" i="3"/>
  <c r="O335" i="3"/>
  <c r="N335" i="3"/>
  <c r="L335" i="3"/>
  <c r="H335" i="3"/>
  <c r="I335" i="3" s="1"/>
  <c r="F335" i="3"/>
  <c r="C335" i="3"/>
  <c r="AC334" i="3"/>
  <c r="AD334" i="3" s="1"/>
  <c r="AA334" i="3"/>
  <c r="X334" i="3"/>
  <c r="W334" i="3"/>
  <c r="U334" i="3"/>
  <c r="R334" i="3"/>
  <c r="N334" i="3"/>
  <c r="O334" i="3" s="1"/>
  <c r="L334" i="3"/>
  <c r="H334" i="3"/>
  <c r="I334" i="3" s="1"/>
  <c r="F334" i="3"/>
  <c r="C334" i="3"/>
  <c r="AC333" i="3"/>
  <c r="AA333" i="3"/>
  <c r="W333" i="3"/>
  <c r="X333" i="3" s="1"/>
  <c r="U333" i="3"/>
  <c r="R333" i="3"/>
  <c r="O333" i="3"/>
  <c r="N333" i="3"/>
  <c r="L333" i="3"/>
  <c r="H333" i="3"/>
  <c r="I333" i="3" s="1"/>
  <c r="F333" i="3"/>
  <c r="C333" i="3"/>
  <c r="AC332" i="3"/>
  <c r="AD332" i="3" s="1"/>
  <c r="AA332" i="3"/>
  <c r="W332" i="3"/>
  <c r="U332" i="3"/>
  <c r="R332" i="3"/>
  <c r="O332" i="3"/>
  <c r="N332" i="3"/>
  <c r="L332" i="3"/>
  <c r="I332" i="3"/>
  <c r="H332" i="3"/>
  <c r="F332" i="3"/>
  <c r="C332" i="3"/>
  <c r="AC331" i="3"/>
  <c r="AD331" i="3" s="1"/>
  <c r="AA331" i="3"/>
  <c r="W331" i="3"/>
  <c r="X331" i="3" s="1"/>
  <c r="U331" i="3"/>
  <c r="R331" i="3"/>
  <c r="O331" i="3"/>
  <c r="N331" i="3"/>
  <c r="L331" i="3"/>
  <c r="H331" i="3"/>
  <c r="I331" i="3" s="1"/>
  <c r="F331" i="3"/>
  <c r="C331" i="3"/>
  <c r="AD330" i="3"/>
  <c r="AC330" i="3"/>
  <c r="AA330" i="3"/>
  <c r="W330" i="3"/>
  <c r="U330" i="3"/>
  <c r="R330" i="3"/>
  <c r="N330" i="3"/>
  <c r="O330" i="3" s="1"/>
  <c r="L330" i="3"/>
  <c r="H330" i="3"/>
  <c r="I330" i="3" s="1"/>
  <c r="F330" i="3"/>
  <c r="C330" i="3"/>
  <c r="AD329" i="3"/>
  <c r="AC329" i="3"/>
  <c r="AA329" i="3"/>
  <c r="X329" i="3"/>
  <c r="W329" i="3"/>
  <c r="U329" i="3"/>
  <c r="R329" i="3"/>
  <c r="N329" i="3"/>
  <c r="O329" i="3" s="1"/>
  <c r="L329" i="3"/>
  <c r="H329" i="3"/>
  <c r="I329" i="3" s="1"/>
  <c r="F329" i="3"/>
  <c r="C329" i="3"/>
  <c r="AC328" i="3"/>
  <c r="AA328" i="3"/>
  <c r="W328" i="3"/>
  <c r="X328" i="3" s="1"/>
  <c r="U328" i="3"/>
  <c r="R328" i="3"/>
  <c r="O328" i="3"/>
  <c r="N328" i="3"/>
  <c r="L328" i="3"/>
  <c r="I328" i="3"/>
  <c r="H328" i="3"/>
  <c r="F328" i="3"/>
  <c r="C328" i="3"/>
  <c r="Z325" i="3"/>
  <c r="AA325" i="3" s="1"/>
  <c r="T325" i="3"/>
  <c r="U325" i="3" s="1"/>
  <c r="Q325" i="3"/>
  <c r="W325" i="3" s="1"/>
  <c r="X325" i="3" s="1"/>
  <c r="L325" i="3"/>
  <c r="K325" i="3"/>
  <c r="E325" i="3"/>
  <c r="F325" i="3" s="1"/>
  <c r="B325" i="3"/>
  <c r="N325" i="3" s="1"/>
  <c r="O325" i="3" s="1"/>
  <c r="AA324" i="3"/>
  <c r="Z324" i="3"/>
  <c r="T324" i="3"/>
  <c r="U324" i="3" s="1"/>
  <c r="R324" i="3"/>
  <c r="Q324" i="3"/>
  <c r="AC324" i="3" s="1"/>
  <c r="AD324" i="3" s="1"/>
  <c r="K324" i="3"/>
  <c r="L324" i="3" s="1"/>
  <c r="F324" i="3"/>
  <c r="E324" i="3"/>
  <c r="C324" i="3"/>
  <c r="B324" i="3"/>
  <c r="H324" i="3" s="1"/>
  <c r="I324" i="3" s="1"/>
  <c r="AD323" i="3"/>
  <c r="AC323" i="3"/>
  <c r="AA323" i="3"/>
  <c r="W323" i="3"/>
  <c r="X323" i="3" s="1"/>
  <c r="U323" i="3"/>
  <c r="R323" i="3"/>
  <c r="O323" i="3"/>
  <c r="N323" i="3"/>
  <c r="L323" i="3"/>
  <c r="H323" i="3"/>
  <c r="I323" i="3" s="1"/>
  <c r="F323" i="3"/>
  <c r="C323" i="3"/>
  <c r="AD322" i="3"/>
  <c r="AC322" i="3"/>
  <c r="AA322" i="3"/>
  <c r="X322" i="3"/>
  <c r="W322" i="3"/>
  <c r="U322" i="3"/>
  <c r="R322" i="3"/>
  <c r="N322" i="3"/>
  <c r="O322" i="3" s="1"/>
  <c r="L322" i="3"/>
  <c r="H322" i="3"/>
  <c r="I322" i="3" s="1"/>
  <c r="F322" i="3"/>
  <c r="C322" i="3"/>
  <c r="AD321" i="3"/>
  <c r="AC321" i="3"/>
  <c r="AA321" i="3"/>
  <c r="X321" i="3"/>
  <c r="W321" i="3"/>
  <c r="U321" i="3"/>
  <c r="R321" i="3"/>
  <c r="N321" i="3"/>
  <c r="O321" i="3" s="1"/>
  <c r="L321" i="3"/>
  <c r="H321" i="3"/>
  <c r="I321" i="3" s="1"/>
  <c r="F321" i="3"/>
  <c r="C321" i="3"/>
  <c r="AC320" i="3"/>
  <c r="AD320" i="3" s="1"/>
  <c r="AA320" i="3"/>
  <c r="W320" i="3"/>
  <c r="X320" i="3" s="1"/>
  <c r="U320" i="3"/>
  <c r="R320" i="3"/>
  <c r="O320" i="3"/>
  <c r="N320" i="3"/>
  <c r="L320" i="3"/>
  <c r="I320" i="3"/>
  <c r="H320" i="3"/>
  <c r="F320" i="3"/>
  <c r="C320" i="3"/>
  <c r="AC319" i="3"/>
  <c r="AD319" i="3" s="1"/>
  <c r="AA319" i="3"/>
  <c r="X319" i="3"/>
  <c r="W319" i="3"/>
  <c r="U319" i="3"/>
  <c r="R319" i="3"/>
  <c r="N319" i="3"/>
  <c r="O319" i="3" s="1"/>
  <c r="L319" i="3"/>
  <c r="H319" i="3"/>
  <c r="I319" i="3" s="1"/>
  <c r="F319" i="3"/>
  <c r="C319" i="3"/>
  <c r="AC318" i="3"/>
  <c r="AD318" i="3" s="1"/>
  <c r="AA318" i="3"/>
  <c r="W318" i="3"/>
  <c r="U318" i="3"/>
  <c r="R318" i="3"/>
  <c r="N318" i="3"/>
  <c r="O318" i="3" s="1"/>
  <c r="L318" i="3"/>
  <c r="I318" i="3"/>
  <c r="H318" i="3"/>
  <c r="F318" i="3"/>
  <c r="C318" i="3"/>
  <c r="AD317" i="3"/>
  <c r="AC317" i="3"/>
  <c r="AA317" i="3"/>
  <c r="W317" i="3"/>
  <c r="X317" i="3" s="1"/>
  <c r="U317" i="3"/>
  <c r="R317" i="3"/>
  <c r="N317" i="3"/>
  <c r="O317" i="3" s="1"/>
  <c r="L317" i="3"/>
  <c r="I317" i="3"/>
  <c r="H317" i="3"/>
  <c r="F317" i="3"/>
  <c r="C317" i="3"/>
  <c r="AC316" i="3"/>
  <c r="AA316" i="3"/>
  <c r="W316" i="3"/>
  <c r="X316" i="3" s="1"/>
  <c r="U316" i="3"/>
  <c r="R316" i="3"/>
  <c r="O316" i="3"/>
  <c r="N316" i="3"/>
  <c r="L316" i="3"/>
  <c r="I316" i="3"/>
  <c r="H316" i="3"/>
  <c r="F316" i="3"/>
  <c r="C316" i="3"/>
  <c r="AD315" i="3"/>
  <c r="AC315" i="3"/>
  <c r="AA315" i="3"/>
  <c r="W315" i="3"/>
  <c r="X315" i="3" s="1"/>
  <c r="U315" i="3"/>
  <c r="R315" i="3"/>
  <c r="O315" i="3"/>
  <c r="N315" i="3"/>
  <c r="L315" i="3"/>
  <c r="H315" i="3"/>
  <c r="I315" i="3" s="1"/>
  <c r="F315" i="3"/>
  <c r="C315" i="3"/>
  <c r="AD314" i="3"/>
  <c r="AC314" i="3"/>
  <c r="AA314" i="3"/>
  <c r="X314" i="3"/>
  <c r="W314" i="3"/>
  <c r="U314" i="3"/>
  <c r="R314" i="3"/>
  <c r="N314" i="3"/>
  <c r="O314" i="3" s="1"/>
  <c r="L314" i="3"/>
  <c r="H314" i="3"/>
  <c r="I314" i="3" s="1"/>
  <c r="F314" i="3"/>
  <c r="C314" i="3"/>
  <c r="AD313" i="3"/>
  <c r="AC313" i="3"/>
  <c r="AA313" i="3"/>
  <c r="X313" i="3"/>
  <c r="W313" i="3"/>
  <c r="U313" i="3"/>
  <c r="R313" i="3"/>
  <c r="N313" i="3"/>
  <c r="O313" i="3" s="1"/>
  <c r="L313" i="3"/>
  <c r="H313" i="3"/>
  <c r="I313" i="3" s="1"/>
  <c r="F313" i="3"/>
  <c r="C313" i="3"/>
  <c r="AC312" i="3"/>
  <c r="AD312" i="3" s="1"/>
  <c r="AA312" i="3"/>
  <c r="W312" i="3"/>
  <c r="X312" i="3" s="1"/>
  <c r="U312" i="3"/>
  <c r="R312" i="3"/>
  <c r="O312" i="3"/>
  <c r="N312" i="3"/>
  <c r="L312" i="3"/>
  <c r="I312" i="3"/>
  <c r="H312" i="3"/>
  <c r="F312" i="3"/>
  <c r="C312" i="3"/>
  <c r="AC311" i="3"/>
  <c r="AD311" i="3" s="1"/>
  <c r="AA311" i="3"/>
  <c r="X311" i="3"/>
  <c r="W311" i="3"/>
  <c r="U311" i="3"/>
  <c r="R311" i="3"/>
  <c r="N311" i="3"/>
  <c r="O311" i="3" s="1"/>
  <c r="L311" i="3"/>
  <c r="H311" i="3"/>
  <c r="I311" i="3" s="1"/>
  <c r="F311" i="3"/>
  <c r="C311" i="3"/>
  <c r="AC310" i="3"/>
  <c r="AD310" i="3" s="1"/>
  <c r="AA310" i="3"/>
  <c r="W310" i="3"/>
  <c r="U310" i="3"/>
  <c r="R310" i="3"/>
  <c r="N310" i="3"/>
  <c r="O310" i="3" s="1"/>
  <c r="L310" i="3"/>
  <c r="I310" i="3"/>
  <c r="H310" i="3"/>
  <c r="F310" i="3"/>
  <c r="C310" i="3"/>
  <c r="AD309" i="3"/>
  <c r="AC309" i="3"/>
  <c r="AA309" i="3"/>
  <c r="W309" i="3"/>
  <c r="X309" i="3" s="1"/>
  <c r="U309" i="3"/>
  <c r="R309" i="3"/>
  <c r="N309" i="3"/>
  <c r="O309" i="3" s="1"/>
  <c r="L309" i="3"/>
  <c r="I309" i="3"/>
  <c r="H309" i="3"/>
  <c r="F309" i="3"/>
  <c r="C309" i="3"/>
  <c r="AC308" i="3"/>
  <c r="AA308" i="3"/>
  <c r="W308" i="3"/>
  <c r="X308" i="3" s="1"/>
  <c r="U308" i="3"/>
  <c r="R308" i="3"/>
  <c r="O308" i="3"/>
  <c r="N308" i="3"/>
  <c r="L308" i="3"/>
  <c r="I308" i="3"/>
  <c r="H308" i="3"/>
  <c r="F308" i="3"/>
  <c r="C308" i="3"/>
  <c r="AD307" i="3"/>
  <c r="AC307" i="3"/>
  <c r="AA307" i="3"/>
  <c r="W307" i="3"/>
  <c r="X307" i="3" s="1"/>
  <c r="U307" i="3"/>
  <c r="R307" i="3"/>
  <c r="O307" i="3"/>
  <c r="N307" i="3"/>
  <c r="L307" i="3"/>
  <c r="H307" i="3"/>
  <c r="I307" i="3" s="1"/>
  <c r="F307" i="3"/>
  <c r="C307" i="3"/>
  <c r="AD306" i="3"/>
  <c r="AC306" i="3"/>
  <c r="AA306" i="3"/>
  <c r="X306" i="3"/>
  <c r="W306" i="3"/>
  <c r="U306" i="3"/>
  <c r="R306" i="3"/>
  <c r="N306" i="3"/>
  <c r="O306" i="3" s="1"/>
  <c r="L306" i="3"/>
  <c r="H306" i="3"/>
  <c r="I306" i="3" s="1"/>
  <c r="F306" i="3"/>
  <c r="C306" i="3"/>
  <c r="AD305" i="3"/>
  <c r="AC305" i="3"/>
  <c r="AA305" i="3"/>
  <c r="X305" i="3"/>
  <c r="W305" i="3"/>
  <c r="U305" i="3"/>
  <c r="R305" i="3"/>
  <c r="N305" i="3"/>
  <c r="O305" i="3" s="1"/>
  <c r="L305" i="3"/>
  <c r="H305" i="3"/>
  <c r="I305" i="3" s="1"/>
  <c r="F305" i="3"/>
  <c r="C305" i="3"/>
  <c r="AC304" i="3"/>
  <c r="AD304" i="3" s="1"/>
  <c r="AA304" i="3"/>
  <c r="W304" i="3"/>
  <c r="X304" i="3" s="1"/>
  <c r="U304" i="3"/>
  <c r="R304" i="3"/>
  <c r="O304" i="3"/>
  <c r="N304" i="3"/>
  <c r="L304" i="3"/>
  <c r="I304" i="3"/>
  <c r="H304" i="3"/>
  <c r="F304" i="3"/>
  <c r="C304" i="3"/>
  <c r="AC303" i="3"/>
  <c r="AD303" i="3" s="1"/>
  <c r="AA303" i="3"/>
  <c r="X303" i="3"/>
  <c r="W303" i="3"/>
  <c r="U303" i="3"/>
  <c r="R303" i="3"/>
  <c r="N303" i="3"/>
  <c r="O303" i="3" s="1"/>
  <c r="L303" i="3"/>
  <c r="H303" i="3"/>
  <c r="I303" i="3" s="1"/>
  <c r="F303" i="3"/>
  <c r="C303" i="3"/>
  <c r="AC302" i="3"/>
  <c r="AD302" i="3" s="1"/>
  <c r="AA302" i="3"/>
  <c r="W302" i="3"/>
  <c r="U302" i="3"/>
  <c r="R302" i="3"/>
  <c r="N302" i="3"/>
  <c r="O302" i="3" s="1"/>
  <c r="L302" i="3"/>
  <c r="I302" i="3"/>
  <c r="H302" i="3"/>
  <c r="F302" i="3"/>
  <c r="C302" i="3"/>
  <c r="AD301" i="3"/>
  <c r="AC301" i="3"/>
  <c r="AA301" i="3"/>
  <c r="W301" i="3"/>
  <c r="X301" i="3" s="1"/>
  <c r="U301" i="3"/>
  <c r="R301" i="3"/>
  <c r="N301" i="3"/>
  <c r="O301" i="3" s="1"/>
  <c r="L301" i="3"/>
  <c r="I301" i="3"/>
  <c r="H301" i="3"/>
  <c r="F301" i="3"/>
  <c r="C301" i="3"/>
  <c r="AC300" i="3"/>
  <c r="AA300" i="3"/>
  <c r="W300" i="3"/>
  <c r="X300" i="3" s="1"/>
  <c r="U300" i="3"/>
  <c r="R300" i="3"/>
  <c r="O300" i="3"/>
  <c r="N300" i="3"/>
  <c r="L300" i="3"/>
  <c r="I300" i="3"/>
  <c r="H300" i="3"/>
  <c r="F300" i="3"/>
  <c r="C300" i="3"/>
  <c r="AD299" i="3"/>
  <c r="AC299" i="3"/>
  <c r="AA299" i="3"/>
  <c r="W299" i="3"/>
  <c r="X299" i="3" s="1"/>
  <c r="U299" i="3"/>
  <c r="R299" i="3"/>
  <c r="O299" i="3"/>
  <c r="N299" i="3"/>
  <c r="L299" i="3"/>
  <c r="H299" i="3"/>
  <c r="I299" i="3" s="1"/>
  <c r="F299" i="3"/>
  <c r="C299" i="3"/>
  <c r="AD298" i="3"/>
  <c r="AC298" i="3"/>
  <c r="AA298" i="3"/>
  <c r="X298" i="3"/>
  <c r="W298" i="3"/>
  <c r="U298" i="3"/>
  <c r="R298" i="3"/>
  <c r="N298" i="3"/>
  <c r="O298" i="3" s="1"/>
  <c r="L298" i="3"/>
  <c r="H298" i="3"/>
  <c r="I298" i="3" s="1"/>
  <c r="F298" i="3"/>
  <c r="C298" i="3"/>
  <c r="AD297" i="3"/>
  <c r="AC297" i="3"/>
  <c r="AA297" i="3"/>
  <c r="X297" i="3"/>
  <c r="W297" i="3"/>
  <c r="U297" i="3"/>
  <c r="R297" i="3"/>
  <c r="N297" i="3"/>
  <c r="O297" i="3" s="1"/>
  <c r="L297" i="3"/>
  <c r="H297" i="3"/>
  <c r="I297" i="3" s="1"/>
  <c r="F297" i="3"/>
  <c r="C297" i="3"/>
  <c r="AA295" i="3"/>
  <c r="Z295" i="3"/>
  <c r="T295" i="3"/>
  <c r="U295" i="3" s="1"/>
  <c r="Q295" i="3"/>
  <c r="K295" i="3"/>
  <c r="L295" i="3" s="1"/>
  <c r="E295" i="3"/>
  <c r="C295" i="3"/>
  <c r="B295" i="3"/>
  <c r="AD294" i="3"/>
  <c r="AC294" i="3"/>
  <c r="AA294" i="3"/>
  <c r="W294" i="3"/>
  <c r="U294" i="3"/>
  <c r="R294" i="3"/>
  <c r="N294" i="3"/>
  <c r="O294" i="3" s="1"/>
  <c r="L294" i="3"/>
  <c r="H294" i="3"/>
  <c r="I294" i="3" s="1"/>
  <c r="F294" i="3"/>
  <c r="C294" i="3"/>
  <c r="AD293" i="3"/>
  <c r="AC293" i="3"/>
  <c r="AA293" i="3"/>
  <c r="X293" i="3"/>
  <c r="W293" i="3"/>
  <c r="U293" i="3"/>
  <c r="R293" i="3"/>
  <c r="N293" i="3"/>
  <c r="O293" i="3" s="1"/>
  <c r="L293" i="3"/>
  <c r="I293" i="3"/>
  <c r="H293" i="3"/>
  <c r="F293" i="3"/>
  <c r="C293" i="3"/>
  <c r="AC292" i="3"/>
  <c r="AA292" i="3"/>
  <c r="W292" i="3"/>
  <c r="X292" i="3" s="1"/>
  <c r="U292" i="3"/>
  <c r="R292" i="3"/>
  <c r="O292" i="3"/>
  <c r="N292" i="3"/>
  <c r="L292" i="3"/>
  <c r="I292" i="3"/>
  <c r="H292" i="3"/>
  <c r="F292" i="3"/>
  <c r="C292" i="3"/>
  <c r="AD291" i="3"/>
  <c r="AC291" i="3"/>
  <c r="AA291" i="3"/>
  <c r="X291" i="3"/>
  <c r="W291" i="3"/>
  <c r="U291" i="3"/>
  <c r="R291" i="3"/>
  <c r="O291" i="3"/>
  <c r="N291" i="3"/>
  <c r="L291" i="3"/>
  <c r="H291" i="3"/>
  <c r="I291" i="3" s="1"/>
  <c r="F291" i="3"/>
  <c r="C291" i="3"/>
  <c r="AC290" i="3"/>
  <c r="AD290" i="3" s="1"/>
  <c r="AA290" i="3"/>
  <c r="X290" i="3"/>
  <c r="W290" i="3"/>
  <c r="U290" i="3"/>
  <c r="R290" i="3"/>
  <c r="N290" i="3"/>
  <c r="O290" i="3" s="1"/>
  <c r="L290" i="3"/>
  <c r="H290" i="3"/>
  <c r="I290" i="3" s="1"/>
  <c r="F290" i="3"/>
  <c r="C290" i="3"/>
  <c r="AC289" i="3"/>
  <c r="AA289" i="3"/>
  <c r="W289" i="3"/>
  <c r="X289" i="3" s="1"/>
  <c r="U289" i="3"/>
  <c r="R289" i="3"/>
  <c r="O289" i="3"/>
  <c r="N289" i="3"/>
  <c r="L289" i="3"/>
  <c r="H289" i="3"/>
  <c r="I289" i="3" s="1"/>
  <c r="F289" i="3"/>
  <c r="C289" i="3"/>
  <c r="AC288" i="3"/>
  <c r="AD288" i="3" s="1"/>
  <c r="AA288" i="3"/>
  <c r="W288" i="3"/>
  <c r="U288" i="3"/>
  <c r="R288" i="3"/>
  <c r="O288" i="3"/>
  <c r="N288" i="3"/>
  <c r="L288" i="3"/>
  <c r="I288" i="3"/>
  <c r="H288" i="3"/>
  <c r="F288" i="3"/>
  <c r="C288" i="3"/>
  <c r="AC287" i="3"/>
  <c r="AD287" i="3" s="1"/>
  <c r="AA287" i="3"/>
  <c r="X287" i="3"/>
  <c r="W287" i="3"/>
  <c r="U287" i="3"/>
  <c r="R287" i="3"/>
  <c r="O287" i="3"/>
  <c r="N287" i="3"/>
  <c r="L287" i="3"/>
  <c r="H287" i="3"/>
  <c r="I287" i="3" s="1"/>
  <c r="F287" i="3"/>
  <c r="C287" i="3"/>
  <c r="AD286" i="3"/>
  <c r="AC286" i="3"/>
  <c r="AA286" i="3"/>
  <c r="W286" i="3"/>
  <c r="U286" i="3"/>
  <c r="R286" i="3"/>
  <c r="N286" i="3"/>
  <c r="O286" i="3" s="1"/>
  <c r="L286" i="3"/>
  <c r="H286" i="3"/>
  <c r="I286" i="3" s="1"/>
  <c r="F286" i="3"/>
  <c r="C286" i="3"/>
  <c r="AA284" i="3"/>
  <c r="Z284" i="3"/>
  <c r="T284" i="3"/>
  <c r="R284" i="3"/>
  <c r="Q284" i="3"/>
  <c r="L284" i="3"/>
  <c r="K284" i="3"/>
  <c r="F284" i="3"/>
  <c r="E284" i="3"/>
  <c r="B284" i="3"/>
  <c r="N284" i="3" s="1"/>
  <c r="O284" i="3" s="1"/>
  <c r="AC283" i="3"/>
  <c r="AD283" i="3" s="1"/>
  <c r="AA283" i="3"/>
  <c r="W283" i="3"/>
  <c r="X283" i="3" s="1"/>
  <c r="U283" i="3"/>
  <c r="R283" i="3"/>
  <c r="N283" i="3"/>
  <c r="O283" i="3" s="1"/>
  <c r="L283" i="3"/>
  <c r="H283" i="3"/>
  <c r="I283" i="3" s="1"/>
  <c r="F283" i="3"/>
  <c r="C283" i="3"/>
  <c r="AC282" i="3"/>
  <c r="AD282" i="3" s="1"/>
  <c r="AA282" i="3"/>
  <c r="X282" i="3"/>
  <c r="W282" i="3"/>
  <c r="U282" i="3"/>
  <c r="R282" i="3"/>
  <c r="N282" i="3"/>
  <c r="O282" i="3" s="1"/>
  <c r="L282" i="3"/>
  <c r="H282" i="3"/>
  <c r="I282" i="3" s="1"/>
  <c r="F282" i="3"/>
  <c r="C282" i="3"/>
  <c r="AD281" i="3"/>
  <c r="AC281" i="3"/>
  <c r="AA281" i="3"/>
  <c r="W281" i="3"/>
  <c r="X281" i="3" s="1"/>
  <c r="U281" i="3"/>
  <c r="R281" i="3"/>
  <c r="O281" i="3"/>
  <c r="N281" i="3"/>
  <c r="L281" i="3"/>
  <c r="I281" i="3"/>
  <c r="H281" i="3"/>
  <c r="F281" i="3"/>
  <c r="C281" i="3"/>
  <c r="AC280" i="3"/>
  <c r="AD280" i="3" s="1"/>
  <c r="AA280" i="3"/>
  <c r="W280" i="3"/>
  <c r="X280" i="3" s="1"/>
  <c r="U280" i="3"/>
  <c r="R280" i="3"/>
  <c r="O280" i="3"/>
  <c r="N280" i="3"/>
  <c r="L280" i="3"/>
  <c r="I280" i="3"/>
  <c r="H280" i="3"/>
  <c r="F280" i="3"/>
  <c r="C280" i="3"/>
  <c r="AD279" i="3"/>
  <c r="AC279" i="3"/>
  <c r="AA279" i="3"/>
  <c r="X279" i="3"/>
  <c r="W279" i="3"/>
  <c r="U279" i="3"/>
  <c r="R279" i="3"/>
  <c r="N279" i="3"/>
  <c r="O279" i="3" s="1"/>
  <c r="L279" i="3"/>
  <c r="H279" i="3"/>
  <c r="I279" i="3" s="1"/>
  <c r="F279" i="3"/>
  <c r="C279" i="3"/>
  <c r="AD278" i="3"/>
  <c r="AC278" i="3"/>
  <c r="AA278" i="3"/>
  <c r="X278" i="3"/>
  <c r="W278" i="3"/>
  <c r="U278" i="3"/>
  <c r="R278" i="3"/>
  <c r="N278" i="3"/>
  <c r="O278" i="3" s="1"/>
  <c r="L278" i="3"/>
  <c r="I278" i="3"/>
  <c r="H278" i="3"/>
  <c r="F278" i="3"/>
  <c r="C278" i="3"/>
  <c r="AC277" i="3"/>
  <c r="AA277" i="3"/>
  <c r="X277" i="3"/>
  <c r="W277" i="3"/>
  <c r="U277" i="3"/>
  <c r="R277" i="3"/>
  <c r="N277" i="3"/>
  <c r="O277" i="3" s="1"/>
  <c r="L277" i="3"/>
  <c r="I277" i="3"/>
  <c r="H277" i="3"/>
  <c r="F277" i="3"/>
  <c r="C277" i="3"/>
  <c r="AC276" i="3"/>
  <c r="AD276" i="3" s="1"/>
  <c r="AA276" i="3"/>
  <c r="W276" i="3"/>
  <c r="U276" i="3"/>
  <c r="R276" i="3"/>
  <c r="O276" i="3"/>
  <c r="N276" i="3"/>
  <c r="L276" i="3"/>
  <c r="I276" i="3"/>
  <c r="H276" i="3"/>
  <c r="F276" i="3"/>
  <c r="C276" i="3"/>
  <c r="AD275" i="3"/>
  <c r="AC275" i="3"/>
  <c r="AA275" i="3"/>
  <c r="W275" i="3"/>
  <c r="X275" i="3" s="1"/>
  <c r="U275" i="3"/>
  <c r="R275" i="3"/>
  <c r="O275" i="3"/>
  <c r="N275" i="3"/>
  <c r="L275" i="3"/>
  <c r="H275" i="3"/>
  <c r="I275" i="3" s="1"/>
  <c r="F275" i="3"/>
  <c r="C275" i="3"/>
  <c r="AA273" i="3"/>
  <c r="Z273" i="3"/>
  <c r="AC273" i="3" s="1"/>
  <c r="AD273" i="3" s="1"/>
  <c r="W273" i="3"/>
  <c r="X273" i="3" s="1"/>
  <c r="U273" i="3"/>
  <c r="T273" i="3"/>
  <c r="R273" i="3"/>
  <c r="Q273" i="3"/>
  <c r="N273" i="3"/>
  <c r="O273" i="3" s="1"/>
  <c r="K273" i="3"/>
  <c r="L273" i="3" s="1"/>
  <c r="F273" i="3"/>
  <c r="E273" i="3"/>
  <c r="C273" i="3"/>
  <c r="B273" i="3"/>
  <c r="AC272" i="3"/>
  <c r="AA272" i="3"/>
  <c r="W272" i="3"/>
  <c r="X272" i="3" s="1"/>
  <c r="U272" i="3"/>
  <c r="R272" i="3"/>
  <c r="O272" i="3"/>
  <c r="N272" i="3"/>
  <c r="L272" i="3"/>
  <c r="I272" i="3"/>
  <c r="H272" i="3"/>
  <c r="F272" i="3"/>
  <c r="C272" i="3"/>
  <c r="AD271" i="3"/>
  <c r="AC271" i="3"/>
  <c r="AA271" i="3"/>
  <c r="W271" i="3"/>
  <c r="X271" i="3" s="1"/>
  <c r="U271" i="3"/>
  <c r="R271" i="3"/>
  <c r="O271" i="3"/>
  <c r="N271" i="3"/>
  <c r="L271" i="3"/>
  <c r="H271" i="3"/>
  <c r="I271" i="3" s="1"/>
  <c r="F271" i="3"/>
  <c r="C271" i="3"/>
  <c r="AD270" i="3"/>
  <c r="AC270" i="3"/>
  <c r="AA270" i="3"/>
  <c r="X270" i="3"/>
  <c r="W270" i="3"/>
  <c r="U270" i="3"/>
  <c r="R270" i="3"/>
  <c r="N270" i="3"/>
  <c r="O270" i="3" s="1"/>
  <c r="L270" i="3"/>
  <c r="I270" i="3"/>
  <c r="H270" i="3"/>
  <c r="F270" i="3"/>
  <c r="C270" i="3"/>
  <c r="AD269" i="3"/>
  <c r="AC269" i="3"/>
  <c r="AA269" i="3"/>
  <c r="X269" i="3"/>
  <c r="W269" i="3"/>
  <c r="U269" i="3"/>
  <c r="R269" i="3"/>
  <c r="N269" i="3"/>
  <c r="O269" i="3" s="1"/>
  <c r="L269" i="3"/>
  <c r="H269" i="3"/>
  <c r="I269" i="3" s="1"/>
  <c r="F269" i="3"/>
  <c r="C269" i="3"/>
  <c r="AA267" i="3"/>
  <c r="Z267" i="3"/>
  <c r="U267" i="3"/>
  <c r="T267" i="3"/>
  <c r="Q267" i="3"/>
  <c r="K267" i="3"/>
  <c r="L267" i="3" s="1"/>
  <c r="E267" i="3"/>
  <c r="C267" i="3"/>
  <c r="B267" i="3"/>
  <c r="AD266" i="3"/>
  <c r="AC266" i="3"/>
  <c r="AA266" i="3"/>
  <c r="W266" i="3"/>
  <c r="U266" i="3"/>
  <c r="R266" i="3"/>
  <c r="N266" i="3"/>
  <c r="O266" i="3" s="1"/>
  <c r="L266" i="3"/>
  <c r="H266" i="3"/>
  <c r="I266" i="3" s="1"/>
  <c r="F266" i="3"/>
  <c r="C266" i="3"/>
  <c r="AD265" i="3"/>
  <c r="AC265" i="3"/>
  <c r="AA265" i="3"/>
  <c r="X265" i="3"/>
  <c r="W265" i="3"/>
  <c r="U265" i="3"/>
  <c r="R265" i="3"/>
  <c r="N265" i="3"/>
  <c r="O265" i="3" s="1"/>
  <c r="L265" i="3"/>
  <c r="I265" i="3"/>
  <c r="H265" i="3"/>
  <c r="F265" i="3"/>
  <c r="C265" i="3"/>
  <c r="AA263" i="3"/>
  <c r="Z263" i="3"/>
  <c r="X263" i="3"/>
  <c r="W263" i="3"/>
  <c r="U263" i="3"/>
  <c r="T263" i="3"/>
  <c r="Q263" i="3"/>
  <c r="K263" i="3"/>
  <c r="L263" i="3" s="1"/>
  <c r="E263" i="3"/>
  <c r="F263" i="3" s="1"/>
  <c r="C263" i="3"/>
  <c r="B263" i="3"/>
  <c r="N263" i="3" s="1"/>
  <c r="O263" i="3" s="1"/>
  <c r="Z262" i="3"/>
  <c r="AC262" i="3" s="1"/>
  <c r="AD262" i="3" s="1"/>
  <c r="W262" i="3"/>
  <c r="X262" i="3" s="1"/>
  <c r="U262" i="3"/>
  <c r="T262" i="3"/>
  <c r="R262" i="3"/>
  <c r="Q262" i="3"/>
  <c r="N262" i="3"/>
  <c r="O262" i="3" s="1"/>
  <c r="K262" i="3"/>
  <c r="L262" i="3" s="1"/>
  <c r="F262" i="3"/>
  <c r="E262" i="3"/>
  <c r="C262" i="3"/>
  <c r="B262" i="3"/>
  <c r="AC261" i="3"/>
  <c r="AA261" i="3"/>
  <c r="W261" i="3"/>
  <c r="X261" i="3" s="1"/>
  <c r="U261" i="3"/>
  <c r="R261" i="3"/>
  <c r="O261" i="3"/>
  <c r="N261" i="3"/>
  <c r="L261" i="3"/>
  <c r="I261" i="3"/>
  <c r="H261" i="3"/>
  <c r="F261" i="3"/>
  <c r="C261" i="3"/>
  <c r="AD260" i="3"/>
  <c r="AC260" i="3"/>
  <c r="AA260" i="3"/>
  <c r="W260" i="3"/>
  <c r="X260" i="3" s="1"/>
  <c r="U260" i="3"/>
  <c r="R260" i="3"/>
  <c r="O260" i="3"/>
  <c r="N260" i="3"/>
  <c r="L260" i="3"/>
  <c r="H260" i="3"/>
  <c r="I260" i="3" s="1"/>
  <c r="F260" i="3"/>
  <c r="C260" i="3"/>
  <c r="AD259" i="3"/>
  <c r="AC259" i="3"/>
  <c r="AA259" i="3"/>
  <c r="X259" i="3"/>
  <c r="W259" i="3"/>
  <c r="U259" i="3"/>
  <c r="R259" i="3"/>
  <c r="N259" i="3"/>
  <c r="O259" i="3" s="1"/>
  <c r="L259" i="3"/>
  <c r="I259" i="3"/>
  <c r="H259" i="3"/>
  <c r="F259" i="3"/>
  <c r="C259" i="3"/>
  <c r="AD258" i="3"/>
  <c r="AC258" i="3"/>
  <c r="AA258" i="3"/>
  <c r="X258" i="3"/>
  <c r="W258" i="3"/>
  <c r="U258" i="3"/>
  <c r="R258" i="3"/>
  <c r="N258" i="3"/>
  <c r="O258" i="3" s="1"/>
  <c r="L258" i="3"/>
  <c r="H258" i="3"/>
  <c r="I258" i="3" s="1"/>
  <c r="F258" i="3"/>
  <c r="C258" i="3"/>
  <c r="AC257" i="3"/>
  <c r="AD257" i="3" s="1"/>
  <c r="AA257" i="3"/>
  <c r="W257" i="3"/>
  <c r="X257" i="3" s="1"/>
  <c r="U257" i="3"/>
  <c r="R257" i="3"/>
  <c r="O257" i="3"/>
  <c r="N257" i="3"/>
  <c r="L257" i="3"/>
  <c r="I257" i="3"/>
  <c r="H257" i="3"/>
  <c r="F257" i="3"/>
  <c r="C257" i="3"/>
  <c r="AC256" i="3"/>
  <c r="AD256" i="3" s="1"/>
  <c r="AA256" i="3"/>
  <c r="X256" i="3"/>
  <c r="W256" i="3"/>
  <c r="U256" i="3"/>
  <c r="R256" i="3"/>
  <c r="N256" i="3"/>
  <c r="O256" i="3" s="1"/>
  <c r="L256" i="3"/>
  <c r="H256" i="3"/>
  <c r="I256" i="3" s="1"/>
  <c r="F256" i="3"/>
  <c r="C256" i="3"/>
  <c r="AC255" i="3"/>
  <c r="AD255" i="3" s="1"/>
  <c r="AA255" i="3"/>
  <c r="W255" i="3"/>
  <c r="U255" i="3"/>
  <c r="R255" i="3"/>
  <c r="N255" i="3"/>
  <c r="O255" i="3" s="1"/>
  <c r="L255" i="3"/>
  <c r="I255" i="3"/>
  <c r="H255" i="3"/>
  <c r="F255" i="3"/>
  <c r="C255" i="3"/>
  <c r="AD254" i="3"/>
  <c r="AC254" i="3"/>
  <c r="AA254" i="3"/>
  <c r="W254" i="3"/>
  <c r="X254" i="3" s="1"/>
  <c r="U254" i="3"/>
  <c r="R254" i="3"/>
  <c r="O254" i="3"/>
  <c r="N254" i="3"/>
  <c r="L254" i="3"/>
  <c r="I254" i="3"/>
  <c r="H254" i="3"/>
  <c r="F254" i="3"/>
  <c r="C254" i="3"/>
  <c r="AC253" i="3"/>
  <c r="AA253" i="3"/>
  <c r="W253" i="3"/>
  <c r="X253" i="3" s="1"/>
  <c r="U253" i="3"/>
  <c r="R253" i="3"/>
  <c r="O253" i="3"/>
  <c r="N253" i="3"/>
  <c r="L253" i="3"/>
  <c r="I253" i="3"/>
  <c r="H253" i="3"/>
  <c r="F253" i="3"/>
  <c r="C253" i="3"/>
  <c r="AD252" i="3"/>
  <c r="AC252" i="3"/>
  <c r="AA252" i="3"/>
  <c r="W252" i="3"/>
  <c r="X252" i="3" s="1"/>
  <c r="U252" i="3"/>
  <c r="R252" i="3"/>
  <c r="O252" i="3"/>
  <c r="N252" i="3"/>
  <c r="L252" i="3"/>
  <c r="H252" i="3"/>
  <c r="I252" i="3" s="1"/>
  <c r="F252" i="3"/>
  <c r="C252" i="3"/>
  <c r="AD251" i="3"/>
  <c r="AC251" i="3"/>
  <c r="AA251" i="3"/>
  <c r="X251" i="3"/>
  <c r="W251" i="3"/>
  <c r="U251" i="3"/>
  <c r="R251" i="3"/>
  <c r="N251" i="3"/>
  <c r="O251" i="3" s="1"/>
  <c r="L251" i="3"/>
  <c r="I251" i="3"/>
  <c r="H251" i="3"/>
  <c r="F251" i="3"/>
  <c r="C251" i="3"/>
  <c r="AD250" i="3"/>
  <c r="AC250" i="3"/>
  <c r="AA250" i="3"/>
  <c r="X250" i="3"/>
  <c r="W250" i="3"/>
  <c r="U250" i="3"/>
  <c r="R250" i="3"/>
  <c r="N250" i="3"/>
  <c r="O250" i="3" s="1"/>
  <c r="L250" i="3"/>
  <c r="H250" i="3"/>
  <c r="I250" i="3" s="1"/>
  <c r="F250" i="3"/>
  <c r="C250" i="3"/>
  <c r="AC249" i="3"/>
  <c r="AD249" i="3" s="1"/>
  <c r="AA249" i="3"/>
  <c r="W249" i="3"/>
  <c r="X249" i="3" s="1"/>
  <c r="U249" i="3"/>
  <c r="R249" i="3"/>
  <c r="O249" i="3"/>
  <c r="N249" i="3"/>
  <c r="L249" i="3"/>
  <c r="I249" i="3"/>
  <c r="H249" i="3"/>
  <c r="F249" i="3"/>
  <c r="C249" i="3"/>
  <c r="AC248" i="3"/>
  <c r="AD248" i="3" s="1"/>
  <c r="AA248" i="3"/>
  <c r="W248" i="3"/>
  <c r="X248" i="3" s="1"/>
  <c r="U248" i="3"/>
  <c r="R248" i="3"/>
  <c r="N248" i="3"/>
  <c r="O248" i="3" s="1"/>
  <c r="L248" i="3"/>
  <c r="H248" i="3"/>
  <c r="I248" i="3" s="1"/>
  <c r="F248" i="3"/>
  <c r="C248" i="3"/>
  <c r="AC247" i="3"/>
  <c r="AD247" i="3" s="1"/>
  <c r="AA247" i="3"/>
  <c r="W247" i="3"/>
  <c r="U247" i="3"/>
  <c r="R247" i="3"/>
  <c r="N247" i="3"/>
  <c r="O247" i="3" s="1"/>
  <c r="L247" i="3"/>
  <c r="I247" i="3"/>
  <c r="H247" i="3"/>
  <c r="F247" i="3"/>
  <c r="C247" i="3"/>
  <c r="AD246" i="3"/>
  <c r="AC246" i="3"/>
  <c r="AA246" i="3"/>
  <c r="W246" i="3"/>
  <c r="X246" i="3" s="1"/>
  <c r="U246" i="3"/>
  <c r="R246" i="3"/>
  <c r="O246" i="3"/>
  <c r="N246" i="3"/>
  <c r="L246" i="3"/>
  <c r="I246" i="3"/>
  <c r="H246" i="3"/>
  <c r="F246" i="3"/>
  <c r="C246" i="3"/>
  <c r="AC245" i="3"/>
  <c r="AA245" i="3"/>
  <c r="W245" i="3"/>
  <c r="X245" i="3" s="1"/>
  <c r="U245" i="3"/>
  <c r="R245" i="3"/>
  <c r="O245" i="3"/>
  <c r="N245" i="3"/>
  <c r="L245" i="3"/>
  <c r="I245" i="3"/>
  <c r="H245" i="3"/>
  <c r="F245" i="3"/>
  <c r="C245" i="3"/>
  <c r="AD244" i="3"/>
  <c r="AC244" i="3"/>
  <c r="AA244" i="3"/>
  <c r="W244" i="3"/>
  <c r="X244" i="3" s="1"/>
  <c r="U244" i="3"/>
  <c r="R244" i="3"/>
  <c r="O244" i="3"/>
  <c r="N244" i="3"/>
  <c r="L244" i="3"/>
  <c r="H244" i="3"/>
  <c r="I244" i="3" s="1"/>
  <c r="F244" i="3"/>
  <c r="C244" i="3"/>
  <c r="AD243" i="3"/>
  <c r="AC243" i="3"/>
  <c r="AA243" i="3"/>
  <c r="X243" i="3"/>
  <c r="W243" i="3"/>
  <c r="U243" i="3"/>
  <c r="R243" i="3"/>
  <c r="N243" i="3"/>
  <c r="O243" i="3" s="1"/>
  <c r="L243" i="3"/>
  <c r="I243" i="3"/>
  <c r="H243" i="3"/>
  <c r="F243" i="3"/>
  <c r="C243" i="3"/>
  <c r="AD242" i="3"/>
  <c r="AC242" i="3"/>
  <c r="AA242" i="3"/>
  <c r="X242" i="3"/>
  <c r="W242" i="3"/>
  <c r="U242" i="3"/>
  <c r="R242" i="3"/>
  <c r="N242" i="3"/>
  <c r="O242" i="3" s="1"/>
  <c r="L242" i="3"/>
  <c r="H242" i="3"/>
  <c r="I242" i="3" s="1"/>
  <c r="F242" i="3"/>
  <c r="C242" i="3"/>
  <c r="AC241" i="3"/>
  <c r="AD241" i="3" s="1"/>
  <c r="AA241" i="3"/>
  <c r="W241" i="3"/>
  <c r="X241" i="3" s="1"/>
  <c r="U241" i="3"/>
  <c r="R241" i="3"/>
  <c r="O241" i="3"/>
  <c r="N241" i="3"/>
  <c r="L241" i="3"/>
  <c r="I241" i="3"/>
  <c r="H241" i="3"/>
  <c r="F241" i="3"/>
  <c r="C241" i="3"/>
  <c r="AC240" i="3"/>
  <c r="AD240" i="3" s="1"/>
  <c r="AA240" i="3"/>
  <c r="W240" i="3"/>
  <c r="X240" i="3" s="1"/>
  <c r="U240" i="3"/>
  <c r="R240" i="3"/>
  <c r="N240" i="3"/>
  <c r="O240" i="3" s="1"/>
  <c r="L240" i="3"/>
  <c r="H240" i="3"/>
  <c r="I240" i="3" s="1"/>
  <c r="F240" i="3"/>
  <c r="C240" i="3"/>
  <c r="AC238" i="3"/>
  <c r="AD238" i="3" s="1"/>
  <c r="AA238" i="3"/>
  <c r="W238" i="3"/>
  <c r="U238" i="3"/>
  <c r="R238" i="3"/>
  <c r="N238" i="3"/>
  <c r="O238" i="3" s="1"/>
  <c r="L238" i="3"/>
  <c r="I238" i="3"/>
  <c r="H238" i="3"/>
  <c r="F238" i="3"/>
  <c r="C238" i="3"/>
  <c r="Z236" i="3"/>
  <c r="AA236" i="3" s="1"/>
  <c r="W236" i="3"/>
  <c r="X236" i="3" s="1"/>
  <c r="T236" i="3"/>
  <c r="U236" i="3" s="1"/>
  <c r="R236" i="3"/>
  <c r="Q236" i="3"/>
  <c r="L236" i="3"/>
  <c r="K236" i="3"/>
  <c r="H236" i="3"/>
  <c r="I236" i="3" s="1"/>
  <c r="F236" i="3"/>
  <c r="E236" i="3"/>
  <c r="C236" i="3"/>
  <c r="B236" i="3"/>
  <c r="N236" i="3" s="1"/>
  <c r="O236" i="3" s="1"/>
  <c r="AD235" i="3"/>
  <c r="AC235" i="3"/>
  <c r="AA235" i="3"/>
  <c r="X235" i="3"/>
  <c r="W235" i="3"/>
  <c r="U235" i="3"/>
  <c r="R235" i="3"/>
  <c r="O235" i="3"/>
  <c r="N235" i="3"/>
  <c r="L235" i="3"/>
  <c r="H235" i="3"/>
  <c r="I235" i="3" s="1"/>
  <c r="F235" i="3"/>
  <c r="C235" i="3"/>
  <c r="AC234" i="3"/>
  <c r="AD234" i="3" s="1"/>
  <c r="AA234" i="3"/>
  <c r="X234" i="3"/>
  <c r="W234" i="3"/>
  <c r="U234" i="3"/>
  <c r="R234" i="3"/>
  <c r="N234" i="3"/>
  <c r="O234" i="3" s="1"/>
  <c r="L234" i="3"/>
  <c r="I234" i="3"/>
  <c r="H234" i="3"/>
  <c r="F234" i="3"/>
  <c r="C234" i="3"/>
  <c r="AC233" i="3"/>
  <c r="AA233" i="3"/>
  <c r="W233" i="3"/>
  <c r="X233" i="3" s="1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W232" i="3"/>
  <c r="U232" i="3"/>
  <c r="R232" i="3"/>
  <c r="O232" i="3"/>
  <c r="N232" i="3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O231" i="3"/>
  <c r="N231" i="3"/>
  <c r="L231" i="3"/>
  <c r="H231" i="3"/>
  <c r="I231" i="3" s="1"/>
  <c r="F231" i="3"/>
  <c r="C231" i="3"/>
  <c r="AD230" i="3"/>
  <c r="AC230" i="3"/>
  <c r="AA230" i="3"/>
  <c r="W230" i="3"/>
  <c r="U230" i="3"/>
  <c r="R230" i="3"/>
  <c r="N230" i="3"/>
  <c r="O230" i="3" s="1"/>
  <c r="L230" i="3"/>
  <c r="H230" i="3"/>
  <c r="I230" i="3" s="1"/>
  <c r="F230" i="3"/>
  <c r="C230" i="3"/>
  <c r="AD229" i="3"/>
  <c r="AC229" i="3"/>
  <c r="AA229" i="3"/>
  <c r="X229" i="3"/>
  <c r="W229" i="3"/>
  <c r="U229" i="3"/>
  <c r="R229" i="3"/>
  <c r="N229" i="3"/>
  <c r="O229" i="3" s="1"/>
  <c r="L229" i="3"/>
  <c r="I229" i="3"/>
  <c r="H229" i="3"/>
  <c r="F229" i="3"/>
  <c r="C229" i="3"/>
  <c r="AA227" i="3"/>
  <c r="Z227" i="3"/>
  <c r="U227" i="3"/>
  <c r="T227" i="3"/>
  <c r="Q227" i="3"/>
  <c r="K227" i="3"/>
  <c r="L227" i="3" s="1"/>
  <c r="I227" i="3"/>
  <c r="H227" i="3"/>
  <c r="E227" i="3"/>
  <c r="F227" i="3" s="1"/>
  <c r="C227" i="3"/>
  <c r="B227" i="3"/>
  <c r="AC226" i="3"/>
  <c r="AD226" i="3" s="1"/>
  <c r="AA226" i="3"/>
  <c r="X226" i="3"/>
  <c r="W226" i="3"/>
  <c r="U226" i="3"/>
  <c r="R226" i="3"/>
  <c r="N226" i="3"/>
  <c r="O226" i="3" s="1"/>
  <c r="L226" i="3"/>
  <c r="H226" i="3"/>
  <c r="I226" i="3" s="1"/>
  <c r="F226" i="3"/>
  <c r="C226" i="3"/>
  <c r="AD225" i="3"/>
  <c r="AC225" i="3"/>
  <c r="AA225" i="3"/>
  <c r="W225" i="3"/>
  <c r="X225" i="3" s="1"/>
  <c r="U225" i="3"/>
  <c r="R225" i="3"/>
  <c r="N225" i="3"/>
  <c r="O225" i="3" s="1"/>
  <c r="L225" i="3"/>
  <c r="I225" i="3"/>
  <c r="H225" i="3"/>
  <c r="F225" i="3"/>
  <c r="C225" i="3"/>
  <c r="AC224" i="3"/>
  <c r="AD224" i="3" s="1"/>
  <c r="AA224" i="3"/>
  <c r="W224" i="3"/>
  <c r="X224" i="3" s="1"/>
  <c r="U224" i="3"/>
  <c r="R224" i="3"/>
  <c r="O224" i="3"/>
  <c r="N224" i="3"/>
  <c r="L224" i="3"/>
  <c r="I224" i="3"/>
  <c r="H224" i="3"/>
  <c r="F224" i="3"/>
  <c r="C224" i="3"/>
  <c r="AD223" i="3"/>
  <c r="AC223" i="3"/>
  <c r="AA223" i="3"/>
  <c r="X223" i="3"/>
  <c r="W223" i="3"/>
  <c r="U223" i="3"/>
  <c r="R223" i="3"/>
  <c r="N223" i="3"/>
  <c r="O223" i="3" s="1"/>
  <c r="L223" i="3"/>
  <c r="H223" i="3"/>
  <c r="I223" i="3" s="1"/>
  <c r="F223" i="3"/>
  <c r="C223" i="3"/>
  <c r="AC222" i="3"/>
  <c r="AD222" i="3" s="1"/>
  <c r="AA222" i="3"/>
  <c r="X222" i="3"/>
  <c r="W222" i="3"/>
  <c r="U222" i="3"/>
  <c r="R222" i="3"/>
  <c r="N222" i="3"/>
  <c r="O222" i="3" s="1"/>
  <c r="L222" i="3"/>
  <c r="I222" i="3"/>
  <c r="H222" i="3"/>
  <c r="F222" i="3"/>
  <c r="C222" i="3"/>
  <c r="AC221" i="3"/>
  <c r="AA221" i="3"/>
  <c r="X221" i="3"/>
  <c r="W221" i="3"/>
  <c r="U221" i="3"/>
  <c r="R221" i="3"/>
  <c r="N221" i="3"/>
  <c r="O221" i="3" s="1"/>
  <c r="L221" i="3"/>
  <c r="I221" i="3"/>
  <c r="H221" i="3"/>
  <c r="F221" i="3"/>
  <c r="C221" i="3"/>
  <c r="AC220" i="3"/>
  <c r="AD220" i="3" s="1"/>
  <c r="AA220" i="3"/>
  <c r="W220" i="3"/>
  <c r="U220" i="3"/>
  <c r="R220" i="3"/>
  <c r="O220" i="3"/>
  <c r="N220" i="3"/>
  <c r="L220" i="3"/>
  <c r="I220" i="3"/>
  <c r="H220" i="3"/>
  <c r="F220" i="3"/>
  <c r="C220" i="3"/>
  <c r="AD219" i="3"/>
  <c r="AC219" i="3"/>
  <c r="AA219" i="3"/>
  <c r="W219" i="3"/>
  <c r="X219" i="3" s="1"/>
  <c r="U219" i="3"/>
  <c r="R219" i="3"/>
  <c r="N219" i="3"/>
  <c r="O219" i="3" s="1"/>
  <c r="L219" i="3"/>
  <c r="H219" i="3"/>
  <c r="I219" i="3" s="1"/>
  <c r="F219" i="3"/>
  <c r="C219" i="3"/>
  <c r="Z218" i="3"/>
  <c r="AC218" i="3" s="1"/>
  <c r="AD218" i="3" s="1"/>
  <c r="W218" i="3"/>
  <c r="X218" i="3" s="1"/>
  <c r="U218" i="3"/>
  <c r="T218" i="3"/>
  <c r="R218" i="3"/>
  <c r="Q218" i="3"/>
  <c r="K218" i="3"/>
  <c r="L218" i="3" s="1"/>
  <c r="F218" i="3"/>
  <c r="E218" i="3"/>
  <c r="C218" i="3"/>
  <c r="B218" i="3"/>
  <c r="AC217" i="3"/>
  <c r="AA217" i="3"/>
  <c r="W217" i="3"/>
  <c r="X217" i="3" s="1"/>
  <c r="U217" i="3"/>
  <c r="R217" i="3"/>
  <c r="O217" i="3"/>
  <c r="N217" i="3"/>
  <c r="L217" i="3"/>
  <c r="I217" i="3"/>
  <c r="H217" i="3"/>
  <c r="F217" i="3"/>
  <c r="C217" i="3"/>
  <c r="AD216" i="3"/>
  <c r="AC216" i="3"/>
  <c r="AA216" i="3"/>
  <c r="W216" i="3"/>
  <c r="X216" i="3" s="1"/>
  <c r="U216" i="3"/>
  <c r="R216" i="3"/>
  <c r="N216" i="3"/>
  <c r="O216" i="3" s="1"/>
  <c r="L216" i="3"/>
  <c r="H216" i="3"/>
  <c r="I216" i="3" s="1"/>
  <c r="F216" i="3"/>
  <c r="C216" i="3"/>
  <c r="AD215" i="3"/>
  <c r="AC215" i="3"/>
  <c r="AA215" i="3"/>
  <c r="X215" i="3"/>
  <c r="W215" i="3"/>
  <c r="U215" i="3"/>
  <c r="R215" i="3"/>
  <c r="N215" i="3"/>
  <c r="O215" i="3" s="1"/>
  <c r="L215" i="3"/>
  <c r="H215" i="3"/>
  <c r="I215" i="3" s="1"/>
  <c r="F215" i="3"/>
  <c r="C215" i="3"/>
  <c r="AD214" i="3"/>
  <c r="AC214" i="3"/>
  <c r="AA214" i="3"/>
  <c r="X214" i="3"/>
  <c r="W214" i="3"/>
  <c r="U214" i="3"/>
  <c r="R214" i="3"/>
  <c r="N214" i="3"/>
  <c r="O214" i="3" s="1"/>
  <c r="L214" i="3"/>
  <c r="H214" i="3"/>
  <c r="I214" i="3" s="1"/>
  <c r="F214" i="3"/>
  <c r="C214" i="3"/>
  <c r="AC213" i="3"/>
  <c r="AD213" i="3" s="1"/>
  <c r="AA213" i="3"/>
  <c r="W213" i="3"/>
  <c r="X213" i="3" s="1"/>
  <c r="U213" i="3"/>
  <c r="R213" i="3"/>
  <c r="O213" i="3"/>
  <c r="N213" i="3"/>
  <c r="L213" i="3"/>
  <c r="I213" i="3"/>
  <c r="H213" i="3"/>
  <c r="F213" i="3"/>
  <c r="C213" i="3"/>
  <c r="AC211" i="3"/>
  <c r="AD211" i="3" s="1"/>
  <c r="AA211" i="3"/>
  <c r="X211" i="3"/>
  <c r="W211" i="3"/>
  <c r="U211" i="3"/>
  <c r="R211" i="3"/>
  <c r="N211" i="3"/>
  <c r="O211" i="3" s="1"/>
  <c r="L211" i="3"/>
  <c r="H211" i="3"/>
  <c r="I211" i="3" s="1"/>
  <c r="F211" i="3"/>
  <c r="C211" i="3"/>
  <c r="AC209" i="3"/>
  <c r="AD209" i="3" s="1"/>
  <c r="Z209" i="3"/>
  <c r="AA209" i="3" s="1"/>
  <c r="W209" i="3"/>
  <c r="X209" i="3" s="1"/>
  <c r="U209" i="3"/>
  <c r="T209" i="3"/>
  <c r="R209" i="3"/>
  <c r="Q209" i="3"/>
  <c r="K209" i="3"/>
  <c r="L209" i="3" s="1"/>
  <c r="E209" i="3"/>
  <c r="F209" i="3" s="1"/>
  <c r="C209" i="3"/>
  <c r="B209" i="3"/>
  <c r="AC208" i="3"/>
  <c r="AD208" i="3" s="1"/>
  <c r="AA208" i="3"/>
  <c r="W208" i="3"/>
  <c r="U208" i="3"/>
  <c r="R208" i="3"/>
  <c r="O208" i="3"/>
  <c r="N208" i="3"/>
  <c r="L208" i="3"/>
  <c r="I208" i="3"/>
  <c r="H208" i="3"/>
  <c r="F208" i="3"/>
  <c r="C208" i="3"/>
  <c r="AC207" i="3"/>
  <c r="AD207" i="3" s="1"/>
  <c r="AA207" i="3"/>
  <c r="W207" i="3"/>
  <c r="X207" i="3" s="1"/>
  <c r="U207" i="3"/>
  <c r="R207" i="3"/>
  <c r="O207" i="3"/>
  <c r="N207" i="3"/>
  <c r="L207" i="3"/>
  <c r="H207" i="3"/>
  <c r="I207" i="3" s="1"/>
  <c r="F207" i="3"/>
  <c r="C207" i="3"/>
  <c r="AC206" i="3"/>
  <c r="AD206" i="3" s="1"/>
  <c r="AA206" i="3"/>
  <c r="X206" i="3"/>
  <c r="W206" i="3"/>
  <c r="U206" i="3"/>
  <c r="R206" i="3"/>
  <c r="N206" i="3"/>
  <c r="O206" i="3" s="1"/>
  <c r="L206" i="3"/>
  <c r="H206" i="3"/>
  <c r="I206" i="3" s="1"/>
  <c r="F206" i="3"/>
  <c r="C206" i="3"/>
  <c r="AD205" i="3"/>
  <c r="AC205" i="3"/>
  <c r="AA205" i="3"/>
  <c r="W205" i="3"/>
  <c r="X205" i="3" s="1"/>
  <c r="U205" i="3"/>
  <c r="R205" i="3"/>
  <c r="O205" i="3"/>
  <c r="N205" i="3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O204" i="3"/>
  <c r="N204" i="3"/>
  <c r="L204" i="3"/>
  <c r="I204" i="3"/>
  <c r="H204" i="3"/>
  <c r="F204" i="3"/>
  <c r="C204" i="3"/>
  <c r="AD203" i="3"/>
  <c r="AC203" i="3"/>
  <c r="AA203" i="3"/>
  <c r="X203" i="3"/>
  <c r="W203" i="3"/>
  <c r="U203" i="3"/>
  <c r="R203" i="3"/>
  <c r="N203" i="3"/>
  <c r="O203" i="3" s="1"/>
  <c r="L203" i="3"/>
  <c r="H203" i="3"/>
  <c r="I203" i="3" s="1"/>
  <c r="F203" i="3"/>
  <c r="C203" i="3"/>
  <c r="AD202" i="3"/>
  <c r="AC202" i="3"/>
  <c r="AA202" i="3"/>
  <c r="X202" i="3"/>
  <c r="W202" i="3"/>
  <c r="U202" i="3"/>
  <c r="R202" i="3"/>
  <c r="N202" i="3"/>
  <c r="O202" i="3" s="1"/>
  <c r="L202" i="3"/>
  <c r="I202" i="3"/>
  <c r="H202" i="3"/>
  <c r="F202" i="3"/>
  <c r="C202" i="3"/>
  <c r="AC201" i="3"/>
  <c r="AA201" i="3"/>
  <c r="X201" i="3"/>
  <c r="W201" i="3"/>
  <c r="U201" i="3"/>
  <c r="R201" i="3"/>
  <c r="N201" i="3"/>
  <c r="O201" i="3" s="1"/>
  <c r="L201" i="3"/>
  <c r="I201" i="3"/>
  <c r="H201" i="3"/>
  <c r="F201" i="3"/>
  <c r="C201" i="3"/>
  <c r="AA197" i="3"/>
  <c r="Z197" i="3"/>
  <c r="U197" i="3"/>
  <c r="T197" i="3"/>
  <c r="R197" i="3"/>
  <c r="Q197" i="3"/>
  <c r="K197" i="3"/>
  <c r="L197" i="3" s="1"/>
  <c r="E197" i="3"/>
  <c r="F197" i="3" s="1"/>
  <c r="B197" i="3"/>
  <c r="H197" i="3" s="1"/>
  <c r="I197" i="3" s="1"/>
  <c r="AA196" i="3"/>
  <c r="Z196" i="3"/>
  <c r="U196" i="3"/>
  <c r="T196" i="3"/>
  <c r="Q196" i="3"/>
  <c r="L196" i="3"/>
  <c r="K196" i="3"/>
  <c r="H196" i="3"/>
  <c r="I196" i="3" s="1"/>
  <c r="E196" i="3"/>
  <c r="F196" i="3" s="1"/>
  <c r="C196" i="3"/>
  <c r="B196" i="3"/>
  <c r="N196" i="3" s="1"/>
  <c r="O196" i="3" s="1"/>
  <c r="AC195" i="3"/>
  <c r="AD195" i="3" s="1"/>
  <c r="AA195" i="3"/>
  <c r="W195" i="3"/>
  <c r="U195" i="3"/>
  <c r="R195" i="3"/>
  <c r="N195" i="3"/>
  <c r="O195" i="3" s="1"/>
  <c r="L195" i="3"/>
  <c r="I195" i="3"/>
  <c r="H195" i="3"/>
  <c r="F195" i="3"/>
  <c r="C195" i="3"/>
  <c r="AD194" i="3"/>
  <c r="AC194" i="3"/>
  <c r="AA194" i="3"/>
  <c r="W194" i="3"/>
  <c r="X194" i="3" s="1"/>
  <c r="U194" i="3"/>
  <c r="R194" i="3"/>
  <c r="N194" i="3"/>
  <c r="O194" i="3" s="1"/>
  <c r="L194" i="3"/>
  <c r="I194" i="3"/>
  <c r="H194" i="3"/>
  <c r="F194" i="3"/>
  <c r="C194" i="3"/>
  <c r="AC193" i="3"/>
  <c r="AA193" i="3"/>
  <c r="Z193" i="3"/>
  <c r="W193" i="3"/>
  <c r="X193" i="3" s="1"/>
  <c r="T193" i="3"/>
  <c r="U193" i="3" s="1"/>
  <c r="Q193" i="3"/>
  <c r="R193" i="3" s="1"/>
  <c r="L193" i="3"/>
  <c r="K193" i="3"/>
  <c r="H193" i="3"/>
  <c r="I193" i="3" s="1"/>
  <c r="E193" i="3"/>
  <c r="F193" i="3" s="1"/>
  <c r="C193" i="3"/>
  <c r="B193" i="3"/>
  <c r="AC192" i="3"/>
  <c r="AD192" i="3" s="1"/>
  <c r="AA192" i="3"/>
  <c r="X192" i="3"/>
  <c r="W192" i="3"/>
  <c r="U192" i="3"/>
  <c r="R192" i="3"/>
  <c r="N192" i="3"/>
  <c r="O192" i="3" s="1"/>
  <c r="L192" i="3"/>
  <c r="I192" i="3"/>
  <c r="H192" i="3"/>
  <c r="F192" i="3"/>
  <c r="C192" i="3"/>
  <c r="AC191" i="3"/>
  <c r="AA191" i="3"/>
  <c r="W191" i="3"/>
  <c r="X191" i="3" s="1"/>
  <c r="U191" i="3"/>
  <c r="R191" i="3"/>
  <c r="O191" i="3"/>
  <c r="N191" i="3"/>
  <c r="L191" i="3"/>
  <c r="H191" i="3"/>
  <c r="I191" i="3" s="1"/>
  <c r="F191" i="3"/>
  <c r="C191" i="3"/>
  <c r="AC190" i="3"/>
  <c r="AD190" i="3" s="1"/>
  <c r="AA190" i="3"/>
  <c r="W190" i="3"/>
  <c r="U190" i="3"/>
  <c r="R190" i="3"/>
  <c r="O190" i="3"/>
  <c r="N190" i="3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W188" i="3"/>
  <c r="U188" i="3"/>
  <c r="R188" i="3"/>
  <c r="N188" i="3"/>
  <c r="O188" i="3" s="1"/>
  <c r="L188" i="3"/>
  <c r="H188" i="3"/>
  <c r="I188" i="3" s="1"/>
  <c r="F188" i="3"/>
  <c r="C188" i="3"/>
  <c r="AD187" i="3"/>
  <c r="AC187" i="3"/>
  <c r="AA187" i="3"/>
  <c r="X187" i="3"/>
  <c r="W187" i="3"/>
  <c r="U187" i="3"/>
  <c r="R187" i="3"/>
  <c r="N187" i="3"/>
  <c r="O187" i="3" s="1"/>
  <c r="L187" i="3"/>
  <c r="H187" i="3"/>
  <c r="I187" i="3" s="1"/>
  <c r="F187" i="3"/>
  <c r="C187" i="3"/>
  <c r="AC186" i="3"/>
  <c r="AA186" i="3"/>
  <c r="W186" i="3"/>
  <c r="X186" i="3" s="1"/>
  <c r="U186" i="3"/>
  <c r="R186" i="3"/>
  <c r="O186" i="3"/>
  <c r="N186" i="3"/>
  <c r="L186" i="3"/>
  <c r="I186" i="3"/>
  <c r="H186" i="3"/>
  <c r="F186" i="3"/>
  <c r="C186" i="3"/>
  <c r="AC184" i="3"/>
  <c r="AD184" i="3" s="1"/>
  <c r="AA184" i="3"/>
  <c r="X184" i="3"/>
  <c r="W184" i="3"/>
  <c r="U184" i="3"/>
  <c r="R184" i="3"/>
  <c r="N184" i="3"/>
  <c r="O184" i="3" s="1"/>
  <c r="L184" i="3"/>
  <c r="H184" i="3"/>
  <c r="I184" i="3" s="1"/>
  <c r="F184" i="3"/>
  <c r="C184" i="3"/>
  <c r="AC183" i="3"/>
  <c r="AD183" i="3" s="1"/>
  <c r="AA183" i="3"/>
  <c r="X183" i="3"/>
  <c r="W183" i="3"/>
  <c r="U183" i="3"/>
  <c r="R183" i="3"/>
  <c r="N183" i="3"/>
  <c r="O183" i="3" s="1"/>
  <c r="L183" i="3"/>
  <c r="H183" i="3"/>
  <c r="I183" i="3" s="1"/>
  <c r="F183" i="3"/>
  <c r="C183" i="3"/>
  <c r="AA182" i="3"/>
  <c r="Z182" i="3"/>
  <c r="W182" i="3"/>
  <c r="X182" i="3" s="1"/>
  <c r="T182" i="3"/>
  <c r="U182" i="3" s="1"/>
  <c r="R182" i="3"/>
  <c r="Q182" i="3"/>
  <c r="AC182" i="3" s="1"/>
  <c r="AD182" i="3" s="1"/>
  <c r="N182" i="3"/>
  <c r="O182" i="3" s="1"/>
  <c r="K182" i="3"/>
  <c r="L182" i="3" s="1"/>
  <c r="H182" i="3"/>
  <c r="I182" i="3" s="1"/>
  <c r="F182" i="3"/>
  <c r="E182" i="3"/>
  <c r="C182" i="3"/>
  <c r="B182" i="3"/>
  <c r="AD181" i="3"/>
  <c r="AC181" i="3"/>
  <c r="AA181" i="3"/>
  <c r="X181" i="3"/>
  <c r="W181" i="3"/>
  <c r="U181" i="3"/>
  <c r="R181" i="3"/>
  <c r="N181" i="3"/>
  <c r="O181" i="3" s="1"/>
  <c r="L181" i="3"/>
  <c r="H181" i="3"/>
  <c r="I181" i="3" s="1"/>
  <c r="F181" i="3"/>
  <c r="C181" i="3"/>
  <c r="AC180" i="3"/>
  <c r="AD180" i="3" s="1"/>
  <c r="AA180" i="3"/>
  <c r="X180" i="3"/>
  <c r="W180" i="3"/>
  <c r="U180" i="3"/>
  <c r="R180" i="3"/>
  <c r="N180" i="3"/>
  <c r="O180" i="3" s="1"/>
  <c r="L180" i="3"/>
  <c r="I180" i="3"/>
  <c r="H180" i="3"/>
  <c r="F180" i="3"/>
  <c r="C180" i="3"/>
  <c r="AC179" i="3"/>
  <c r="AA179" i="3"/>
  <c r="W179" i="3"/>
  <c r="X179" i="3" s="1"/>
  <c r="U179" i="3"/>
  <c r="R179" i="3"/>
  <c r="N179" i="3"/>
  <c r="O179" i="3" s="1"/>
  <c r="L179" i="3"/>
  <c r="H179" i="3"/>
  <c r="I179" i="3" s="1"/>
  <c r="F179" i="3"/>
  <c r="C179" i="3"/>
  <c r="AC178" i="3"/>
  <c r="AD178" i="3" s="1"/>
  <c r="AA178" i="3"/>
  <c r="W178" i="3"/>
  <c r="U178" i="3"/>
  <c r="R178" i="3"/>
  <c r="O178" i="3"/>
  <c r="N178" i="3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H177" i="3"/>
  <c r="I177" i="3" s="1"/>
  <c r="F177" i="3"/>
  <c r="C177" i="3"/>
  <c r="AC175" i="3"/>
  <c r="AD175" i="3" s="1"/>
  <c r="AA175" i="3"/>
  <c r="X175" i="3"/>
  <c r="W175" i="3"/>
  <c r="U175" i="3"/>
  <c r="R175" i="3"/>
  <c r="N175" i="3"/>
  <c r="O175" i="3" s="1"/>
  <c r="L175" i="3"/>
  <c r="H175" i="3"/>
  <c r="I175" i="3" s="1"/>
  <c r="F175" i="3"/>
  <c r="C175" i="3"/>
  <c r="Z172" i="3"/>
  <c r="K172" i="3"/>
  <c r="AC171" i="3"/>
  <c r="AD171" i="3" s="1"/>
  <c r="Z171" i="3"/>
  <c r="AA171" i="3" s="1"/>
  <c r="X171" i="3"/>
  <c r="T171" i="3"/>
  <c r="U171" i="3" s="1"/>
  <c r="R171" i="3"/>
  <c r="Q171" i="3"/>
  <c r="W171" i="3" s="1"/>
  <c r="L171" i="3"/>
  <c r="K171" i="3"/>
  <c r="E171" i="3"/>
  <c r="F171" i="3" s="1"/>
  <c r="B171" i="3"/>
  <c r="AA170" i="3"/>
  <c r="Z170" i="3"/>
  <c r="T170" i="3"/>
  <c r="U170" i="3" s="1"/>
  <c r="R170" i="3"/>
  <c r="Q170" i="3"/>
  <c r="AC170" i="3" s="1"/>
  <c r="AD170" i="3" s="1"/>
  <c r="K170" i="3"/>
  <c r="L170" i="3" s="1"/>
  <c r="F170" i="3"/>
  <c r="E170" i="3"/>
  <c r="B170" i="3"/>
  <c r="C170" i="3" s="1"/>
  <c r="AD169" i="3"/>
  <c r="AC169" i="3"/>
  <c r="AA169" i="3"/>
  <c r="W169" i="3"/>
  <c r="X169" i="3" s="1"/>
  <c r="U169" i="3"/>
  <c r="R169" i="3"/>
  <c r="N169" i="3"/>
  <c r="O169" i="3" s="1"/>
  <c r="L169" i="3"/>
  <c r="H169" i="3"/>
  <c r="I169" i="3" s="1"/>
  <c r="F169" i="3"/>
  <c r="C169" i="3"/>
  <c r="AD168" i="3"/>
  <c r="AC168" i="3"/>
  <c r="AA168" i="3"/>
  <c r="X168" i="3"/>
  <c r="W168" i="3"/>
  <c r="U168" i="3"/>
  <c r="R168" i="3"/>
  <c r="N168" i="3"/>
  <c r="O168" i="3" s="1"/>
  <c r="L168" i="3"/>
  <c r="H168" i="3"/>
  <c r="I168" i="3" s="1"/>
  <c r="F168" i="3"/>
  <c r="C168" i="3"/>
  <c r="AD167" i="3"/>
  <c r="AC167" i="3"/>
  <c r="AA167" i="3"/>
  <c r="X167" i="3"/>
  <c r="W167" i="3"/>
  <c r="U167" i="3"/>
  <c r="R167" i="3"/>
  <c r="N167" i="3"/>
  <c r="O167" i="3" s="1"/>
  <c r="L167" i="3"/>
  <c r="H167" i="3"/>
  <c r="I167" i="3" s="1"/>
  <c r="F167" i="3"/>
  <c r="C167" i="3"/>
  <c r="AA166" i="3"/>
  <c r="Z166" i="3"/>
  <c r="T166" i="3"/>
  <c r="U166" i="3" s="1"/>
  <c r="Q166" i="3"/>
  <c r="K166" i="3"/>
  <c r="L166" i="3" s="1"/>
  <c r="E166" i="3"/>
  <c r="C166" i="3"/>
  <c r="B166" i="3"/>
  <c r="N166" i="3" s="1"/>
  <c r="O166" i="3" s="1"/>
  <c r="AD165" i="3"/>
  <c r="AC165" i="3"/>
  <c r="AA165" i="3"/>
  <c r="W165" i="3"/>
  <c r="U165" i="3"/>
  <c r="R165" i="3"/>
  <c r="N165" i="3"/>
  <c r="O165" i="3" s="1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N164" i="3"/>
  <c r="O164" i="3" s="1"/>
  <c r="L164" i="3"/>
  <c r="I164" i="3"/>
  <c r="H164" i="3"/>
  <c r="F164" i="3"/>
  <c r="C164" i="3"/>
  <c r="AC163" i="3"/>
  <c r="AA163" i="3"/>
  <c r="W163" i="3"/>
  <c r="X163" i="3" s="1"/>
  <c r="U163" i="3"/>
  <c r="R163" i="3"/>
  <c r="O163" i="3"/>
  <c r="N163" i="3"/>
  <c r="L163" i="3"/>
  <c r="I163" i="3"/>
  <c r="H163" i="3"/>
  <c r="F163" i="3"/>
  <c r="C163" i="3"/>
  <c r="AD162" i="3"/>
  <c r="AC162" i="3"/>
  <c r="AA162" i="3"/>
  <c r="X162" i="3"/>
  <c r="W162" i="3"/>
  <c r="U162" i="3"/>
  <c r="R162" i="3"/>
  <c r="O162" i="3"/>
  <c r="N162" i="3"/>
  <c r="L162" i="3"/>
  <c r="H162" i="3"/>
  <c r="I162" i="3" s="1"/>
  <c r="F162" i="3"/>
  <c r="C162" i="3"/>
  <c r="AC161" i="3"/>
  <c r="AD161" i="3" s="1"/>
  <c r="AA161" i="3"/>
  <c r="X161" i="3"/>
  <c r="W161" i="3"/>
  <c r="U161" i="3"/>
  <c r="R161" i="3"/>
  <c r="N161" i="3"/>
  <c r="O161" i="3" s="1"/>
  <c r="L161" i="3"/>
  <c r="I161" i="3"/>
  <c r="H161" i="3"/>
  <c r="F161" i="3"/>
  <c r="C161" i="3"/>
  <c r="AC160" i="3"/>
  <c r="AA160" i="3"/>
  <c r="W160" i="3"/>
  <c r="X160" i="3" s="1"/>
  <c r="U160" i="3"/>
  <c r="R160" i="3"/>
  <c r="O160" i="3"/>
  <c r="N160" i="3"/>
  <c r="L160" i="3"/>
  <c r="H160" i="3"/>
  <c r="I160" i="3" s="1"/>
  <c r="F160" i="3"/>
  <c r="C160" i="3"/>
  <c r="AC158" i="3"/>
  <c r="AD158" i="3" s="1"/>
  <c r="AA158" i="3"/>
  <c r="Z158" i="3"/>
  <c r="T158" i="3"/>
  <c r="U158" i="3" s="1"/>
  <c r="Q158" i="3"/>
  <c r="O158" i="3"/>
  <c r="L158" i="3"/>
  <c r="K158" i="3"/>
  <c r="E158" i="3"/>
  <c r="F158" i="3" s="1"/>
  <c r="C158" i="3"/>
  <c r="B158" i="3"/>
  <c r="N158" i="3" s="1"/>
  <c r="AC157" i="3"/>
  <c r="AD157" i="3" s="1"/>
  <c r="AA157" i="3"/>
  <c r="X157" i="3"/>
  <c r="W157" i="3"/>
  <c r="U157" i="3"/>
  <c r="R157" i="3"/>
  <c r="N157" i="3"/>
  <c r="O157" i="3" s="1"/>
  <c r="L157" i="3"/>
  <c r="I157" i="3"/>
  <c r="H157" i="3"/>
  <c r="F157" i="3"/>
  <c r="C157" i="3"/>
  <c r="AC156" i="3"/>
  <c r="AA156" i="3"/>
  <c r="X156" i="3"/>
  <c r="W156" i="3"/>
  <c r="U156" i="3"/>
  <c r="R156" i="3"/>
  <c r="N156" i="3"/>
  <c r="O156" i="3" s="1"/>
  <c r="L156" i="3"/>
  <c r="I156" i="3"/>
  <c r="H156" i="3"/>
  <c r="F156" i="3"/>
  <c r="C156" i="3"/>
  <c r="AC155" i="3"/>
  <c r="AD155" i="3" s="1"/>
  <c r="AA155" i="3"/>
  <c r="W155" i="3"/>
  <c r="U155" i="3"/>
  <c r="R155" i="3"/>
  <c r="O155" i="3"/>
  <c r="N155" i="3"/>
  <c r="L155" i="3"/>
  <c r="I155" i="3"/>
  <c r="H155" i="3"/>
  <c r="F155" i="3"/>
  <c r="C155" i="3"/>
  <c r="AD154" i="3"/>
  <c r="AC154" i="3"/>
  <c r="AA154" i="3"/>
  <c r="W154" i="3"/>
  <c r="X154" i="3" s="1"/>
  <c r="U154" i="3"/>
  <c r="R154" i="3"/>
  <c r="N154" i="3"/>
  <c r="O154" i="3" s="1"/>
  <c r="L154" i="3"/>
  <c r="H154" i="3"/>
  <c r="I154" i="3" s="1"/>
  <c r="F154" i="3"/>
  <c r="C154" i="3"/>
  <c r="AC153" i="3"/>
  <c r="AD153" i="3" s="1"/>
  <c r="AA153" i="3"/>
  <c r="X153" i="3"/>
  <c r="W153" i="3"/>
  <c r="U153" i="3"/>
  <c r="R153" i="3"/>
  <c r="N153" i="3"/>
  <c r="O153" i="3" s="1"/>
  <c r="L153" i="3"/>
  <c r="H153" i="3"/>
  <c r="I153" i="3" s="1"/>
  <c r="F153" i="3"/>
  <c r="C153" i="3"/>
  <c r="AD151" i="3"/>
  <c r="AC151" i="3"/>
  <c r="AA151" i="3"/>
  <c r="W151" i="3"/>
  <c r="X151" i="3" s="1"/>
  <c r="U151" i="3"/>
  <c r="R151" i="3"/>
  <c r="N151" i="3"/>
  <c r="O151" i="3" s="1"/>
  <c r="L151" i="3"/>
  <c r="I151" i="3"/>
  <c r="H151" i="3"/>
  <c r="F151" i="3"/>
  <c r="C151" i="3"/>
  <c r="AC149" i="3"/>
  <c r="AD149" i="3" s="1"/>
  <c r="AA149" i="3"/>
  <c r="Z149" i="3"/>
  <c r="W149" i="3"/>
  <c r="X149" i="3" s="1"/>
  <c r="T149" i="3"/>
  <c r="U149" i="3" s="1"/>
  <c r="Q149" i="3"/>
  <c r="R149" i="3" s="1"/>
  <c r="K149" i="3"/>
  <c r="L149" i="3" s="1"/>
  <c r="H149" i="3"/>
  <c r="I149" i="3" s="1"/>
  <c r="E149" i="3"/>
  <c r="F149" i="3" s="1"/>
  <c r="C149" i="3"/>
  <c r="B149" i="3"/>
  <c r="AA148" i="3"/>
  <c r="Z148" i="3"/>
  <c r="W148" i="3"/>
  <c r="X148" i="3" s="1"/>
  <c r="U148" i="3"/>
  <c r="T148" i="3"/>
  <c r="R148" i="3"/>
  <c r="Q148" i="3"/>
  <c r="AC148" i="3" s="1"/>
  <c r="AD148" i="3" s="1"/>
  <c r="K148" i="3"/>
  <c r="L148" i="3" s="1"/>
  <c r="I148" i="3"/>
  <c r="E148" i="3"/>
  <c r="F148" i="3" s="1"/>
  <c r="C148" i="3"/>
  <c r="B148" i="3"/>
  <c r="H148" i="3" s="1"/>
  <c r="AC147" i="3"/>
  <c r="AD147" i="3" s="1"/>
  <c r="AA147" i="3"/>
  <c r="W147" i="3"/>
  <c r="U147" i="3"/>
  <c r="R147" i="3"/>
  <c r="O147" i="3"/>
  <c r="N147" i="3"/>
  <c r="L147" i="3"/>
  <c r="I147" i="3"/>
  <c r="H147" i="3"/>
  <c r="F147" i="3"/>
  <c r="C147" i="3"/>
  <c r="AC146" i="3"/>
  <c r="AD146" i="3" s="1"/>
  <c r="AA146" i="3"/>
  <c r="X146" i="3"/>
  <c r="W146" i="3"/>
  <c r="U146" i="3"/>
  <c r="R146" i="3"/>
  <c r="O146" i="3"/>
  <c r="N146" i="3"/>
  <c r="L146" i="3"/>
  <c r="H146" i="3"/>
  <c r="I146" i="3" s="1"/>
  <c r="F146" i="3"/>
  <c r="C146" i="3"/>
  <c r="AD145" i="3"/>
  <c r="AC145" i="3"/>
  <c r="AA145" i="3"/>
  <c r="W145" i="3"/>
  <c r="U145" i="3"/>
  <c r="R145" i="3"/>
  <c r="N145" i="3"/>
  <c r="O145" i="3" s="1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N144" i="3"/>
  <c r="O144" i="3" s="1"/>
  <c r="L144" i="3"/>
  <c r="H144" i="3"/>
  <c r="I144" i="3" s="1"/>
  <c r="F144" i="3"/>
  <c r="C144" i="3"/>
  <c r="AC143" i="3"/>
  <c r="AA143" i="3"/>
  <c r="W143" i="3"/>
  <c r="X143" i="3" s="1"/>
  <c r="U143" i="3"/>
  <c r="R143" i="3"/>
  <c r="O143" i="3"/>
  <c r="N143" i="3"/>
  <c r="L143" i="3"/>
  <c r="I143" i="3"/>
  <c r="H143" i="3"/>
  <c r="F143" i="3"/>
  <c r="C143" i="3"/>
  <c r="AC141" i="3"/>
  <c r="AD141" i="3" s="1"/>
  <c r="Z141" i="3"/>
  <c r="AA141" i="3" s="1"/>
  <c r="X141" i="3"/>
  <c r="T141" i="3"/>
  <c r="U141" i="3" s="1"/>
  <c r="R141" i="3"/>
  <c r="Q141" i="3"/>
  <c r="W141" i="3" s="1"/>
  <c r="N141" i="3"/>
  <c r="O141" i="3" s="1"/>
  <c r="L141" i="3"/>
  <c r="K141" i="3"/>
  <c r="E141" i="3"/>
  <c r="F141" i="3" s="1"/>
  <c r="B141" i="3"/>
  <c r="AD140" i="3"/>
  <c r="AC140" i="3"/>
  <c r="AA140" i="3"/>
  <c r="X140" i="3"/>
  <c r="W140" i="3"/>
  <c r="U140" i="3"/>
  <c r="R140" i="3"/>
  <c r="O140" i="3"/>
  <c r="N140" i="3"/>
  <c r="L140" i="3"/>
  <c r="H140" i="3"/>
  <c r="I140" i="3" s="1"/>
  <c r="F140" i="3"/>
  <c r="C140" i="3"/>
  <c r="AC139" i="3"/>
  <c r="AD139" i="3" s="1"/>
  <c r="AA139" i="3"/>
  <c r="W139" i="3"/>
  <c r="X139" i="3" s="1"/>
  <c r="U139" i="3"/>
  <c r="R139" i="3"/>
  <c r="O139" i="3"/>
  <c r="N139" i="3"/>
  <c r="L139" i="3"/>
  <c r="I139" i="3"/>
  <c r="H139" i="3"/>
  <c r="F139" i="3"/>
  <c r="C139" i="3"/>
  <c r="AC138" i="3"/>
  <c r="AD138" i="3" s="1"/>
  <c r="AA138" i="3"/>
  <c r="W138" i="3"/>
  <c r="X138" i="3" s="1"/>
  <c r="U138" i="3"/>
  <c r="R138" i="3"/>
  <c r="O138" i="3"/>
  <c r="N138" i="3"/>
  <c r="L138" i="3"/>
  <c r="H138" i="3"/>
  <c r="I138" i="3" s="1"/>
  <c r="F138" i="3"/>
  <c r="C138" i="3"/>
  <c r="AD137" i="3"/>
  <c r="AC137" i="3"/>
  <c r="AA137" i="3"/>
  <c r="W137" i="3"/>
  <c r="U137" i="3"/>
  <c r="R137" i="3"/>
  <c r="N137" i="3"/>
  <c r="O137" i="3" s="1"/>
  <c r="L137" i="3"/>
  <c r="I137" i="3"/>
  <c r="H137" i="3"/>
  <c r="F137" i="3"/>
  <c r="C137" i="3"/>
  <c r="AC136" i="3"/>
  <c r="AA136" i="3"/>
  <c r="W136" i="3"/>
  <c r="X136" i="3" s="1"/>
  <c r="U136" i="3"/>
  <c r="R136" i="3"/>
  <c r="O136" i="3"/>
  <c r="N136" i="3"/>
  <c r="L136" i="3"/>
  <c r="H136" i="3"/>
  <c r="I136" i="3" s="1"/>
  <c r="F136" i="3"/>
  <c r="C136" i="3"/>
  <c r="AC135" i="3"/>
  <c r="AA135" i="3"/>
  <c r="W135" i="3"/>
  <c r="U135" i="3"/>
  <c r="R135" i="3"/>
  <c r="O135" i="3"/>
  <c r="N135" i="3"/>
  <c r="L135" i="3"/>
  <c r="I135" i="3"/>
  <c r="H135" i="3"/>
  <c r="F135" i="3"/>
  <c r="C135" i="3"/>
  <c r="AC134" i="3"/>
  <c r="AD134" i="3" s="1"/>
  <c r="AA134" i="3"/>
  <c r="X134" i="3"/>
  <c r="W134" i="3"/>
  <c r="U134" i="3"/>
  <c r="R134" i="3"/>
  <c r="N134" i="3"/>
  <c r="O134" i="3" s="1"/>
  <c r="L134" i="3"/>
  <c r="H134" i="3"/>
  <c r="I134" i="3" s="1"/>
  <c r="F134" i="3"/>
  <c r="C134" i="3"/>
  <c r="AD133" i="3"/>
  <c r="AC133" i="3"/>
  <c r="AA133" i="3"/>
  <c r="X133" i="3"/>
  <c r="W133" i="3"/>
  <c r="U133" i="3"/>
  <c r="R133" i="3"/>
  <c r="N133" i="3"/>
  <c r="O133" i="3" s="1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O132" i="3"/>
  <c r="N132" i="3"/>
  <c r="L132" i="3"/>
  <c r="H132" i="3"/>
  <c r="I132" i="3" s="1"/>
  <c r="F132" i="3"/>
  <c r="C132" i="3"/>
  <c r="AC131" i="3"/>
  <c r="AD131" i="3" s="1"/>
  <c r="AA131" i="3"/>
  <c r="W131" i="3"/>
  <c r="X131" i="3" s="1"/>
  <c r="U131" i="3"/>
  <c r="R131" i="3"/>
  <c r="O131" i="3"/>
  <c r="N131" i="3"/>
  <c r="L131" i="3"/>
  <c r="I131" i="3"/>
  <c r="H131" i="3"/>
  <c r="F131" i="3"/>
  <c r="C131" i="3"/>
  <c r="AC130" i="3"/>
  <c r="AD130" i="3" s="1"/>
  <c r="AA130" i="3"/>
  <c r="W130" i="3"/>
  <c r="X130" i="3" s="1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W129" i="3"/>
  <c r="U129" i="3"/>
  <c r="R129" i="3"/>
  <c r="N129" i="3"/>
  <c r="O129" i="3" s="1"/>
  <c r="L129" i="3"/>
  <c r="I129" i="3"/>
  <c r="H129" i="3"/>
  <c r="F129" i="3"/>
  <c r="C129" i="3"/>
  <c r="AC127" i="3"/>
  <c r="AA127" i="3"/>
  <c r="W127" i="3"/>
  <c r="X127" i="3" s="1"/>
  <c r="U127" i="3"/>
  <c r="R127" i="3"/>
  <c r="O127" i="3"/>
  <c r="N127" i="3"/>
  <c r="L127" i="3"/>
  <c r="H127" i="3"/>
  <c r="I127" i="3" s="1"/>
  <c r="F127" i="3"/>
  <c r="C127" i="3"/>
  <c r="AA124" i="3"/>
  <c r="Z124" i="3"/>
  <c r="T124" i="3"/>
  <c r="U124" i="3" s="1"/>
  <c r="Q124" i="3"/>
  <c r="L124" i="3"/>
  <c r="K124" i="3"/>
  <c r="H124" i="3"/>
  <c r="I124" i="3" s="1"/>
  <c r="E124" i="3"/>
  <c r="C124" i="3"/>
  <c r="B124" i="3"/>
  <c r="N124" i="3" s="1"/>
  <c r="O124" i="3" s="1"/>
  <c r="AC123" i="3"/>
  <c r="AD123" i="3" s="1"/>
  <c r="AA123" i="3"/>
  <c r="W123" i="3"/>
  <c r="U123" i="3"/>
  <c r="R123" i="3"/>
  <c r="N123" i="3"/>
  <c r="O123" i="3" s="1"/>
  <c r="L123" i="3"/>
  <c r="I123" i="3"/>
  <c r="H123" i="3"/>
  <c r="F123" i="3"/>
  <c r="C123" i="3"/>
  <c r="AD122" i="3"/>
  <c r="AA122" i="3"/>
  <c r="Z122" i="3"/>
  <c r="W122" i="3"/>
  <c r="X122" i="3" s="1"/>
  <c r="T122" i="3"/>
  <c r="U122" i="3" s="1"/>
  <c r="R122" i="3"/>
  <c r="Q122" i="3"/>
  <c r="AC122" i="3" s="1"/>
  <c r="N122" i="3"/>
  <c r="O122" i="3" s="1"/>
  <c r="L122" i="3"/>
  <c r="K122" i="3"/>
  <c r="F122" i="3"/>
  <c r="E122" i="3"/>
  <c r="C122" i="3"/>
  <c r="B122" i="3"/>
  <c r="H122" i="3" s="1"/>
  <c r="I122" i="3" s="1"/>
  <c r="AD121" i="3"/>
  <c r="AC121" i="3"/>
  <c r="AA121" i="3"/>
  <c r="X121" i="3"/>
  <c r="W121" i="3"/>
  <c r="U121" i="3"/>
  <c r="R121" i="3"/>
  <c r="N121" i="3"/>
  <c r="O121" i="3" s="1"/>
  <c r="L121" i="3"/>
  <c r="H121" i="3"/>
  <c r="I121" i="3" s="1"/>
  <c r="F121" i="3"/>
  <c r="C121" i="3"/>
  <c r="AC120" i="3"/>
  <c r="AD120" i="3" s="1"/>
  <c r="AA120" i="3"/>
  <c r="X120" i="3"/>
  <c r="W120" i="3"/>
  <c r="U120" i="3"/>
  <c r="R120" i="3"/>
  <c r="N120" i="3"/>
  <c r="O120" i="3" s="1"/>
  <c r="L120" i="3"/>
  <c r="H120" i="3"/>
  <c r="I120" i="3" s="1"/>
  <c r="F120" i="3"/>
  <c r="C120" i="3"/>
  <c r="AC119" i="3"/>
  <c r="AA119" i="3"/>
  <c r="W119" i="3"/>
  <c r="X119" i="3" s="1"/>
  <c r="U119" i="3"/>
  <c r="R119" i="3"/>
  <c r="O119" i="3"/>
  <c r="N119" i="3"/>
  <c r="L119" i="3"/>
  <c r="H119" i="3"/>
  <c r="I119" i="3" s="1"/>
  <c r="F119" i="3"/>
  <c r="C119" i="3"/>
  <c r="AA118" i="3"/>
  <c r="Z118" i="3"/>
  <c r="T118" i="3"/>
  <c r="U118" i="3" s="1"/>
  <c r="Q118" i="3"/>
  <c r="L118" i="3"/>
  <c r="K118" i="3"/>
  <c r="E118" i="3"/>
  <c r="F118" i="3" s="1"/>
  <c r="C118" i="3"/>
  <c r="B118" i="3"/>
  <c r="N118" i="3" s="1"/>
  <c r="O118" i="3" s="1"/>
  <c r="AD117" i="3"/>
  <c r="AC117" i="3"/>
  <c r="AA117" i="3"/>
  <c r="X117" i="3"/>
  <c r="W117" i="3"/>
  <c r="U117" i="3"/>
  <c r="R117" i="3"/>
  <c r="N117" i="3"/>
  <c r="O117" i="3" s="1"/>
  <c r="L117" i="3"/>
  <c r="I117" i="3"/>
  <c r="H117" i="3"/>
  <c r="F117" i="3"/>
  <c r="C117" i="3"/>
  <c r="AC116" i="3"/>
  <c r="AA116" i="3"/>
  <c r="X116" i="3"/>
  <c r="W116" i="3"/>
  <c r="U116" i="3"/>
  <c r="R116" i="3"/>
  <c r="N116" i="3"/>
  <c r="O116" i="3" s="1"/>
  <c r="L116" i="3"/>
  <c r="I116" i="3"/>
  <c r="H116" i="3"/>
  <c r="F116" i="3"/>
  <c r="C116" i="3"/>
  <c r="AC115" i="3"/>
  <c r="AD115" i="3" s="1"/>
  <c r="AA115" i="3"/>
  <c r="W115" i="3"/>
  <c r="U115" i="3"/>
  <c r="R115" i="3"/>
  <c r="O115" i="3"/>
  <c r="N115" i="3"/>
  <c r="L115" i="3"/>
  <c r="I115" i="3"/>
  <c r="H115" i="3"/>
  <c r="F115" i="3"/>
  <c r="C115" i="3"/>
  <c r="AD114" i="3"/>
  <c r="AC114" i="3"/>
  <c r="AA114" i="3"/>
  <c r="W114" i="3"/>
  <c r="X114" i="3" s="1"/>
  <c r="U114" i="3"/>
  <c r="R114" i="3"/>
  <c r="N114" i="3"/>
  <c r="O114" i="3" s="1"/>
  <c r="L114" i="3"/>
  <c r="H114" i="3"/>
  <c r="I114" i="3" s="1"/>
  <c r="F114" i="3"/>
  <c r="C114" i="3"/>
  <c r="AC113" i="3"/>
  <c r="AD113" i="3" s="1"/>
  <c r="AA113" i="3"/>
  <c r="X113" i="3"/>
  <c r="W113" i="3"/>
  <c r="U113" i="3"/>
  <c r="R113" i="3"/>
  <c r="N113" i="3"/>
  <c r="O113" i="3" s="1"/>
  <c r="L113" i="3"/>
  <c r="H113" i="3"/>
  <c r="I113" i="3" s="1"/>
  <c r="F113" i="3"/>
  <c r="C113" i="3"/>
  <c r="AD112" i="3"/>
  <c r="AC112" i="3"/>
  <c r="AA112" i="3"/>
  <c r="W112" i="3"/>
  <c r="X112" i="3" s="1"/>
  <c r="U112" i="3"/>
  <c r="R112" i="3"/>
  <c r="O112" i="3"/>
  <c r="N112" i="3"/>
  <c r="L112" i="3"/>
  <c r="I112" i="3"/>
  <c r="H112" i="3"/>
  <c r="F112" i="3"/>
  <c r="C112" i="3"/>
  <c r="AC111" i="3"/>
  <c r="AD111" i="3" s="1"/>
  <c r="AA111" i="3"/>
  <c r="W111" i="3"/>
  <c r="X111" i="3" s="1"/>
  <c r="U111" i="3"/>
  <c r="R111" i="3"/>
  <c r="O111" i="3"/>
  <c r="N111" i="3"/>
  <c r="L111" i="3"/>
  <c r="I111" i="3"/>
  <c r="H111" i="3"/>
  <c r="F111" i="3"/>
  <c r="C111" i="3"/>
  <c r="AD110" i="3"/>
  <c r="AC110" i="3"/>
  <c r="AA110" i="3"/>
  <c r="X110" i="3"/>
  <c r="W110" i="3"/>
  <c r="U110" i="3"/>
  <c r="R110" i="3"/>
  <c r="N110" i="3"/>
  <c r="O110" i="3" s="1"/>
  <c r="L110" i="3"/>
  <c r="H110" i="3"/>
  <c r="I110" i="3" s="1"/>
  <c r="F110" i="3"/>
  <c r="C110" i="3"/>
  <c r="AD109" i="3"/>
  <c r="AC109" i="3"/>
  <c r="AA109" i="3"/>
  <c r="X109" i="3"/>
  <c r="W109" i="3"/>
  <c r="U109" i="3"/>
  <c r="R109" i="3"/>
  <c r="N109" i="3"/>
  <c r="O109" i="3" s="1"/>
  <c r="L109" i="3"/>
  <c r="I109" i="3"/>
  <c r="H109" i="3"/>
  <c r="F109" i="3"/>
  <c r="C109" i="3"/>
  <c r="AC108" i="3"/>
  <c r="AA108" i="3"/>
  <c r="X108" i="3"/>
  <c r="W108" i="3"/>
  <c r="U108" i="3"/>
  <c r="R108" i="3"/>
  <c r="N108" i="3"/>
  <c r="O108" i="3" s="1"/>
  <c r="L108" i="3"/>
  <c r="I108" i="3"/>
  <c r="H108" i="3"/>
  <c r="F108" i="3"/>
  <c r="C108" i="3"/>
  <c r="AC107" i="3"/>
  <c r="AD107" i="3" s="1"/>
  <c r="AA107" i="3"/>
  <c r="W107" i="3"/>
  <c r="U107" i="3"/>
  <c r="R107" i="3"/>
  <c r="O107" i="3"/>
  <c r="N107" i="3"/>
  <c r="L107" i="3"/>
  <c r="I107" i="3"/>
  <c r="H107" i="3"/>
  <c r="F107" i="3"/>
  <c r="C107" i="3"/>
  <c r="AD106" i="3"/>
  <c r="AC106" i="3"/>
  <c r="AA106" i="3"/>
  <c r="W106" i="3"/>
  <c r="X106" i="3" s="1"/>
  <c r="U106" i="3"/>
  <c r="R106" i="3"/>
  <c r="N106" i="3"/>
  <c r="O106" i="3" s="1"/>
  <c r="L106" i="3"/>
  <c r="H106" i="3"/>
  <c r="I106" i="3" s="1"/>
  <c r="F106" i="3"/>
  <c r="C106" i="3"/>
  <c r="AC105" i="3"/>
  <c r="AD105" i="3" s="1"/>
  <c r="AA105" i="3"/>
  <c r="X105" i="3"/>
  <c r="W105" i="3"/>
  <c r="U105" i="3"/>
  <c r="R105" i="3"/>
  <c r="N105" i="3"/>
  <c r="O105" i="3" s="1"/>
  <c r="L105" i="3"/>
  <c r="H105" i="3"/>
  <c r="I105" i="3" s="1"/>
  <c r="F105" i="3"/>
  <c r="C105" i="3"/>
  <c r="AD104" i="3"/>
  <c r="AC104" i="3"/>
  <c r="AA104" i="3"/>
  <c r="W104" i="3"/>
  <c r="X104" i="3" s="1"/>
  <c r="U104" i="3"/>
  <c r="R104" i="3"/>
  <c r="N104" i="3"/>
  <c r="O104" i="3" s="1"/>
  <c r="L104" i="3"/>
  <c r="I104" i="3"/>
  <c r="H104" i="3"/>
  <c r="F104" i="3"/>
  <c r="C104" i="3"/>
  <c r="AC103" i="3"/>
  <c r="AD103" i="3" s="1"/>
  <c r="AA103" i="3"/>
  <c r="W103" i="3"/>
  <c r="X103" i="3" s="1"/>
  <c r="U103" i="3"/>
  <c r="R103" i="3"/>
  <c r="O103" i="3"/>
  <c r="N103" i="3"/>
  <c r="L103" i="3"/>
  <c r="I103" i="3"/>
  <c r="H103" i="3"/>
  <c r="F103" i="3"/>
  <c r="C103" i="3"/>
  <c r="AD102" i="3"/>
  <c r="AC102" i="3"/>
  <c r="AA102" i="3"/>
  <c r="X102" i="3"/>
  <c r="W102" i="3"/>
  <c r="U102" i="3"/>
  <c r="R102" i="3"/>
  <c r="N102" i="3"/>
  <c r="O102" i="3" s="1"/>
  <c r="L102" i="3"/>
  <c r="H102" i="3"/>
  <c r="I102" i="3" s="1"/>
  <c r="F102" i="3"/>
  <c r="C102" i="3"/>
  <c r="AD101" i="3"/>
  <c r="AC101" i="3"/>
  <c r="AA101" i="3"/>
  <c r="X101" i="3"/>
  <c r="W101" i="3"/>
  <c r="U101" i="3"/>
  <c r="R101" i="3"/>
  <c r="N101" i="3"/>
  <c r="O101" i="3" s="1"/>
  <c r="L101" i="3"/>
  <c r="I101" i="3"/>
  <c r="H101" i="3"/>
  <c r="F101" i="3"/>
  <c r="C101" i="3"/>
  <c r="AC100" i="3"/>
  <c r="AA100" i="3"/>
  <c r="X100" i="3"/>
  <c r="W100" i="3"/>
  <c r="U100" i="3"/>
  <c r="R100" i="3"/>
  <c r="N100" i="3"/>
  <c r="O100" i="3" s="1"/>
  <c r="L100" i="3"/>
  <c r="I100" i="3"/>
  <c r="H100" i="3"/>
  <c r="F100" i="3"/>
  <c r="C100" i="3"/>
  <c r="AC99" i="3"/>
  <c r="AD99" i="3" s="1"/>
  <c r="AA99" i="3"/>
  <c r="W99" i="3"/>
  <c r="U99" i="3"/>
  <c r="R99" i="3"/>
  <c r="O99" i="3"/>
  <c r="N99" i="3"/>
  <c r="L99" i="3"/>
  <c r="I99" i="3"/>
  <c r="H99" i="3"/>
  <c r="F99" i="3"/>
  <c r="C99" i="3"/>
  <c r="AD98" i="3"/>
  <c r="AC98" i="3"/>
  <c r="AA98" i="3"/>
  <c r="W98" i="3"/>
  <c r="X98" i="3" s="1"/>
  <c r="U98" i="3"/>
  <c r="R98" i="3"/>
  <c r="N98" i="3"/>
  <c r="O98" i="3" s="1"/>
  <c r="L98" i="3"/>
  <c r="H98" i="3"/>
  <c r="I98" i="3" s="1"/>
  <c r="F98" i="3"/>
  <c r="C98" i="3"/>
  <c r="AC97" i="3"/>
  <c r="AD97" i="3" s="1"/>
  <c r="AA97" i="3"/>
  <c r="X97" i="3"/>
  <c r="W97" i="3"/>
  <c r="U97" i="3"/>
  <c r="R97" i="3"/>
  <c r="N97" i="3"/>
  <c r="O97" i="3" s="1"/>
  <c r="L97" i="3"/>
  <c r="H97" i="3"/>
  <c r="I97" i="3" s="1"/>
  <c r="F97" i="3"/>
  <c r="C97" i="3"/>
  <c r="AD96" i="3"/>
  <c r="AC96" i="3"/>
  <c r="AA96" i="3"/>
  <c r="W96" i="3"/>
  <c r="X96" i="3" s="1"/>
  <c r="U96" i="3"/>
  <c r="R96" i="3"/>
  <c r="N96" i="3"/>
  <c r="O96" i="3" s="1"/>
  <c r="L96" i="3"/>
  <c r="I96" i="3"/>
  <c r="H96" i="3"/>
  <c r="F96" i="3"/>
  <c r="C96" i="3"/>
  <c r="AC95" i="3"/>
  <c r="AD95" i="3" s="1"/>
  <c r="AA95" i="3"/>
  <c r="W95" i="3"/>
  <c r="X95" i="3" s="1"/>
  <c r="U95" i="3"/>
  <c r="R95" i="3"/>
  <c r="O95" i="3"/>
  <c r="N95" i="3"/>
  <c r="L95" i="3"/>
  <c r="I95" i="3"/>
  <c r="H95" i="3"/>
  <c r="F95" i="3"/>
  <c r="C95" i="3"/>
  <c r="AD94" i="3"/>
  <c r="AC94" i="3"/>
  <c r="AA94" i="3"/>
  <c r="X94" i="3"/>
  <c r="W94" i="3"/>
  <c r="U94" i="3"/>
  <c r="R94" i="3"/>
  <c r="N94" i="3"/>
  <c r="O94" i="3" s="1"/>
  <c r="L94" i="3"/>
  <c r="H94" i="3"/>
  <c r="I94" i="3" s="1"/>
  <c r="F94" i="3"/>
  <c r="C94" i="3"/>
  <c r="AC92" i="3"/>
  <c r="AD92" i="3" s="1"/>
  <c r="AA92" i="3"/>
  <c r="X92" i="3"/>
  <c r="W92" i="3"/>
  <c r="U92" i="3"/>
  <c r="R92" i="3"/>
  <c r="N92" i="3"/>
  <c r="O92" i="3" s="1"/>
  <c r="L92" i="3"/>
  <c r="I92" i="3"/>
  <c r="H92" i="3"/>
  <c r="F92" i="3"/>
  <c r="C92" i="3"/>
  <c r="AC91" i="3"/>
  <c r="AA91" i="3"/>
  <c r="X91" i="3"/>
  <c r="W91" i="3"/>
  <c r="U91" i="3"/>
  <c r="R91" i="3"/>
  <c r="N91" i="3"/>
  <c r="O91" i="3" s="1"/>
  <c r="L91" i="3"/>
  <c r="I91" i="3"/>
  <c r="H91" i="3"/>
  <c r="F91" i="3"/>
  <c r="C91" i="3"/>
  <c r="AC90" i="3"/>
  <c r="AD90" i="3" s="1"/>
  <c r="AA90" i="3"/>
  <c r="W90" i="3"/>
  <c r="U90" i="3"/>
  <c r="R90" i="3"/>
  <c r="O90" i="3"/>
  <c r="N90" i="3"/>
  <c r="L90" i="3"/>
  <c r="I90" i="3"/>
  <c r="H90" i="3"/>
  <c r="F90" i="3"/>
  <c r="C90" i="3"/>
  <c r="AD89" i="3"/>
  <c r="AC89" i="3"/>
  <c r="AA89" i="3"/>
  <c r="W89" i="3"/>
  <c r="X89" i="3" s="1"/>
  <c r="U89" i="3"/>
  <c r="R89" i="3"/>
  <c r="O89" i="3"/>
  <c r="N89" i="3"/>
  <c r="L89" i="3"/>
  <c r="H89" i="3"/>
  <c r="I89" i="3" s="1"/>
  <c r="F89" i="3"/>
  <c r="C89" i="3"/>
  <c r="Z88" i="3"/>
  <c r="AC88" i="3" s="1"/>
  <c r="AD88" i="3" s="1"/>
  <c r="W88" i="3"/>
  <c r="X88" i="3" s="1"/>
  <c r="U88" i="3"/>
  <c r="T88" i="3"/>
  <c r="R88" i="3"/>
  <c r="Q88" i="3"/>
  <c r="K88" i="3"/>
  <c r="F88" i="3"/>
  <c r="E88" i="3"/>
  <c r="C88" i="3"/>
  <c r="B88" i="3"/>
  <c r="AC87" i="3"/>
  <c r="AA87" i="3"/>
  <c r="W87" i="3"/>
  <c r="X87" i="3" s="1"/>
  <c r="U87" i="3"/>
  <c r="R87" i="3"/>
  <c r="O87" i="3"/>
  <c r="N87" i="3"/>
  <c r="L87" i="3"/>
  <c r="I87" i="3"/>
  <c r="H87" i="3"/>
  <c r="F87" i="3"/>
  <c r="C87" i="3"/>
  <c r="AD86" i="3"/>
  <c r="AC86" i="3"/>
  <c r="AA86" i="3"/>
  <c r="W86" i="3"/>
  <c r="X86" i="3" s="1"/>
  <c r="U86" i="3"/>
  <c r="R86" i="3"/>
  <c r="N86" i="3"/>
  <c r="O86" i="3" s="1"/>
  <c r="L86" i="3"/>
  <c r="H86" i="3"/>
  <c r="I86" i="3" s="1"/>
  <c r="F86" i="3"/>
  <c r="C86" i="3"/>
  <c r="AD85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D84" i="3"/>
  <c r="AC84" i="3"/>
  <c r="AA84" i="3"/>
  <c r="X84" i="3"/>
  <c r="W84" i="3"/>
  <c r="U84" i="3"/>
  <c r="R84" i="3"/>
  <c r="N84" i="3"/>
  <c r="O84" i="3" s="1"/>
  <c r="L84" i="3"/>
  <c r="H84" i="3"/>
  <c r="I84" i="3" s="1"/>
  <c r="F84" i="3"/>
  <c r="C84" i="3"/>
  <c r="AC83" i="3"/>
  <c r="AD83" i="3" s="1"/>
  <c r="AA83" i="3"/>
  <c r="W83" i="3"/>
  <c r="X83" i="3" s="1"/>
  <c r="U83" i="3"/>
  <c r="R83" i="3"/>
  <c r="O83" i="3"/>
  <c r="N83" i="3"/>
  <c r="L83" i="3"/>
  <c r="I83" i="3"/>
  <c r="H83" i="3"/>
  <c r="F83" i="3"/>
  <c r="C83" i="3"/>
  <c r="AC82" i="3"/>
  <c r="AD82" i="3" s="1"/>
  <c r="AA82" i="3"/>
  <c r="X82" i="3"/>
  <c r="W82" i="3"/>
  <c r="U82" i="3"/>
  <c r="R82" i="3"/>
  <c r="N82" i="3"/>
  <c r="O82" i="3" s="1"/>
  <c r="L82" i="3"/>
  <c r="H82" i="3"/>
  <c r="I82" i="3" s="1"/>
  <c r="F82" i="3"/>
  <c r="C82" i="3"/>
  <c r="AC81" i="3"/>
  <c r="AD81" i="3" s="1"/>
  <c r="AA81" i="3"/>
  <c r="W81" i="3"/>
  <c r="U81" i="3"/>
  <c r="R81" i="3"/>
  <c r="N81" i="3"/>
  <c r="O81" i="3" s="1"/>
  <c r="L81" i="3"/>
  <c r="I81" i="3"/>
  <c r="H81" i="3"/>
  <c r="F81" i="3"/>
  <c r="C81" i="3"/>
  <c r="AD80" i="3"/>
  <c r="AC80" i="3"/>
  <c r="AA80" i="3"/>
  <c r="W80" i="3"/>
  <c r="X80" i="3" s="1"/>
  <c r="U80" i="3"/>
  <c r="R80" i="3"/>
  <c r="N80" i="3"/>
  <c r="O80" i="3" s="1"/>
  <c r="L80" i="3"/>
  <c r="I80" i="3"/>
  <c r="H80" i="3"/>
  <c r="F80" i="3"/>
  <c r="C80" i="3"/>
  <c r="AC79" i="3"/>
  <c r="AA79" i="3"/>
  <c r="W79" i="3"/>
  <c r="X79" i="3" s="1"/>
  <c r="U79" i="3"/>
  <c r="R79" i="3"/>
  <c r="O79" i="3"/>
  <c r="N79" i="3"/>
  <c r="L79" i="3"/>
  <c r="I79" i="3"/>
  <c r="H79" i="3"/>
  <c r="F79" i="3"/>
  <c r="C79" i="3"/>
  <c r="AD78" i="3"/>
  <c r="AC78" i="3"/>
  <c r="AA78" i="3"/>
  <c r="W78" i="3"/>
  <c r="X78" i="3" s="1"/>
  <c r="U78" i="3"/>
  <c r="R78" i="3"/>
  <c r="O78" i="3"/>
  <c r="N78" i="3"/>
  <c r="L78" i="3"/>
  <c r="H78" i="3"/>
  <c r="I78" i="3" s="1"/>
  <c r="F78" i="3"/>
  <c r="C78" i="3"/>
  <c r="AD77" i="3"/>
  <c r="AC77" i="3"/>
  <c r="AA77" i="3"/>
  <c r="X77" i="3"/>
  <c r="W77" i="3"/>
  <c r="U77" i="3"/>
  <c r="R77" i="3"/>
  <c r="N77" i="3"/>
  <c r="O77" i="3" s="1"/>
  <c r="L77" i="3"/>
  <c r="H77" i="3"/>
  <c r="I77" i="3" s="1"/>
  <c r="F77" i="3"/>
  <c r="C77" i="3"/>
  <c r="AD76" i="3"/>
  <c r="AC76" i="3"/>
  <c r="AA76" i="3"/>
  <c r="X76" i="3"/>
  <c r="W76" i="3"/>
  <c r="U76" i="3"/>
  <c r="R76" i="3"/>
  <c r="N76" i="3"/>
  <c r="O76" i="3" s="1"/>
  <c r="L76" i="3"/>
  <c r="H76" i="3"/>
  <c r="I76" i="3" s="1"/>
  <c r="F76" i="3"/>
  <c r="C76" i="3"/>
  <c r="AC75" i="3"/>
  <c r="AD75" i="3" s="1"/>
  <c r="AA75" i="3"/>
  <c r="W75" i="3"/>
  <c r="X75" i="3" s="1"/>
  <c r="U75" i="3"/>
  <c r="R75" i="3"/>
  <c r="O75" i="3"/>
  <c r="N75" i="3"/>
  <c r="L75" i="3"/>
  <c r="I75" i="3"/>
  <c r="H75" i="3"/>
  <c r="F75" i="3"/>
  <c r="C75" i="3"/>
  <c r="AC73" i="3"/>
  <c r="AD73" i="3" s="1"/>
  <c r="Z73" i="3"/>
  <c r="AA73" i="3" s="1"/>
  <c r="U73" i="3"/>
  <c r="T73" i="3"/>
  <c r="R73" i="3"/>
  <c r="Q73" i="3"/>
  <c r="N73" i="3"/>
  <c r="O73" i="3" s="1"/>
  <c r="L73" i="3"/>
  <c r="K73" i="3"/>
  <c r="I73" i="3"/>
  <c r="H73" i="3"/>
  <c r="E73" i="3"/>
  <c r="F73" i="3" s="1"/>
  <c r="B73" i="3"/>
  <c r="C73" i="3" s="1"/>
  <c r="AC72" i="3"/>
  <c r="AA72" i="3"/>
  <c r="X72" i="3"/>
  <c r="W72" i="3"/>
  <c r="U72" i="3"/>
  <c r="R72" i="3"/>
  <c r="N72" i="3"/>
  <c r="O72" i="3" s="1"/>
  <c r="L72" i="3"/>
  <c r="I72" i="3"/>
  <c r="H72" i="3"/>
  <c r="F72" i="3"/>
  <c r="C72" i="3"/>
  <c r="AC71" i="3"/>
  <c r="AD71" i="3" s="1"/>
  <c r="AA71" i="3"/>
  <c r="W71" i="3"/>
  <c r="U71" i="3"/>
  <c r="R71" i="3"/>
  <c r="O71" i="3"/>
  <c r="N71" i="3"/>
  <c r="L71" i="3"/>
  <c r="I71" i="3"/>
  <c r="H71" i="3"/>
  <c r="F71" i="3"/>
  <c r="C71" i="3"/>
  <c r="AD70" i="3"/>
  <c r="AC70" i="3"/>
  <c r="AA70" i="3"/>
  <c r="W70" i="3"/>
  <c r="X70" i="3" s="1"/>
  <c r="U70" i="3"/>
  <c r="R70" i="3"/>
  <c r="N70" i="3"/>
  <c r="O70" i="3" s="1"/>
  <c r="L70" i="3"/>
  <c r="H70" i="3"/>
  <c r="I70" i="3" s="1"/>
  <c r="F70" i="3"/>
  <c r="C70" i="3"/>
  <c r="AC69" i="3"/>
  <c r="AD69" i="3" s="1"/>
  <c r="AA69" i="3"/>
  <c r="X69" i="3"/>
  <c r="W69" i="3"/>
  <c r="U69" i="3"/>
  <c r="R69" i="3"/>
  <c r="N69" i="3"/>
  <c r="O69" i="3" s="1"/>
  <c r="L69" i="3"/>
  <c r="H69" i="3"/>
  <c r="I69" i="3" s="1"/>
  <c r="F69" i="3"/>
  <c r="C69" i="3"/>
  <c r="AD68" i="3"/>
  <c r="AC68" i="3"/>
  <c r="AA68" i="3"/>
  <c r="W68" i="3"/>
  <c r="X68" i="3" s="1"/>
  <c r="U68" i="3"/>
  <c r="R68" i="3"/>
  <c r="O68" i="3"/>
  <c r="N68" i="3"/>
  <c r="L68" i="3"/>
  <c r="I68" i="3"/>
  <c r="H68" i="3"/>
  <c r="F68" i="3"/>
  <c r="C68" i="3"/>
  <c r="AC67" i="3"/>
  <c r="AD67" i="3" s="1"/>
  <c r="AA67" i="3"/>
  <c r="W67" i="3"/>
  <c r="X67" i="3" s="1"/>
  <c r="U67" i="3"/>
  <c r="R67" i="3"/>
  <c r="O67" i="3"/>
  <c r="N67" i="3"/>
  <c r="L67" i="3"/>
  <c r="I67" i="3"/>
  <c r="H67" i="3"/>
  <c r="F67" i="3"/>
  <c r="C67" i="3"/>
  <c r="AD66" i="3"/>
  <c r="AC66" i="3"/>
  <c r="AA66" i="3"/>
  <c r="X66" i="3"/>
  <c r="W66" i="3"/>
  <c r="U66" i="3"/>
  <c r="R66" i="3"/>
  <c r="N66" i="3"/>
  <c r="O66" i="3" s="1"/>
  <c r="L66" i="3"/>
  <c r="H66" i="3"/>
  <c r="I66" i="3" s="1"/>
  <c r="F66" i="3"/>
  <c r="C66" i="3"/>
  <c r="AD65" i="3"/>
  <c r="AC65" i="3"/>
  <c r="AA65" i="3"/>
  <c r="X65" i="3"/>
  <c r="W65" i="3"/>
  <c r="U65" i="3"/>
  <c r="R65" i="3"/>
  <c r="N65" i="3"/>
  <c r="O65" i="3" s="1"/>
  <c r="L65" i="3"/>
  <c r="I65" i="3"/>
  <c r="H65" i="3"/>
  <c r="F65" i="3"/>
  <c r="C65" i="3"/>
  <c r="AC64" i="3"/>
  <c r="AA64" i="3"/>
  <c r="X64" i="3"/>
  <c r="W64" i="3"/>
  <c r="U64" i="3"/>
  <c r="R64" i="3"/>
  <c r="N64" i="3"/>
  <c r="O64" i="3" s="1"/>
  <c r="L64" i="3"/>
  <c r="I64" i="3"/>
  <c r="H64" i="3"/>
  <c r="F64" i="3"/>
  <c r="C64" i="3"/>
  <c r="AC62" i="3"/>
  <c r="AD62" i="3" s="1"/>
  <c r="AA62" i="3"/>
  <c r="Z62" i="3"/>
  <c r="W62" i="3"/>
  <c r="X62" i="3" s="1"/>
  <c r="U62" i="3"/>
  <c r="T62" i="3"/>
  <c r="Q62" i="3"/>
  <c r="R62" i="3" s="1"/>
  <c r="K62" i="3"/>
  <c r="L62" i="3" s="1"/>
  <c r="E62" i="3"/>
  <c r="F62" i="3" s="1"/>
  <c r="C62" i="3"/>
  <c r="B62" i="3"/>
  <c r="Z61" i="3"/>
  <c r="AA61" i="3" s="1"/>
  <c r="U61" i="3"/>
  <c r="T61" i="3"/>
  <c r="Q61" i="3"/>
  <c r="K61" i="3"/>
  <c r="L61" i="3" s="1"/>
  <c r="F61" i="3"/>
  <c r="E61" i="3"/>
  <c r="B61" i="3"/>
  <c r="AC60" i="3"/>
  <c r="AA60" i="3"/>
  <c r="W60" i="3"/>
  <c r="X60" i="3" s="1"/>
  <c r="U60" i="3"/>
  <c r="R60" i="3"/>
  <c r="O60" i="3"/>
  <c r="N60" i="3"/>
  <c r="L60" i="3"/>
  <c r="I60" i="3"/>
  <c r="H60" i="3"/>
  <c r="F60" i="3"/>
  <c r="C60" i="3"/>
  <c r="AD59" i="3"/>
  <c r="AC59" i="3"/>
  <c r="AA59" i="3"/>
  <c r="X59" i="3"/>
  <c r="W59" i="3"/>
  <c r="U59" i="3"/>
  <c r="R59" i="3"/>
  <c r="O59" i="3"/>
  <c r="N59" i="3"/>
  <c r="L59" i="3"/>
  <c r="H59" i="3"/>
  <c r="I59" i="3" s="1"/>
  <c r="F59" i="3"/>
  <c r="C59" i="3"/>
  <c r="AC58" i="3"/>
  <c r="AD58" i="3" s="1"/>
  <c r="AA58" i="3"/>
  <c r="X58" i="3"/>
  <c r="W58" i="3"/>
  <c r="U58" i="3"/>
  <c r="R58" i="3"/>
  <c r="N58" i="3"/>
  <c r="O58" i="3" s="1"/>
  <c r="L58" i="3"/>
  <c r="H58" i="3"/>
  <c r="I58" i="3" s="1"/>
  <c r="F58" i="3"/>
  <c r="C58" i="3"/>
  <c r="AC57" i="3"/>
  <c r="AA57" i="3"/>
  <c r="W57" i="3"/>
  <c r="X57" i="3" s="1"/>
  <c r="U57" i="3"/>
  <c r="R57" i="3"/>
  <c r="O57" i="3"/>
  <c r="N57" i="3"/>
  <c r="L57" i="3"/>
  <c r="H57" i="3"/>
  <c r="I57" i="3" s="1"/>
  <c r="F57" i="3"/>
  <c r="C57" i="3"/>
  <c r="AC56" i="3"/>
  <c r="AD56" i="3" s="1"/>
  <c r="AA56" i="3"/>
  <c r="W56" i="3"/>
  <c r="U56" i="3"/>
  <c r="R56" i="3"/>
  <c r="O56" i="3"/>
  <c r="N56" i="3"/>
  <c r="L56" i="3"/>
  <c r="I56" i="3"/>
  <c r="H56" i="3"/>
  <c r="F56" i="3"/>
  <c r="C56" i="3"/>
  <c r="AC55" i="3"/>
  <c r="AD55" i="3" s="1"/>
  <c r="AA55" i="3"/>
  <c r="X55" i="3"/>
  <c r="W55" i="3"/>
  <c r="U55" i="3"/>
  <c r="R55" i="3"/>
  <c r="O55" i="3"/>
  <c r="N55" i="3"/>
  <c r="L55" i="3"/>
  <c r="H55" i="3"/>
  <c r="I55" i="3" s="1"/>
  <c r="F55" i="3"/>
  <c r="C55" i="3"/>
  <c r="AD54" i="3"/>
  <c r="AC54" i="3"/>
  <c r="AA54" i="3"/>
  <c r="W54" i="3"/>
  <c r="U54" i="3"/>
  <c r="R54" i="3"/>
  <c r="N54" i="3"/>
  <c r="O54" i="3" s="1"/>
  <c r="L54" i="3"/>
  <c r="H54" i="3"/>
  <c r="I54" i="3" s="1"/>
  <c r="F54" i="3"/>
  <c r="C54" i="3"/>
  <c r="AD53" i="3"/>
  <c r="AC53" i="3"/>
  <c r="AA53" i="3"/>
  <c r="X53" i="3"/>
  <c r="W53" i="3"/>
  <c r="U53" i="3"/>
  <c r="R53" i="3"/>
  <c r="N53" i="3"/>
  <c r="O53" i="3" s="1"/>
  <c r="L53" i="3"/>
  <c r="I53" i="3"/>
  <c r="H53" i="3"/>
  <c r="F53" i="3"/>
  <c r="C53" i="3"/>
  <c r="AC52" i="3"/>
  <c r="AA52" i="3"/>
  <c r="W52" i="3"/>
  <c r="X52" i="3" s="1"/>
  <c r="U52" i="3"/>
  <c r="R52" i="3"/>
  <c r="O52" i="3"/>
  <c r="N52" i="3"/>
  <c r="L52" i="3"/>
  <c r="I52" i="3"/>
  <c r="H52" i="3"/>
  <c r="F52" i="3"/>
  <c r="C52" i="3"/>
  <c r="AD51" i="3"/>
  <c r="AC51" i="3"/>
  <c r="AA51" i="3"/>
  <c r="X51" i="3"/>
  <c r="W51" i="3"/>
  <c r="U51" i="3"/>
  <c r="R51" i="3"/>
  <c r="O51" i="3"/>
  <c r="N51" i="3"/>
  <c r="L51" i="3"/>
  <c r="H51" i="3"/>
  <c r="I51" i="3" s="1"/>
  <c r="F51" i="3"/>
  <c r="C51" i="3"/>
  <c r="AC50" i="3"/>
  <c r="AD50" i="3" s="1"/>
  <c r="AA50" i="3"/>
  <c r="X50" i="3"/>
  <c r="W50" i="3"/>
  <c r="U50" i="3"/>
  <c r="R50" i="3"/>
  <c r="N50" i="3"/>
  <c r="O50" i="3" s="1"/>
  <c r="L50" i="3"/>
  <c r="H50" i="3"/>
  <c r="I50" i="3" s="1"/>
  <c r="F50" i="3"/>
  <c r="C50" i="3"/>
  <c r="AC49" i="3"/>
  <c r="AA49" i="3"/>
  <c r="W49" i="3"/>
  <c r="X49" i="3" s="1"/>
  <c r="U49" i="3"/>
  <c r="R49" i="3"/>
  <c r="O49" i="3"/>
  <c r="N49" i="3"/>
  <c r="L49" i="3"/>
  <c r="H49" i="3"/>
  <c r="I49" i="3" s="1"/>
  <c r="F49" i="3"/>
  <c r="C49" i="3"/>
  <c r="AC48" i="3"/>
  <c r="AD48" i="3" s="1"/>
  <c r="AA48" i="3"/>
  <c r="W48" i="3"/>
  <c r="U48" i="3"/>
  <c r="R48" i="3"/>
  <c r="O48" i="3"/>
  <c r="N48" i="3"/>
  <c r="L48" i="3"/>
  <c r="I48" i="3"/>
  <c r="H48" i="3"/>
  <c r="F48" i="3"/>
  <c r="C48" i="3"/>
  <c r="AC47" i="3"/>
  <c r="AD47" i="3" s="1"/>
  <c r="AA47" i="3"/>
  <c r="X47" i="3"/>
  <c r="W47" i="3"/>
  <c r="U47" i="3"/>
  <c r="R47" i="3"/>
  <c r="O47" i="3"/>
  <c r="N47" i="3"/>
  <c r="L47" i="3"/>
  <c r="H47" i="3"/>
  <c r="I47" i="3" s="1"/>
  <c r="F47" i="3"/>
  <c r="C47" i="3"/>
  <c r="AD46" i="3"/>
  <c r="AC46" i="3"/>
  <c r="AA46" i="3"/>
  <c r="W46" i="3"/>
  <c r="U46" i="3"/>
  <c r="R46" i="3"/>
  <c r="N46" i="3"/>
  <c r="O46" i="3" s="1"/>
  <c r="L46" i="3"/>
  <c r="H46" i="3"/>
  <c r="I46" i="3" s="1"/>
  <c r="F46" i="3"/>
  <c r="C46" i="3"/>
  <c r="AD44" i="3"/>
  <c r="AC44" i="3"/>
  <c r="AA44" i="3"/>
  <c r="X44" i="3"/>
  <c r="W44" i="3"/>
  <c r="U44" i="3"/>
  <c r="R44" i="3"/>
  <c r="N44" i="3"/>
  <c r="O44" i="3" s="1"/>
  <c r="L44" i="3"/>
  <c r="I44" i="3"/>
  <c r="H44" i="3"/>
  <c r="F44" i="3"/>
  <c r="C44" i="3"/>
  <c r="AC43" i="3"/>
  <c r="AA43" i="3"/>
  <c r="W43" i="3"/>
  <c r="X43" i="3" s="1"/>
  <c r="U43" i="3"/>
  <c r="R43" i="3"/>
  <c r="O43" i="3"/>
  <c r="N43" i="3"/>
  <c r="L43" i="3"/>
  <c r="I43" i="3"/>
  <c r="H43" i="3"/>
  <c r="F43" i="3"/>
  <c r="C43" i="3"/>
  <c r="AD42" i="3"/>
  <c r="AC42" i="3"/>
  <c r="AA42" i="3"/>
  <c r="X42" i="3"/>
  <c r="W42" i="3"/>
  <c r="U42" i="3"/>
  <c r="R42" i="3"/>
  <c r="O42" i="3"/>
  <c r="N42" i="3"/>
  <c r="L42" i="3"/>
  <c r="H42" i="3"/>
  <c r="I42" i="3" s="1"/>
  <c r="F42" i="3"/>
  <c r="C42" i="3"/>
  <c r="Z40" i="3"/>
  <c r="AC40" i="3" s="1"/>
  <c r="AD40" i="3" s="1"/>
  <c r="W40" i="3"/>
  <c r="X40" i="3" s="1"/>
  <c r="U40" i="3"/>
  <c r="T40" i="3"/>
  <c r="Q40" i="3"/>
  <c r="R40" i="3" s="1"/>
  <c r="K40" i="3"/>
  <c r="L40" i="3" s="1"/>
  <c r="E40" i="3"/>
  <c r="F40" i="3" s="1"/>
  <c r="B40" i="3"/>
  <c r="AC39" i="3"/>
  <c r="AD39" i="3" s="1"/>
  <c r="AA39" i="3"/>
  <c r="W39" i="3"/>
  <c r="X39" i="3" s="1"/>
  <c r="U39" i="3"/>
  <c r="R39" i="3"/>
  <c r="O39" i="3"/>
  <c r="N39" i="3"/>
  <c r="L39" i="3"/>
  <c r="I39" i="3"/>
  <c r="H39" i="3"/>
  <c r="F39" i="3"/>
  <c r="C39" i="3"/>
  <c r="AC38" i="3"/>
  <c r="AD38" i="3" s="1"/>
  <c r="AA38" i="3"/>
  <c r="W38" i="3"/>
  <c r="X38" i="3" s="1"/>
  <c r="U38" i="3"/>
  <c r="R38" i="3"/>
  <c r="O38" i="3"/>
  <c r="N38" i="3"/>
  <c r="L38" i="3"/>
  <c r="H38" i="3"/>
  <c r="I38" i="3" s="1"/>
  <c r="F38" i="3"/>
  <c r="C38" i="3"/>
  <c r="AD37" i="3"/>
  <c r="AC37" i="3"/>
  <c r="AA37" i="3"/>
  <c r="W37" i="3"/>
  <c r="U37" i="3"/>
  <c r="R37" i="3"/>
  <c r="N37" i="3"/>
  <c r="O37" i="3" s="1"/>
  <c r="L37" i="3"/>
  <c r="I37" i="3"/>
  <c r="H37" i="3"/>
  <c r="F37" i="3"/>
  <c r="C37" i="3"/>
  <c r="AC36" i="3"/>
  <c r="AA36" i="3"/>
  <c r="X36" i="3"/>
  <c r="W36" i="3"/>
  <c r="U36" i="3"/>
  <c r="R36" i="3"/>
  <c r="O36" i="3"/>
  <c r="N36" i="3"/>
  <c r="L36" i="3"/>
  <c r="H36" i="3"/>
  <c r="I36" i="3" s="1"/>
  <c r="F36" i="3"/>
  <c r="C36" i="3"/>
  <c r="AC35" i="3"/>
  <c r="AA35" i="3"/>
  <c r="W35" i="3"/>
  <c r="X35" i="3" s="1"/>
  <c r="U35" i="3"/>
  <c r="R35" i="3"/>
  <c r="O35" i="3"/>
  <c r="N35" i="3"/>
  <c r="L35" i="3"/>
  <c r="I35" i="3"/>
  <c r="H35" i="3"/>
  <c r="F35" i="3"/>
  <c r="C35" i="3"/>
  <c r="AC34" i="3"/>
  <c r="AD34" i="3" s="1"/>
  <c r="AA34" i="3"/>
  <c r="W34" i="3"/>
  <c r="X34" i="3" s="1"/>
  <c r="U34" i="3"/>
  <c r="R34" i="3"/>
  <c r="N34" i="3"/>
  <c r="O34" i="3" s="1"/>
  <c r="L34" i="3"/>
  <c r="H34" i="3"/>
  <c r="I34" i="3" s="1"/>
  <c r="F34" i="3"/>
  <c r="C34" i="3"/>
  <c r="AC33" i="3"/>
  <c r="AD33" i="3" s="1"/>
  <c r="AA33" i="3"/>
  <c r="X33" i="3"/>
  <c r="W33" i="3"/>
  <c r="U33" i="3"/>
  <c r="R33" i="3"/>
  <c r="O33" i="3"/>
  <c r="N33" i="3"/>
  <c r="L33" i="3"/>
  <c r="H33" i="3"/>
  <c r="I33" i="3" s="1"/>
  <c r="F33" i="3"/>
  <c r="C33" i="3"/>
  <c r="AC32" i="3"/>
  <c r="AD32" i="3" s="1"/>
  <c r="AA32" i="3"/>
  <c r="W32" i="3"/>
  <c r="X32" i="3" s="1"/>
  <c r="U32" i="3"/>
  <c r="R32" i="3"/>
  <c r="O32" i="3"/>
  <c r="N32" i="3"/>
  <c r="L32" i="3"/>
  <c r="H32" i="3"/>
  <c r="I32" i="3" s="1"/>
  <c r="F32" i="3"/>
  <c r="C32" i="3"/>
  <c r="AC31" i="3"/>
  <c r="AD31" i="3" s="1"/>
  <c r="AA31" i="3"/>
  <c r="W31" i="3"/>
  <c r="X31" i="3" s="1"/>
  <c r="U31" i="3"/>
  <c r="R31" i="3"/>
  <c r="O31" i="3"/>
  <c r="N31" i="3"/>
  <c r="L31" i="3"/>
  <c r="I31" i="3"/>
  <c r="H31" i="3"/>
  <c r="F31" i="3"/>
  <c r="C31" i="3"/>
  <c r="Z29" i="3"/>
  <c r="AA29" i="3" s="1"/>
  <c r="X29" i="3"/>
  <c r="W29" i="3"/>
  <c r="T29" i="3"/>
  <c r="U29" i="3" s="1"/>
  <c r="Q29" i="3"/>
  <c r="R29" i="3" s="1"/>
  <c r="K29" i="3"/>
  <c r="L29" i="3" s="1"/>
  <c r="F29" i="3"/>
  <c r="E29" i="3"/>
  <c r="B29" i="3"/>
  <c r="AC28" i="3"/>
  <c r="AD28" i="3" s="1"/>
  <c r="AA28" i="3"/>
  <c r="W28" i="3"/>
  <c r="X28" i="3" s="1"/>
  <c r="U28" i="3"/>
  <c r="R28" i="3"/>
  <c r="O28" i="3"/>
  <c r="N28" i="3"/>
  <c r="L28" i="3"/>
  <c r="I28" i="3"/>
  <c r="H28" i="3"/>
  <c r="F28" i="3"/>
  <c r="C28" i="3"/>
  <c r="AC27" i="3"/>
  <c r="AD27" i="3" s="1"/>
  <c r="AA27" i="3"/>
  <c r="X27" i="3"/>
  <c r="W27" i="3"/>
  <c r="U27" i="3"/>
  <c r="R27" i="3"/>
  <c r="N27" i="3"/>
  <c r="O27" i="3" s="1"/>
  <c r="L27" i="3"/>
  <c r="I27" i="3"/>
  <c r="H27" i="3"/>
  <c r="F27" i="3"/>
  <c r="C27" i="3"/>
  <c r="AD26" i="3"/>
  <c r="AC26" i="3"/>
  <c r="AA26" i="3"/>
  <c r="X26" i="3"/>
  <c r="W26" i="3"/>
  <c r="U26" i="3"/>
  <c r="R26" i="3"/>
  <c r="N26" i="3"/>
  <c r="O26" i="3" s="1"/>
  <c r="L26" i="3"/>
  <c r="H26" i="3"/>
  <c r="I26" i="3" s="1"/>
  <c r="F26" i="3"/>
  <c r="C26" i="3"/>
  <c r="AD25" i="3"/>
  <c r="AC25" i="3"/>
  <c r="AA25" i="3"/>
  <c r="W25" i="3"/>
  <c r="X25" i="3" s="1"/>
  <c r="U25" i="3"/>
  <c r="R25" i="3"/>
  <c r="N25" i="3"/>
  <c r="O25" i="3" s="1"/>
  <c r="L25" i="3"/>
  <c r="I25" i="3"/>
  <c r="H25" i="3"/>
  <c r="F25" i="3"/>
  <c r="C25" i="3"/>
  <c r="AD24" i="3"/>
  <c r="AC24" i="3"/>
  <c r="AA24" i="3"/>
  <c r="W24" i="3"/>
  <c r="X24" i="3" s="1"/>
  <c r="U24" i="3"/>
  <c r="R24" i="3"/>
  <c r="N24" i="3"/>
  <c r="O24" i="3" s="1"/>
  <c r="L24" i="3"/>
  <c r="I24" i="3"/>
  <c r="H24" i="3"/>
  <c r="F24" i="3"/>
  <c r="C24" i="3"/>
  <c r="AC23" i="3"/>
  <c r="AD23" i="3" s="1"/>
  <c r="AA23" i="3"/>
  <c r="W23" i="3"/>
  <c r="X23" i="3" s="1"/>
  <c r="U23" i="3"/>
  <c r="R23" i="3"/>
  <c r="N23" i="3"/>
  <c r="O23" i="3" s="1"/>
  <c r="L23" i="3"/>
  <c r="I23" i="3"/>
  <c r="H23" i="3"/>
  <c r="F23" i="3"/>
  <c r="C23" i="3"/>
  <c r="AD22" i="3"/>
  <c r="AC22" i="3"/>
  <c r="AA22" i="3"/>
  <c r="X22" i="3"/>
  <c r="W22" i="3"/>
  <c r="U22" i="3"/>
  <c r="R22" i="3"/>
  <c r="N22" i="3"/>
  <c r="O22" i="3" s="1"/>
  <c r="L22" i="3"/>
  <c r="H22" i="3"/>
  <c r="I22" i="3" s="1"/>
  <c r="F22" i="3"/>
  <c r="C22" i="3"/>
  <c r="AD21" i="3"/>
  <c r="AC21" i="3"/>
  <c r="AA21" i="3"/>
  <c r="W21" i="3"/>
  <c r="X21" i="3" s="1"/>
  <c r="U21" i="3"/>
  <c r="R21" i="3"/>
  <c r="O21" i="3"/>
  <c r="N21" i="3"/>
  <c r="L21" i="3"/>
  <c r="I21" i="3"/>
  <c r="H21" i="3"/>
  <c r="F21" i="3"/>
  <c r="C21" i="3"/>
  <c r="AD19" i="3"/>
  <c r="AC19" i="3"/>
  <c r="AA19" i="3"/>
  <c r="W19" i="3"/>
  <c r="X19" i="3" s="1"/>
  <c r="U19" i="3"/>
  <c r="R19" i="3"/>
  <c r="O19" i="3"/>
  <c r="N19" i="3"/>
  <c r="L19" i="3"/>
  <c r="I19" i="3"/>
  <c r="H19" i="3"/>
  <c r="F19" i="3"/>
  <c r="C19" i="3"/>
  <c r="AC18" i="3"/>
  <c r="AD18" i="3" s="1"/>
  <c r="AA18" i="3"/>
  <c r="Z18" i="3"/>
  <c r="U18" i="3"/>
  <c r="T18" i="3"/>
  <c r="Q18" i="3"/>
  <c r="N18" i="3"/>
  <c r="O18" i="3" s="1"/>
  <c r="L18" i="3"/>
  <c r="K18" i="3"/>
  <c r="E18" i="3"/>
  <c r="F18" i="3" s="1"/>
  <c r="C18" i="3"/>
  <c r="B18" i="3"/>
  <c r="AD17" i="3"/>
  <c r="AC17" i="3"/>
  <c r="AA17" i="3"/>
  <c r="W17" i="3"/>
  <c r="X17" i="3" s="1"/>
  <c r="U17" i="3"/>
  <c r="R17" i="3"/>
  <c r="O17" i="3"/>
  <c r="N17" i="3"/>
  <c r="L17" i="3"/>
  <c r="I17" i="3"/>
  <c r="H17" i="3"/>
  <c r="F17" i="3"/>
  <c r="C17" i="3"/>
  <c r="AD16" i="3"/>
  <c r="AC16" i="3"/>
  <c r="AA16" i="3"/>
  <c r="W16" i="3"/>
  <c r="X16" i="3" s="1"/>
  <c r="U16" i="3"/>
  <c r="R16" i="3"/>
  <c r="O16" i="3"/>
  <c r="N16" i="3"/>
  <c r="L16" i="3"/>
  <c r="I16" i="3"/>
  <c r="H16" i="3"/>
  <c r="F16" i="3"/>
  <c r="C16" i="3"/>
  <c r="AC15" i="3"/>
  <c r="AD15" i="3" s="1"/>
  <c r="AA15" i="3"/>
  <c r="X15" i="3"/>
  <c r="W15" i="3"/>
  <c r="U15" i="3"/>
  <c r="R15" i="3"/>
  <c r="N15" i="3"/>
  <c r="O15" i="3" s="1"/>
  <c r="L15" i="3"/>
  <c r="H15" i="3"/>
  <c r="I15" i="3" s="1"/>
  <c r="F15" i="3"/>
  <c r="C15" i="3"/>
  <c r="AD14" i="3"/>
  <c r="AC14" i="3"/>
  <c r="AA14" i="3"/>
  <c r="W14" i="3"/>
  <c r="X14" i="3" s="1"/>
  <c r="U14" i="3"/>
  <c r="R14" i="3"/>
  <c r="N14" i="3"/>
  <c r="O14" i="3" s="1"/>
  <c r="L14" i="3"/>
  <c r="H14" i="3"/>
  <c r="I14" i="3" s="1"/>
  <c r="F14" i="3"/>
  <c r="C14" i="3"/>
  <c r="AD13" i="3"/>
  <c r="AC13" i="3"/>
  <c r="AA13" i="3"/>
  <c r="W13" i="3"/>
  <c r="X13" i="3" s="1"/>
  <c r="U13" i="3"/>
  <c r="R13" i="3"/>
  <c r="N13" i="3"/>
  <c r="O13" i="3" s="1"/>
  <c r="L13" i="3"/>
  <c r="I13" i="3"/>
  <c r="H13" i="3"/>
  <c r="F13" i="3"/>
  <c r="C13" i="3"/>
  <c r="AD12" i="3"/>
  <c r="AC12" i="3"/>
  <c r="AA12" i="3"/>
  <c r="W12" i="3"/>
  <c r="X12" i="3" s="1"/>
  <c r="U12" i="3"/>
  <c r="R12" i="3"/>
  <c r="O12" i="3"/>
  <c r="N12" i="3"/>
  <c r="L12" i="3"/>
  <c r="I12" i="3"/>
  <c r="H12" i="3"/>
  <c r="F12" i="3"/>
  <c r="C12" i="3"/>
  <c r="AC11" i="3"/>
  <c r="AD11" i="3" s="1"/>
  <c r="AA11" i="3"/>
  <c r="X11" i="3"/>
  <c r="W11" i="3"/>
  <c r="U11" i="3"/>
  <c r="R11" i="3"/>
  <c r="N11" i="3"/>
  <c r="O11" i="3" s="1"/>
  <c r="L11" i="3"/>
  <c r="I11" i="3"/>
  <c r="H11" i="3"/>
  <c r="F11" i="3"/>
  <c r="C11" i="3"/>
  <c r="AD10" i="3"/>
  <c r="AC10" i="3"/>
  <c r="AA10" i="3"/>
  <c r="W10" i="3"/>
  <c r="X10" i="3" s="1"/>
  <c r="U10" i="3"/>
  <c r="R10" i="3"/>
  <c r="N10" i="3"/>
  <c r="O10" i="3" s="1"/>
  <c r="L10" i="3"/>
  <c r="H10" i="3"/>
  <c r="I10" i="3" s="1"/>
  <c r="F10" i="3"/>
  <c r="C10" i="3"/>
  <c r="AD8" i="3"/>
  <c r="AC8" i="3"/>
  <c r="AA8" i="3"/>
  <c r="W8" i="3"/>
  <c r="X8" i="3" s="1"/>
  <c r="U8" i="3"/>
  <c r="R8" i="3"/>
  <c r="N8" i="3"/>
  <c r="O8" i="3" s="1"/>
  <c r="L8" i="3"/>
  <c r="I8" i="3"/>
  <c r="H8" i="3"/>
  <c r="F8" i="3"/>
  <c r="C8" i="3"/>
  <c r="AC444" i="2"/>
  <c r="AD438" i="2" s="1"/>
  <c r="W444" i="2"/>
  <c r="X370" i="2" s="1"/>
  <c r="N444" i="2"/>
  <c r="O287" i="2" s="1"/>
  <c r="H444" i="2"/>
  <c r="AC442" i="2"/>
  <c r="AD442" i="2" s="1"/>
  <c r="AA442" i="2"/>
  <c r="Z442" i="2"/>
  <c r="T442" i="2"/>
  <c r="U442" i="2" s="1"/>
  <c r="R442" i="2"/>
  <c r="Q442" i="2"/>
  <c r="L442" i="2"/>
  <c r="K442" i="2"/>
  <c r="H442" i="2"/>
  <c r="I442" i="2" s="1"/>
  <c r="F442" i="2"/>
  <c r="E442" i="2"/>
  <c r="C442" i="2"/>
  <c r="B442" i="2"/>
  <c r="N442" i="2" s="1"/>
  <c r="Z441" i="2"/>
  <c r="AA441" i="2" s="1"/>
  <c r="W441" i="2"/>
  <c r="X441" i="2" s="1"/>
  <c r="U441" i="2"/>
  <c r="T441" i="2"/>
  <c r="R441" i="2"/>
  <c r="Q441" i="2"/>
  <c r="L441" i="2"/>
  <c r="K441" i="2"/>
  <c r="N441" i="2" s="1"/>
  <c r="O441" i="2" s="1"/>
  <c r="F441" i="2"/>
  <c r="E441" i="2"/>
  <c r="B441" i="2"/>
  <c r="AC440" i="2"/>
  <c r="AA440" i="2"/>
  <c r="W440" i="2"/>
  <c r="X440" i="2" s="1"/>
  <c r="U440" i="2"/>
  <c r="R440" i="2"/>
  <c r="N440" i="2"/>
  <c r="L440" i="2"/>
  <c r="I440" i="2"/>
  <c r="H440" i="2"/>
  <c r="F440" i="2"/>
  <c r="C440" i="2"/>
  <c r="AC439" i="2"/>
  <c r="AA439" i="2"/>
  <c r="W439" i="2"/>
  <c r="U439" i="2"/>
  <c r="R439" i="2"/>
  <c r="N439" i="2"/>
  <c r="L439" i="2"/>
  <c r="I439" i="2"/>
  <c r="H439" i="2"/>
  <c r="F439" i="2"/>
  <c r="C439" i="2"/>
  <c r="AC438" i="2"/>
  <c r="AA438" i="2"/>
  <c r="W438" i="2"/>
  <c r="U438" i="2"/>
  <c r="R438" i="2"/>
  <c r="N438" i="2"/>
  <c r="L438" i="2"/>
  <c r="H438" i="2"/>
  <c r="I438" i="2" s="1"/>
  <c r="F438" i="2"/>
  <c r="C438" i="2"/>
  <c r="AC437" i="2"/>
  <c r="AA437" i="2"/>
  <c r="W437" i="2"/>
  <c r="U437" i="2"/>
  <c r="R437" i="2"/>
  <c r="N437" i="2"/>
  <c r="O437" i="2" s="1"/>
  <c r="L437" i="2"/>
  <c r="I437" i="2"/>
  <c r="H437" i="2"/>
  <c r="F437" i="2"/>
  <c r="C437" i="2"/>
  <c r="AC436" i="2"/>
  <c r="AA436" i="2"/>
  <c r="W436" i="2"/>
  <c r="U436" i="2"/>
  <c r="R436" i="2"/>
  <c r="N436" i="2"/>
  <c r="O436" i="2" s="1"/>
  <c r="L436" i="2"/>
  <c r="I436" i="2"/>
  <c r="H436" i="2"/>
  <c r="F436" i="2"/>
  <c r="C436" i="2"/>
  <c r="AC435" i="2"/>
  <c r="AA435" i="2"/>
  <c r="X435" i="2"/>
  <c r="W435" i="2"/>
  <c r="U435" i="2"/>
  <c r="R435" i="2"/>
  <c r="N435" i="2"/>
  <c r="L435" i="2"/>
  <c r="I435" i="2"/>
  <c r="H435" i="2"/>
  <c r="F435" i="2"/>
  <c r="C435" i="2"/>
  <c r="AC434" i="2"/>
  <c r="AA434" i="2"/>
  <c r="W434" i="2"/>
  <c r="U434" i="2"/>
  <c r="R434" i="2"/>
  <c r="N434" i="2"/>
  <c r="O434" i="2" s="1"/>
  <c r="L434" i="2"/>
  <c r="H434" i="2"/>
  <c r="I434" i="2" s="1"/>
  <c r="F434" i="2"/>
  <c r="C434" i="2"/>
  <c r="AC433" i="2"/>
  <c r="AA433" i="2"/>
  <c r="W433" i="2"/>
  <c r="X433" i="2" s="1"/>
  <c r="U433" i="2"/>
  <c r="R433" i="2"/>
  <c r="N433" i="2"/>
  <c r="L433" i="2"/>
  <c r="I433" i="2"/>
  <c r="H433" i="2"/>
  <c r="F433" i="2"/>
  <c r="C433" i="2"/>
  <c r="AD432" i="2"/>
  <c r="AC432" i="2"/>
  <c r="AA432" i="2"/>
  <c r="W432" i="2"/>
  <c r="U432" i="2"/>
  <c r="R432" i="2"/>
  <c r="O432" i="2"/>
  <c r="N432" i="2"/>
  <c r="L432" i="2"/>
  <c r="I432" i="2"/>
  <c r="H432" i="2"/>
  <c r="F432" i="2"/>
  <c r="C432" i="2"/>
  <c r="Z429" i="2"/>
  <c r="AC429" i="2" s="1"/>
  <c r="AD429" i="2" s="1"/>
  <c r="U429" i="2"/>
  <c r="T429" i="2"/>
  <c r="Q429" i="2"/>
  <c r="N429" i="2"/>
  <c r="L429" i="2"/>
  <c r="K429" i="2"/>
  <c r="E429" i="2"/>
  <c r="F429" i="2" s="1"/>
  <c r="C429" i="2"/>
  <c r="B429" i="2"/>
  <c r="AA428" i="2"/>
  <c r="Z428" i="2"/>
  <c r="W428" i="2"/>
  <c r="U428" i="2"/>
  <c r="T428" i="2"/>
  <c r="R428" i="2"/>
  <c r="Q428" i="2"/>
  <c r="AC428" i="2" s="1"/>
  <c r="AD428" i="2" s="1"/>
  <c r="K428" i="2"/>
  <c r="L428" i="2" s="1"/>
  <c r="H428" i="2"/>
  <c r="I428" i="2" s="1"/>
  <c r="F428" i="2"/>
  <c r="E428" i="2"/>
  <c r="C428" i="2"/>
  <c r="B428" i="2"/>
  <c r="AC427" i="2"/>
  <c r="AA427" i="2"/>
  <c r="W427" i="2"/>
  <c r="X427" i="2" s="1"/>
  <c r="U427" i="2"/>
  <c r="R427" i="2"/>
  <c r="N427" i="2"/>
  <c r="L427" i="2"/>
  <c r="H427" i="2"/>
  <c r="I427" i="2" s="1"/>
  <c r="F427" i="2"/>
  <c r="C427" i="2"/>
  <c r="AC426" i="2"/>
  <c r="AA426" i="2"/>
  <c r="W426" i="2"/>
  <c r="U426" i="2"/>
  <c r="R426" i="2"/>
  <c r="N426" i="2"/>
  <c r="L426" i="2"/>
  <c r="H426" i="2"/>
  <c r="I426" i="2" s="1"/>
  <c r="F426" i="2"/>
  <c r="C426" i="2"/>
  <c r="AC425" i="2"/>
  <c r="AA425" i="2"/>
  <c r="W425" i="2"/>
  <c r="X425" i="2" s="1"/>
  <c r="U425" i="2"/>
  <c r="R425" i="2"/>
  <c r="N425" i="2"/>
  <c r="L425" i="2"/>
  <c r="I425" i="2"/>
  <c r="H425" i="2"/>
  <c r="F425" i="2"/>
  <c r="C425" i="2"/>
  <c r="AC424" i="2"/>
  <c r="AA424" i="2"/>
  <c r="W424" i="2"/>
  <c r="U424" i="2"/>
  <c r="R424" i="2"/>
  <c r="N424" i="2"/>
  <c r="O424" i="2" s="1"/>
  <c r="L424" i="2"/>
  <c r="I424" i="2"/>
  <c r="H424" i="2"/>
  <c r="F424" i="2"/>
  <c r="C424" i="2"/>
  <c r="AC423" i="2"/>
  <c r="AD423" i="2" s="1"/>
  <c r="AA423" i="2"/>
  <c r="X423" i="2"/>
  <c r="W423" i="2"/>
  <c r="U423" i="2"/>
  <c r="R423" i="2"/>
  <c r="N423" i="2"/>
  <c r="L423" i="2"/>
  <c r="I423" i="2"/>
  <c r="H423" i="2"/>
  <c r="F423" i="2"/>
  <c r="C423" i="2"/>
  <c r="AC422" i="2"/>
  <c r="AA422" i="2"/>
  <c r="W422" i="2"/>
  <c r="X422" i="2" s="1"/>
  <c r="U422" i="2"/>
  <c r="R422" i="2"/>
  <c r="N422" i="2"/>
  <c r="L422" i="2"/>
  <c r="H422" i="2"/>
  <c r="I422" i="2" s="1"/>
  <c r="F422" i="2"/>
  <c r="C422" i="2"/>
  <c r="AC421" i="2"/>
  <c r="AA421" i="2"/>
  <c r="W421" i="2"/>
  <c r="U421" i="2"/>
  <c r="R421" i="2"/>
  <c r="N421" i="2"/>
  <c r="L421" i="2"/>
  <c r="I421" i="2"/>
  <c r="H421" i="2"/>
  <c r="F421" i="2"/>
  <c r="C421" i="2"/>
  <c r="AC420" i="2"/>
  <c r="AA420" i="2"/>
  <c r="W420" i="2"/>
  <c r="U420" i="2"/>
  <c r="R420" i="2"/>
  <c r="N420" i="2"/>
  <c r="L420" i="2"/>
  <c r="I420" i="2"/>
  <c r="H420" i="2"/>
  <c r="F420" i="2"/>
  <c r="C420" i="2"/>
  <c r="AC419" i="2"/>
  <c r="AA419" i="2"/>
  <c r="W419" i="2"/>
  <c r="U419" i="2"/>
  <c r="R419" i="2"/>
  <c r="N419" i="2"/>
  <c r="O419" i="2" s="1"/>
  <c r="L419" i="2"/>
  <c r="I419" i="2"/>
  <c r="H419" i="2"/>
  <c r="F419" i="2"/>
  <c r="C419" i="2"/>
  <c r="AC418" i="2"/>
  <c r="AA418" i="2"/>
  <c r="X418" i="2"/>
  <c r="W418" i="2"/>
  <c r="U418" i="2"/>
  <c r="R418" i="2"/>
  <c r="N418" i="2"/>
  <c r="L418" i="2"/>
  <c r="H418" i="2"/>
  <c r="I418" i="2" s="1"/>
  <c r="F418" i="2"/>
  <c r="C418" i="2"/>
  <c r="AC417" i="2"/>
  <c r="AA417" i="2"/>
  <c r="W417" i="2"/>
  <c r="U417" i="2"/>
  <c r="R417" i="2"/>
  <c r="N417" i="2"/>
  <c r="O417" i="2" s="1"/>
  <c r="L417" i="2"/>
  <c r="I417" i="2"/>
  <c r="H417" i="2"/>
  <c r="F417" i="2"/>
  <c r="C417" i="2"/>
  <c r="AC416" i="2"/>
  <c r="AD416" i="2" s="1"/>
  <c r="AA416" i="2"/>
  <c r="W416" i="2"/>
  <c r="U416" i="2"/>
  <c r="R416" i="2"/>
  <c r="N416" i="2"/>
  <c r="L416" i="2"/>
  <c r="I416" i="2"/>
  <c r="H416" i="2"/>
  <c r="F416" i="2"/>
  <c r="C416" i="2"/>
  <c r="AC415" i="2"/>
  <c r="AA415" i="2"/>
  <c r="W415" i="2"/>
  <c r="U415" i="2"/>
  <c r="R415" i="2"/>
  <c r="N415" i="2"/>
  <c r="O415" i="2" s="1"/>
  <c r="L415" i="2"/>
  <c r="I415" i="2"/>
  <c r="H415" i="2"/>
  <c r="F415" i="2"/>
  <c r="C415" i="2"/>
  <c r="AD414" i="2"/>
  <c r="AC414" i="2"/>
  <c r="AA414" i="2"/>
  <c r="W414" i="2"/>
  <c r="U414" i="2"/>
  <c r="R414" i="2"/>
  <c r="N414" i="2"/>
  <c r="L414" i="2"/>
  <c r="H414" i="2"/>
  <c r="I414" i="2" s="1"/>
  <c r="F414" i="2"/>
  <c r="C414" i="2"/>
  <c r="AC413" i="2"/>
  <c r="AA413" i="2"/>
  <c r="W413" i="2"/>
  <c r="U413" i="2"/>
  <c r="R413" i="2"/>
  <c r="O413" i="2"/>
  <c r="N413" i="2"/>
  <c r="L413" i="2"/>
  <c r="I413" i="2"/>
  <c r="H413" i="2"/>
  <c r="F413" i="2"/>
  <c r="C413" i="2"/>
  <c r="AC412" i="2"/>
  <c r="AD412" i="2" s="1"/>
  <c r="AA412" i="2"/>
  <c r="W412" i="2"/>
  <c r="U412" i="2"/>
  <c r="R412" i="2"/>
  <c r="N412" i="2"/>
  <c r="O412" i="2" s="1"/>
  <c r="L412" i="2"/>
  <c r="I412" i="2"/>
  <c r="H412" i="2"/>
  <c r="F412" i="2"/>
  <c r="C412" i="2"/>
  <c r="AC411" i="2"/>
  <c r="AA411" i="2"/>
  <c r="W411" i="2"/>
  <c r="X411" i="2" s="1"/>
  <c r="U411" i="2"/>
  <c r="R411" i="2"/>
  <c r="N411" i="2"/>
  <c r="L411" i="2"/>
  <c r="H411" i="2"/>
  <c r="I411" i="2" s="1"/>
  <c r="F411" i="2"/>
  <c r="C411" i="2"/>
  <c r="AC410" i="2"/>
  <c r="AA410" i="2"/>
  <c r="W410" i="2"/>
  <c r="U410" i="2"/>
  <c r="R410" i="2"/>
  <c r="N410" i="2"/>
  <c r="L410" i="2"/>
  <c r="H410" i="2"/>
  <c r="I410" i="2" s="1"/>
  <c r="F410" i="2"/>
  <c r="C410" i="2"/>
  <c r="AC409" i="2"/>
  <c r="AA409" i="2"/>
  <c r="W409" i="2"/>
  <c r="U409" i="2"/>
  <c r="R409" i="2"/>
  <c r="N409" i="2"/>
  <c r="L409" i="2"/>
  <c r="I409" i="2"/>
  <c r="H409" i="2"/>
  <c r="F409" i="2"/>
  <c r="C409" i="2"/>
  <c r="AC408" i="2"/>
  <c r="AA408" i="2"/>
  <c r="W408" i="2"/>
  <c r="U408" i="2"/>
  <c r="R408" i="2"/>
  <c r="N408" i="2"/>
  <c r="O408" i="2" s="1"/>
  <c r="L408" i="2"/>
  <c r="I408" i="2"/>
  <c r="H408" i="2"/>
  <c r="F408" i="2"/>
  <c r="C408" i="2"/>
  <c r="AC407" i="2"/>
  <c r="AD407" i="2" s="1"/>
  <c r="AA407" i="2"/>
  <c r="X407" i="2"/>
  <c r="W407" i="2"/>
  <c r="U407" i="2"/>
  <c r="R407" i="2"/>
  <c r="N407" i="2"/>
  <c r="L407" i="2"/>
  <c r="H407" i="2"/>
  <c r="I407" i="2" s="1"/>
  <c r="F407" i="2"/>
  <c r="C407" i="2"/>
  <c r="AC403" i="2"/>
  <c r="AD403" i="2" s="1"/>
  <c r="AA403" i="2"/>
  <c r="Z403" i="2"/>
  <c r="T403" i="2"/>
  <c r="U403" i="2" s="1"/>
  <c r="Q403" i="2"/>
  <c r="O403" i="2"/>
  <c r="L403" i="2"/>
  <c r="K403" i="2"/>
  <c r="H403" i="2"/>
  <c r="I403" i="2" s="1"/>
  <c r="F403" i="2"/>
  <c r="E403" i="2"/>
  <c r="C403" i="2"/>
  <c r="B403" i="2"/>
  <c r="N403" i="2" s="1"/>
  <c r="AD402" i="2"/>
  <c r="AC402" i="2"/>
  <c r="AA402" i="2"/>
  <c r="W402" i="2"/>
  <c r="U402" i="2"/>
  <c r="R402" i="2"/>
  <c r="N402" i="2"/>
  <c r="L402" i="2"/>
  <c r="H402" i="2"/>
  <c r="I402" i="2" s="1"/>
  <c r="F402" i="2"/>
  <c r="C402" i="2"/>
  <c r="AC401" i="2"/>
  <c r="AA401" i="2"/>
  <c r="W401" i="2"/>
  <c r="U401" i="2"/>
  <c r="R401" i="2"/>
  <c r="O401" i="2"/>
  <c r="N401" i="2"/>
  <c r="L401" i="2"/>
  <c r="I401" i="2"/>
  <c r="H401" i="2"/>
  <c r="F401" i="2"/>
  <c r="C401" i="2"/>
  <c r="AC400" i="2"/>
  <c r="AD400" i="2" s="1"/>
  <c r="AA400" i="2"/>
  <c r="W400" i="2"/>
  <c r="U400" i="2"/>
  <c r="R400" i="2"/>
  <c r="N400" i="2"/>
  <c r="O400" i="2" s="1"/>
  <c r="L400" i="2"/>
  <c r="I400" i="2"/>
  <c r="H400" i="2"/>
  <c r="F400" i="2"/>
  <c r="C400" i="2"/>
  <c r="AC399" i="2"/>
  <c r="AA399" i="2"/>
  <c r="W399" i="2"/>
  <c r="X399" i="2" s="1"/>
  <c r="U399" i="2"/>
  <c r="R399" i="2"/>
  <c r="N399" i="2"/>
  <c r="L399" i="2"/>
  <c r="H399" i="2"/>
  <c r="I399" i="2" s="1"/>
  <c r="F399" i="2"/>
  <c r="C399" i="2"/>
  <c r="AC398" i="2"/>
  <c r="AA398" i="2"/>
  <c r="W398" i="2"/>
  <c r="U398" i="2"/>
  <c r="R398" i="2"/>
  <c r="N398" i="2"/>
  <c r="L398" i="2"/>
  <c r="H398" i="2"/>
  <c r="I398" i="2" s="1"/>
  <c r="F398" i="2"/>
  <c r="C398" i="2"/>
  <c r="AC397" i="2"/>
  <c r="AA397" i="2"/>
  <c r="W397" i="2"/>
  <c r="U397" i="2"/>
  <c r="R397" i="2"/>
  <c r="N397" i="2"/>
  <c r="L397" i="2"/>
  <c r="I397" i="2"/>
  <c r="H397" i="2"/>
  <c r="F397" i="2"/>
  <c r="C397" i="2"/>
  <c r="AA396" i="2"/>
  <c r="Z396" i="2"/>
  <c r="T396" i="2"/>
  <c r="U396" i="2" s="1"/>
  <c r="R396" i="2"/>
  <c r="Q396" i="2"/>
  <c r="L396" i="2"/>
  <c r="K396" i="2"/>
  <c r="E396" i="2"/>
  <c r="H396" i="2" s="1"/>
  <c r="I396" i="2" s="1"/>
  <c r="C396" i="2"/>
  <c r="B396" i="2"/>
  <c r="N396" i="2" s="1"/>
  <c r="O396" i="2" s="1"/>
  <c r="AC395" i="2"/>
  <c r="AA395" i="2"/>
  <c r="W395" i="2"/>
  <c r="X395" i="2" s="1"/>
  <c r="U395" i="2"/>
  <c r="R395" i="2"/>
  <c r="N395" i="2"/>
  <c r="L395" i="2"/>
  <c r="H395" i="2"/>
  <c r="I395" i="2" s="1"/>
  <c r="F395" i="2"/>
  <c r="C395" i="2"/>
  <c r="AD394" i="2"/>
  <c r="AC394" i="2"/>
  <c r="AA394" i="2"/>
  <c r="W394" i="2"/>
  <c r="U394" i="2"/>
  <c r="R394" i="2"/>
  <c r="N394" i="2"/>
  <c r="L394" i="2"/>
  <c r="I394" i="2"/>
  <c r="H394" i="2"/>
  <c r="F394" i="2"/>
  <c r="C394" i="2"/>
  <c r="AA393" i="2"/>
  <c r="Z393" i="2"/>
  <c r="T393" i="2"/>
  <c r="U393" i="2" s="1"/>
  <c r="R393" i="2"/>
  <c r="Q393" i="2"/>
  <c r="L393" i="2"/>
  <c r="K393" i="2"/>
  <c r="F393" i="2"/>
  <c r="E393" i="2"/>
  <c r="H393" i="2" s="1"/>
  <c r="I393" i="2" s="1"/>
  <c r="C393" i="2"/>
  <c r="B393" i="2"/>
  <c r="N393" i="2" s="1"/>
  <c r="O393" i="2" s="1"/>
  <c r="AC392" i="2"/>
  <c r="AA392" i="2"/>
  <c r="W392" i="2"/>
  <c r="X392" i="2" s="1"/>
  <c r="U392" i="2"/>
  <c r="R392" i="2"/>
  <c r="N392" i="2"/>
  <c r="L392" i="2"/>
  <c r="H392" i="2"/>
  <c r="I392" i="2" s="1"/>
  <c r="F392" i="2"/>
  <c r="C392" i="2"/>
  <c r="AC391" i="2"/>
  <c r="AA391" i="2"/>
  <c r="W391" i="2"/>
  <c r="U391" i="2"/>
  <c r="R391" i="2"/>
  <c r="N391" i="2"/>
  <c r="L391" i="2"/>
  <c r="I391" i="2"/>
  <c r="H391" i="2"/>
  <c r="F391" i="2"/>
  <c r="C391" i="2"/>
  <c r="AC390" i="2"/>
  <c r="AA390" i="2"/>
  <c r="W390" i="2"/>
  <c r="U390" i="2"/>
  <c r="R390" i="2"/>
  <c r="N390" i="2"/>
  <c r="L390" i="2"/>
  <c r="I390" i="2"/>
  <c r="H390" i="2"/>
  <c r="F390" i="2"/>
  <c r="C390" i="2"/>
  <c r="AC389" i="2"/>
  <c r="AA389" i="2"/>
  <c r="W389" i="2"/>
  <c r="U389" i="2"/>
  <c r="R389" i="2"/>
  <c r="N389" i="2"/>
  <c r="O389" i="2" s="1"/>
  <c r="L389" i="2"/>
  <c r="I389" i="2"/>
  <c r="H389" i="2"/>
  <c r="F389" i="2"/>
  <c r="C389" i="2"/>
  <c r="AC388" i="2"/>
  <c r="AA388" i="2"/>
  <c r="X388" i="2"/>
  <c r="W388" i="2"/>
  <c r="U388" i="2"/>
  <c r="R388" i="2"/>
  <c r="N388" i="2"/>
  <c r="L388" i="2"/>
  <c r="H388" i="2"/>
  <c r="I388" i="2" s="1"/>
  <c r="F388" i="2"/>
  <c r="C388" i="2"/>
  <c r="AC386" i="2"/>
  <c r="AA386" i="2"/>
  <c r="W386" i="2"/>
  <c r="U386" i="2"/>
  <c r="R386" i="2"/>
  <c r="N386" i="2"/>
  <c r="O386" i="2" s="1"/>
  <c r="L386" i="2"/>
  <c r="I386" i="2"/>
  <c r="H386" i="2"/>
  <c r="F386" i="2"/>
  <c r="C386" i="2"/>
  <c r="AC385" i="2"/>
  <c r="AD385" i="2" s="1"/>
  <c r="AA385" i="2"/>
  <c r="W385" i="2"/>
  <c r="U385" i="2"/>
  <c r="R385" i="2"/>
  <c r="N385" i="2"/>
  <c r="L385" i="2"/>
  <c r="I385" i="2"/>
  <c r="H385" i="2"/>
  <c r="F385" i="2"/>
  <c r="C385" i="2"/>
  <c r="AC383" i="2"/>
  <c r="AA383" i="2"/>
  <c r="W383" i="2"/>
  <c r="U383" i="2"/>
  <c r="R383" i="2"/>
  <c r="N383" i="2"/>
  <c r="O383" i="2" s="1"/>
  <c r="L383" i="2"/>
  <c r="I383" i="2"/>
  <c r="H383" i="2"/>
  <c r="F383" i="2"/>
  <c r="C383" i="2"/>
  <c r="AD382" i="2"/>
  <c r="AC382" i="2"/>
  <c r="AA382" i="2"/>
  <c r="W382" i="2"/>
  <c r="U382" i="2"/>
  <c r="R382" i="2"/>
  <c r="N382" i="2"/>
  <c r="L382" i="2"/>
  <c r="H382" i="2"/>
  <c r="I382" i="2" s="1"/>
  <c r="F382" i="2"/>
  <c r="C382" i="2"/>
  <c r="AC381" i="2"/>
  <c r="AA381" i="2"/>
  <c r="W381" i="2"/>
  <c r="U381" i="2"/>
  <c r="R381" i="2"/>
  <c r="O381" i="2"/>
  <c r="N381" i="2"/>
  <c r="L381" i="2"/>
  <c r="I381" i="2"/>
  <c r="H381" i="2"/>
  <c r="F381" i="2"/>
  <c r="C381" i="2"/>
  <c r="AC380" i="2"/>
  <c r="AD380" i="2" s="1"/>
  <c r="AA380" i="2"/>
  <c r="W380" i="2"/>
  <c r="U380" i="2"/>
  <c r="R380" i="2"/>
  <c r="N380" i="2"/>
  <c r="O380" i="2" s="1"/>
  <c r="L380" i="2"/>
  <c r="I380" i="2"/>
  <c r="H380" i="2"/>
  <c r="F380" i="2"/>
  <c r="C380" i="2"/>
  <c r="AC379" i="2"/>
  <c r="AA379" i="2"/>
  <c r="W379" i="2"/>
  <c r="X379" i="2" s="1"/>
  <c r="U379" i="2"/>
  <c r="R379" i="2"/>
  <c r="N379" i="2"/>
  <c r="L379" i="2"/>
  <c r="H379" i="2"/>
  <c r="I379" i="2" s="1"/>
  <c r="F379" i="2"/>
  <c r="C379" i="2"/>
  <c r="AC378" i="2"/>
  <c r="AA378" i="2"/>
  <c r="W378" i="2"/>
  <c r="U378" i="2"/>
  <c r="R378" i="2"/>
  <c r="N378" i="2"/>
  <c r="L378" i="2"/>
  <c r="H378" i="2"/>
  <c r="I378" i="2" s="1"/>
  <c r="F378" i="2"/>
  <c r="C378" i="2"/>
  <c r="AC377" i="2"/>
  <c r="AA377" i="2"/>
  <c r="W377" i="2"/>
  <c r="U377" i="2"/>
  <c r="R377" i="2"/>
  <c r="N377" i="2"/>
  <c r="L377" i="2"/>
  <c r="I377" i="2"/>
  <c r="H377" i="2"/>
  <c r="F377" i="2"/>
  <c r="C377" i="2"/>
  <c r="AC376" i="2"/>
  <c r="AA376" i="2"/>
  <c r="W376" i="2"/>
  <c r="U376" i="2"/>
  <c r="R376" i="2"/>
  <c r="N376" i="2"/>
  <c r="O376" i="2" s="1"/>
  <c r="L376" i="2"/>
  <c r="I376" i="2"/>
  <c r="H376" i="2"/>
  <c r="F376" i="2"/>
  <c r="C376" i="2"/>
  <c r="AC375" i="2"/>
  <c r="AD375" i="2" s="1"/>
  <c r="AA375" i="2"/>
  <c r="X375" i="2"/>
  <c r="W375" i="2"/>
  <c r="U375" i="2"/>
  <c r="R375" i="2"/>
  <c r="N375" i="2"/>
  <c r="L375" i="2"/>
  <c r="I375" i="2"/>
  <c r="H375" i="2"/>
  <c r="F375" i="2"/>
  <c r="C375" i="2"/>
  <c r="AC374" i="2"/>
  <c r="AA374" i="2"/>
  <c r="W374" i="2"/>
  <c r="X374" i="2" s="1"/>
  <c r="U374" i="2"/>
  <c r="R374" i="2"/>
  <c r="N374" i="2"/>
  <c r="L374" i="2"/>
  <c r="H374" i="2"/>
  <c r="I374" i="2" s="1"/>
  <c r="F374" i="2"/>
  <c r="C374" i="2"/>
  <c r="AD373" i="2"/>
  <c r="AC373" i="2"/>
  <c r="AA373" i="2"/>
  <c r="W373" i="2"/>
  <c r="U373" i="2"/>
  <c r="R373" i="2"/>
  <c r="N373" i="2"/>
  <c r="L373" i="2"/>
  <c r="I373" i="2"/>
  <c r="H373" i="2"/>
  <c r="F373" i="2"/>
  <c r="C373" i="2"/>
  <c r="AC372" i="2"/>
  <c r="AA372" i="2"/>
  <c r="W372" i="2"/>
  <c r="U372" i="2"/>
  <c r="R372" i="2"/>
  <c r="N372" i="2"/>
  <c r="L372" i="2"/>
  <c r="I372" i="2"/>
  <c r="H372" i="2"/>
  <c r="F372" i="2"/>
  <c r="C372" i="2"/>
  <c r="AC371" i="2"/>
  <c r="AA371" i="2"/>
  <c r="W371" i="2"/>
  <c r="U371" i="2"/>
  <c r="R371" i="2"/>
  <c r="N371" i="2"/>
  <c r="L371" i="2"/>
  <c r="I371" i="2"/>
  <c r="H371" i="2"/>
  <c r="F371" i="2"/>
  <c r="C371" i="2"/>
  <c r="AC370" i="2"/>
  <c r="AA370" i="2"/>
  <c r="W370" i="2"/>
  <c r="U370" i="2"/>
  <c r="R370" i="2"/>
  <c r="N370" i="2"/>
  <c r="L370" i="2"/>
  <c r="H370" i="2"/>
  <c r="I370" i="2" s="1"/>
  <c r="F370" i="2"/>
  <c r="C370" i="2"/>
  <c r="AC369" i="2"/>
  <c r="AA369" i="2"/>
  <c r="W369" i="2"/>
  <c r="U369" i="2"/>
  <c r="R369" i="2"/>
  <c r="O369" i="2"/>
  <c r="N369" i="2"/>
  <c r="L369" i="2"/>
  <c r="I369" i="2"/>
  <c r="H369" i="2"/>
  <c r="F369" i="2"/>
  <c r="C369" i="2"/>
  <c r="AC368" i="2"/>
  <c r="AD368" i="2" s="1"/>
  <c r="AA368" i="2"/>
  <c r="Z368" i="2"/>
  <c r="T368" i="2"/>
  <c r="U368" i="2" s="1"/>
  <c r="R368" i="2"/>
  <c r="Q368" i="2"/>
  <c r="O368" i="2"/>
  <c r="L368" i="2"/>
  <c r="K368" i="2"/>
  <c r="H368" i="2"/>
  <c r="I368" i="2" s="1"/>
  <c r="F368" i="2"/>
  <c r="E368" i="2"/>
  <c r="C368" i="2"/>
  <c r="B368" i="2"/>
  <c r="N368" i="2" s="1"/>
  <c r="AD367" i="2"/>
  <c r="AC367" i="2"/>
  <c r="AA367" i="2"/>
  <c r="W367" i="2"/>
  <c r="U367" i="2"/>
  <c r="R367" i="2"/>
  <c r="N367" i="2"/>
  <c r="L367" i="2"/>
  <c r="H367" i="2"/>
  <c r="I367" i="2" s="1"/>
  <c r="F367" i="2"/>
  <c r="C367" i="2"/>
  <c r="AC366" i="2"/>
  <c r="AA366" i="2"/>
  <c r="W366" i="2"/>
  <c r="U366" i="2"/>
  <c r="R366" i="2"/>
  <c r="O366" i="2"/>
  <c r="N366" i="2"/>
  <c r="L366" i="2"/>
  <c r="I366" i="2"/>
  <c r="H366" i="2"/>
  <c r="F366" i="2"/>
  <c r="C366" i="2"/>
  <c r="AC365" i="2"/>
  <c r="AD365" i="2" s="1"/>
  <c r="AA365" i="2"/>
  <c r="W365" i="2"/>
  <c r="U365" i="2"/>
  <c r="R365" i="2"/>
  <c r="N365" i="2"/>
  <c r="L365" i="2"/>
  <c r="I365" i="2"/>
  <c r="H365" i="2"/>
  <c r="F365" i="2"/>
  <c r="C365" i="2"/>
  <c r="AC364" i="2"/>
  <c r="AA364" i="2"/>
  <c r="W364" i="2"/>
  <c r="X364" i="2" s="1"/>
  <c r="U364" i="2"/>
  <c r="R364" i="2"/>
  <c r="N364" i="2"/>
  <c r="L364" i="2"/>
  <c r="I364" i="2"/>
  <c r="H364" i="2"/>
  <c r="F364" i="2"/>
  <c r="C364" i="2"/>
  <c r="AD363" i="2"/>
  <c r="AC363" i="2"/>
  <c r="AA363" i="2"/>
  <c r="W363" i="2"/>
  <c r="U363" i="2"/>
  <c r="R363" i="2"/>
  <c r="N363" i="2"/>
  <c r="L363" i="2"/>
  <c r="H363" i="2"/>
  <c r="I363" i="2" s="1"/>
  <c r="F363" i="2"/>
  <c r="C363" i="2"/>
  <c r="AC362" i="2"/>
  <c r="AA362" i="2"/>
  <c r="W362" i="2"/>
  <c r="U362" i="2"/>
  <c r="R362" i="2"/>
  <c r="N362" i="2"/>
  <c r="L362" i="2"/>
  <c r="I362" i="2"/>
  <c r="H362" i="2"/>
  <c r="F362" i="2"/>
  <c r="C362" i="2"/>
  <c r="AC361" i="2"/>
  <c r="AA361" i="2"/>
  <c r="W361" i="2"/>
  <c r="U361" i="2"/>
  <c r="R361" i="2"/>
  <c r="N361" i="2"/>
  <c r="O361" i="2" s="1"/>
  <c r="L361" i="2"/>
  <c r="I361" i="2"/>
  <c r="H361" i="2"/>
  <c r="F361" i="2"/>
  <c r="C361" i="2"/>
  <c r="AC360" i="2"/>
  <c r="AA360" i="2"/>
  <c r="W360" i="2"/>
  <c r="X360" i="2" s="1"/>
  <c r="U360" i="2"/>
  <c r="R360" i="2"/>
  <c r="N360" i="2"/>
  <c r="L360" i="2"/>
  <c r="I360" i="2"/>
  <c r="H360" i="2"/>
  <c r="F360" i="2"/>
  <c r="C360" i="2"/>
  <c r="Z358" i="2"/>
  <c r="AA358" i="2" s="1"/>
  <c r="W358" i="2"/>
  <c r="U358" i="2"/>
  <c r="T358" i="2"/>
  <c r="R358" i="2"/>
  <c r="Q358" i="2"/>
  <c r="AC358" i="2" s="1"/>
  <c r="L358" i="2"/>
  <c r="K358" i="2"/>
  <c r="F358" i="2"/>
  <c r="E358" i="2"/>
  <c r="B358" i="2"/>
  <c r="AD357" i="2"/>
  <c r="AC357" i="2"/>
  <c r="AA357" i="2"/>
  <c r="W357" i="2"/>
  <c r="U357" i="2"/>
  <c r="R357" i="2"/>
  <c r="N357" i="2"/>
  <c r="O357" i="2" s="1"/>
  <c r="L357" i="2"/>
  <c r="I357" i="2"/>
  <c r="H357" i="2"/>
  <c r="F357" i="2"/>
  <c r="C357" i="2"/>
  <c r="AC356" i="2"/>
  <c r="AD356" i="2" s="1"/>
  <c r="AA356" i="2"/>
  <c r="X356" i="2"/>
  <c r="W356" i="2"/>
  <c r="U356" i="2"/>
  <c r="R356" i="2"/>
  <c r="N356" i="2"/>
  <c r="L356" i="2"/>
  <c r="H356" i="2"/>
  <c r="I356" i="2" s="1"/>
  <c r="F356" i="2"/>
  <c r="C356" i="2"/>
  <c r="AC355" i="2"/>
  <c r="AA355" i="2"/>
  <c r="W355" i="2"/>
  <c r="U355" i="2"/>
  <c r="R355" i="2"/>
  <c r="N355" i="2"/>
  <c r="O355" i="2" s="1"/>
  <c r="L355" i="2"/>
  <c r="H355" i="2"/>
  <c r="I355" i="2" s="1"/>
  <c r="F355" i="2"/>
  <c r="C355" i="2"/>
  <c r="AC354" i="2"/>
  <c r="AA354" i="2"/>
  <c r="W354" i="2"/>
  <c r="X354" i="2" s="1"/>
  <c r="U354" i="2"/>
  <c r="R354" i="2"/>
  <c r="N354" i="2"/>
  <c r="L354" i="2"/>
  <c r="I354" i="2"/>
  <c r="H354" i="2"/>
  <c r="F354" i="2"/>
  <c r="C354" i="2"/>
  <c r="AC353" i="2"/>
  <c r="AA353" i="2"/>
  <c r="W353" i="2"/>
  <c r="U353" i="2"/>
  <c r="R353" i="2"/>
  <c r="N353" i="2"/>
  <c r="L353" i="2"/>
  <c r="I353" i="2"/>
  <c r="H353" i="2"/>
  <c r="F353" i="2"/>
  <c r="C353" i="2"/>
  <c r="AC352" i="2"/>
  <c r="AA352" i="2"/>
  <c r="W352" i="2"/>
  <c r="U352" i="2"/>
  <c r="R352" i="2"/>
  <c r="N352" i="2"/>
  <c r="O352" i="2" s="1"/>
  <c r="L352" i="2"/>
  <c r="H352" i="2"/>
  <c r="I352" i="2" s="1"/>
  <c r="F352" i="2"/>
  <c r="C352" i="2"/>
  <c r="AC351" i="2"/>
  <c r="AA351" i="2"/>
  <c r="X351" i="2"/>
  <c r="W351" i="2"/>
  <c r="U351" i="2"/>
  <c r="R351" i="2"/>
  <c r="N351" i="2"/>
  <c r="L351" i="2"/>
  <c r="H351" i="2"/>
  <c r="I351" i="2" s="1"/>
  <c r="F351" i="2"/>
  <c r="C351" i="2"/>
  <c r="AC350" i="2"/>
  <c r="AA350" i="2"/>
  <c r="W350" i="2"/>
  <c r="U350" i="2"/>
  <c r="R350" i="2"/>
  <c r="N350" i="2"/>
  <c r="O350" i="2" s="1"/>
  <c r="L350" i="2"/>
  <c r="I350" i="2"/>
  <c r="H350" i="2"/>
  <c r="F350" i="2"/>
  <c r="C350" i="2"/>
  <c r="AC349" i="2"/>
  <c r="AD349" i="2" s="1"/>
  <c r="AA349" i="2"/>
  <c r="W349" i="2"/>
  <c r="X349" i="2" s="1"/>
  <c r="U349" i="2"/>
  <c r="R349" i="2"/>
  <c r="N349" i="2"/>
  <c r="L349" i="2"/>
  <c r="I349" i="2"/>
  <c r="H349" i="2"/>
  <c r="F349" i="2"/>
  <c r="C349" i="2"/>
  <c r="AC347" i="2"/>
  <c r="AA347" i="2"/>
  <c r="W347" i="2"/>
  <c r="U347" i="2"/>
  <c r="R347" i="2"/>
  <c r="N347" i="2"/>
  <c r="O347" i="2" s="1"/>
  <c r="L347" i="2"/>
  <c r="I347" i="2"/>
  <c r="H347" i="2"/>
  <c r="F347" i="2"/>
  <c r="C347" i="2"/>
  <c r="AA344" i="2"/>
  <c r="Z344" i="2"/>
  <c r="T344" i="2"/>
  <c r="U344" i="2" s="1"/>
  <c r="R344" i="2"/>
  <c r="Q344" i="2"/>
  <c r="L344" i="2"/>
  <c r="K344" i="2"/>
  <c r="E344" i="2"/>
  <c r="H344" i="2" s="1"/>
  <c r="I344" i="2" s="1"/>
  <c r="C344" i="2"/>
  <c r="B344" i="2"/>
  <c r="N344" i="2" s="1"/>
  <c r="O344" i="2" s="1"/>
  <c r="Z343" i="2"/>
  <c r="AA343" i="2" s="1"/>
  <c r="W343" i="2"/>
  <c r="U343" i="2"/>
  <c r="T343" i="2"/>
  <c r="R343" i="2"/>
  <c r="Q343" i="2"/>
  <c r="AC343" i="2" s="1"/>
  <c r="AD343" i="2" s="1"/>
  <c r="L343" i="2"/>
  <c r="K343" i="2"/>
  <c r="F343" i="2"/>
  <c r="E343" i="2"/>
  <c r="B343" i="2"/>
  <c r="AA342" i="2"/>
  <c r="Z342" i="2"/>
  <c r="T342" i="2"/>
  <c r="U342" i="2" s="1"/>
  <c r="Q342" i="2"/>
  <c r="L342" i="2"/>
  <c r="K342" i="2"/>
  <c r="E342" i="2"/>
  <c r="C342" i="2"/>
  <c r="B342" i="2"/>
  <c r="N342" i="2" s="1"/>
  <c r="O342" i="2" s="1"/>
  <c r="AD341" i="2"/>
  <c r="AC341" i="2"/>
  <c r="AA341" i="2"/>
  <c r="W341" i="2"/>
  <c r="U341" i="2"/>
  <c r="R341" i="2"/>
  <c r="N341" i="2"/>
  <c r="O341" i="2" s="1"/>
  <c r="L341" i="2"/>
  <c r="H341" i="2"/>
  <c r="I341" i="2" s="1"/>
  <c r="F341" i="2"/>
  <c r="C341" i="2"/>
  <c r="AC340" i="2"/>
  <c r="AA340" i="2"/>
  <c r="W340" i="2"/>
  <c r="U340" i="2"/>
  <c r="R340" i="2"/>
  <c r="N340" i="2"/>
  <c r="L340" i="2"/>
  <c r="I340" i="2"/>
  <c r="H340" i="2"/>
  <c r="F340" i="2"/>
  <c r="C340" i="2"/>
  <c r="AC339" i="2"/>
  <c r="AA339" i="2"/>
  <c r="W339" i="2"/>
  <c r="U339" i="2"/>
  <c r="R339" i="2"/>
  <c r="N339" i="2"/>
  <c r="O339" i="2" s="1"/>
  <c r="L339" i="2"/>
  <c r="I339" i="2"/>
  <c r="H339" i="2"/>
  <c r="F339" i="2"/>
  <c r="C339" i="2"/>
  <c r="AC338" i="2"/>
  <c r="AA338" i="2"/>
  <c r="W338" i="2"/>
  <c r="U338" i="2"/>
  <c r="R338" i="2"/>
  <c r="N338" i="2"/>
  <c r="L338" i="2"/>
  <c r="I338" i="2"/>
  <c r="H338" i="2"/>
  <c r="F338" i="2"/>
  <c r="C338" i="2"/>
  <c r="AC337" i="2"/>
  <c r="AA337" i="2"/>
  <c r="W337" i="2"/>
  <c r="X337" i="2" s="1"/>
  <c r="U337" i="2"/>
  <c r="R337" i="2"/>
  <c r="N337" i="2"/>
  <c r="L337" i="2"/>
  <c r="H337" i="2"/>
  <c r="I337" i="2" s="1"/>
  <c r="F337" i="2"/>
  <c r="C337" i="2"/>
  <c r="AD335" i="2"/>
  <c r="AC335" i="2"/>
  <c r="AA335" i="2"/>
  <c r="W335" i="2"/>
  <c r="U335" i="2"/>
  <c r="R335" i="2"/>
  <c r="N335" i="2"/>
  <c r="O335" i="2" s="1"/>
  <c r="L335" i="2"/>
  <c r="I335" i="2"/>
  <c r="H335" i="2"/>
  <c r="F335" i="2"/>
  <c r="C335" i="2"/>
  <c r="AC334" i="2"/>
  <c r="AA334" i="2"/>
  <c r="W334" i="2"/>
  <c r="X334" i="2" s="1"/>
  <c r="U334" i="2"/>
  <c r="R334" i="2"/>
  <c r="N334" i="2"/>
  <c r="L334" i="2"/>
  <c r="I334" i="2"/>
  <c r="H334" i="2"/>
  <c r="F334" i="2"/>
  <c r="C334" i="2"/>
  <c r="AC333" i="2"/>
  <c r="AD333" i="2" s="1"/>
  <c r="AA333" i="2"/>
  <c r="W333" i="2"/>
  <c r="U333" i="2"/>
  <c r="R333" i="2"/>
  <c r="N333" i="2"/>
  <c r="L333" i="2"/>
  <c r="I333" i="2"/>
  <c r="H333" i="2"/>
  <c r="F333" i="2"/>
  <c r="C333" i="2"/>
  <c r="AC332" i="2"/>
  <c r="AA332" i="2"/>
  <c r="W332" i="2"/>
  <c r="X332" i="2" s="1"/>
  <c r="U332" i="2"/>
  <c r="R332" i="2"/>
  <c r="N332" i="2"/>
  <c r="L332" i="2"/>
  <c r="H332" i="2"/>
  <c r="I332" i="2" s="1"/>
  <c r="F332" i="2"/>
  <c r="C332" i="2"/>
  <c r="AD331" i="2"/>
  <c r="AC331" i="2"/>
  <c r="AA331" i="2"/>
  <c r="W331" i="2"/>
  <c r="U331" i="2"/>
  <c r="R331" i="2"/>
  <c r="N331" i="2"/>
  <c r="O331" i="2" s="1"/>
  <c r="L331" i="2"/>
  <c r="I331" i="2"/>
  <c r="H331" i="2"/>
  <c r="F331" i="2"/>
  <c r="C331" i="2"/>
  <c r="AC330" i="2"/>
  <c r="AD330" i="2" s="1"/>
  <c r="AA330" i="2"/>
  <c r="W330" i="2"/>
  <c r="X330" i="2" s="1"/>
  <c r="U330" i="2"/>
  <c r="R330" i="2"/>
  <c r="N330" i="2"/>
  <c r="L330" i="2"/>
  <c r="I330" i="2"/>
  <c r="H330" i="2"/>
  <c r="F330" i="2"/>
  <c r="C330" i="2"/>
  <c r="AC329" i="2"/>
  <c r="AA329" i="2"/>
  <c r="W329" i="2"/>
  <c r="X329" i="2" s="1"/>
  <c r="U329" i="2"/>
  <c r="R329" i="2"/>
  <c r="N329" i="2"/>
  <c r="L329" i="2"/>
  <c r="I329" i="2"/>
  <c r="H329" i="2"/>
  <c r="F329" i="2"/>
  <c r="C329" i="2"/>
  <c r="AC328" i="2"/>
  <c r="AA328" i="2"/>
  <c r="W328" i="2"/>
  <c r="U328" i="2"/>
  <c r="R328" i="2"/>
  <c r="N328" i="2"/>
  <c r="O328" i="2" s="1"/>
  <c r="L328" i="2"/>
  <c r="H328" i="2"/>
  <c r="I328" i="2" s="1"/>
  <c r="F328" i="2"/>
  <c r="C328" i="2"/>
  <c r="AA325" i="2"/>
  <c r="Z325" i="2"/>
  <c r="T325" i="2"/>
  <c r="W325" i="2" s="1"/>
  <c r="X325" i="2" s="1"/>
  <c r="R325" i="2"/>
  <c r="Q325" i="2"/>
  <c r="AC325" i="2" s="1"/>
  <c r="K325" i="2"/>
  <c r="L325" i="2" s="1"/>
  <c r="H325" i="2"/>
  <c r="I325" i="2" s="1"/>
  <c r="F325" i="2"/>
  <c r="E325" i="2"/>
  <c r="C325" i="2"/>
  <c r="B325" i="2"/>
  <c r="N325" i="2" s="1"/>
  <c r="O325" i="2" s="1"/>
  <c r="AA324" i="2"/>
  <c r="Z324" i="2"/>
  <c r="U324" i="2"/>
  <c r="T324" i="2"/>
  <c r="Q324" i="2"/>
  <c r="L324" i="2"/>
  <c r="K324" i="2"/>
  <c r="E324" i="2"/>
  <c r="F324" i="2" s="1"/>
  <c r="B324" i="2"/>
  <c r="AC323" i="2"/>
  <c r="AA323" i="2"/>
  <c r="W323" i="2"/>
  <c r="U323" i="2"/>
  <c r="R323" i="2"/>
  <c r="N323" i="2"/>
  <c r="O323" i="2" s="1"/>
  <c r="L323" i="2"/>
  <c r="I323" i="2"/>
  <c r="H323" i="2"/>
  <c r="F323" i="2"/>
  <c r="C323" i="2"/>
  <c r="AC322" i="2"/>
  <c r="AA322" i="2"/>
  <c r="W322" i="2"/>
  <c r="U322" i="2"/>
  <c r="R322" i="2"/>
  <c r="N322" i="2"/>
  <c r="O322" i="2" s="1"/>
  <c r="L322" i="2"/>
  <c r="I322" i="2"/>
  <c r="H322" i="2"/>
  <c r="F322" i="2"/>
  <c r="C322" i="2"/>
  <c r="AC321" i="2"/>
  <c r="AA321" i="2"/>
  <c r="W321" i="2"/>
  <c r="X321" i="2" s="1"/>
  <c r="U321" i="2"/>
  <c r="R321" i="2"/>
  <c r="N321" i="2"/>
  <c r="L321" i="2"/>
  <c r="I321" i="2"/>
  <c r="H321" i="2"/>
  <c r="F321" i="2"/>
  <c r="C321" i="2"/>
  <c r="AC320" i="2"/>
  <c r="AA320" i="2"/>
  <c r="W320" i="2"/>
  <c r="U320" i="2"/>
  <c r="R320" i="2"/>
  <c r="N320" i="2"/>
  <c r="O320" i="2" s="1"/>
  <c r="L320" i="2"/>
  <c r="H320" i="2"/>
  <c r="I320" i="2" s="1"/>
  <c r="F320" i="2"/>
  <c r="C320" i="2"/>
  <c r="AC319" i="2"/>
  <c r="AA319" i="2"/>
  <c r="W319" i="2"/>
  <c r="X319" i="2" s="1"/>
  <c r="U319" i="2"/>
  <c r="R319" i="2"/>
  <c r="N319" i="2"/>
  <c r="L319" i="2"/>
  <c r="I319" i="2"/>
  <c r="H319" i="2"/>
  <c r="F319" i="2"/>
  <c r="C319" i="2"/>
  <c r="AD318" i="2"/>
  <c r="AC318" i="2"/>
  <c r="AA318" i="2"/>
  <c r="W318" i="2"/>
  <c r="U318" i="2"/>
  <c r="R318" i="2"/>
  <c r="N318" i="2"/>
  <c r="O318" i="2" s="1"/>
  <c r="L318" i="2"/>
  <c r="I318" i="2"/>
  <c r="H318" i="2"/>
  <c r="F318" i="2"/>
  <c r="C318" i="2"/>
  <c r="AC317" i="2"/>
  <c r="AA317" i="2"/>
  <c r="W317" i="2"/>
  <c r="X317" i="2" s="1"/>
  <c r="U317" i="2"/>
  <c r="R317" i="2"/>
  <c r="N317" i="2"/>
  <c r="L317" i="2"/>
  <c r="H317" i="2"/>
  <c r="I317" i="2" s="1"/>
  <c r="F317" i="2"/>
  <c r="C317" i="2"/>
  <c r="AC316" i="2"/>
  <c r="AA316" i="2"/>
  <c r="W316" i="2"/>
  <c r="U316" i="2"/>
  <c r="R316" i="2"/>
  <c r="N316" i="2"/>
  <c r="O316" i="2" s="1"/>
  <c r="L316" i="2"/>
  <c r="H316" i="2"/>
  <c r="I316" i="2" s="1"/>
  <c r="F316" i="2"/>
  <c r="C316" i="2"/>
  <c r="AC315" i="2"/>
  <c r="AA315" i="2"/>
  <c r="W315" i="2"/>
  <c r="X315" i="2" s="1"/>
  <c r="U315" i="2"/>
  <c r="R315" i="2"/>
  <c r="N315" i="2"/>
  <c r="L315" i="2"/>
  <c r="I315" i="2"/>
  <c r="H315" i="2"/>
  <c r="F315" i="2"/>
  <c r="C315" i="2"/>
  <c r="AC314" i="2"/>
  <c r="AA314" i="2"/>
  <c r="W314" i="2"/>
  <c r="X314" i="2" s="1"/>
  <c r="U314" i="2"/>
  <c r="R314" i="2"/>
  <c r="N314" i="2"/>
  <c r="L314" i="2"/>
  <c r="I314" i="2"/>
  <c r="H314" i="2"/>
  <c r="F314" i="2"/>
  <c r="C314" i="2"/>
  <c r="AC313" i="2"/>
  <c r="AA313" i="2"/>
  <c r="W313" i="2"/>
  <c r="U313" i="2"/>
  <c r="R313" i="2"/>
  <c r="N313" i="2"/>
  <c r="O313" i="2" s="1"/>
  <c r="L313" i="2"/>
  <c r="I313" i="2"/>
  <c r="H313" i="2"/>
  <c r="F313" i="2"/>
  <c r="C313" i="2"/>
  <c r="AC312" i="2"/>
  <c r="AA312" i="2"/>
  <c r="W312" i="2"/>
  <c r="X312" i="2" s="1"/>
  <c r="U312" i="2"/>
  <c r="R312" i="2"/>
  <c r="N312" i="2"/>
  <c r="L312" i="2"/>
  <c r="H312" i="2"/>
  <c r="I312" i="2" s="1"/>
  <c r="F312" i="2"/>
  <c r="C312" i="2"/>
  <c r="AD311" i="2"/>
  <c r="AC311" i="2"/>
  <c r="AA311" i="2"/>
  <c r="W311" i="2"/>
  <c r="U311" i="2"/>
  <c r="R311" i="2"/>
  <c r="N311" i="2"/>
  <c r="O311" i="2" s="1"/>
  <c r="L311" i="2"/>
  <c r="I311" i="2"/>
  <c r="H311" i="2"/>
  <c r="F311" i="2"/>
  <c r="C311" i="2"/>
  <c r="AC310" i="2"/>
  <c r="AD310" i="2" s="1"/>
  <c r="AA310" i="2"/>
  <c r="W310" i="2"/>
  <c r="X310" i="2" s="1"/>
  <c r="U310" i="2"/>
  <c r="R310" i="2"/>
  <c r="N310" i="2"/>
  <c r="L310" i="2"/>
  <c r="I310" i="2"/>
  <c r="H310" i="2"/>
  <c r="F310" i="2"/>
  <c r="C310" i="2"/>
  <c r="AC309" i="2"/>
  <c r="AA309" i="2"/>
  <c r="W309" i="2"/>
  <c r="U309" i="2"/>
  <c r="R309" i="2"/>
  <c r="N309" i="2"/>
  <c r="O309" i="2" s="1"/>
  <c r="L309" i="2"/>
  <c r="I309" i="2"/>
  <c r="H309" i="2"/>
  <c r="F309" i="2"/>
  <c r="C309" i="2"/>
  <c r="AC308" i="2"/>
  <c r="AA308" i="2"/>
  <c r="X308" i="2"/>
  <c r="W308" i="2"/>
  <c r="U308" i="2"/>
  <c r="R308" i="2"/>
  <c r="N308" i="2"/>
  <c r="L308" i="2"/>
  <c r="H308" i="2"/>
  <c r="I308" i="2" s="1"/>
  <c r="F308" i="2"/>
  <c r="C308" i="2"/>
  <c r="AC307" i="2"/>
  <c r="AA307" i="2"/>
  <c r="W307" i="2"/>
  <c r="U307" i="2"/>
  <c r="R307" i="2"/>
  <c r="N307" i="2"/>
  <c r="O307" i="2" s="1"/>
  <c r="L307" i="2"/>
  <c r="I307" i="2"/>
  <c r="H307" i="2"/>
  <c r="F307" i="2"/>
  <c r="C307" i="2"/>
  <c r="AC306" i="2"/>
  <c r="AD306" i="2" s="1"/>
  <c r="AA306" i="2"/>
  <c r="W306" i="2"/>
  <c r="U306" i="2"/>
  <c r="R306" i="2"/>
  <c r="N306" i="2"/>
  <c r="L306" i="2"/>
  <c r="I306" i="2"/>
  <c r="H306" i="2"/>
  <c r="F306" i="2"/>
  <c r="C306" i="2"/>
  <c r="AC305" i="2"/>
  <c r="AA305" i="2"/>
  <c r="W305" i="2"/>
  <c r="U305" i="2"/>
  <c r="R305" i="2"/>
  <c r="N305" i="2"/>
  <c r="L305" i="2"/>
  <c r="I305" i="2"/>
  <c r="H305" i="2"/>
  <c r="F305" i="2"/>
  <c r="C305" i="2"/>
  <c r="AC304" i="2"/>
  <c r="AA304" i="2"/>
  <c r="W304" i="2"/>
  <c r="U304" i="2"/>
  <c r="R304" i="2"/>
  <c r="N304" i="2"/>
  <c r="L304" i="2"/>
  <c r="H304" i="2"/>
  <c r="I304" i="2" s="1"/>
  <c r="F304" i="2"/>
  <c r="C304" i="2"/>
  <c r="AC303" i="2"/>
  <c r="AA303" i="2"/>
  <c r="W303" i="2"/>
  <c r="X303" i="2" s="1"/>
  <c r="U303" i="2"/>
  <c r="R303" i="2"/>
  <c r="N303" i="2"/>
  <c r="L303" i="2"/>
  <c r="I303" i="2"/>
  <c r="H303" i="2"/>
  <c r="F303" i="2"/>
  <c r="C303" i="2"/>
  <c r="AC302" i="2"/>
  <c r="AA302" i="2"/>
  <c r="W302" i="2"/>
  <c r="U302" i="2"/>
  <c r="R302" i="2"/>
  <c r="N302" i="2"/>
  <c r="O302" i="2" s="1"/>
  <c r="L302" i="2"/>
  <c r="I302" i="2"/>
  <c r="H302" i="2"/>
  <c r="F302" i="2"/>
  <c r="C302" i="2"/>
  <c r="AC301" i="2"/>
  <c r="AD301" i="2" s="1"/>
  <c r="AA301" i="2"/>
  <c r="X301" i="2"/>
  <c r="W301" i="2"/>
  <c r="U301" i="2"/>
  <c r="R301" i="2"/>
  <c r="N301" i="2"/>
  <c r="L301" i="2"/>
  <c r="H301" i="2"/>
  <c r="I301" i="2" s="1"/>
  <c r="F301" i="2"/>
  <c r="C301" i="2"/>
  <c r="AC300" i="2"/>
  <c r="AA300" i="2"/>
  <c r="W300" i="2"/>
  <c r="U300" i="2"/>
  <c r="R300" i="2"/>
  <c r="N300" i="2"/>
  <c r="O300" i="2" s="1"/>
  <c r="L300" i="2"/>
  <c r="H300" i="2"/>
  <c r="I300" i="2" s="1"/>
  <c r="F300" i="2"/>
  <c r="C300" i="2"/>
  <c r="AC299" i="2"/>
  <c r="AA299" i="2"/>
  <c r="W299" i="2"/>
  <c r="X299" i="2" s="1"/>
  <c r="U299" i="2"/>
  <c r="R299" i="2"/>
  <c r="N299" i="2"/>
  <c r="L299" i="2"/>
  <c r="I299" i="2"/>
  <c r="H299" i="2"/>
  <c r="F299" i="2"/>
  <c r="C299" i="2"/>
  <c r="AC298" i="2"/>
  <c r="AA298" i="2"/>
  <c r="W298" i="2"/>
  <c r="U298" i="2"/>
  <c r="R298" i="2"/>
  <c r="O298" i="2"/>
  <c r="N298" i="2"/>
  <c r="L298" i="2"/>
  <c r="I298" i="2"/>
  <c r="H298" i="2"/>
  <c r="F298" i="2"/>
  <c r="C298" i="2"/>
  <c r="AC297" i="2"/>
  <c r="AA297" i="2"/>
  <c r="W297" i="2"/>
  <c r="U297" i="2"/>
  <c r="R297" i="2"/>
  <c r="N297" i="2"/>
  <c r="L297" i="2"/>
  <c r="H297" i="2"/>
  <c r="I297" i="2" s="1"/>
  <c r="F297" i="2"/>
  <c r="C297" i="2"/>
  <c r="Z295" i="2"/>
  <c r="AA295" i="2" s="1"/>
  <c r="X295" i="2"/>
  <c r="W295" i="2"/>
  <c r="U295" i="2"/>
  <c r="T295" i="2"/>
  <c r="R295" i="2"/>
  <c r="Q295" i="2"/>
  <c r="AC295" i="2" s="1"/>
  <c r="AD295" i="2" s="1"/>
  <c r="K295" i="2"/>
  <c r="L295" i="2" s="1"/>
  <c r="F295" i="2"/>
  <c r="E295" i="2"/>
  <c r="B295" i="2"/>
  <c r="AC294" i="2"/>
  <c r="AA294" i="2"/>
  <c r="W294" i="2"/>
  <c r="X294" i="2" s="1"/>
  <c r="U294" i="2"/>
  <c r="R294" i="2"/>
  <c r="O294" i="2"/>
  <c r="N294" i="2"/>
  <c r="L294" i="2"/>
  <c r="I294" i="2"/>
  <c r="H294" i="2"/>
  <c r="F294" i="2"/>
  <c r="C294" i="2"/>
  <c r="AC293" i="2"/>
  <c r="AD293" i="2" s="1"/>
  <c r="AA293" i="2"/>
  <c r="W293" i="2"/>
  <c r="U293" i="2"/>
  <c r="R293" i="2"/>
  <c r="N293" i="2"/>
  <c r="L293" i="2"/>
  <c r="H293" i="2"/>
  <c r="I293" i="2" s="1"/>
  <c r="F293" i="2"/>
  <c r="C293" i="2"/>
  <c r="AC292" i="2"/>
  <c r="AA292" i="2"/>
  <c r="W292" i="2"/>
  <c r="X292" i="2" s="1"/>
  <c r="U292" i="2"/>
  <c r="R292" i="2"/>
  <c r="N292" i="2"/>
  <c r="L292" i="2"/>
  <c r="H292" i="2"/>
  <c r="I292" i="2" s="1"/>
  <c r="F292" i="2"/>
  <c r="C292" i="2"/>
  <c r="AD291" i="2"/>
  <c r="AC291" i="2"/>
  <c r="AA291" i="2"/>
  <c r="W291" i="2"/>
  <c r="U291" i="2"/>
  <c r="R291" i="2"/>
  <c r="N291" i="2"/>
  <c r="O291" i="2" s="1"/>
  <c r="L291" i="2"/>
  <c r="I291" i="2"/>
  <c r="H291" i="2"/>
  <c r="F291" i="2"/>
  <c r="C291" i="2"/>
  <c r="AC290" i="2"/>
  <c r="AA290" i="2"/>
  <c r="W290" i="2"/>
  <c r="U290" i="2"/>
  <c r="R290" i="2"/>
  <c r="N290" i="2"/>
  <c r="L290" i="2"/>
  <c r="I290" i="2"/>
  <c r="H290" i="2"/>
  <c r="F290" i="2"/>
  <c r="C290" i="2"/>
  <c r="AC289" i="2"/>
  <c r="AA289" i="2"/>
  <c r="W289" i="2"/>
  <c r="U289" i="2"/>
  <c r="R289" i="2"/>
  <c r="N289" i="2"/>
  <c r="L289" i="2"/>
  <c r="I289" i="2"/>
  <c r="H289" i="2"/>
  <c r="F289" i="2"/>
  <c r="C289" i="2"/>
  <c r="AD288" i="2"/>
  <c r="AC288" i="2"/>
  <c r="AA288" i="2"/>
  <c r="W288" i="2"/>
  <c r="U288" i="2"/>
  <c r="R288" i="2"/>
  <c r="N288" i="2"/>
  <c r="L288" i="2"/>
  <c r="H288" i="2"/>
  <c r="I288" i="2" s="1"/>
  <c r="F288" i="2"/>
  <c r="C288" i="2"/>
  <c r="AC287" i="2"/>
  <c r="AA287" i="2"/>
  <c r="W287" i="2"/>
  <c r="U287" i="2"/>
  <c r="R287" i="2"/>
  <c r="N287" i="2"/>
  <c r="L287" i="2"/>
  <c r="I287" i="2"/>
  <c r="H287" i="2"/>
  <c r="F287" i="2"/>
  <c r="C287" i="2"/>
  <c r="AD286" i="2"/>
  <c r="AC286" i="2"/>
  <c r="AA286" i="2"/>
  <c r="W286" i="2"/>
  <c r="U286" i="2"/>
  <c r="R286" i="2"/>
  <c r="N286" i="2"/>
  <c r="O286" i="2" s="1"/>
  <c r="L286" i="2"/>
  <c r="I286" i="2"/>
  <c r="H286" i="2"/>
  <c r="F286" i="2"/>
  <c r="C286" i="2"/>
  <c r="Z284" i="2"/>
  <c r="AA284" i="2" s="1"/>
  <c r="U284" i="2"/>
  <c r="T284" i="2"/>
  <c r="Q284" i="2"/>
  <c r="L284" i="2"/>
  <c r="K284" i="2"/>
  <c r="E284" i="2"/>
  <c r="F284" i="2" s="1"/>
  <c r="C284" i="2"/>
  <c r="B284" i="2"/>
  <c r="AC283" i="2"/>
  <c r="AA283" i="2"/>
  <c r="W283" i="2"/>
  <c r="U283" i="2"/>
  <c r="R283" i="2"/>
  <c r="N283" i="2"/>
  <c r="L283" i="2"/>
  <c r="I283" i="2"/>
  <c r="H283" i="2"/>
  <c r="F283" i="2"/>
  <c r="C283" i="2"/>
  <c r="AC282" i="2"/>
  <c r="AD282" i="2" s="1"/>
  <c r="AA282" i="2"/>
  <c r="W282" i="2"/>
  <c r="U282" i="2"/>
  <c r="R282" i="2"/>
  <c r="N282" i="2"/>
  <c r="L282" i="2"/>
  <c r="I282" i="2"/>
  <c r="H282" i="2"/>
  <c r="F282" i="2"/>
  <c r="C282" i="2"/>
  <c r="AC281" i="2"/>
  <c r="AA281" i="2"/>
  <c r="W281" i="2"/>
  <c r="X281" i="2" s="1"/>
  <c r="U281" i="2"/>
  <c r="R281" i="2"/>
  <c r="N281" i="2"/>
  <c r="L281" i="2"/>
  <c r="H281" i="2"/>
  <c r="I281" i="2" s="1"/>
  <c r="F281" i="2"/>
  <c r="C281" i="2"/>
  <c r="AC280" i="2"/>
  <c r="AA280" i="2"/>
  <c r="W280" i="2"/>
  <c r="U280" i="2"/>
  <c r="R280" i="2"/>
  <c r="N280" i="2"/>
  <c r="L280" i="2"/>
  <c r="H280" i="2"/>
  <c r="I280" i="2" s="1"/>
  <c r="F280" i="2"/>
  <c r="C280" i="2"/>
  <c r="AC279" i="2"/>
  <c r="AA279" i="2"/>
  <c r="W279" i="2"/>
  <c r="U279" i="2"/>
  <c r="R279" i="2"/>
  <c r="N279" i="2"/>
  <c r="L279" i="2"/>
  <c r="I279" i="2"/>
  <c r="H279" i="2"/>
  <c r="F279" i="2"/>
  <c r="C279" i="2"/>
  <c r="AC278" i="2"/>
  <c r="AA278" i="2"/>
  <c r="W278" i="2"/>
  <c r="U278" i="2"/>
  <c r="R278" i="2"/>
  <c r="N278" i="2"/>
  <c r="O278" i="2" s="1"/>
  <c r="L278" i="2"/>
  <c r="I278" i="2"/>
  <c r="H278" i="2"/>
  <c r="F278" i="2"/>
  <c r="C278" i="2"/>
  <c r="AC277" i="2"/>
  <c r="AD277" i="2" s="1"/>
  <c r="AA277" i="2"/>
  <c r="X277" i="2"/>
  <c r="W277" i="2"/>
  <c r="U277" i="2"/>
  <c r="R277" i="2"/>
  <c r="N277" i="2"/>
  <c r="L277" i="2"/>
  <c r="I277" i="2"/>
  <c r="H277" i="2"/>
  <c r="F277" i="2"/>
  <c r="C277" i="2"/>
  <c r="AC276" i="2"/>
  <c r="AA276" i="2"/>
  <c r="W276" i="2"/>
  <c r="X276" i="2" s="1"/>
  <c r="U276" i="2"/>
  <c r="R276" i="2"/>
  <c r="N276" i="2"/>
  <c r="L276" i="2"/>
  <c r="H276" i="2"/>
  <c r="I276" i="2" s="1"/>
  <c r="F276" i="2"/>
  <c r="C276" i="2"/>
  <c r="AC275" i="2"/>
  <c r="AA275" i="2"/>
  <c r="W275" i="2"/>
  <c r="U275" i="2"/>
  <c r="R275" i="2"/>
  <c r="N275" i="2"/>
  <c r="L275" i="2"/>
  <c r="I275" i="2"/>
  <c r="H275" i="2"/>
  <c r="F275" i="2"/>
  <c r="C275" i="2"/>
  <c r="AA273" i="2"/>
  <c r="Z273" i="2"/>
  <c r="T273" i="2"/>
  <c r="U273" i="2" s="1"/>
  <c r="R273" i="2"/>
  <c r="Q273" i="2"/>
  <c r="AC273" i="2" s="1"/>
  <c r="AD273" i="2" s="1"/>
  <c r="L273" i="2"/>
  <c r="K273" i="2"/>
  <c r="H273" i="2"/>
  <c r="I273" i="2" s="1"/>
  <c r="F273" i="2"/>
  <c r="E273" i="2"/>
  <c r="C273" i="2"/>
  <c r="B273" i="2"/>
  <c r="N273" i="2" s="1"/>
  <c r="AC272" i="2"/>
  <c r="AA272" i="2"/>
  <c r="X272" i="2"/>
  <c r="W272" i="2"/>
  <c r="U272" i="2"/>
  <c r="R272" i="2"/>
  <c r="N272" i="2"/>
  <c r="L272" i="2"/>
  <c r="H272" i="2"/>
  <c r="I272" i="2" s="1"/>
  <c r="F272" i="2"/>
  <c r="C272" i="2"/>
  <c r="AD271" i="2"/>
  <c r="AC271" i="2"/>
  <c r="AA271" i="2"/>
  <c r="W271" i="2"/>
  <c r="U271" i="2"/>
  <c r="R271" i="2"/>
  <c r="N271" i="2"/>
  <c r="O271" i="2" s="1"/>
  <c r="L271" i="2"/>
  <c r="I271" i="2"/>
  <c r="H271" i="2"/>
  <c r="F271" i="2"/>
  <c r="C271" i="2"/>
  <c r="AC270" i="2"/>
  <c r="AD270" i="2" s="1"/>
  <c r="AA270" i="2"/>
  <c r="W270" i="2"/>
  <c r="X270" i="2" s="1"/>
  <c r="U270" i="2"/>
  <c r="R270" i="2"/>
  <c r="N270" i="2"/>
  <c r="L270" i="2"/>
  <c r="I270" i="2"/>
  <c r="H270" i="2"/>
  <c r="F270" i="2"/>
  <c r="C270" i="2"/>
  <c r="AC269" i="2"/>
  <c r="AD269" i="2" s="1"/>
  <c r="AA269" i="2"/>
  <c r="W269" i="2"/>
  <c r="U269" i="2"/>
  <c r="R269" i="2"/>
  <c r="N269" i="2"/>
  <c r="O269" i="2" s="1"/>
  <c r="L269" i="2"/>
  <c r="I269" i="2"/>
  <c r="H269" i="2"/>
  <c r="F269" i="2"/>
  <c r="C269" i="2"/>
  <c r="Z267" i="2"/>
  <c r="AA267" i="2" s="1"/>
  <c r="W267" i="2"/>
  <c r="X267" i="2" s="1"/>
  <c r="U267" i="2"/>
  <c r="T267" i="2"/>
  <c r="R267" i="2"/>
  <c r="Q267" i="2"/>
  <c r="K267" i="2"/>
  <c r="F267" i="2"/>
  <c r="E267" i="2"/>
  <c r="B267" i="2"/>
  <c r="AC266" i="2"/>
  <c r="AA266" i="2"/>
  <c r="W266" i="2"/>
  <c r="U266" i="2"/>
  <c r="R266" i="2"/>
  <c r="N266" i="2"/>
  <c r="L266" i="2"/>
  <c r="I266" i="2"/>
  <c r="H266" i="2"/>
  <c r="F266" i="2"/>
  <c r="C266" i="2"/>
  <c r="AC265" i="2"/>
  <c r="AD265" i="2" s="1"/>
  <c r="AA265" i="2"/>
  <c r="W265" i="2"/>
  <c r="U265" i="2"/>
  <c r="R265" i="2"/>
  <c r="N265" i="2"/>
  <c r="L265" i="2"/>
  <c r="I265" i="2"/>
  <c r="H265" i="2"/>
  <c r="F265" i="2"/>
  <c r="C265" i="2"/>
  <c r="Z263" i="2"/>
  <c r="AA263" i="2" s="1"/>
  <c r="W263" i="2"/>
  <c r="X263" i="2" s="1"/>
  <c r="U263" i="2"/>
  <c r="T263" i="2"/>
  <c r="R263" i="2"/>
  <c r="Q263" i="2"/>
  <c r="N263" i="2"/>
  <c r="O263" i="2" s="1"/>
  <c r="L263" i="2"/>
  <c r="K263" i="2"/>
  <c r="F263" i="2"/>
  <c r="E263" i="2"/>
  <c r="B263" i="2"/>
  <c r="AC262" i="2"/>
  <c r="AD262" i="2" s="1"/>
  <c r="AA262" i="2"/>
  <c r="Z262" i="2"/>
  <c r="T262" i="2"/>
  <c r="U262" i="2" s="1"/>
  <c r="R262" i="2"/>
  <c r="Q262" i="2"/>
  <c r="L262" i="2"/>
  <c r="K262" i="2"/>
  <c r="H262" i="2"/>
  <c r="I262" i="2" s="1"/>
  <c r="F262" i="2"/>
  <c r="E262" i="2"/>
  <c r="C262" i="2"/>
  <c r="B262" i="2"/>
  <c r="N262" i="2" s="1"/>
  <c r="AC261" i="2"/>
  <c r="AA261" i="2"/>
  <c r="W261" i="2"/>
  <c r="X261" i="2" s="1"/>
  <c r="U261" i="2"/>
  <c r="R261" i="2"/>
  <c r="N261" i="2"/>
  <c r="L261" i="2"/>
  <c r="H261" i="2"/>
  <c r="I261" i="2" s="1"/>
  <c r="F261" i="2"/>
  <c r="C261" i="2"/>
  <c r="AD260" i="2"/>
  <c r="AC260" i="2"/>
  <c r="AA260" i="2"/>
  <c r="W260" i="2"/>
  <c r="U260" i="2"/>
  <c r="R260" i="2"/>
  <c r="O260" i="2"/>
  <c r="N260" i="2"/>
  <c r="L260" i="2"/>
  <c r="I260" i="2"/>
  <c r="H260" i="2"/>
  <c r="F260" i="2"/>
  <c r="C260" i="2"/>
  <c r="AD259" i="2"/>
  <c r="AC259" i="2"/>
  <c r="AA259" i="2"/>
  <c r="W259" i="2"/>
  <c r="X259" i="2" s="1"/>
  <c r="U259" i="2"/>
  <c r="R259" i="2"/>
  <c r="N259" i="2"/>
  <c r="L259" i="2"/>
  <c r="I259" i="2"/>
  <c r="H259" i="2"/>
  <c r="F259" i="2"/>
  <c r="C259" i="2"/>
  <c r="AC258" i="2"/>
  <c r="AA258" i="2"/>
  <c r="W258" i="2"/>
  <c r="U258" i="2"/>
  <c r="R258" i="2"/>
  <c r="N258" i="2"/>
  <c r="L258" i="2"/>
  <c r="I258" i="2"/>
  <c r="H258" i="2"/>
  <c r="F258" i="2"/>
  <c r="C258" i="2"/>
  <c r="AC257" i="2"/>
  <c r="AA257" i="2"/>
  <c r="X257" i="2"/>
  <c r="W257" i="2"/>
  <c r="U257" i="2"/>
  <c r="R257" i="2"/>
  <c r="N257" i="2"/>
  <c r="L257" i="2"/>
  <c r="H257" i="2"/>
  <c r="I257" i="2" s="1"/>
  <c r="F257" i="2"/>
  <c r="C257" i="2"/>
  <c r="AC256" i="2"/>
  <c r="AA256" i="2"/>
  <c r="W256" i="2"/>
  <c r="U256" i="2"/>
  <c r="R256" i="2"/>
  <c r="N256" i="2"/>
  <c r="O256" i="2" s="1"/>
  <c r="L256" i="2"/>
  <c r="I256" i="2"/>
  <c r="H256" i="2"/>
  <c r="F256" i="2"/>
  <c r="C256" i="2"/>
  <c r="AC255" i="2"/>
  <c r="AD255" i="2" s="1"/>
  <c r="AA255" i="2"/>
  <c r="W255" i="2"/>
  <c r="U255" i="2"/>
  <c r="R255" i="2"/>
  <c r="N255" i="2"/>
  <c r="O255" i="2" s="1"/>
  <c r="L255" i="2"/>
  <c r="I255" i="2"/>
  <c r="H255" i="2"/>
  <c r="F255" i="2"/>
  <c r="C255" i="2"/>
  <c r="AC254" i="2"/>
  <c r="AA254" i="2"/>
  <c r="W254" i="2"/>
  <c r="X254" i="2" s="1"/>
  <c r="U254" i="2"/>
  <c r="R254" i="2"/>
  <c r="N254" i="2"/>
  <c r="L254" i="2"/>
  <c r="I254" i="2"/>
  <c r="H254" i="2"/>
  <c r="F254" i="2"/>
  <c r="C254" i="2"/>
  <c r="AD253" i="2"/>
  <c r="AC253" i="2"/>
  <c r="AA253" i="2"/>
  <c r="W253" i="2"/>
  <c r="X253" i="2" s="1"/>
  <c r="U253" i="2"/>
  <c r="R253" i="2"/>
  <c r="N253" i="2"/>
  <c r="L253" i="2"/>
  <c r="H253" i="2"/>
  <c r="I253" i="2" s="1"/>
  <c r="F253" i="2"/>
  <c r="C253" i="2"/>
  <c r="AD252" i="2"/>
  <c r="AC252" i="2"/>
  <c r="AA252" i="2"/>
  <c r="W252" i="2"/>
  <c r="X252" i="2" s="1"/>
  <c r="U252" i="2"/>
  <c r="R252" i="2"/>
  <c r="N252" i="2"/>
  <c r="O252" i="2" s="1"/>
  <c r="L252" i="2"/>
  <c r="I252" i="2"/>
  <c r="H252" i="2"/>
  <c r="F252" i="2"/>
  <c r="C252" i="2"/>
  <c r="AC251" i="2"/>
  <c r="AA251" i="2"/>
  <c r="X251" i="2"/>
  <c r="W251" i="2"/>
  <c r="U251" i="2"/>
  <c r="R251" i="2"/>
  <c r="N251" i="2"/>
  <c r="L251" i="2"/>
  <c r="I251" i="2"/>
  <c r="H251" i="2"/>
  <c r="F251" i="2"/>
  <c r="C251" i="2"/>
  <c r="AC250" i="2"/>
  <c r="AA250" i="2"/>
  <c r="W250" i="2"/>
  <c r="U250" i="2"/>
  <c r="R250" i="2"/>
  <c r="N250" i="2"/>
  <c r="O250" i="2" s="1"/>
  <c r="L250" i="2"/>
  <c r="I250" i="2"/>
  <c r="H250" i="2"/>
  <c r="F250" i="2"/>
  <c r="C250" i="2"/>
  <c r="AD249" i="2"/>
  <c r="AC249" i="2"/>
  <c r="AA249" i="2"/>
  <c r="W249" i="2"/>
  <c r="U249" i="2"/>
  <c r="R249" i="2"/>
  <c r="N249" i="2"/>
  <c r="O249" i="2" s="1"/>
  <c r="L249" i="2"/>
  <c r="I249" i="2"/>
  <c r="H249" i="2"/>
  <c r="F249" i="2"/>
  <c r="C249" i="2"/>
  <c r="AC248" i="2"/>
  <c r="AD248" i="2" s="1"/>
  <c r="AA248" i="2"/>
  <c r="X248" i="2"/>
  <c r="W248" i="2"/>
  <c r="U248" i="2"/>
  <c r="R248" i="2"/>
  <c r="N248" i="2"/>
  <c r="L248" i="2"/>
  <c r="H248" i="2"/>
  <c r="I248" i="2" s="1"/>
  <c r="F248" i="2"/>
  <c r="C248" i="2"/>
  <c r="AC247" i="2"/>
  <c r="AA247" i="2"/>
  <c r="W247" i="2"/>
  <c r="X247" i="2" s="1"/>
  <c r="U247" i="2"/>
  <c r="R247" i="2"/>
  <c r="N247" i="2"/>
  <c r="L247" i="2"/>
  <c r="I247" i="2"/>
  <c r="H247" i="2"/>
  <c r="F247" i="2"/>
  <c r="C247" i="2"/>
  <c r="AC246" i="2"/>
  <c r="AA246" i="2"/>
  <c r="W246" i="2"/>
  <c r="X246" i="2" s="1"/>
  <c r="U246" i="2"/>
  <c r="R246" i="2"/>
  <c r="N246" i="2"/>
  <c r="O246" i="2" s="1"/>
  <c r="L246" i="2"/>
  <c r="I246" i="2"/>
  <c r="H246" i="2"/>
  <c r="F246" i="2"/>
  <c r="C246" i="2"/>
  <c r="AC245" i="2"/>
  <c r="AA245" i="2"/>
  <c r="W245" i="2"/>
  <c r="U245" i="2"/>
  <c r="R245" i="2"/>
  <c r="N245" i="2"/>
  <c r="O245" i="2" s="1"/>
  <c r="L245" i="2"/>
  <c r="I245" i="2"/>
  <c r="H245" i="2"/>
  <c r="F245" i="2"/>
  <c r="C245" i="2"/>
  <c r="AC244" i="2"/>
  <c r="AD244" i="2" s="1"/>
  <c r="AA244" i="2"/>
  <c r="W244" i="2"/>
  <c r="U244" i="2"/>
  <c r="R244" i="2"/>
  <c r="N244" i="2"/>
  <c r="O244" i="2" s="1"/>
  <c r="L244" i="2"/>
  <c r="H244" i="2"/>
  <c r="I244" i="2" s="1"/>
  <c r="F244" i="2"/>
  <c r="C244" i="2"/>
  <c r="AC243" i="2"/>
  <c r="AA243" i="2"/>
  <c r="W243" i="2"/>
  <c r="X243" i="2" s="1"/>
  <c r="U243" i="2"/>
  <c r="R243" i="2"/>
  <c r="N243" i="2"/>
  <c r="L243" i="2"/>
  <c r="H243" i="2"/>
  <c r="I243" i="2" s="1"/>
  <c r="F243" i="2"/>
  <c r="C243" i="2"/>
  <c r="AD242" i="2"/>
  <c r="AC242" i="2"/>
  <c r="AA242" i="2"/>
  <c r="W242" i="2"/>
  <c r="U242" i="2"/>
  <c r="R242" i="2"/>
  <c r="O242" i="2"/>
  <c r="N242" i="2"/>
  <c r="L242" i="2"/>
  <c r="I242" i="2"/>
  <c r="H242" i="2"/>
  <c r="F242" i="2"/>
  <c r="C242" i="2"/>
  <c r="AC241" i="2"/>
  <c r="AD241" i="2" s="1"/>
  <c r="AA241" i="2"/>
  <c r="W241" i="2"/>
  <c r="U241" i="2"/>
  <c r="R241" i="2"/>
  <c r="N241" i="2"/>
  <c r="O241" i="2" s="1"/>
  <c r="L241" i="2"/>
  <c r="I241" i="2"/>
  <c r="H241" i="2"/>
  <c r="F241" i="2"/>
  <c r="C241" i="2"/>
  <c r="AC240" i="2"/>
  <c r="AA240" i="2"/>
  <c r="W240" i="2"/>
  <c r="X240" i="2" s="1"/>
  <c r="U240" i="2"/>
  <c r="R240" i="2"/>
  <c r="N240" i="2"/>
  <c r="O240" i="2" s="1"/>
  <c r="L240" i="2"/>
  <c r="H240" i="2"/>
  <c r="I240" i="2" s="1"/>
  <c r="F240" i="2"/>
  <c r="C240" i="2"/>
  <c r="AC238" i="2"/>
  <c r="AA238" i="2"/>
  <c r="X238" i="2"/>
  <c r="W238" i="2"/>
  <c r="U238" i="2"/>
  <c r="R238" i="2"/>
  <c r="N238" i="2"/>
  <c r="L238" i="2"/>
  <c r="H238" i="2"/>
  <c r="I238" i="2" s="1"/>
  <c r="F238" i="2"/>
  <c r="C238" i="2"/>
  <c r="AA236" i="2"/>
  <c r="Z236" i="2"/>
  <c r="T236" i="2"/>
  <c r="W236" i="2" s="1"/>
  <c r="X236" i="2" s="1"/>
  <c r="R236" i="2"/>
  <c r="Q236" i="2"/>
  <c r="AC236" i="2" s="1"/>
  <c r="AD236" i="2" s="1"/>
  <c r="K236" i="2"/>
  <c r="L236" i="2" s="1"/>
  <c r="H236" i="2"/>
  <c r="I236" i="2" s="1"/>
  <c r="F236" i="2"/>
  <c r="E236" i="2"/>
  <c r="C236" i="2"/>
  <c r="B236" i="2"/>
  <c r="AC235" i="2"/>
  <c r="AD235" i="2" s="1"/>
  <c r="AA235" i="2"/>
  <c r="W235" i="2"/>
  <c r="X235" i="2" s="1"/>
  <c r="U235" i="2"/>
  <c r="R235" i="2"/>
  <c r="N235" i="2"/>
  <c r="L235" i="2"/>
  <c r="H235" i="2"/>
  <c r="I235" i="2" s="1"/>
  <c r="F235" i="2"/>
  <c r="C235" i="2"/>
  <c r="AC234" i="2"/>
  <c r="AA234" i="2"/>
  <c r="W234" i="2"/>
  <c r="X234" i="2" s="1"/>
  <c r="U234" i="2"/>
  <c r="R234" i="2"/>
  <c r="N234" i="2"/>
  <c r="L234" i="2"/>
  <c r="I234" i="2"/>
  <c r="H234" i="2"/>
  <c r="F234" i="2"/>
  <c r="C234" i="2"/>
  <c r="AC233" i="2"/>
  <c r="AA233" i="2"/>
  <c r="W233" i="2"/>
  <c r="X233" i="2" s="1"/>
  <c r="U233" i="2"/>
  <c r="R233" i="2"/>
  <c r="N233" i="2"/>
  <c r="O233" i="2" s="1"/>
  <c r="L233" i="2"/>
  <c r="I233" i="2"/>
  <c r="H233" i="2"/>
  <c r="F233" i="2"/>
  <c r="C233" i="2"/>
  <c r="AC232" i="2"/>
  <c r="AA232" i="2"/>
  <c r="W232" i="2"/>
  <c r="U232" i="2"/>
  <c r="R232" i="2"/>
  <c r="N232" i="2"/>
  <c r="O232" i="2" s="1"/>
  <c r="L232" i="2"/>
  <c r="I232" i="2"/>
  <c r="H232" i="2"/>
  <c r="F232" i="2"/>
  <c r="C232" i="2"/>
  <c r="AD231" i="2"/>
  <c r="AC231" i="2"/>
  <c r="AA231" i="2"/>
  <c r="W231" i="2"/>
  <c r="U231" i="2"/>
  <c r="R231" i="2"/>
  <c r="N231" i="2"/>
  <c r="O231" i="2" s="1"/>
  <c r="L231" i="2"/>
  <c r="I231" i="2"/>
  <c r="H231" i="2"/>
  <c r="F231" i="2"/>
  <c r="C231" i="2"/>
  <c r="AC230" i="2"/>
  <c r="AA230" i="2"/>
  <c r="X230" i="2"/>
  <c r="W230" i="2"/>
  <c r="U230" i="2"/>
  <c r="R230" i="2"/>
  <c r="N230" i="2"/>
  <c r="L230" i="2"/>
  <c r="H230" i="2"/>
  <c r="I230" i="2" s="1"/>
  <c r="F230" i="2"/>
  <c r="C230" i="2"/>
  <c r="AD229" i="2"/>
  <c r="AC229" i="2"/>
  <c r="AA229" i="2"/>
  <c r="W229" i="2"/>
  <c r="U229" i="2"/>
  <c r="R229" i="2"/>
  <c r="N229" i="2"/>
  <c r="O229" i="2" s="1"/>
  <c r="L229" i="2"/>
  <c r="I229" i="2"/>
  <c r="H229" i="2"/>
  <c r="F229" i="2"/>
  <c r="C229" i="2"/>
  <c r="AC227" i="2"/>
  <c r="AD227" i="2" s="1"/>
  <c r="AA227" i="2"/>
  <c r="Z227" i="2"/>
  <c r="U227" i="2"/>
  <c r="T227" i="2"/>
  <c r="Q227" i="2"/>
  <c r="L227" i="2"/>
  <c r="K227" i="2"/>
  <c r="I227" i="2"/>
  <c r="H227" i="2"/>
  <c r="F227" i="2"/>
  <c r="E227" i="2"/>
  <c r="C227" i="2"/>
  <c r="B227" i="2"/>
  <c r="N227" i="2" s="1"/>
  <c r="O227" i="2" s="1"/>
  <c r="AC226" i="2"/>
  <c r="AA226" i="2"/>
  <c r="X226" i="2"/>
  <c r="W226" i="2"/>
  <c r="U226" i="2"/>
  <c r="R226" i="2"/>
  <c r="N226" i="2"/>
  <c r="L226" i="2"/>
  <c r="H226" i="2"/>
  <c r="I226" i="2" s="1"/>
  <c r="F226" i="2"/>
  <c r="C226" i="2"/>
  <c r="AC225" i="2"/>
  <c r="AA225" i="2"/>
  <c r="W225" i="2"/>
  <c r="U225" i="2"/>
  <c r="R225" i="2"/>
  <c r="O225" i="2"/>
  <c r="N225" i="2"/>
  <c r="L225" i="2"/>
  <c r="I225" i="2"/>
  <c r="H225" i="2"/>
  <c r="F225" i="2"/>
  <c r="C225" i="2"/>
  <c r="AC224" i="2"/>
  <c r="AD224" i="2" s="1"/>
  <c r="AA224" i="2"/>
  <c r="W224" i="2"/>
  <c r="U224" i="2"/>
  <c r="R224" i="2"/>
  <c r="N224" i="2"/>
  <c r="O224" i="2" s="1"/>
  <c r="L224" i="2"/>
  <c r="I224" i="2"/>
  <c r="H224" i="2"/>
  <c r="F224" i="2"/>
  <c r="C224" i="2"/>
  <c r="AC223" i="2"/>
  <c r="AD223" i="2" s="1"/>
  <c r="AA223" i="2"/>
  <c r="X223" i="2"/>
  <c r="W223" i="2"/>
  <c r="U223" i="2"/>
  <c r="R223" i="2"/>
  <c r="N223" i="2"/>
  <c r="L223" i="2"/>
  <c r="H223" i="2"/>
  <c r="I223" i="2" s="1"/>
  <c r="F223" i="2"/>
  <c r="C223" i="2"/>
  <c r="AC222" i="2"/>
  <c r="AA222" i="2"/>
  <c r="W222" i="2"/>
  <c r="X222" i="2" s="1"/>
  <c r="U222" i="2"/>
  <c r="R222" i="2"/>
  <c r="N222" i="2"/>
  <c r="L222" i="2"/>
  <c r="I222" i="2"/>
  <c r="H222" i="2"/>
  <c r="F222" i="2"/>
  <c r="C222" i="2"/>
  <c r="AC221" i="2"/>
  <c r="AA221" i="2"/>
  <c r="W221" i="2"/>
  <c r="X221" i="2" s="1"/>
  <c r="U221" i="2"/>
  <c r="R221" i="2"/>
  <c r="N221" i="2"/>
  <c r="O221" i="2" s="1"/>
  <c r="L221" i="2"/>
  <c r="I221" i="2"/>
  <c r="H221" i="2"/>
  <c r="F221" i="2"/>
  <c r="C221" i="2"/>
  <c r="AC220" i="2"/>
  <c r="AA220" i="2"/>
  <c r="W220" i="2"/>
  <c r="U220" i="2"/>
  <c r="R220" i="2"/>
  <c r="O220" i="2"/>
  <c r="N220" i="2"/>
  <c r="L220" i="2"/>
  <c r="I220" i="2"/>
  <c r="H220" i="2"/>
  <c r="F220" i="2"/>
  <c r="C220" i="2"/>
  <c r="AD219" i="2"/>
  <c r="AC219" i="2"/>
  <c r="AA219" i="2"/>
  <c r="W219" i="2"/>
  <c r="U219" i="2"/>
  <c r="R219" i="2"/>
  <c r="N219" i="2"/>
  <c r="O219" i="2" s="1"/>
  <c r="L219" i="2"/>
  <c r="I219" i="2"/>
  <c r="H219" i="2"/>
  <c r="F219" i="2"/>
  <c r="C219" i="2"/>
  <c r="Z218" i="2"/>
  <c r="AA218" i="2" s="1"/>
  <c r="W218" i="2"/>
  <c r="X218" i="2" s="1"/>
  <c r="U218" i="2"/>
  <c r="T218" i="2"/>
  <c r="R218" i="2"/>
  <c r="Q218" i="2"/>
  <c r="L218" i="2"/>
  <c r="K218" i="2"/>
  <c r="N218" i="2" s="1"/>
  <c r="O218" i="2" s="1"/>
  <c r="I218" i="2"/>
  <c r="F218" i="2"/>
  <c r="E218" i="2"/>
  <c r="B218" i="2"/>
  <c r="H218" i="2" s="1"/>
  <c r="AC217" i="2"/>
  <c r="AD217" i="2" s="1"/>
  <c r="AA217" i="2"/>
  <c r="W217" i="2"/>
  <c r="U217" i="2"/>
  <c r="R217" i="2"/>
  <c r="N217" i="2"/>
  <c r="O217" i="2" s="1"/>
  <c r="L217" i="2"/>
  <c r="I217" i="2"/>
  <c r="H217" i="2"/>
  <c r="F217" i="2"/>
  <c r="C217" i="2"/>
  <c r="AC216" i="2"/>
  <c r="AA216" i="2"/>
  <c r="W216" i="2"/>
  <c r="X216" i="2" s="1"/>
  <c r="U216" i="2"/>
  <c r="R216" i="2"/>
  <c r="N216" i="2"/>
  <c r="O216" i="2" s="1"/>
  <c r="L216" i="2"/>
  <c r="H216" i="2"/>
  <c r="I216" i="2" s="1"/>
  <c r="F216" i="2"/>
  <c r="C216" i="2"/>
  <c r="AC215" i="2"/>
  <c r="AA215" i="2"/>
  <c r="X215" i="2"/>
  <c r="W215" i="2"/>
  <c r="U215" i="2"/>
  <c r="R215" i="2"/>
  <c r="N215" i="2"/>
  <c r="L215" i="2"/>
  <c r="I215" i="2"/>
  <c r="H215" i="2"/>
  <c r="F215" i="2"/>
  <c r="C215" i="2"/>
  <c r="AC214" i="2"/>
  <c r="AA214" i="2"/>
  <c r="W214" i="2"/>
  <c r="X214" i="2" s="1"/>
  <c r="U214" i="2"/>
  <c r="R214" i="2"/>
  <c r="O214" i="2"/>
  <c r="N214" i="2"/>
  <c r="L214" i="2"/>
  <c r="I214" i="2"/>
  <c r="H214" i="2"/>
  <c r="F214" i="2"/>
  <c r="C214" i="2"/>
  <c r="AD213" i="2"/>
  <c r="AC213" i="2"/>
  <c r="AA213" i="2"/>
  <c r="W213" i="2"/>
  <c r="U213" i="2"/>
  <c r="R213" i="2"/>
  <c r="N213" i="2"/>
  <c r="O213" i="2" s="1"/>
  <c r="L213" i="2"/>
  <c r="I213" i="2"/>
  <c r="H213" i="2"/>
  <c r="F213" i="2"/>
  <c r="C213" i="2"/>
  <c r="AC211" i="2"/>
  <c r="AD211" i="2" s="1"/>
  <c r="AA211" i="2"/>
  <c r="X211" i="2"/>
  <c r="W211" i="2"/>
  <c r="U211" i="2"/>
  <c r="R211" i="2"/>
  <c r="N211" i="2"/>
  <c r="L211" i="2"/>
  <c r="I211" i="2"/>
  <c r="H211" i="2"/>
  <c r="F211" i="2"/>
  <c r="C211" i="2"/>
  <c r="AA209" i="2"/>
  <c r="Z209" i="2"/>
  <c r="W209" i="2"/>
  <c r="X209" i="2" s="1"/>
  <c r="U209" i="2"/>
  <c r="T209" i="2"/>
  <c r="R209" i="2"/>
  <c r="Q209" i="2"/>
  <c r="AC209" i="2" s="1"/>
  <c r="AD209" i="2" s="1"/>
  <c r="K209" i="2"/>
  <c r="L209" i="2" s="1"/>
  <c r="H209" i="2"/>
  <c r="I209" i="2" s="1"/>
  <c r="F209" i="2"/>
  <c r="E209" i="2"/>
  <c r="C209" i="2"/>
  <c r="B209" i="2"/>
  <c r="N209" i="2" s="1"/>
  <c r="O209" i="2" s="1"/>
  <c r="AC208" i="2"/>
  <c r="AD208" i="2" s="1"/>
  <c r="AA208" i="2"/>
  <c r="X208" i="2"/>
  <c r="W208" i="2"/>
  <c r="U208" i="2"/>
  <c r="R208" i="2"/>
  <c r="N208" i="2"/>
  <c r="O208" i="2" s="1"/>
  <c r="L208" i="2"/>
  <c r="H208" i="2"/>
  <c r="I208" i="2" s="1"/>
  <c r="F208" i="2"/>
  <c r="C208" i="2"/>
  <c r="AC207" i="2"/>
  <c r="AA207" i="2"/>
  <c r="W207" i="2"/>
  <c r="X207" i="2" s="1"/>
  <c r="U207" i="2"/>
  <c r="R207" i="2"/>
  <c r="N207" i="2"/>
  <c r="O207" i="2" s="1"/>
  <c r="L207" i="2"/>
  <c r="H207" i="2"/>
  <c r="I207" i="2" s="1"/>
  <c r="F207" i="2"/>
  <c r="C207" i="2"/>
  <c r="AC206" i="2"/>
  <c r="AA206" i="2"/>
  <c r="X206" i="2"/>
  <c r="W206" i="2"/>
  <c r="U206" i="2"/>
  <c r="R206" i="2"/>
  <c r="N206" i="2"/>
  <c r="L206" i="2"/>
  <c r="I206" i="2"/>
  <c r="H206" i="2"/>
  <c r="F206" i="2"/>
  <c r="C206" i="2"/>
  <c r="AC205" i="2"/>
  <c r="AD205" i="2" s="1"/>
  <c r="AA205" i="2"/>
  <c r="W205" i="2"/>
  <c r="X205" i="2" s="1"/>
  <c r="U205" i="2"/>
  <c r="R205" i="2"/>
  <c r="N205" i="2"/>
  <c r="L205" i="2"/>
  <c r="I205" i="2"/>
  <c r="H205" i="2"/>
  <c r="F205" i="2"/>
  <c r="C205" i="2"/>
  <c r="AD204" i="2"/>
  <c r="AC204" i="2"/>
  <c r="AA204" i="2"/>
  <c r="W204" i="2"/>
  <c r="U204" i="2"/>
  <c r="R204" i="2"/>
  <c r="O204" i="2"/>
  <c r="N204" i="2"/>
  <c r="L204" i="2"/>
  <c r="H204" i="2"/>
  <c r="I204" i="2" s="1"/>
  <c r="F204" i="2"/>
  <c r="C204" i="2"/>
  <c r="AD203" i="2"/>
  <c r="AC203" i="2"/>
  <c r="AA203" i="2"/>
  <c r="W203" i="2"/>
  <c r="U203" i="2"/>
  <c r="R203" i="2"/>
  <c r="N203" i="2"/>
  <c r="O203" i="2" s="1"/>
  <c r="L203" i="2"/>
  <c r="I203" i="2"/>
  <c r="H203" i="2"/>
  <c r="F203" i="2"/>
  <c r="C203" i="2"/>
  <c r="AC202" i="2"/>
  <c r="AA202" i="2"/>
  <c r="W202" i="2"/>
  <c r="X202" i="2" s="1"/>
  <c r="U202" i="2"/>
  <c r="R202" i="2"/>
  <c r="N202" i="2"/>
  <c r="L202" i="2"/>
  <c r="H202" i="2"/>
  <c r="I202" i="2" s="1"/>
  <c r="F202" i="2"/>
  <c r="C202" i="2"/>
  <c r="AD201" i="2"/>
  <c r="AC201" i="2"/>
  <c r="AA201" i="2"/>
  <c r="W201" i="2"/>
  <c r="U201" i="2"/>
  <c r="R201" i="2"/>
  <c r="O201" i="2"/>
  <c r="N201" i="2"/>
  <c r="L201" i="2"/>
  <c r="I201" i="2"/>
  <c r="H201" i="2"/>
  <c r="F201" i="2"/>
  <c r="C201" i="2"/>
  <c r="Z197" i="2"/>
  <c r="AA197" i="2" s="1"/>
  <c r="W197" i="2"/>
  <c r="X197" i="2" s="1"/>
  <c r="U197" i="2"/>
  <c r="T197" i="2"/>
  <c r="R197" i="2"/>
  <c r="Q197" i="2"/>
  <c r="K197" i="2"/>
  <c r="N197" i="2" s="1"/>
  <c r="O197" i="2" s="1"/>
  <c r="F197" i="2"/>
  <c r="E197" i="2"/>
  <c r="C197" i="2"/>
  <c r="B197" i="2"/>
  <c r="H197" i="2" s="1"/>
  <c r="I197" i="2" s="1"/>
  <c r="AA196" i="2"/>
  <c r="Z196" i="2"/>
  <c r="T196" i="2"/>
  <c r="U196" i="2" s="1"/>
  <c r="Q196" i="2"/>
  <c r="W196" i="2" s="1"/>
  <c r="X196" i="2" s="1"/>
  <c r="L196" i="2"/>
  <c r="K196" i="2"/>
  <c r="E196" i="2"/>
  <c r="F196" i="2" s="1"/>
  <c r="B196" i="2"/>
  <c r="H196" i="2" s="1"/>
  <c r="I196" i="2" s="1"/>
  <c r="AC195" i="2"/>
  <c r="AA195" i="2"/>
  <c r="W195" i="2"/>
  <c r="X195" i="2" s="1"/>
  <c r="U195" i="2"/>
  <c r="R195" i="2"/>
  <c r="O195" i="2"/>
  <c r="N195" i="2"/>
  <c r="L195" i="2"/>
  <c r="H195" i="2"/>
  <c r="I195" i="2" s="1"/>
  <c r="F195" i="2"/>
  <c r="C195" i="2"/>
  <c r="AC194" i="2"/>
  <c r="AD194" i="2" s="1"/>
  <c r="AA194" i="2"/>
  <c r="W194" i="2"/>
  <c r="U194" i="2"/>
  <c r="R194" i="2"/>
  <c r="N194" i="2"/>
  <c r="O194" i="2" s="1"/>
  <c r="L194" i="2"/>
  <c r="I194" i="2"/>
  <c r="H194" i="2"/>
  <c r="F194" i="2"/>
  <c r="C194" i="2"/>
  <c r="AA193" i="2"/>
  <c r="Z193" i="2"/>
  <c r="AC193" i="2" s="1"/>
  <c r="AD193" i="2" s="1"/>
  <c r="T193" i="2"/>
  <c r="U193" i="2" s="1"/>
  <c r="R193" i="2"/>
  <c r="Q193" i="2"/>
  <c r="L193" i="2"/>
  <c r="K193" i="2"/>
  <c r="I193" i="2"/>
  <c r="H193" i="2"/>
  <c r="F193" i="2"/>
  <c r="E193" i="2"/>
  <c r="B193" i="2"/>
  <c r="C193" i="2" s="1"/>
  <c r="AC192" i="2"/>
  <c r="AA192" i="2"/>
  <c r="W192" i="2"/>
  <c r="X192" i="2" s="1"/>
  <c r="U192" i="2"/>
  <c r="R192" i="2"/>
  <c r="N192" i="2"/>
  <c r="L192" i="2"/>
  <c r="H192" i="2"/>
  <c r="I192" i="2" s="1"/>
  <c r="F192" i="2"/>
  <c r="C192" i="2"/>
  <c r="AC191" i="2"/>
  <c r="AD191" i="2" s="1"/>
  <c r="AA191" i="2"/>
  <c r="W191" i="2"/>
  <c r="X191" i="2" s="1"/>
  <c r="U191" i="2"/>
  <c r="R191" i="2"/>
  <c r="O191" i="2"/>
  <c r="N191" i="2"/>
  <c r="L191" i="2"/>
  <c r="I191" i="2"/>
  <c r="H191" i="2"/>
  <c r="F191" i="2"/>
  <c r="C191" i="2"/>
  <c r="AC190" i="2"/>
  <c r="AD190" i="2" s="1"/>
  <c r="AA190" i="2"/>
  <c r="W190" i="2"/>
  <c r="U190" i="2"/>
  <c r="R190" i="2"/>
  <c r="O190" i="2"/>
  <c r="N190" i="2"/>
  <c r="L190" i="2"/>
  <c r="I190" i="2"/>
  <c r="H190" i="2"/>
  <c r="F190" i="2"/>
  <c r="C190" i="2"/>
  <c r="AC189" i="2"/>
  <c r="AD189" i="2" s="1"/>
  <c r="AA189" i="2"/>
  <c r="X189" i="2"/>
  <c r="W189" i="2"/>
  <c r="U189" i="2"/>
  <c r="R189" i="2"/>
  <c r="N189" i="2"/>
  <c r="L189" i="2"/>
  <c r="I189" i="2"/>
  <c r="H189" i="2"/>
  <c r="F189" i="2"/>
  <c r="C189" i="2"/>
  <c r="AC188" i="2"/>
  <c r="AA188" i="2"/>
  <c r="W188" i="2"/>
  <c r="X188" i="2" s="1"/>
  <c r="U188" i="2"/>
  <c r="R188" i="2"/>
  <c r="O188" i="2"/>
  <c r="N188" i="2"/>
  <c r="L188" i="2"/>
  <c r="H188" i="2"/>
  <c r="I188" i="2" s="1"/>
  <c r="F188" i="2"/>
  <c r="C188" i="2"/>
  <c r="AC187" i="2"/>
  <c r="AD187" i="2" s="1"/>
  <c r="AA187" i="2"/>
  <c r="W187" i="2"/>
  <c r="U187" i="2"/>
  <c r="R187" i="2"/>
  <c r="O187" i="2"/>
  <c r="N187" i="2"/>
  <c r="L187" i="2"/>
  <c r="I187" i="2"/>
  <c r="H187" i="2"/>
  <c r="F187" i="2"/>
  <c r="C187" i="2"/>
  <c r="AC186" i="2"/>
  <c r="AD186" i="2" s="1"/>
  <c r="AA186" i="2"/>
  <c r="X186" i="2"/>
  <c r="W186" i="2"/>
  <c r="U186" i="2"/>
  <c r="R186" i="2"/>
  <c r="N186" i="2"/>
  <c r="O186" i="2" s="1"/>
  <c r="L186" i="2"/>
  <c r="H186" i="2"/>
  <c r="I186" i="2" s="1"/>
  <c r="F186" i="2"/>
  <c r="C186" i="2"/>
  <c r="AC184" i="2"/>
  <c r="AD184" i="2" s="1"/>
  <c r="AA184" i="2"/>
  <c r="W184" i="2"/>
  <c r="X184" i="2" s="1"/>
  <c r="U184" i="2"/>
  <c r="R184" i="2"/>
  <c r="N184" i="2"/>
  <c r="L184" i="2"/>
  <c r="H184" i="2"/>
  <c r="I184" i="2" s="1"/>
  <c r="F184" i="2"/>
  <c r="C184" i="2"/>
  <c r="AC183" i="2"/>
  <c r="AA183" i="2"/>
  <c r="W183" i="2"/>
  <c r="U183" i="2"/>
  <c r="R183" i="2"/>
  <c r="O183" i="2"/>
  <c r="N183" i="2"/>
  <c r="L183" i="2"/>
  <c r="I183" i="2"/>
  <c r="H183" i="2"/>
  <c r="F183" i="2"/>
  <c r="C183" i="2"/>
  <c r="AA182" i="2"/>
  <c r="Z182" i="2"/>
  <c r="T182" i="2"/>
  <c r="U182" i="2" s="1"/>
  <c r="Q182" i="2"/>
  <c r="L182" i="2"/>
  <c r="K182" i="2"/>
  <c r="I182" i="2"/>
  <c r="H182" i="2"/>
  <c r="E182" i="2"/>
  <c r="F182" i="2" s="1"/>
  <c r="C182" i="2"/>
  <c r="B182" i="2"/>
  <c r="N182" i="2" s="1"/>
  <c r="O182" i="2" s="1"/>
  <c r="AC181" i="2"/>
  <c r="AD181" i="2" s="1"/>
  <c r="AA181" i="2"/>
  <c r="W181" i="2"/>
  <c r="U181" i="2"/>
  <c r="R181" i="2"/>
  <c r="N181" i="2"/>
  <c r="O181" i="2" s="1"/>
  <c r="L181" i="2"/>
  <c r="H181" i="2"/>
  <c r="I181" i="2" s="1"/>
  <c r="F181" i="2"/>
  <c r="C181" i="2"/>
  <c r="AC180" i="2"/>
  <c r="AA180" i="2"/>
  <c r="W180" i="2"/>
  <c r="X180" i="2" s="1"/>
  <c r="U180" i="2"/>
  <c r="R180" i="2"/>
  <c r="N180" i="2"/>
  <c r="L180" i="2"/>
  <c r="H180" i="2"/>
  <c r="I180" i="2" s="1"/>
  <c r="F180" i="2"/>
  <c r="C180" i="2"/>
  <c r="AD179" i="2"/>
  <c r="AC179" i="2"/>
  <c r="AA179" i="2"/>
  <c r="W179" i="2"/>
  <c r="U179" i="2"/>
  <c r="R179" i="2"/>
  <c r="N179" i="2"/>
  <c r="O179" i="2" s="1"/>
  <c r="L179" i="2"/>
  <c r="I179" i="2"/>
  <c r="H179" i="2"/>
  <c r="F179" i="2"/>
  <c r="C179" i="2"/>
  <c r="AD178" i="2"/>
  <c r="AC178" i="2"/>
  <c r="AA178" i="2"/>
  <c r="X178" i="2"/>
  <c r="W178" i="2"/>
  <c r="U178" i="2"/>
  <c r="R178" i="2"/>
  <c r="N178" i="2"/>
  <c r="O178" i="2" s="1"/>
  <c r="L178" i="2"/>
  <c r="H178" i="2"/>
  <c r="I178" i="2" s="1"/>
  <c r="F178" i="2"/>
  <c r="C178" i="2"/>
  <c r="AC177" i="2"/>
  <c r="AA177" i="2"/>
  <c r="W177" i="2"/>
  <c r="X177" i="2" s="1"/>
  <c r="U177" i="2"/>
  <c r="R177" i="2"/>
  <c r="N177" i="2"/>
  <c r="L177" i="2"/>
  <c r="H177" i="2"/>
  <c r="I177" i="2" s="1"/>
  <c r="F177" i="2"/>
  <c r="C177" i="2"/>
  <c r="AC175" i="2"/>
  <c r="AA175" i="2"/>
  <c r="W175" i="2"/>
  <c r="X175" i="2" s="1"/>
  <c r="U175" i="2"/>
  <c r="R175" i="2"/>
  <c r="O175" i="2"/>
  <c r="N175" i="2"/>
  <c r="L175" i="2"/>
  <c r="I175" i="2"/>
  <c r="H175" i="2"/>
  <c r="F175" i="2"/>
  <c r="C175" i="2"/>
  <c r="L172" i="2"/>
  <c r="K172" i="2"/>
  <c r="H172" i="2"/>
  <c r="I172" i="2" s="1"/>
  <c r="Z171" i="2"/>
  <c r="AA171" i="2" s="1"/>
  <c r="X171" i="2"/>
  <c r="W171" i="2"/>
  <c r="U171" i="2"/>
  <c r="T171" i="2"/>
  <c r="R171" i="2"/>
  <c r="Q171" i="2"/>
  <c r="N171" i="2"/>
  <c r="O171" i="2" s="1"/>
  <c r="L171" i="2"/>
  <c r="K171" i="2"/>
  <c r="F171" i="2"/>
  <c r="E171" i="2"/>
  <c r="B171" i="2"/>
  <c r="H171" i="2" s="1"/>
  <c r="I171" i="2" s="1"/>
  <c r="AD170" i="2"/>
  <c r="AC170" i="2"/>
  <c r="AA170" i="2"/>
  <c r="Z170" i="2"/>
  <c r="T170" i="2"/>
  <c r="U170" i="2" s="1"/>
  <c r="R170" i="2"/>
  <c r="Q170" i="2"/>
  <c r="W170" i="2" s="1"/>
  <c r="X170" i="2" s="1"/>
  <c r="K170" i="2"/>
  <c r="L170" i="2" s="1"/>
  <c r="E170" i="2"/>
  <c r="H170" i="2" s="1"/>
  <c r="I170" i="2" s="1"/>
  <c r="C170" i="2"/>
  <c r="B170" i="2"/>
  <c r="AC169" i="2"/>
  <c r="AD169" i="2" s="1"/>
  <c r="AA169" i="2"/>
  <c r="W169" i="2"/>
  <c r="X169" i="2" s="1"/>
  <c r="U169" i="2"/>
  <c r="R169" i="2"/>
  <c r="N169" i="2"/>
  <c r="O169" i="2" s="1"/>
  <c r="L169" i="2"/>
  <c r="I169" i="2"/>
  <c r="H169" i="2"/>
  <c r="F169" i="2"/>
  <c r="C169" i="2"/>
  <c r="AC168" i="2"/>
  <c r="AA168" i="2"/>
  <c r="X168" i="2"/>
  <c r="W168" i="2"/>
  <c r="U168" i="2"/>
  <c r="R168" i="2"/>
  <c r="N168" i="2"/>
  <c r="L168" i="2"/>
  <c r="I168" i="2"/>
  <c r="H168" i="2"/>
  <c r="F168" i="2"/>
  <c r="C168" i="2"/>
  <c r="AC167" i="2"/>
  <c r="AA167" i="2"/>
  <c r="W167" i="2"/>
  <c r="U167" i="2"/>
  <c r="R167" i="2"/>
  <c r="N167" i="2"/>
  <c r="O167" i="2" s="1"/>
  <c r="L167" i="2"/>
  <c r="I167" i="2"/>
  <c r="H167" i="2"/>
  <c r="F167" i="2"/>
  <c r="C167" i="2"/>
  <c r="AD166" i="2"/>
  <c r="AC166" i="2"/>
  <c r="AA166" i="2"/>
  <c r="Z166" i="2"/>
  <c r="T166" i="2"/>
  <c r="U166" i="2" s="1"/>
  <c r="Q166" i="2"/>
  <c r="N166" i="2"/>
  <c r="O166" i="2" s="1"/>
  <c r="L166" i="2"/>
  <c r="K166" i="2"/>
  <c r="E166" i="2"/>
  <c r="F166" i="2" s="1"/>
  <c r="C166" i="2"/>
  <c r="B166" i="2"/>
  <c r="AC165" i="2"/>
  <c r="AA165" i="2"/>
  <c r="W165" i="2"/>
  <c r="X165" i="2" s="1"/>
  <c r="U165" i="2"/>
  <c r="R165" i="2"/>
  <c r="O165" i="2"/>
  <c r="N165" i="2"/>
  <c r="L165" i="2"/>
  <c r="I165" i="2"/>
  <c r="H165" i="2"/>
  <c r="F165" i="2"/>
  <c r="C165" i="2"/>
  <c r="AC164" i="2"/>
  <c r="AD164" i="2" s="1"/>
  <c r="AA164" i="2"/>
  <c r="W164" i="2"/>
  <c r="X164" i="2" s="1"/>
  <c r="U164" i="2"/>
  <c r="R164" i="2"/>
  <c r="N164" i="2"/>
  <c r="O164" i="2" s="1"/>
  <c r="L164" i="2"/>
  <c r="I164" i="2"/>
  <c r="H164" i="2"/>
  <c r="F164" i="2"/>
  <c r="C164" i="2"/>
  <c r="AC163" i="2"/>
  <c r="AD163" i="2" s="1"/>
  <c r="AA163" i="2"/>
  <c r="X163" i="2"/>
  <c r="W163" i="2"/>
  <c r="U163" i="2"/>
  <c r="R163" i="2"/>
  <c r="N163" i="2"/>
  <c r="L163" i="2"/>
  <c r="H163" i="2"/>
  <c r="I163" i="2" s="1"/>
  <c r="F163" i="2"/>
  <c r="C163" i="2"/>
  <c r="AD162" i="2"/>
  <c r="AC162" i="2"/>
  <c r="AA162" i="2"/>
  <c r="W162" i="2"/>
  <c r="X162" i="2" s="1"/>
  <c r="U162" i="2"/>
  <c r="R162" i="2"/>
  <c r="N162" i="2"/>
  <c r="O162" i="2" s="1"/>
  <c r="L162" i="2"/>
  <c r="I162" i="2"/>
  <c r="H162" i="2"/>
  <c r="F162" i="2"/>
  <c r="C162" i="2"/>
  <c r="AC161" i="2"/>
  <c r="AA161" i="2"/>
  <c r="W161" i="2"/>
  <c r="X161" i="2" s="1"/>
  <c r="U161" i="2"/>
  <c r="R161" i="2"/>
  <c r="N161" i="2"/>
  <c r="L161" i="2"/>
  <c r="H161" i="2"/>
  <c r="I161" i="2" s="1"/>
  <c r="F161" i="2"/>
  <c r="C161" i="2"/>
  <c r="AC160" i="2"/>
  <c r="AD160" i="2" s="1"/>
  <c r="AA160" i="2"/>
  <c r="W160" i="2"/>
  <c r="X160" i="2" s="1"/>
  <c r="U160" i="2"/>
  <c r="R160" i="2"/>
  <c r="O160" i="2"/>
  <c r="N160" i="2"/>
  <c r="L160" i="2"/>
  <c r="I160" i="2"/>
  <c r="H160" i="2"/>
  <c r="F160" i="2"/>
  <c r="C160" i="2"/>
  <c r="AA158" i="2"/>
  <c r="Z158" i="2"/>
  <c r="T158" i="2"/>
  <c r="U158" i="2" s="1"/>
  <c r="Q158" i="2"/>
  <c r="W158" i="2" s="1"/>
  <c r="X158" i="2" s="1"/>
  <c r="L158" i="2"/>
  <c r="K158" i="2"/>
  <c r="E158" i="2"/>
  <c r="F158" i="2" s="1"/>
  <c r="B158" i="2"/>
  <c r="H158" i="2" s="1"/>
  <c r="I158" i="2" s="1"/>
  <c r="AC157" i="2"/>
  <c r="AA157" i="2"/>
  <c r="W157" i="2"/>
  <c r="X157" i="2" s="1"/>
  <c r="U157" i="2"/>
  <c r="R157" i="2"/>
  <c r="O157" i="2"/>
  <c r="N157" i="2"/>
  <c r="L157" i="2"/>
  <c r="H157" i="2"/>
  <c r="I157" i="2" s="1"/>
  <c r="F157" i="2"/>
  <c r="C157" i="2"/>
  <c r="AC156" i="2"/>
  <c r="AD156" i="2" s="1"/>
  <c r="AA156" i="2"/>
  <c r="W156" i="2"/>
  <c r="U156" i="2"/>
  <c r="R156" i="2"/>
  <c r="N156" i="2"/>
  <c r="O156" i="2" s="1"/>
  <c r="L156" i="2"/>
  <c r="I156" i="2"/>
  <c r="H156" i="2"/>
  <c r="F156" i="2"/>
  <c r="C156" i="2"/>
  <c r="AC155" i="2"/>
  <c r="AD155" i="2" s="1"/>
  <c r="AA155" i="2"/>
  <c r="X155" i="2"/>
  <c r="W155" i="2"/>
  <c r="U155" i="2"/>
  <c r="R155" i="2"/>
  <c r="N155" i="2"/>
  <c r="O155" i="2" s="1"/>
  <c r="L155" i="2"/>
  <c r="I155" i="2"/>
  <c r="H155" i="2"/>
  <c r="F155" i="2"/>
  <c r="C155" i="2"/>
  <c r="AC154" i="2"/>
  <c r="AA154" i="2"/>
  <c r="W154" i="2"/>
  <c r="X154" i="2" s="1"/>
  <c r="U154" i="2"/>
  <c r="R154" i="2"/>
  <c r="N154" i="2"/>
  <c r="O154" i="2" s="1"/>
  <c r="L154" i="2"/>
  <c r="H154" i="2"/>
  <c r="I154" i="2" s="1"/>
  <c r="F154" i="2"/>
  <c r="C154" i="2"/>
  <c r="AC153" i="2"/>
  <c r="AA153" i="2"/>
  <c r="X153" i="2"/>
  <c r="W153" i="2"/>
  <c r="U153" i="2"/>
  <c r="R153" i="2"/>
  <c r="N153" i="2"/>
  <c r="L153" i="2"/>
  <c r="I153" i="2"/>
  <c r="H153" i="2"/>
  <c r="F153" i="2"/>
  <c r="C153" i="2"/>
  <c r="AC151" i="2"/>
  <c r="AD151" i="2" s="1"/>
  <c r="AA151" i="2"/>
  <c r="W151" i="2"/>
  <c r="X151" i="2" s="1"/>
  <c r="U151" i="2"/>
  <c r="R151" i="2"/>
  <c r="N151" i="2"/>
  <c r="L151" i="2"/>
  <c r="I151" i="2"/>
  <c r="H151" i="2"/>
  <c r="F151" i="2"/>
  <c r="C151" i="2"/>
  <c r="Z149" i="2"/>
  <c r="AA149" i="2" s="1"/>
  <c r="T149" i="2"/>
  <c r="U149" i="2" s="1"/>
  <c r="R149" i="2"/>
  <c r="Q149" i="2"/>
  <c r="K149" i="2"/>
  <c r="L149" i="2" s="1"/>
  <c r="E149" i="2"/>
  <c r="F149" i="2" s="1"/>
  <c r="C149" i="2"/>
  <c r="B149" i="2"/>
  <c r="AA148" i="2"/>
  <c r="Z148" i="2"/>
  <c r="T148" i="2"/>
  <c r="W148" i="2" s="1"/>
  <c r="X148" i="2" s="1"/>
  <c r="Q148" i="2"/>
  <c r="R148" i="2" s="1"/>
  <c r="O148" i="2"/>
  <c r="K148" i="2"/>
  <c r="L148" i="2" s="1"/>
  <c r="H148" i="2"/>
  <c r="I148" i="2" s="1"/>
  <c r="E148" i="2"/>
  <c r="F148" i="2" s="1"/>
  <c r="C148" i="2"/>
  <c r="B148" i="2"/>
  <c r="N148" i="2" s="1"/>
  <c r="AC147" i="2"/>
  <c r="AA147" i="2"/>
  <c r="W147" i="2"/>
  <c r="U147" i="2"/>
  <c r="R147" i="2"/>
  <c r="O147" i="2"/>
  <c r="N147" i="2"/>
  <c r="L147" i="2"/>
  <c r="H147" i="2"/>
  <c r="I147" i="2" s="1"/>
  <c r="F147" i="2"/>
  <c r="C147" i="2"/>
  <c r="AD146" i="2"/>
  <c r="AC146" i="2"/>
  <c r="AA146" i="2"/>
  <c r="W146" i="2"/>
  <c r="X146" i="2" s="1"/>
  <c r="U146" i="2"/>
  <c r="R146" i="2"/>
  <c r="N146" i="2"/>
  <c r="O146" i="2" s="1"/>
  <c r="L146" i="2"/>
  <c r="I146" i="2"/>
  <c r="H146" i="2"/>
  <c r="F146" i="2"/>
  <c r="C146" i="2"/>
  <c r="AC145" i="2"/>
  <c r="AA145" i="2"/>
  <c r="W145" i="2"/>
  <c r="X145" i="2" s="1"/>
  <c r="U145" i="2"/>
  <c r="R145" i="2"/>
  <c r="N145" i="2"/>
  <c r="L145" i="2"/>
  <c r="H145" i="2"/>
  <c r="I145" i="2" s="1"/>
  <c r="F145" i="2"/>
  <c r="C145" i="2"/>
  <c r="AC144" i="2"/>
  <c r="AA144" i="2"/>
  <c r="W144" i="2"/>
  <c r="U144" i="2"/>
  <c r="R144" i="2"/>
  <c r="O144" i="2"/>
  <c r="N144" i="2"/>
  <c r="L144" i="2"/>
  <c r="H144" i="2"/>
  <c r="I144" i="2" s="1"/>
  <c r="F144" i="2"/>
  <c r="C144" i="2"/>
  <c r="AD143" i="2"/>
  <c r="AC143" i="2"/>
  <c r="AA143" i="2"/>
  <c r="X143" i="2"/>
  <c r="W143" i="2"/>
  <c r="U143" i="2"/>
  <c r="R143" i="2"/>
  <c r="N143" i="2"/>
  <c r="O143" i="2" s="1"/>
  <c r="L143" i="2"/>
  <c r="H143" i="2"/>
  <c r="I143" i="2" s="1"/>
  <c r="F143" i="2"/>
  <c r="C143" i="2"/>
  <c r="AA141" i="2"/>
  <c r="Z141" i="2"/>
  <c r="AC141" i="2" s="1"/>
  <c r="AD141" i="2" s="1"/>
  <c r="X141" i="2"/>
  <c r="W141" i="2"/>
  <c r="T141" i="2"/>
  <c r="U141" i="2" s="1"/>
  <c r="Q141" i="2"/>
  <c r="R141" i="2" s="1"/>
  <c r="K141" i="2"/>
  <c r="N141" i="2" s="1"/>
  <c r="O141" i="2" s="1"/>
  <c r="F141" i="2"/>
  <c r="E141" i="2"/>
  <c r="B141" i="2"/>
  <c r="AC140" i="2"/>
  <c r="AD140" i="2" s="1"/>
  <c r="AA140" i="2"/>
  <c r="W140" i="2"/>
  <c r="X140" i="2" s="1"/>
  <c r="U140" i="2"/>
  <c r="R140" i="2"/>
  <c r="N140" i="2"/>
  <c r="O140" i="2" s="1"/>
  <c r="L140" i="2"/>
  <c r="H140" i="2"/>
  <c r="I140" i="2" s="1"/>
  <c r="F140" i="2"/>
  <c r="C140" i="2"/>
  <c r="AD139" i="2"/>
  <c r="AC139" i="2"/>
  <c r="AA139" i="2"/>
  <c r="W139" i="2"/>
  <c r="U139" i="2"/>
  <c r="R139" i="2"/>
  <c r="N139" i="2"/>
  <c r="O139" i="2" s="1"/>
  <c r="L139" i="2"/>
  <c r="H139" i="2"/>
  <c r="I139" i="2" s="1"/>
  <c r="F139" i="2"/>
  <c r="C139" i="2"/>
  <c r="AD138" i="2"/>
  <c r="AC138" i="2"/>
  <c r="AA138" i="2"/>
  <c r="W138" i="2"/>
  <c r="U138" i="2"/>
  <c r="R138" i="2"/>
  <c r="N138" i="2"/>
  <c r="O138" i="2" s="1"/>
  <c r="L138" i="2"/>
  <c r="I138" i="2"/>
  <c r="H138" i="2"/>
  <c r="F138" i="2"/>
  <c r="C138" i="2"/>
  <c r="AC137" i="2"/>
  <c r="AA137" i="2"/>
  <c r="X137" i="2"/>
  <c r="W137" i="2"/>
  <c r="U137" i="2"/>
  <c r="R137" i="2"/>
  <c r="N137" i="2"/>
  <c r="L137" i="2"/>
  <c r="H137" i="2"/>
  <c r="I137" i="2" s="1"/>
  <c r="F137" i="2"/>
  <c r="C137" i="2"/>
  <c r="AD136" i="2"/>
  <c r="AC136" i="2"/>
  <c r="AA136" i="2"/>
  <c r="W136" i="2"/>
  <c r="U136" i="2"/>
  <c r="R136" i="2"/>
  <c r="N136" i="2"/>
  <c r="O136" i="2" s="1"/>
  <c r="L136" i="2"/>
  <c r="H136" i="2"/>
  <c r="I136" i="2" s="1"/>
  <c r="F136" i="2"/>
  <c r="C136" i="2"/>
  <c r="AC135" i="2"/>
  <c r="AD135" i="2" s="1"/>
  <c r="AA135" i="2"/>
  <c r="X135" i="2"/>
  <c r="W135" i="2"/>
  <c r="U135" i="2"/>
  <c r="R135" i="2"/>
  <c r="N135" i="2"/>
  <c r="O135" i="2" s="1"/>
  <c r="L135" i="2"/>
  <c r="I135" i="2"/>
  <c r="H135" i="2"/>
  <c r="F135" i="2"/>
  <c r="C135" i="2"/>
  <c r="AC134" i="2"/>
  <c r="AD134" i="2" s="1"/>
  <c r="AA134" i="2"/>
  <c r="X134" i="2"/>
  <c r="W134" i="2"/>
  <c r="U134" i="2"/>
  <c r="R134" i="2"/>
  <c r="N134" i="2"/>
  <c r="L134" i="2"/>
  <c r="H134" i="2"/>
  <c r="I134" i="2" s="1"/>
  <c r="F134" i="2"/>
  <c r="C134" i="2"/>
  <c r="AC133" i="2"/>
  <c r="AD133" i="2" s="1"/>
  <c r="AA133" i="2"/>
  <c r="W133" i="2"/>
  <c r="U133" i="2"/>
  <c r="R133" i="2"/>
  <c r="O133" i="2"/>
  <c r="N133" i="2"/>
  <c r="L133" i="2"/>
  <c r="I133" i="2"/>
  <c r="H133" i="2"/>
  <c r="F133" i="2"/>
  <c r="C133" i="2"/>
  <c r="AC132" i="2"/>
  <c r="AD132" i="2" s="1"/>
  <c r="AA132" i="2"/>
  <c r="W132" i="2"/>
  <c r="X132" i="2" s="1"/>
  <c r="U132" i="2"/>
  <c r="R132" i="2"/>
  <c r="N132" i="2"/>
  <c r="O132" i="2" s="1"/>
  <c r="L132" i="2"/>
  <c r="H132" i="2"/>
  <c r="I132" i="2" s="1"/>
  <c r="F132" i="2"/>
  <c r="C132" i="2"/>
  <c r="AD131" i="2"/>
  <c r="AC131" i="2"/>
  <c r="AA131" i="2"/>
  <c r="W131" i="2"/>
  <c r="U131" i="2"/>
  <c r="R131" i="2"/>
  <c r="N131" i="2"/>
  <c r="O131" i="2" s="1"/>
  <c r="L131" i="2"/>
  <c r="H131" i="2"/>
  <c r="I131" i="2" s="1"/>
  <c r="F131" i="2"/>
  <c r="C131" i="2"/>
  <c r="AC130" i="2"/>
  <c r="AD130" i="2" s="1"/>
  <c r="AA130" i="2"/>
  <c r="W130" i="2"/>
  <c r="U130" i="2"/>
  <c r="R130" i="2"/>
  <c r="N130" i="2"/>
  <c r="O130" i="2" s="1"/>
  <c r="L130" i="2"/>
  <c r="H130" i="2"/>
  <c r="I130" i="2" s="1"/>
  <c r="F130" i="2"/>
  <c r="C130" i="2"/>
  <c r="AC129" i="2"/>
  <c r="AA129" i="2"/>
  <c r="W129" i="2"/>
  <c r="X129" i="2" s="1"/>
  <c r="U129" i="2"/>
  <c r="R129" i="2"/>
  <c r="N129" i="2"/>
  <c r="L129" i="2"/>
  <c r="H129" i="2"/>
  <c r="I129" i="2" s="1"/>
  <c r="F129" i="2"/>
  <c r="C129" i="2"/>
  <c r="AD127" i="2"/>
  <c r="AC127" i="2"/>
  <c r="AA127" i="2"/>
  <c r="W127" i="2"/>
  <c r="U127" i="2"/>
  <c r="R127" i="2"/>
  <c r="O127" i="2"/>
  <c r="N127" i="2"/>
  <c r="L127" i="2"/>
  <c r="H127" i="2"/>
  <c r="I127" i="2" s="1"/>
  <c r="F127" i="2"/>
  <c r="C127" i="2"/>
  <c r="AC124" i="2"/>
  <c r="AD124" i="2" s="1"/>
  <c r="AA124" i="2"/>
  <c r="Z124" i="2"/>
  <c r="U124" i="2"/>
  <c r="T124" i="2"/>
  <c r="T172" i="2" s="1"/>
  <c r="Q124" i="2"/>
  <c r="Q172" i="2" s="1"/>
  <c r="N124" i="2"/>
  <c r="O124" i="2" s="1"/>
  <c r="K124" i="2"/>
  <c r="L124" i="2" s="1"/>
  <c r="H124" i="2"/>
  <c r="I124" i="2" s="1"/>
  <c r="F124" i="2"/>
  <c r="E124" i="2"/>
  <c r="E172" i="2" s="1"/>
  <c r="C124" i="2"/>
  <c r="B124" i="2"/>
  <c r="B172" i="2" s="1"/>
  <c r="AC123" i="2"/>
  <c r="AD123" i="2" s="1"/>
  <c r="AA123" i="2"/>
  <c r="W123" i="2"/>
  <c r="X123" i="2" s="1"/>
  <c r="U123" i="2"/>
  <c r="R123" i="2"/>
  <c r="N123" i="2"/>
  <c r="L123" i="2"/>
  <c r="H123" i="2"/>
  <c r="I123" i="2" s="1"/>
  <c r="F123" i="2"/>
  <c r="C123" i="2"/>
  <c r="AC122" i="2"/>
  <c r="AD122" i="2" s="1"/>
  <c r="Z122" i="2"/>
  <c r="AA122" i="2" s="1"/>
  <c r="T122" i="2"/>
  <c r="U122" i="2" s="1"/>
  <c r="R122" i="2"/>
  <c r="Q122" i="2"/>
  <c r="K122" i="2"/>
  <c r="L122" i="2" s="1"/>
  <c r="E122" i="2"/>
  <c r="H122" i="2" s="1"/>
  <c r="I122" i="2" s="1"/>
  <c r="B122" i="2"/>
  <c r="C122" i="2" s="1"/>
  <c r="AC121" i="2"/>
  <c r="AD121" i="2" s="1"/>
  <c r="AA121" i="2"/>
  <c r="X121" i="2"/>
  <c r="W121" i="2"/>
  <c r="U121" i="2"/>
  <c r="R121" i="2"/>
  <c r="N121" i="2"/>
  <c r="L121" i="2"/>
  <c r="H121" i="2"/>
  <c r="I121" i="2" s="1"/>
  <c r="F121" i="2"/>
  <c r="C121" i="2"/>
  <c r="AC120" i="2"/>
  <c r="AD120" i="2" s="1"/>
  <c r="AA120" i="2"/>
  <c r="W120" i="2"/>
  <c r="U120" i="2"/>
  <c r="R120" i="2"/>
  <c r="O120" i="2"/>
  <c r="N120" i="2"/>
  <c r="L120" i="2"/>
  <c r="I120" i="2"/>
  <c r="H120" i="2"/>
  <c r="F120" i="2"/>
  <c r="C120" i="2"/>
  <c r="AC119" i="2"/>
  <c r="AD119" i="2" s="1"/>
  <c r="AA119" i="2"/>
  <c r="W119" i="2"/>
  <c r="X119" i="2" s="1"/>
  <c r="U119" i="2"/>
  <c r="R119" i="2"/>
  <c r="N119" i="2"/>
  <c r="O119" i="2" s="1"/>
  <c r="L119" i="2"/>
  <c r="H119" i="2"/>
  <c r="I119" i="2" s="1"/>
  <c r="F119" i="2"/>
  <c r="C119" i="2"/>
  <c r="Z118" i="2"/>
  <c r="AA118" i="2" s="1"/>
  <c r="T118" i="2"/>
  <c r="U118" i="2" s="1"/>
  <c r="R118" i="2"/>
  <c r="Q118" i="2"/>
  <c r="K118" i="2"/>
  <c r="L118" i="2" s="1"/>
  <c r="E118" i="2"/>
  <c r="F118" i="2" s="1"/>
  <c r="C118" i="2"/>
  <c r="B118" i="2"/>
  <c r="AC117" i="2"/>
  <c r="AA117" i="2"/>
  <c r="W117" i="2"/>
  <c r="X117" i="2" s="1"/>
  <c r="U117" i="2"/>
  <c r="R117" i="2"/>
  <c r="O117" i="2"/>
  <c r="N117" i="2"/>
  <c r="L117" i="2"/>
  <c r="H117" i="2"/>
  <c r="I117" i="2" s="1"/>
  <c r="F117" i="2"/>
  <c r="C117" i="2"/>
  <c r="AC116" i="2"/>
  <c r="AD116" i="2" s="1"/>
  <c r="AA116" i="2"/>
  <c r="W116" i="2"/>
  <c r="U116" i="2"/>
  <c r="R116" i="2"/>
  <c r="N116" i="2"/>
  <c r="O116" i="2" s="1"/>
  <c r="L116" i="2"/>
  <c r="H116" i="2"/>
  <c r="I116" i="2" s="1"/>
  <c r="F116" i="2"/>
  <c r="C116" i="2"/>
  <c r="AC115" i="2"/>
  <c r="AD115" i="2" s="1"/>
  <c r="AA115" i="2"/>
  <c r="X115" i="2"/>
  <c r="W115" i="2"/>
  <c r="U115" i="2"/>
  <c r="R115" i="2"/>
  <c r="N115" i="2"/>
  <c r="L115" i="2"/>
  <c r="H115" i="2"/>
  <c r="I115" i="2" s="1"/>
  <c r="F115" i="2"/>
  <c r="C115" i="2"/>
  <c r="AD114" i="2"/>
  <c r="AC114" i="2"/>
  <c r="AA114" i="2"/>
  <c r="W114" i="2"/>
  <c r="X114" i="2" s="1"/>
  <c r="U114" i="2"/>
  <c r="R114" i="2"/>
  <c r="N114" i="2"/>
  <c r="O114" i="2" s="1"/>
  <c r="L114" i="2"/>
  <c r="I114" i="2"/>
  <c r="H114" i="2"/>
  <c r="F114" i="2"/>
  <c r="C114" i="2"/>
  <c r="AC113" i="2"/>
  <c r="AD113" i="2" s="1"/>
  <c r="AA113" i="2"/>
  <c r="W113" i="2"/>
  <c r="X113" i="2" s="1"/>
  <c r="U113" i="2"/>
  <c r="R113" i="2"/>
  <c r="N113" i="2"/>
  <c r="L113" i="2"/>
  <c r="I113" i="2"/>
  <c r="H113" i="2"/>
  <c r="F113" i="2"/>
  <c r="C113" i="2"/>
  <c r="AC112" i="2"/>
  <c r="AD112" i="2" s="1"/>
  <c r="AA112" i="2"/>
  <c r="W112" i="2"/>
  <c r="X112" i="2" s="1"/>
  <c r="U112" i="2"/>
  <c r="R112" i="2"/>
  <c r="O112" i="2"/>
  <c r="N112" i="2"/>
  <c r="L112" i="2"/>
  <c r="H112" i="2"/>
  <c r="I112" i="2" s="1"/>
  <c r="F112" i="2"/>
  <c r="C112" i="2"/>
  <c r="AC111" i="2"/>
  <c r="AD111" i="2" s="1"/>
  <c r="AA111" i="2"/>
  <c r="W111" i="2"/>
  <c r="U111" i="2"/>
  <c r="R111" i="2"/>
  <c r="N111" i="2"/>
  <c r="O111" i="2" s="1"/>
  <c r="L111" i="2"/>
  <c r="I111" i="2"/>
  <c r="H111" i="2"/>
  <c r="F111" i="2"/>
  <c r="C111" i="2"/>
  <c r="AC110" i="2"/>
  <c r="AD110" i="2" s="1"/>
  <c r="AA110" i="2"/>
  <c r="W110" i="2"/>
  <c r="X110" i="2" s="1"/>
  <c r="U110" i="2"/>
  <c r="R110" i="2"/>
  <c r="N110" i="2"/>
  <c r="L110" i="2"/>
  <c r="H110" i="2"/>
  <c r="I110" i="2" s="1"/>
  <c r="F110" i="2"/>
  <c r="C110" i="2"/>
  <c r="AC109" i="2"/>
  <c r="AA109" i="2"/>
  <c r="W109" i="2"/>
  <c r="X109" i="2" s="1"/>
  <c r="U109" i="2"/>
  <c r="R109" i="2"/>
  <c r="O109" i="2"/>
  <c r="N109" i="2"/>
  <c r="L109" i="2"/>
  <c r="H109" i="2"/>
  <c r="I109" i="2" s="1"/>
  <c r="F109" i="2"/>
  <c r="C109" i="2"/>
  <c r="AD108" i="2"/>
  <c r="AC108" i="2"/>
  <c r="AA108" i="2"/>
  <c r="W108" i="2"/>
  <c r="U108" i="2"/>
  <c r="R108" i="2"/>
  <c r="N108" i="2"/>
  <c r="O108" i="2" s="1"/>
  <c r="L108" i="2"/>
  <c r="H108" i="2"/>
  <c r="I108" i="2" s="1"/>
  <c r="F108" i="2"/>
  <c r="C108" i="2"/>
  <c r="AC107" i="2"/>
  <c r="AD107" i="2" s="1"/>
  <c r="AA107" i="2"/>
  <c r="X107" i="2"/>
  <c r="W107" i="2"/>
  <c r="U107" i="2"/>
  <c r="R107" i="2"/>
  <c r="N107" i="2"/>
  <c r="L107" i="2"/>
  <c r="H107" i="2"/>
  <c r="I107" i="2" s="1"/>
  <c r="F107" i="2"/>
  <c r="C107" i="2"/>
  <c r="AD106" i="2"/>
  <c r="AC106" i="2"/>
  <c r="AA106" i="2"/>
  <c r="W106" i="2"/>
  <c r="X106" i="2" s="1"/>
  <c r="U106" i="2"/>
  <c r="R106" i="2"/>
  <c r="N106" i="2"/>
  <c r="O106" i="2" s="1"/>
  <c r="L106" i="2"/>
  <c r="I106" i="2"/>
  <c r="H106" i="2"/>
  <c r="F106" i="2"/>
  <c r="C106" i="2"/>
  <c r="AC105" i="2"/>
  <c r="AD105" i="2" s="1"/>
  <c r="AA105" i="2"/>
  <c r="W105" i="2"/>
  <c r="X105" i="2" s="1"/>
  <c r="U105" i="2"/>
  <c r="R105" i="2"/>
  <c r="N105" i="2"/>
  <c r="L105" i="2"/>
  <c r="H105" i="2"/>
  <c r="I105" i="2" s="1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H104" i="2"/>
  <c r="I104" i="2" s="1"/>
  <c r="F104" i="2"/>
  <c r="C104" i="2"/>
  <c r="AC103" i="2"/>
  <c r="AD103" i="2" s="1"/>
  <c r="AA103" i="2"/>
  <c r="W103" i="2"/>
  <c r="U103" i="2"/>
  <c r="R103" i="2"/>
  <c r="N103" i="2"/>
  <c r="O103" i="2" s="1"/>
  <c r="L103" i="2"/>
  <c r="I103" i="2"/>
  <c r="H103" i="2"/>
  <c r="F103" i="2"/>
  <c r="C103" i="2"/>
  <c r="AC102" i="2"/>
  <c r="AD102" i="2" s="1"/>
  <c r="AA102" i="2"/>
  <c r="X102" i="2"/>
  <c r="W102" i="2"/>
  <c r="U102" i="2"/>
  <c r="R102" i="2"/>
  <c r="N102" i="2"/>
  <c r="L102" i="2"/>
  <c r="I102" i="2"/>
  <c r="H102" i="2"/>
  <c r="F102" i="2"/>
  <c r="C102" i="2"/>
  <c r="AC101" i="2"/>
  <c r="AA101" i="2"/>
  <c r="W101" i="2"/>
  <c r="X101" i="2" s="1"/>
  <c r="U101" i="2"/>
  <c r="R101" i="2"/>
  <c r="O101" i="2"/>
  <c r="N101" i="2"/>
  <c r="L101" i="2"/>
  <c r="H101" i="2"/>
  <c r="I101" i="2" s="1"/>
  <c r="F101" i="2"/>
  <c r="C101" i="2"/>
  <c r="AD100" i="2"/>
  <c r="AC100" i="2"/>
  <c r="AA100" i="2"/>
  <c r="W100" i="2"/>
  <c r="U100" i="2"/>
  <c r="R100" i="2"/>
  <c r="N100" i="2"/>
  <c r="O100" i="2" s="1"/>
  <c r="L100" i="2"/>
  <c r="H100" i="2"/>
  <c r="I100" i="2" s="1"/>
  <c r="F100" i="2"/>
  <c r="C100" i="2"/>
  <c r="AC99" i="2"/>
  <c r="AD99" i="2" s="1"/>
  <c r="AA99" i="2"/>
  <c r="X99" i="2"/>
  <c r="W99" i="2"/>
  <c r="U99" i="2"/>
  <c r="R99" i="2"/>
  <c r="N99" i="2"/>
  <c r="L99" i="2"/>
  <c r="H99" i="2"/>
  <c r="I99" i="2" s="1"/>
  <c r="F99" i="2"/>
  <c r="C99" i="2"/>
  <c r="AD98" i="2"/>
  <c r="AC98" i="2"/>
  <c r="AA98" i="2"/>
  <c r="W98" i="2"/>
  <c r="X98" i="2" s="1"/>
  <c r="U98" i="2"/>
  <c r="R98" i="2"/>
  <c r="N98" i="2"/>
  <c r="O98" i="2" s="1"/>
  <c r="L98" i="2"/>
  <c r="I98" i="2"/>
  <c r="H98" i="2"/>
  <c r="F98" i="2"/>
  <c r="C98" i="2"/>
  <c r="AC97" i="2"/>
  <c r="AD97" i="2" s="1"/>
  <c r="AA97" i="2"/>
  <c r="W97" i="2"/>
  <c r="X97" i="2" s="1"/>
  <c r="U97" i="2"/>
  <c r="R97" i="2"/>
  <c r="N97" i="2"/>
  <c r="L97" i="2"/>
  <c r="H97" i="2"/>
  <c r="I97" i="2" s="1"/>
  <c r="F97" i="2"/>
  <c r="C97" i="2"/>
  <c r="AC96" i="2"/>
  <c r="AD96" i="2" s="1"/>
  <c r="AA96" i="2"/>
  <c r="W96" i="2"/>
  <c r="X96" i="2" s="1"/>
  <c r="U96" i="2"/>
  <c r="R96" i="2"/>
  <c r="O96" i="2"/>
  <c r="N96" i="2"/>
  <c r="L96" i="2"/>
  <c r="H96" i="2"/>
  <c r="I96" i="2" s="1"/>
  <c r="F96" i="2"/>
  <c r="C96" i="2"/>
  <c r="AD95" i="2"/>
  <c r="AC95" i="2"/>
  <c r="AA95" i="2"/>
  <c r="W95" i="2"/>
  <c r="U95" i="2"/>
  <c r="R95" i="2"/>
  <c r="N95" i="2"/>
  <c r="O95" i="2" s="1"/>
  <c r="L95" i="2"/>
  <c r="I95" i="2"/>
  <c r="H95" i="2"/>
  <c r="F95" i="2"/>
  <c r="C95" i="2"/>
  <c r="AC94" i="2"/>
  <c r="AD94" i="2" s="1"/>
  <c r="AA94" i="2"/>
  <c r="X94" i="2"/>
  <c r="W94" i="2"/>
  <c r="U94" i="2"/>
  <c r="R94" i="2"/>
  <c r="N94" i="2"/>
  <c r="L94" i="2"/>
  <c r="H94" i="2"/>
  <c r="I94" i="2" s="1"/>
  <c r="F94" i="2"/>
  <c r="C94" i="2"/>
  <c r="AC92" i="2"/>
  <c r="AA92" i="2"/>
  <c r="W92" i="2"/>
  <c r="X92" i="2" s="1"/>
  <c r="U92" i="2"/>
  <c r="R92" i="2"/>
  <c r="O92" i="2"/>
  <c r="N92" i="2"/>
  <c r="L92" i="2"/>
  <c r="H92" i="2"/>
  <c r="I92" i="2" s="1"/>
  <c r="F92" i="2"/>
  <c r="C92" i="2"/>
  <c r="AC91" i="2"/>
  <c r="AD91" i="2" s="1"/>
  <c r="AA91" i="2"/>
  <c r="W91" i="2"/>
  <c r="U91" i="2"/>
  <c r="R91" i="2"/>
  <c r="N91" i="2"/>
  <c r="O91" i="2" s="1"/>
  <c r="L91" i="2"/>
  <c r="H91" i="2"/>
  <c r="I91" i="2" s="1"/>
  <c r="F91" i="2"/>
  <c r="C91" i="2"/>
  <c r="AC90" i="2"/>
  <c r="AD90" i="2" s="1"/>
  <c r="AA90" i="2"/>
  <c r="X90" i="2"/>
  <c r="W90" i="2"/>
  <c r="U90" i="2"/>
  <c r="R90" i="2"/>
  <c r="N90" i="2"/>
  <c r="L90" i="2"/>
  <c r="H90" i="2"/>
  <c r="I90" i="2" s="1"/>
  <c r="F90" i="2"/>
  <c r="C90" i="2"/>
  <c r="AD89" i="2"/>
  <c r="AC89" i="2"/>
  <c r="AA89" i="2"/>
  <c r="W89" i="2"/>
  <c r="X89" i="2" s="1"/>
  <c r="U89" i="2"/>
  <c r="R89" i="2"/>
  <c r="N89" i="2"/>
  <c r="O89" i="2" s="1"/>
  <c r="L89" i="2"/>
  <c r="I89" i="2"/>
  <c r="H89" i="2"/>
  <c r="F89" i="2"/>
  <c r="C89" i="2"/>
  <c r="Z88" i="2"/>
  <c r="AA88" i="2" s="1"/>
  <c r="X88" i="2"/>
  <c r="W88" i="2"/>
  <c r="U88" i="2"/>
  <c r="T88" i="2"/>
  <c r="Q88" i="2"/>
  <c r="R88" i="2" s="1"/>
  <c r="K88" i="2"/>
  <c r="N88" i="2" s="1"/>
  <c r="O88" i="2" s="1"/>
  <c r="I88" i="2"/>
  <c r="H88" i="2"/>
  <c r="E88" i="2"/>
  <c r="F88" i="2" s="1"/>
  <c r="B88" i="2"/>
  <c r="C88" i="2" s="1"/>
  <c r="AC87" i="2"/>
  <c r="AD87" i="2" s="1"/>
  <c r="AA87" i="2"/>
  <c r="X87" i="2"/>
  <c r="W87" i="2"/>
  <c r="U87" i="2"/>
  <c r="R87" i="2"/>
  <c r="N87" i="2"/>
  <c r="O87" i="2" s="1"/>
  <c r="L87" i="2"/>
  <c r="H87" i="2"/>
  <c r="I87" i="2" s="1"/>
  <c r="F87" i="2"/>
  <c r="C87" i="2"/>
  <c r="AC86" i="2"/>
  <c r="AD86" i="2" s="1"/>
  <c r="AA86" i="2"/>
  <c r="W86" i="2"/>
  <c r="X86" i="2" s="1"/>
  <c r="U86" i="2"/>
  <c r="R86" i="2"/>
  <c r="N86" i="2"/>
  <c r="L86" i="2"/>
  <c r="H86" i="2"/>
  <c r="I86" i="2" s="1"/>
  <c r="F86" i="2"/>
  <c r="C86" i="2"/>
  <c r="AC85" i="2"/>
  <c r="AD85" i="2" s="1"/>
  <c r="AA85" i="2"/>
  <c r="W85" i="2"/>
  <c r="X85" i="2" s="1"/>
  <c r="U85" i="2"/>
  <c r="R85" i="2"/>
  <c r="O85" i="2"/>
  <c r="N85" i="2"/>
  <c r="L85" i="2"/>
  <c r="I85" i="2"/>
  <c r="H85" i="2"/>
  <c r="F85" i="2"/>
  <c r="C85" i="2"/>
  <c r="AD84" i="2"/>
  <c r="AC84" i="2"/>
  <c r="AA84" i="2"/>
  <c r="W84" i="2"/>
  <c r="X84" i="2" s="1"/>
  <c r="U84" i="2"/>
  <c r="R84" i="2"/>
  <c r="N84" i="2"/>
  <c r="O84" i="2" s="1"/>
  <c r="L84" i="2"/>
  <c r="H84" i="2"/>
  <c r="I84" i="2" s="1"/>
  <c r="F84" i="2"/>
  <c r="C84" i="2"/>
  <c r="AC83" i="2"/>
  <c r="AA83" i="2"/>
  <c r="W83" i="2"/>
  <c r="U83" i="2"/>
  <c r="R83" i="2"/>
  <c r="O83" i="2"/>
  <c r="N83" i="2"/>
  <c r="L83" i="2"/>
  <c r="H83" i="2"/>
  <c r="I83" i="2" s="1"/>
  <c r="F83" i="2"/>
  <c r="C83" i="2"/>
  <c r="AC82" i="2"/>
  <c r="AD82" i="2" s="1"/>
  <c r="AA82" i="2"/>
  <c r="W82" i="2"/>
  <c r="X82" i="2" s="1"/>
  <c r="U82" i="2"/>
  <c r="R82" i="2"/>
  <c r="N82" i="2"/>
  <c r="O82" i="2" s="1"/>
  <c r="L82" i="2"/>
  <c r="I82" i="2"/>
  <c r="H82" i="2"/>
  <c r="F82" i="2"/>
  <c r="C82" i="2"/>
  <c r="AC81" i="2"/>
  <c r="AA81" i="2"/>
  <c r="W81" i="2"/>
  <c r="X81" i="2" s="1"/>
  <c r="U81" i="2"/>
  <c r="R81" i="2"/>
  <c r="N81" i="2"/>
  <c r="L81" i="2"/>
  <c r="I81" i="2"/>
  <c r="H81" i="2"/>
  <c r="F81" i="2"/>
  <c r="C81" i="2"/>
  <c r="AC80" i="2"/>
  <c r="AA80" i="2"/>
  <c r="W80" i="2"/>
  <c r="U80" i="2"/>
  <c r="R80" i="2"/>
  <c r="N80" i="2"/>
  <c r="O80" i="2" s="1"/>
  <c r="L80" i="2"/>
  <c r="H80" i="2"/>
  <c r="I80" i="2" s="1"/>
  <c r="F80" i="2"/>
  <c r="C80" i="2"/>
  <c r="AC79" i="2"/>
  <c r="AD79" i="2" s="1"/>
  <c r="AA79" i="2"/>
  <c r="X79" i="2"/>
  <c r="W79" i="2"/>
  <c r="U79" i="2"/>
  <c r="R79" i="2"/>
  <c r="N79" i="2"/>
  <c r="O79" i="2" s="1"/>
  <c r="L79" i="2"/>
  <c r="I79" i="2"/>
  <c r="H79" i="2"/>
  <c r="F79" i="2"/>
  <c r="C79" i="2"/>
  <c r="AC78" i="2"/>
  <c r="AD78" i="2" s="1"/>
  <c r="AA78" i="2"/>
  <c r="X78" i="2"/>
  <c r="W78" i="2"/>
  <c r="U78" i="2"/>
  <c r="R78" i="2"/>
  <c r="N78" i="2"/>
  <c r="L78" i="2"/>
  <c r="H78" i="2"/>
  <c r="I78" i="2" s="1"/>
  <c r="F78" i="2"/>
  <c r="C78" i="2"/>
  <c r="AC77" i="2"/>
  <c r="AD77" i="2" s="1"/>
  <c r="AA77" i="2"/>
  <c r="W77" i="2"/>
  <c r="X77" i="2" s="1"/>
  <c r="U77" i="2"/>
  <c r="R77" i="2"/>
  <c r="O77" i="2"/>
  <c r="N77" i="2"/>
  <c r="L77" i="2"/>
  <c r="I77" i="2"/>
  <c r="H77" i="2"/>
  <c r="F77" i="2"/>
  <c r="C77" i="2"/>
  <c r="AC76" i="2"/>
  <c r="AD76" i="2" s="1"/>
  <c r="AA76" i="2"/>
  <c r="W76" i="2"/>
  <c r="X76" i="2" s="1"/>
  <c r="U76" i="2"/>
  <c r="R76" i="2"/>
  <c r="N76" i="2"/>
  <c r="O76" i="2" s="1"/>
  <c r="L76" i="2"/>
  <c r="H76" i="2"/>
  <c r="I76" i="2" s="1"/>
  <c r="F76" i="2"/>
  <c r="C76" i="2"/>
  <c r="AC75" i="2"/>
  <c r="AA75" i="2"/>
  <c r="W75" i="2"/>
  <c r="U75" i="2"/>
  <c r="R75" i="2"/>
  <c r="O75" i="2"/>
  <c r="N75" i="2"/>
  <c r="L75" i="2"/>
  <c r="H75" i="2"/>
  <c r="I75" i="2" s="1"/>
  <c r="F75" i="2"/>
  <c r="C75" i="2"/>
  <c r="AC73" i="2"/>
  <c r="AD73" i="2" s="1"/>
  <c r="AA73" i="2"/>
  <c r="Z73" i="2"/>
  <c r="T73" i="2"/>
  <c r="U73" i="2" s="1"/>
  <c r="R73" i="2"/>
  <c r="Q73" i="2"/>
  <c r="W73" i="2" s="1"/>
  <c r="X73" i="2" s="1"/>
  <c r="K73" i="2"/>
  <c r="L73" i="2" s="1"/>
  <c r="E73" i="2"/>
  <c r="F73" i="2" s="1"/>
  <c r="B73" i="2"/>
  <c r="AD72" i="2"/>
  <c r="AC72" i="2"/>
  <c r="AA72" i="2"/>
  <c r="W72" i="2"/>
  <c r="U72" i="2"/>
  <c r="R72" i="2"/>
  <c r="N72" i="2"/>
  <c r="O72" i="2" s="1"/>
  <c r="L72" i="2"/>
  <c r="H72" i="2"/>
  <c r="I72" i="2" s="1"/>
  <c r="F72" i="2"/>
  <c r="C72" i="2"/>
  <c r="AC71" i="2"/>
  <c r="AD71" i="2" s="1"/>
  <c r="AA71" i="2"/>
  <c r="X71" i="2"/>
  <c r="W71" i="2"/>
  <c r="U71" i="2"/>
  <c r="R71" i="2"/>
  <c r="N71" i="2"/>
  <c r="O71" i="2" s="1"/>
  <c r="L71" i="2"/>
  <c r="H71" i="2"/>
  <c r="I71" i="2" s="1"/>
  <c r="F71" i="2"/>
  <c r="C71" i="2"/>
  <c r="AC70" i="2"/>
  <c r="AD70" i="2" s="1"/>
  <c r="AA70" i="2"/>
  <c r="W70" i="2"/>
  <c r="X70" i="2" s="1"/>
  <c r="U70" i="2"/>
  <c r="R70" i="2"/>
  <c r="N70" i="2"/>
  <c r="L70" i="2"/>
  <c r="H70" i="2"/>
  <c r="I70" i="2" s="1"/>
  <c r="F70" i="2"/>
  <c r="C70" i="2"/>
  <c r="AC69" i="2"/>
  <c r="AD69" i="2" s="1"/>
  <c r="AA69" i="2"/>
  <c r="W69" i="2"/>
  <c r="U69" i="2"/>
  <c r="R69" i="2"/>
  <c r="O69" i="2"/>
  <c r="N69" i="2"/>
  <c r="L69" i="2"/>
  <c r="I69" i="2"/>
  <c r="H69" i="2"/>
  <c r="F69" i="2"/>
  <c r="C69" i="2"/>
  <c r="AC68" i="2"/>
  <c r="AD68" i="2" s="1"/>
  <c r="AA68" i="2"/>
  <c r="W68" i="2"/>
  <c r="X68" i="2" s="1"/>
  <c r="U68" i="2"/>
  <c r="R68" i="2"/>
  <c r="N68" i="2"/>
  <c r="O68" i="2" s="1"/>
  <c r="L68" i="2"/>
  <c r="H68" i="2"/>
  <c r="I68" i="2" s="1"/>
  <c r="F68" i="2"/>
  <c r="C68" i="2"/>
  <c r="AD67" i="2"/>
  <c r="AC67" i="2"/>
  <c r="AA67" i="2"/>
  <c r="W67" i="2"/>
  <c r="U67" i="2"/>
  <c r="R67" i="2"/>
  <c r="O67" i="2"/>
  <c r="N67" i="2"/>
  <c r="L67" i="2"/>
  <c r="H67" i="2"/>
  <c r="I67" i="2" s="1"/>
  <c r="F67" i="2"/>
  <c r="C67" i="2"/>
  <c r="AC66" i="2"/>
  <c r="AD66" i="2" s="1"/>
  <c r="AA66" i="2"/>
  <c r="W66" i="2"/>
  <c r="U66" i="2"/>
  <c r="R66" i="2"/>
  <c r="O66" i="2"/>
  <c r="N66" i="2"/>
  <c r="L66" i="2"/>
  <c r="I66" i="2"/>
  <c r="H66" i="2"/>
  <c r="F66" i="2"/>
  <c r="C66" i="2"/>
  <c r="AC65" i="2"/>
  <c r="AA65" i="2"/>
  <c r="W65" i="2"/>
  <c r="X65" i="2" s="1"/>
  <c r="U65" i="2"/>
  <c r="R65" i="2"/>
  <c r="N65" i="2"/>
  <c r="L65" i="2"/>
  <c r="H65" i="2"/>
  <c r="I65" i="2" s="1"/>
  <c r="F65" i="2"/>
  <c r="C65" i="2"/>
  <c r="AC64" i="2"/>
  <c r="AA64" i="2"/>
  <c r="W64" i="2"/>
  <c r="X64" i="2" s="1"/>
  <c r="U64" i="2"/>
  <c r="R64" i="2"/>
  <c r="O64" i="2"/>
  <c r="N64" i="2"/>
  <c r="L64" i="2"/>
  <c r="H64" i="2"/>
  <c r="I64" i="2" s="1"/>
  <c r="F64" i="2"/>
  <c r="C64" i="2"/>
  <c r="AA62" i="2"/>
  <c r="Z62" i="2"/>
  <c r="T62" i="2"/>
  <c r="U62" i="2" s="1"/>
  <c r="Q62" i="2"/>
  <c r="W62" i="2" s="1"/>
  <c r="X62" i="2" s="1"/>
  <c r="K62" i="2"/>
  <c r="L62" i="2" s="1"/>
  <c r="E62" i="2"/>
  <c r="F62" i="2" s="1"/>
  <c r="B62" i="2"/>
  <c r="H62" i="2" s="1"/>
  <c r="I62" i="2" s="1"/>
  <c r="AC61" i="2"/>
  <c r="AD61" i="2" s="1"/>
  <c r="AA61" i="2"/>
  <c r="Z61" i="2"/>
  <c r="U61" i="2"/>
  <c r="T61" i="2"/>
  <c r="Q61" i="2"/>
  <c r="K61" i="2"/>
  <c r="L61" i="2" s="1"/>
  <c r="E61" i="2"/>
  <c r="F61" i="2" s="1"/>
  <c r="C61" i="2"/>
  <c r="B61" i="2"/>
  <c r="N61" i="2" s="1"/>
  <c r="O61" i="2" s="1"/>
  <c r="AC60" i="2"/>
  <c r="AA60" i="2"/>
  <c r="W60" i="2"/>
  <c r="U60" i="2"/>
  <c r="R60" i="2"/>
  <c r="O60" i="2"/>
  <c r="N60" i="2"/>
  <c r="L60" i="2"/>
  <c r="H60" i="2"/>
  <c r="I60" i="2" s="1"/>
  <c r="F60" i="2"/>
  <c r="C60" i="2"/>
  <c r="AC59" i="2"/>
  <c r="AD59" i="2" s="1"/>
  <c r="AA59" i="2"/>
  <c r="W59" i="2"/>
  <c r="X59" i="2" s="1"/>
  <c r="U59" i="2"/>
  <c r="R59" i="2"/>
  <c r="O59" i="2"/>
  <c r="N59" i="2"/>
  <c r="L59" i="2"/>
  <c r="I59" i="2"/>
  <c r="H59" i="2"/>
  <c r="F59" i="2"/>
  <c r="C59" i="2"/>
  <c r="AC58" i="2"/>
  <c r="AD58" i="2" s="1"/>
  <c r="AA58" i="2"/>
  <c r="W58" i="2"/>
  <c r="X58" i="2" s="1"/>
  <c r="U58" i="2"/>
  <c r="R58" i="2"/>
  <c r="N58" i="2"/>
  <c r="L58" i="2"/>
  <c r="H58" i="2"/>
  <c r="I58" i="2" s="1"/>
  <c r="F58" i="2"/>
  <c r="C58" i="2"/>
  <c r="AC57" i="2"/>
  <c r="AD57" i="2" s="1"/>
  <c r="AA57" i="2"/>
  <c r="X57" i="2"/>
  <c r="W57" i="2"/>
  <c r="U57" i="2"/>
  <c r="R57" i="2"/>
  <c r="N57" i="2"/>
  <c r="L57" i="2"/>
  <c r="H57" i="2"/>
  <c r="I57" i="2" s="1"/>
  <c r="F57" i="2"/>
  <c r="C57" i="2"/>
  <c r="AD56" i="2"/>
  <c r="AC56" i="2"/>
  <c r="AA56" i="2"/>
  <c r="W56" i="2"/>
  <c r="U56" i="2"/>
  <c r="R56" i="2"/>
  <c r="O56" i="2"/>
  <c r="N56" i="2"/>
  <c r="L56" i="2"/>
  <c r="I56" i="2"/>
  <c r="H56" i="2"/>
  <c r="F56" i="2"/>
  <c r="C56" i="2"/>
  <c r="AC55" i="2"/>
  <c r="AD55" i="2" s="1"/>
  <c r="AA55" i="2"/>
  <c r="X55" i="2"/>
  <c r="W55" i="2"/>
  <c r="U55" i="2"/>
  <c r="R55" i="2"/>
  <c r="N55" i="2"/>
  <c r="O55" i="2" s="1"/>
  <c r="L55" i="2"/>
  <c r="I55" i="2"/>
  <c r="H55" i="2"/>
  <c r="F55" i="2"/>
  <c r="C55" i="2"/>
  <c r="AC54" i="2"/>
  <c r="AD54" i="2" s="1"/>
  <c r="AA54" i="2"/>
  <c r="W54" i="2"/>
  <c r="X54" i="2" s="1"/>
  <c r="U54" i="2"/>
  <c r="R54" i="2"/>
  <c r="N54" i="2"/>
  <c r="O54" i="2" s="1"/>
  <c r="L54" i="2"/>
  <c r="I54" i="2"/>
  <c r="H54" i="2"/>
  <c r="F54" i="2"/>
  <c r="C54" i="2"/>
  <c r="AC53" i="2"/>
  <c r="AA53" i="2"/>
  <c r="W53" i="2"/>
  <c r="X53" i="2" s="1"/>
  <c r="U53" i="2"/>
  <c r="R53" i="2"/>
  <c r="O53" i="2"/>
  <c r="N53" i="2"/>
  <c r="L53" i="2"/>
  <c r="H53" i="2"/>
  <c r="I53" i="2" s="1"/>
  <c r="F53" i="2"/>
  <c r="C53" i="2"/>
  <c r="AC52" i="2"/>
  <c r="AD52" i="2" s="1"/>
  <c r="AA52" i="2"/>
  <c r="W52" i="2"/>
  <c r="X52" i="2" s="1"/>
  <c r="U52" i="2"/>
  <c r="R52" i="2"/>
  <c r="O52" i="2"/>
  <c r="N52" i="2"/>
  <c r="L52" i="2"/>
  <c r="I52" i="2"/>
  <c r="H52" i="2"/>
  <c r="F52" i="2"/>
  <c r="C52" i="2"/>
  <c r="AD51" i="2"/>
  <c r="AC51" i="2"/>
  <c r="AA51" i="2"/>
  <c r="X51" i="2"/>
  <c r="W51" i="2"/>
  <c r="U51" i="2"/>
  <c r="R51" i="2"/>
  <c r="N51" i="2"/>
  <c r="O51" i="2" s="1"/>
  <c r="L51" i="2"/>
  <c r="I51" i="2"/>
  <c r="H51" i="2"/>
  <c r="F51" i="2"/>
  <c r="C51" i="2"/>
  <c r="AC50" i="2"/>
  <c r="AD50" i="2" s="1"/>
  <c r="AA50" i="2"/>
  <c r="W50" i="2"/>
  <c r="X50" i="2" s="1"/>
  <c r="U50" i="2"/>
  <c r="R50" i="2"/>
  <c r="N50" i="2"/>
  <c r="O50" i="2" s="1"/>
  <c r="L50" i="2"/>
  <c r="H50" i="2"/>
  <c r="I50" i="2" s="1"/>
  <c r="F50" i="2"/>
  <c r="C50" i="2"/>
  <c r="AC49" i="2"/>
  <c r="AA49" i="2"/>
  <c r="W49" i="2"/>
  <c r="X49" i="2" s="1"/>
  <c r="U49" i="2"/>
  <c r="R49" i="2"/>
  <c r="O49" i="2"/>
  <c r="N49" i="2"/>
  <c r="L49" i="2"/>
  <c r="H49" i="2"/>
  <c r="I49" i="2" s="1"/>
  <c r="F49" i="2"/>
  <c r="C49" i="2"/>
  <c r="AD48" i="2"/>
  <c r="AC48" i="2"/>
  <c r="AA48" i="2"/>
  <c r="W48" i="2"/>
  <c r="X48" i="2" s="1"/>
  <c r="U48" i="2"/>
  <c r="R48" i="2"/>
  <c r="O48" i="2"/>
  <c r="N48" i="2"/>
  <c r="L48" i="2"/>
  <c r="I48" i="2"/>
  <c r="H48" i="2"/>
  <c r="F48" i="2"/>
  <c r="C48" i="2"/>
  <c r="AD47" i="2"/>
  <c r="AC47" i="2"/>
  <c r="AA47" i="2"/>
  <c r="X47" i="2"/>
  <c r="W47" i="2"/>
  <c r="U47" i="2"/>
  <c r="R47" i="2"/>
  <c r="N47" i="2"/>
  <c r="O47" i="2" s="1"/>
  <c r="L47" i="2"/>
  <c r="I47" i="2"/>
  <c r="H47" i="2"/>
  <c r="F47" i="2"/>
  <c r="C47" i="2"/>
  <c r="AC46" i="2"/>
  <c r="AA46" i="2"/>
  <c r="X46" i="2"/>
  <c r="W46" i="2"/>
  <c r="U46" i="2"/>
  <c r="R46" i="2"/>
  <c r="N46" i="2"/>
  <c r="O46" i="2" s="1"/>
  <c r="L46" i="2"/>
  <c r="H46" i="2"/>
  <c r="I46" i="2" s="1"/>
  <c r="F46" i="2"/>
  <c r="C46" i="2"/>
  <c r="AC44" i="2"/>
  <c r="AA44" i="2"/>
  <c r="W44" i="2"/>
  <c r="X44" i="2" s="1"/>
  <c r="U44" i="2"/>
  <c r="R44" i="2"/>
  <c r="O44" i="2"/>
  <c r="N44" i="2"/>
  <c r="L44" i="2"/>
  <c r="I44" i="2"/>
  <c r="H44" i="2"/>
  <c r="F44" i="2"/>
  <c r="C44" i="2"/>
  <c r="AC43" i="2"/>
  <c r="AD43" i="2" s="1"/>
  <c r="AA43" i="2"/>
  <c r="W43" i="2"/>
  <c r="X43" i="2" s="1"/>
  <c r="U43" i="2"/>
  <c r="R43" i="2"/>
  <c r="O43" i="2"/>
  <c r="N43" i="2"/>
  <c r="L43" i="2"/>
  <c r="I43" i="2"/>
  <c r="H43" i="2"/>
  <c r="F43" i="2"/>
  <c r="C43" i="2"/>
  <c r="AC42" i="2"/>
  <c r="AD42" i="2" s="1"/>
  <c r="AA42" i="2"/>
  <c r="X42" i="2"/>
  <c r="W42" i="2"/>
  <c r="U42" i="2"/>
  <c r="R42" i="2"/>
  <c r="N42" i="2"/>
  <c r="O42" i="2" s="1"/>
  <c r="L42" i="2"/>
  <c r="I42" i="2"/>
  <c r="H42" i="2"/>
  <c r="F42" i="2"/>
  <c r="C42" i="2"/>
  <c r="AA40" i="2"/>
  <c r="Z40" i="2"/>
  <c r="X40" i="2"/>
  <c r="W40" i="2"/>
  <c r="U40" i="2"/>
  <c r="T40" i="2"/>
  <c r="R40" i="2"/>
  <c r="Q40" i="2"/>
  <c r="L40" i="2"/>
  <c r="K40" i="2"/>
  <c r="F40" i="2"/>
  <c r="E40" i="2"/>
  <c r="B40" i="2"/>
  <c r="H40" i="2" s="1"/>
  <c r="I40" i="2" s="1"/>
  <c r="AD39" i="2"/>
  <c r="AC39" i="2"/>
  <c r="AA39" i="2"/>
  <c r="W39" i="2"/>
  <c r="X39" i="2" s="1"/>
  <c r="U39" i="2"/>
  <c r="R39" i="2"/>
  <c r="N39" i="2"/>
  <c r="O39" i="2" s="1"/>
  <c r="L39" i="2"/>
  <c r="I39" i="2"/>
  <c r="H39" i="2"/>
  <c r="F39" i="2"/>
  <c r="C39" i="2"/>
  <c r="AC38" i="2"/>
  <c r="AD38" i="2" s="1"/>
  <c r="AA38" i="2"/>
  <c r="X38" i="2"/>
  <c r="W38" i="2"/>
  <c r="U38" i="2"/>
  <c r="R38" i="2"/>
  <c r="N38" i="2"/>
  <c r="O38" i="2" s="1"/>
  <c r="L38" i="2"/>
  <c r="H38" i="2"/>
  <c r="I38" i="2" s="1"/>
  <c r="F38" i="2"/>
  <c r="C38" i="2"/>
  <c r="AC37" i="2"/>
  <c r="AA37" i="2"/>
  <c r="X37" i="2"/>
  <c r="W37" i="2"/>
  <c r="U37" i="2"/>
  <c r="R37" i="2"/>
  <c r="N37" i="2"/>
  <c r="O37" i="2" s="1"/>
  <c r="L37" i="2"/>
  <c r="I37" i="2"/>
  <c r="H37" i="2"/>
  <c r="F37" i="2"/>
  <c r="C37" i="2"/>
  <c r="AC36" i="2"/>
  <c r="AA36" i="2"/>
  <c r="W36" i="2"/>
  <c r="X36" i="2" s="1"/>
  <c r="U36" i="2"/>
  <c r="R36" i="2"/>
  <c r="O36" i="2"/>
  <c r="N36" i="2"/>
  <c r="L36" i="2"/>
  <c r="I36" i="2"/>
  <c r="H36" i="2"/>
  <c r="F36" i="2"/>
  <c r="C36" i="2"/>
  <c r="AD35" i="2"/>
  <c r="AC35" i="2"/>
  <c r="AA35" i="2"/>
  <c r="W35" i="2"/>
  <c r="X35" i="2" s="1"/>
  <c r="U35" i="2"/>
  <c r="R35" i="2"/>
  <c r="O35" i="2"/>
  <c r="N35" i="2"/>
  <c r="L35" i="2"/>
  <c r="I35" i="2"/>
  <c r="H35" i="2"/>
  <c r="F35" i="2"/>
  <c r="C35" i="2"/>
  <c r="AC34" i="2"/>
  <c r="AD34" i="2" s="1"/>
  <c r="AA34" i="2"/>
  <c r="X34" i="2"/>
  <c r="W34" i="2"/>
  <c r="U34" i="2"/>
  <c r="R34" i="2"/>
  <c r="N34" i="2"/>
  <c r="O34" i="2" s="1"/>
  <c r="L34" i="2"/>
  <c r="I34" i="2"/>
  <c r="H34" i="2"/>
  <c r="F34" i="2"/>
  <c r="C34" i="2"/>
  <c r="AC33" i="2"/>
  <c r="AA33" i="2"/>
  <c r="W33" i="2"/>
  <c r="X33" i="2" s="1"/>
  <c r="U33" i="2"/>
  <c r="R33" i="2"/>
  <c r="N33" i="2"/>
  <c r="O33" i="2" s="1"/>
  <c r="L33" i="2"/>
  <c r="I33" i="2"/>
  <c r="H33" i="2"/>
  <c r="F33" i="2"/>
  <c r="C33" i="2"/>
  <c r="AC32" i="2"/>
  <c r="AA32" i="2"/>
  <c r="W32" i="2"/>
  <c r="X32" i="2" s="1"/>
  <c r="U32" i="2"/>
  <c r="R32" i="2"/>
  <c r="O32" i="2"/>
  <c r="N32" i="2"/>
  <c r="L32" i="2"/>
  <c r="I32" i="2"/>
  <c r="H32" i="2"/>
  <c r="F32" i="2"/>
  <c r="C32" i="2"/>
  <c r="AD31" i="2"/>
  <c r="AC31" i="2"/>
  <c r="AA31" i="2"/>
  <c r="W31" i="2"/>
  <c r="X31" i="2" s="1"/>
  <c r="U31" i="2"/>
  <c r="R31" i="2"/>
  <c r="O31" i="2"/>
  <c r="N31" i="2"/>
  <c r="L31" i="2"/>
  <c r="I31" i="2"/>
  <c r="H31" i="2"/>
  <c r="F31" i="2"/>
  <c r="C31" i="2"/>
  <c r="Z29" i="2"/>
  <c r="AA29" i="2" s="1"/>
  <c r="U29" i="2"/>
  <c r="T29" i="2"/>
  <c r="Q29" i="2"/>
  <c r="W29" i="2" s="1"/>
  <c r="X29" i="2" s="1"/>
  <c r="L29" i="2"/>
  <c r="K29" i="2"/>
  <c r="E29" i="2"/>
  <c r="F29" i="2" s="1"/>
  <c r="B29" i="2"/>
  <c r="H29" i="2" s="1"/>
  <c r="I29" i="2" s="1"/>
  <c r="AC28" i="2"/>
  <c r="AA28" i="2"/>
  <c r="W28" i="2"/>
  <c r="X28" i="2" s="1"/>
  <c r="U28" i="2"/>
  <c r="R28" i="2"/>
  <c r="O28" i="2"/>
  <c r="N28" i="2"/>
  <c r="L28" i="2"/>
  <c r="I28" i="2"/>
  <c r="H28" i="2"/>
  <c r="F28" i="2"/>
  <c r="C28" i="2"/>
  <c r="AC27" i="2"/>
  <c r="AD27" i="2" s="1"/>
  <c r="AA27" i="2"/>
  <c r="W27" i="2"/>
  <c r="X27" i="2" s="1"/>
  <c r="U27" i="2"/>
  <c r="R27" i="2"/>
  <c r="N27" i="2"/>
  <c r="O27" i="2" s="1"/>
  <c r="L27" i="2"/>
  <c r="I27" i="2"/>
  <c r="H27" i="2"/>
  <c r="F27" i="2"/>
  <c r="C27" i="2"/>
  <c r="AD26" i="2"/>
  <c r="AC26" i="2"/>
  <c r="AA26" i="2"/>
  <c r="X26" i="2"/>
  <c r="W26" i="2"/>
  <c r="U26" i="2"/>
  <c r="R26" i="2"/>
  <c r="N26" i="2"/>
  <c r="O26" i="2" s="1"/>
  <c r="L26" i="2"/>
  <c r="H26" i="2"/>
  <c r="I26" i="2" s="1"/>
  <c r="F26" i="2"/>
  <c r="C26" i="2"/>
  <c r="AC25" i="2"/>
  <c r="AA25" i="2"/>
  <c r="X25" i="2"/>
  <c r="W25" i="2"/>
  <c r="U25" i="2"/>
  <c r="R25" i="2"/>
  <c r="N25" i="2"/>
  <c r="O25" i="2" s="1"/>
  <c r="L25" i="2"/>
  <c r="H25" i="2"/>
  <c r="I25" i="2" s="1"/>
  <c r="F25" i="2"/>
  <c r="C25" i="2"/>
  <c r="AC24" i="2"/>
  <c r="AA24" i="2"/>
  <c r="W24" i="2"/>
  <c r="X24" i="2" s="1"/>
  <c r="U24" i="2"/>
  <c r="R24" i="2"/>
  <c r="O24" i="2"/>
  <c r="N24" i="2"/>
  <c r="L24" i="2"/>
  <c r="I24" i="2"/>
  <c r="H24" i="2"/>
  <c r="F24" i="2"/>
  <c r="C24" i="2"/>
  <c r="AC23" i="2"/>
  <c r="AD23" i="2" s="1"/>
  <c r="AA23" i="2"/>
  <c r="W23" i="2"/>
  <c r="X23" i="2" s="1"/>
  <c r="U23" i="2"/>
  <c r="R23" i="2"/>
  <c r="N23" i="2"/>
  <c r="O23" i="2" s="1"/>
  <c r="L23" i="2"/>
  <c r="I23" i="2"/>
  <c r="H23" i="2"/>
  <c r="F23" i="2"/>
  <c r="C23" i="2"/>
  <c r="AD22" i="2"/>
  <c r="AC22" i="2"/>
  <c r="AA22" i="2"/>
  <c r="X22" i="2"/>
  <c r="W22" i="2"/>
  <c r="U22" i="2"/>
  <c r="R22" i="2"/>
  <c r="N22" i="2"/>
  <c r="O22" i="2" s="1"/>
  <c r="L22" i="2"/>
  <c r="H22" i="2"/>
  <c r="I22" i="2" s="1"/>
  <c r="F22" i="2"/>
  <c r="C22" i="2"/>
  <c r="AC21" i="2"/>
  <c r="AA21" i="2"/>
  <c r="W21" i="2"/>
  <c r="X21" i="2" s="1"/>
  <c r="U21" i="2"/>
  <c r="R21" i="2"/>
  <c r="N21" i="2"/>
  <c r="O21" i="2" s="1"/>
  <c r="L21" i="2"/>
  <c r="I21" i="2"/>
  <c r="H21" i="2"/>
  <c r="F21" i="2"/>
  <c r="C21" i="2"/>
  <c r="AC19" i="2"/>
  <c r="AA19" i="2"/>
  <c r="W19" i="2"/>
  <c r="X19" i="2" s="1"/>
  <c r="U19" i="2"/>
  <c r="R19" i="2"/>
  <c r="O19" i="2"/>
  <c r="N19" i="2"/>
  <c r="L19" i="2"/>
  <c r="I19" i="2"/>
  <c r="H19" i="2"/>
  <c r="F19" i="2"/>
  <c r="C19" i="2"/>
  <c r="AA18" i="2"/>
  <c r="Z18" i="2"/>
  <c r="T18" i="2"/>
  <c r="U18" i="2" s="1"/>
  <c r="Q18" i="2"/>
  <c r="W18" i="2" s="1"/>
  <c r="X18" i="2" s="1"/>
  <c r="L18" i="2"/>
  <c r="K18" i="2"/>
  <c r="E18" i="2"/>
  <c r="H18" i="2" s="1"/>
  <c r="I18" i="2" s="1"/>
  <c r="C18" i="2"/>
  <c r="B18" i="2"/>
  <c r="N18" i="2" s="1"/>
  <c r="O18" i="2" s="1"/>
  <c r="AC17" i="2"/>
  <c r="AA17" i="2"/>
  <c r="W17" i="2"/>
  <c r="X17" i="2" s="1"/>
  <c r="U17" i="2"/>
  <c r="R17" i="2"/>
  <c r="N17" i="2"/>
  <c r="O17" i="2" s="1"/>
  <c r="L17" i="2"/>
  <c r="I17" i="2"/>
  <c r="H17" i="2"/>
  <c r="F17" i="2"/>
  <c r="C17" i="2"/>
  <c r="AC16" i="2"/>
  <c r="AA16" i="2"/>
  <c r="W16" i="2"/>
  <c r="X16" i="2" s="1"/>
  <c r="U16" i="2"/>
  <c r="R16" i="2"/>
  <c r="O16" i="2"/>
  <c r="N16" i="2"/>
  <c r="L16" i="2"/>
  <c r="I16" i="2"/>
  <c r="H16" i="2"/>
  <c r="F16" i="2"/>
  <c r="C16" i="2"/>
  <c r="AD15" i="2"/>
  <c r="AC15" i="2"/>
  <c r="AA15" i="2"/>
  <c r="W15" i="2"/>
  <c r="X15" i="2" s="1"/>
  <c r="U15" i="2"/>
  <c r="R15" i="2"/>
  <c r="N15" i="2"/>
  <c r="O15" i="2" s="1"/>
  <c r="L15" i="2"/>
  <c r="I15" i="2"/>
  <c r="H15" i="2"/>
  <c r="F15" i="2"/>
  <c r="C15" i="2"/>
  <c r="AC14" i="2"/>
  <c r="AD14" i="2" s="1"/>
  <c r="AA14" i="2"/>
  <c r="X14" i="2"/>
  <c r="W14" i="2"/>
  <c r="U14" i="2"/>
  <c r="R14" i="2"/>
  <c r="N14" i="2"/>
  <c r="O14" i="2" s="1"/>
  <c r="L14" i="2"/>
  <c r="H14" i="2"/>
  <c r="I14" i="2" s="1"/>
  <c r="F14" i="2"/>
  <c r="C14" i="2"/>
  <c r="AC13" i="2"/>
  <c r="AA13" i="2"/>
  <c r="W13" i="2"/>
  <c r="X13" i="2" s="1"/>
  <c r="U13" i="2"/>
  <c r="R13" i="2"/>
  <c r="N13" i="2"/>
  <c r="O13" i="2" s="1"/>
  <c r="L13" i="2"/>
  <c r="H13" i="2"/>
  <c r="I13" i="2" s="1"/>
  <c r="F13" i="2"/>
  <c r="C13" i="2"/>
  <c r="AC12" i="2"/>
  <c r="AA12" i="2"/>
  <c r="W12" i="2"/>
  <c r="X12" i="2" s="1"/>
  <c r="U12" i="2"/>
  <c r="R12" i="2"/>
  <c r="O12" i="2"/>
  <c r="N12" i="2"/>
  <c r="L12" i="2"/>
  <c r="I12" i="2"/>
  <c r="H12" i="2"/>
  <c r="F12" i="2"/>
  <c r="C12" i="2"/>
  <c r="AC11" i="2"/>
  <c r="AD11" i="2" s="1"/>
  <c r="AA11" i="2"/>
  <c r="W11" i="2"/>
  <c r="X11" i="2" s="1"/>
  <c r="U11" i="2"/>
  <c r="R11" i="2"/>
  <c r="O11" i="2"/>
  <c r="N11" i="2"/>
  <c r="L11" i="2"/>
  <c r="I11" i="2"/>
  <c r="H11" i="2"/>
  <c r="F11" i="2"/>
  <c r="C11" i="2"/>
  <c r="AD10" i="2"/>
  <c r="AC10" i="2"/>
  <c r="AA10" i="2"/>
  <c r="X10" i="2"/>
  <c r="W10" i="2"/>
  <c r="U10" i="2"/>
  <c r="R10" i="2"/>
  <c r="N10" i="2"/>
  <c r="O10" i="2" s="1"/>
  <c r="L10" i="2"/>
  <c r="I10" i="2"/>
  <c r="H10" i="2"/>
  <c r="F10" i="2"/>
  <c r="C10" i="2"/>
  <c r="AC8" i="2"/>
  <c r="AA8" i="2"/>
  <c r="W8" i="2"/>
  <c r="X8" i="2" s="1"/>
  <c r="U8" i="2"/>
  <c r="R8" i="2"/>
  <c r="N8" i="2"/>
  <c r="O8" i="2" s="1"/>
  <c r="L8" i="2"/>
  <c r="H8" i="2"/>
  <c r="I8" i="2" s="1"/>
  <c r="F8" i="2"/>
  <c r="C8" i="2"/>
  <c r="AC444" i="1"/>
  <c r="W444" i="1"/>
  <c r="N444" i="1"/>
  <c r="H444" i="1"/>
  <c r="AA442" i="1"/>
  <c r="Z442" i="1"/>
  <c r="T442" i="1"/>
  <c r="W442" i="1" s="1"/>
  <c r="X442" i="1" s="1"/>
  <c r="R442" i="1"/>
  <c r="Q442" i="1"/>
  <c r="AC442" i="1" s="1"/>
  <c r="AD442" i="1" s="1"/>
  <c r="L442" i="1"/>
  <c r="K442" i="1"/>
  <c r="H442" i="1"/>
  <c r="I442" i="1" s="1"/>
  <c r="F442" i="1"/>
  <c r="E442" i="1"/>
  <c r="C442" i="1"/>
  <c r="B442" i="1"/>
  <c r="N442" i="1" s="1"/>
  <c r="O442" i="1" s="1"/>
  <c r="Z441" i="1"/>
  <c r="AA441" i="1" s="1"/>
  <c r="U441" i="1"/>
  <c r="T441" i="1"/>
  <c r="Q441" i="1"/>
  <c r="W441" i="1" s="1"/>
  <c r="X441" i="1" s="1"/>
  <c r="L441" i="1"/>
  <c r="K441" i="1"/>
  <c r="E441" i="1"/>
  <c r="F441" i="1" s="1"/>
  <c r="B441" i="1"/>
  <c r="H441" i="1" s="1"/>
  <c r="I441" i="1" s="1"/>
  <c r="AD440" i="1"/>
  <c r="AC440" i="1"/>
  <c r="AA440" i="1"/>
  <c r="W440" i="1"/>
  <c r="X440" i="1" s="1"/>
  <c r="U440" i="1"/>
  <c r="R440" i="1"/>
  <c r="O440" i="1"/>
  <c r="N440" i="1"/>
  <c r="L440" i="1"/>
  <c r="I440" i="1"/>
  <c r="H440" i="1"/>
  <c r="F440" i="1"/>
  <c r="C440" i="1"/>
  <c r="AC439" i="1"/>
  <c r="AD439" i="1" s="1"/>
  <c r="AA439" i="1"/>
  <c r="W439" i="1"/>
  <c r="X439" i="1" s="1"/>
  <c r="U439" i="1"/>
  <c r="R439" i="1"/>
  <c r="O439" i="1"/>
  <c r="N439" i="1"/>
  <c r="L439" i="1"/>
  <c r="I439" i="1"/>
  <c r="H439" i="1"/>
  <c r="F439" i="1"/>
  <c r="C439" i="1"/>
  <c r="AC438" i="1"/>
  <c r="AD438" i="1" s="1"/>
  <c r="AA438" i="1"/>
  <c r="X438" i="1"/>
  <c r="W438" i="1"/>
  <c r="U438" i="1"/>
  <c r="R438" i="1"/>
  <c r="N438" i="1"/>
  <c r="O438" i="1" s="1"/>
  <c r="L438" i="1"/>
  <c r="I438" i="1"/>
  <c r="H438" i="1"/>
  <c r="F438" i="1"/>
  <c r="C438" i="1"/>
  <c r="AD437" i="1"/>
  <c r="AC437" i="1"/>
  <c r="AA437" i="1"/>
  <c r="W437" i="1"/>
  <c r="X437" i="1" s="1"/>
  <c r="U437" i="1"/>
  <c r="R437" i="1"/>
  <c r="N437" i="1"/>
  <c r="O437" i="1" s="1"/>
  <c r="L437" i="1"/>
  <c r="I437" i="1"/>
  <c r="H437" i="1"/>
  <c r="F437" i="1"/>
  <c r="C437" i="1"/>
  <c r="AD436" i="1"/>
  <c r="AC436" i="1"/>
  <c r="AA436" i="1"/>
  <c r="W436" i="1"/>
  <c r="X436" i="1" s="1"/>
  <c r="U436" i="1"/>
  <c r="R436" i="1"/>
  <c r="O436" i="1"/>
  <c r="N436" i="1"/>
  <c r="L436" i="1"/>
  <c r="I436" i="1"/>
  <c r="H436" i="1"/>
  <c r="F436" i="1"/>
  <c r="C436" i="1"/>
  <c r="AD435" i="1"/>
  <c r="AC435" i="1"/>
  <c r="AA435" i="1"/>
  <c r="W435" i="1"/>
  <c r="X435" i="1" s="1"/>
  <c r="U435" i="1"/>
  <c r="R435" i="1"/>
  <c r="O435" i="1"/>
  <c r="N435" i="1"/>
  <c r="L435" i="1"/>
  <c r="I435" i="1"/>
  <c r="H435" i="1"/>
  <c r="F435" i="1"/>
  <c r="C435" i="1"/>
  <c r="AC434" i="1"/>
  <c r="AD434" i="1" s="1"/>
  <c r="AA434" i="1"/>
  <c r="X434" i="1"/>
  <c r="W434" i="1"/>
  <c r="U434" i="1"/>
  <c r="R434" i="1"/>
  <c r="N434" i="1"/>
  <c r="O434" i="1" s="1"/>
  <c r="L434" i="1"/>
  <c r="I434" i="1"/>
  <c r="H434" i="1"/>
  <c r="F434" i="1"/>
  <c r="C434" i="1"/>
  <c r="AD433" i="1"/>
  <c r="AC433" i="1"/>
  <c r="AA433" i="1"/>
  <c r="W433" i="1"/>
  <c r="X433" i="1" s="1"/>
  <c r="U433" i="1"/>
  <c r="R433" i="1"/>
  <c r="N433" i="1"/>
  <c r="O433" i="1" s="1"/>
  <c r="L433" i="1"/>
  <c r="H433" i="1"/>
  <c r="I433" i="1" s="1"/>
  <c r="F433" i="1"/>
  <c r="C433" i="1"/>
  <c r="AD432" i="1"/>
  <c r="AC432" i="1"/>
  <c r="AA432" i="1"/>
  <c r="W432" i="1"/>
  <c r="X432" i="1" s="1"/>
  <c r="U432" i="1"/>
  <c r="R432" i="1"/>
  <c r="O432" i="1"/>
  <c r="N432" i="1"/>
  <c r="L432" i="1"/>
  <c r="I432" i="1"/>
  <c r="H432" i="1"/>
  <c r="F432" i="1"/>
  <c r="C432" i="1"/>
  <c r="AC429" i="1"/>
  <c r="AD429" i="1" s="1"/>
  <c r="AA429" i="1"/>
  <c r="Z429" i="1"/>
  <c r="U429" i="1"/>
  <c r="T429" i="1"/>
  <c r="R429" i="1"/>
  <c r="Q429" i="1"/>
  <c r="W429" i="1" s="1"/>
  <c r="X429" i="1" s="1"/>
  <c r="K429" i="1"/>
  <c r="L429" i="1" s="1"/>
  <c r="H429" i="1"/>
  <c r="I429" i="1" s="1"/>
  <c r="F429" i="1"/>
  <c r="E429" i="1"/>
  <c r="C429" i="1"/>
  <c r="B429" i="1"/>
  <c r="N429" i="1" s="1"/>
  <c r="O429" i="1" s="1"/>
  <c r="Z428" i="1"/>
  <c r="AA428" i="1" s="1"/>
  <c r="W428" i="1"/>
  <c r="X428" i="1" s="1"/>
  <c r="U428" i="1"/>
  <c r="T428" i="1"/>
  <c r="Q428" i="1"/>
  <c r="R428" i="1" s="1"/>
  <c r="K428" i="1"/>
  <c r="L428" i="1" s="1"/>
  <c r="E428" i="1"/>
  <c r="F428" i="1" s="1"/>
  <c r="C428" i="1"/>
  <c r="B428" i="1"/>
  <c r="H428" i="1" s="1"/>
  <c r="I428" i="1" s="1"/>
  <c r="AC427" i="1"/>
  <c r="AD427" i="1" s="1"/>
  <c r="AA427" i="1"/>
  <c r="W427" i="1"/>
  <c r="X427" i="1" s="1"/>
  <c r="U427" i="1"/>
  <c r="R427" i="1"/>
  <c r="O427" i="1"/>
  <c r="N427" i="1"/>
  <c r="L427" i="1"/>
  <c r="I427" i="1"/>
  <c r="H427" i="1"/>
  <c r="F427" i="1"/>
  <c r="C427" i="1"/>
  <c r="AD426" i="1"/>
  <c r="AC426" i="1"/>
  <c r="AA426" i="1"/>
  <c r="X426" i="1"/>
  <c r="W426" i="1"/>
  <c r="U426" i="1"/>
  <c r="R426" i="1"/>
  <c r="N426" i="1"/>
  <c r="O426" i="1" s="1"/>
  <c r="L426" i="1"/>
  <c r="I426" i="1"/>
  <c r="H426" i="1"/>
  <c r="F426" i="1"/>
  <c r="C426" i="1"/>
  <c r="AC425" i="1"/>
  <c r="AD425" i="1" s="1"/>
  <c r="AA425" i="1"/>
  <c r="W425" i="1"/>
  <c r="X425" i="1" s="1"/>
  <c r="U425" i="1"/>
  <c r="R425" i="1"/>
  <c r="N425" i="1"/>
  <c r="O425" i="1" s="1"/>
  <c r="L425" i="1"/>
  <c r="H425" i="1"/>
  <c r="I425" i="1" s="1"/>
  <c r="F425" i="1"/>
  <c r="C425" i="1"/>
  <c r="AD424" i="1"/>
  <c r="AC424" i="1"/>
  <c r="AA424" i="1"/>
  <c r="W424" i="1"/>
  <c r="X424" i="1" s="1"/>
  <c r="U424" i="1"/>
  <c r="R424" i="1"/>
  <c r="O424" i="1"/>
  <c r="N424" i="1"/>
  <c r="L424" i="1"/>
  <c r="H424" i="1"/>
  <c r="I424" i="1" s="1"/>
  <c r="F424" i="1"/>
  <c r="C424" i="1"/>
  <c r="AC423" i="1"/>
  <c r="AD423" i="1" s="1"/>
  <c r="AA423" i="1"/>
  <c r="W423" i="1"/>
  <c r="X423" i="1" s="1"/>
  <c r="U423" i="1"/>
  <c r="R423" i="1"/>
  <c r="N423" i="1"/>
  <c r="O423" i="1" s="1"/>
  <c r="L423" i="1"/>
  <c r="I423" i="1"/>
  <c r="H423" i="1"/>
  <c r="F423" i="1"/>
  <c r="C423" i="1"/>
  <c r="AD422" i="1"/>
  <c r="AC422" i="1"/>
  <c r="AA422" i="1"/>
  <c r="X422" i="1"/>
  <c r="W422" i="1"/>
  <c r="U422" i="1"/>
  <c r="R422" i="1"/>
  <c r="N422" i="1"/>
  <c r="O422" i="1" s="1"/>
  <c r="L422" i="1"/>
  <c r="H422" i="1"/>
  <c r="I422" i="1" s="1"/>
  <c r="F422" i="1"/>
  <c r="C422" i="1"/>
  <c r="AC421" i="1"/>
  <c r="AD421" i="1" s="1"/>
  <c r="AA421" i="1"/>
  <c r="X421" i="1"/>
  <c r="W421" i="1"/>
  <c r="U421" i="1"/>
  <c r="R421" i="1"/>
  <c r="N421" i="1"/>
  <c r="O421" i="1" s="1"/>
  <c r="L421" i="1"/>
  <c r="H421" i="1"/>
  <c r="I421" i="1" s="1"/>
  <c r="F421" i="1"/>
  <c r="C421" i="1"/>
  <c r="AD420" i="1"/>
  <c r="AC420" i="1"/>
  <c r="AA420" i="1"/>
  <c r="W420" i="1"/>
  <c r="X420" i="1" s="1"/>
  <c r="U420" i="1"/>
  <c r="R420" i="1"/>
  <c r="O420" i="1"/>
  <c r="N420" i="1"/>
  <c r="L420" i="1"/>
  <c r="H420" i="1"/>
  <c r="I420" i="1" s="1"/>
  <c r="F420" i="1"/>
  <c r="C420" i="1"/>
  <c r="AC419" i="1"/>
  <c r="AD419" i="1" s="1"/>
  <c r="AA419" i="1"/>
  <c r="W419" i="1"/>
  <c r="X419" i="1" s="1"/>
  <c r="U419" i="1"/>
  <c r="R419" i="1"/>
  <c r="N419" i="1"/>
  <c r="O419" i="1" s="1"/>
  <c r="L419" i="1"/>
  <c r="I419" i="1"/>
  <c r="H419" i="1"/>
  <c r="F419" i="1"/>
  <c r="C419" i="1"/>
  <c r="AD418" i="1"/>
  <c r="AC418" i="1"/>
  <c r="AA418" i="1"/>
  <c r="X418" i="1"/>
  <c r="W418" i="1"/>
  <c r="U418" i="1"/>
  <c r="R418" i="1"/>
  <c r="N418" i="1"/>
  <c r="O418" i="1" s="1"/>
  <c r="L418" i="1"/>
  <c r="H418" i="1"/>
  <c r="I418" i="1" s="1"/>
  <c r="F418" i="1"/>
  <c r="C418" i="1"/>
  <c r="AC417" i="1"/>
  <c r="AD417" i="1" s="1"/>
  <c r="AA417" i="1"/>
  <c r="W417" i="1"/>
  <c r="X417" i="1" s="1"/>
  <c r="U417" i="1"/>
  <c r="R417" i="1"/>
  <c r="N417" i="1"/>
  <c r="O417" i="1" s="1"/>
  <c r="L417" i="1"/>
  <c r="I417" i="1"/>
  <c r="H417" i="1"/>
  <c r="F417" i="1"/>
  <c r="C417" i="1"/>
  <c r="AD416" i="1"/>
  <c r="AC416" i="1"/>
  <c r="AA416" i="1"/>
  <c r="W416" i="1"/>
  <c r="X416" i="1" s="1"/>
  <c r="U416" i="1"/>
  <c r="R416" i="1"/>
  <c r="O416" i="1"/>
  <c r="N416" i="1"/>
  <c r="L416" i="1"/>
  <c r="H416" i="1"/>
  <c r="I416" i="1" s="1"/>
  <c r="F416" i="1"/>
  <c r="C416" i="1"/>
  <c r="AD415" i="1"/>
  <c r="AC415" i="1"/>
  <c r="AA415" i="1"/>
  <c r="W415" i="1"/>
  <c r="X415" i="1" s="1"/>
  <c r="U415" i="1"/>
  <c r="R415" i="1"/>
  <c r="N415" i="1"/>
  <c r="O415" i="1" s="1"/>
  <c r="L415" i="1"/>
  <c r="I415" i="1"/>
  <c r="H415" i="1"/>
  <c r="F415" i="1"/>
  <c r="C415" i="1"/>
  <c r="AC414" i="1"/>
  <c r="AD414" i="1" s="1"/>
  <c r="AA414" i="1"/>
  <c r="X414" i="1"/>
  <c r="W414" i="1"/>
  <c r="U414" i="1"/>
  <c r="R414" i="1"/>
  <c r="N414" i="1"/>
  <c r="O414" i="1" s="1"/>
  <c r="L414" i="1"/>
  <c r="H414" i="1"/>
  <c r="I414" i="1" s="1"/>
  <c r="F414" i="1"/>
  <c r="C414" i="1"/>
  <c r="AC413" i="1"/>
  <c r="AD413" i="1" s="1"/>
  <c r="AA413" i="1"/>
  <c r="W413" i="1"/>
  <c r="X413" i="1" s="1"/>
  <c r="U413" i="1"/>
  <c r="R413" i="1"/>
  <c r="N413" i="1"/>
  <c r="O413" i="1" s="1"/>
  <c r="L413" i="1"/>
  <c r="H413" i="1"/>
  <c r="I413" i="1" s="1"/>
  <c r="F413" i="1"/>
  <c r="C413" i="1"/>
  <c r="AD412" i="1"/>
  <c r="AC412" i="1"/>
  <c r="AA412" i="1"/>
  <c r="W412" i="1"/>
  <c r="X412" i="1" s="1"/>
  <c r="U412" i="1"/>
  <c r="R412" i="1"/>
  <c r="O412" i="1"/>
  <c r="N412" i="1"/>
  <c r="L412" i="1"/>
  <c r="H412" i="1"/>
  <c r="I412" i="1" s="1"/>
  <c r="F412" i="1"/>
  <c r="C412" i="1"/>
  <c r="AC411" i="1"/>
  <c r="AD411" i="1" s="1"/>
  <c r="AA411" i="1"/>
  <c r="W411" i="1"/>
  <c r="X411" i="1" s="1"/>
  <c r="U411" i="1"/>
  <c r="R411" i="1"/>
  <c r="O411" i="1"/>
  <c r="N411" i="1"/>
  <c r="L411" i="1"/>
  <c r="I411" i="1"/>
  <c r="H411" i="1"/>
  <c r="F411" i="1"/>
  <c r="C411" i="1"/>
  <c r="AD410" i="1"/>
  <c r="AC410" i="1"/>
  <c r="AA410" i="1"/>
  <c r="X410" i="1"/>
  <c r="W410" i="1"/>
  <c r="U410" i="1"/>
  <c r="R410" i="1"/>
  <c r="N410" i="1"/>
  <c r="O410" i="1" s="1"/>
  <c r="L410" i="1"/>
  <c r="I410" i="1"/>
  <c r="H410" i="1"/>
  <c r="F410" i="1"/>
  <c r="C410" i="1"/>
  <c r="AC409" i="1"/>
  <c r="AD409" i="1" s="1"/>
  <c r="AA409" i="1"/>
  <c r="W409" i="1"/>
  <c r="X409" i="1" s="1"/>
  <c r="U409" i="1"/>
  <c r="R409" i="1"/>
  <c r="N409" i="1"/>
  <c r="O409" i="1" s="1"/>
  <c r="L409" i="1"/>
  <c r="H409" i="1"/>
  <c r="I409" i="1" s="1"/>
  <c r="F409" i="1"/>
  <c r="C409" i="1"/>
  <c r="AD408" i="1"/>
  <c r="AC408" i="1"/>
  <c r="AA408" i="1"/>
  <c r="W408" i="1"/>
  <c r="X408" i="1" s="1"/>
  <c r="U408" i="1"/>
  <c r="R408" i="1"/>
  <c r="O408" i="1"/>
  <c r="N408" i="1"/>
  <c r="L408" i="1"/>
  <c r="I408" i="1"/>
  <c r="H408" i="1"/>
  <c r="F408" i="1"/>
  <c r="C408" i="1"/>
  <c r="AC407" i="1"/>
  <c r="AD407" i="1" s="1"/>
  <c r="AA407" i="1"/>
  <c r="W407" i="1"/>
  <c r="X407" i="1" s="1"/>
  <c r="U407" i="1"/>
  <c r="R407" i="1"/>
  <c r="O407" i="1"/>
  <c r="N407" i="1"/>
  <c r="L407" i="1"/>
  <c r="I407" i="1"/>
  <c r="H407" i="1"/>
  <c r="F407" i="1"/>
  <c r="C407" i="1"/>
  <c r="Z403" i="1"/>
  <c r="AA403" i="1" s="1"/>
  <c r="X403" i="1"/>
  <c r="W403" i="1"/>
  <c r="U403" i="1"/>
  <c r="T403" i="1"/>
  <c r="R403" i="1"/>
  <c r="Q403" i="1"/>
  <c r="AC403" i="1" s="1"/>
  <c r="AD403" i="1" s="1"/>
  <c r="K403" i="1"/>
  <c r="L403" i="1" s="1"/>
  <c r="H403" i="1"/>
  <c r="I403" i="1" s="1"/>
  <c r="F403" i="1"/>
  <c r="E403" i="1"/>
  <c r="B403" i="1"/>
  <c r="C403" i="1" s="1"/>
  <c r="AC402" i="1"/>
  <c r="AD402" i="1" s="1"/>
  <c r="AA402" i="1"/>
  <c r="X402" i="1"/>
  <c r="W402" i="1"/>
  <c r="U402" i="1"/>
  <c r="R402" i="1"/>
  <c r="N402" i="1"/>
  <c r="O402" i="1" s="1"/>
  <c r="L402" i="1"/>
  <c r="H402" i="1"/>
  <c r="I402" i="1" s="1"/>
  <c r="F402" i="1"/>
  <c r="C402" i="1"/>
  <c r="AC401" i="1"/>
  <c r="AD401" i="1" s="1"/>
  <c r="AA401" i="1"/>
  <c r="X401" i="1"/>
  <c r="W401" i="1"/>
  <c r="U401" i="1"/>
  <c r="R401" i="1"/>
  <c r="N401" i="1"/>
  <c r="O401" i="1" s="1"/>
  <c r="L401" i="1"/>
  <c r="I401" i="1"/>
  <c r="H401" i="1"/>
  <c r="F401" i="1"/>
  <c r="C401" i="1"/>
  <c r="AD400" i="1"/>
  <c r="AC400" i="1"/>
  <c r="AA400" i="1"/>
  <c r="W400" i="1"/>
  <c r="X400" i="1" s="1"/>
  <c r="U400" i="1"/>
  <c r="R400" i="1"/>
  <c r="O400" i="1"/>
  <c r="N400" i="1"/>
  <c r="L400" i="1"/>
  <c r="H400" i="1"/>
  <c r="I400" i="1" s="1"/>
  <c r="F400" i="1"/>
  <c r="C400" i="1"/>
  <c r="AD399" i="1"/>
  <c r="AC399" i="1"/>
  <c r="AA399" i="1"/>
  <c r="W399" i="1"/>
  <c r="X399" i="1" s="1"/>
  <c r="U399" i="1"/>
  <c r="R399" i="1"/>
  <c r="N399" i="1"/>
  <c r="O399" i="1" s="1"/>
  <c r="L399" i="1"/>
  <c r="I399" i="1"/>
  <c r="H399" i="1"/>
  <c r="F399" i="1"/>
  <c r="C399" i="1"/>
  <c r="AC398" i="1"/>
  <c r="AD398" i="1" s="1"/>
  <c r="AA398" i="1"/>
  <c r="X398" i="1"/>
  <c r="W398" i="1"/>
  <c r="U398" i="1"/>
  <c r="R398" i="1"/>
  <c r="N398" i="1"/>
  <c r="O398" i="1" s="1"/>
  <c r="L398" i="1"/>
  <c r="H398" i="1"/>
  <c r="I398" i="1" s="1"/>
  <c r="F398" i="1"/>
  <c r="C398" i="1"/>
  <c r="AC397" i="1"/>
  <c r="AD397" i="1" s="1"/>
  <c r="AA397" i="1"/>
  <c r="W397" i="1"/>
  <c r="X397" i="1" s="1"/>
  <c r="U397" i="1"/>
  <c r="R397" i="1"/>
  <c r="N397" i="1"/>
  <c r="O397" i="1" s="1"/>
  <c r="L397" i="1"/>
  <c r="I397" i="1"/>
  <c r="H397" i="1"/>
  <c r="F397" i="1"/>
  <c r="C397" i="1"/>
  <c r="Z396" i="1"/>
  <c r="AA396" i="1" s="1"/>
  <c r="X396" i="1"/>
  <c r="W396" i="1"/>
  <c r="T396" i="1"/>
  <c r="U396" i="1" s="1"/>
  <c r="R396" i="1"/>
  <c r="Q396" i="1"/>
  <c r="AC396" i="1" s="1"/>
  <c r="AD396" i="1" s="1"/>
  <c r="K396" i="1"/>
  <c r="L396" i="1" s="1"/>
  <c r="I396" i="1"/>
  <c r="H396" i="1"/>
  <c r="F396" i="1"/>
  <c r="E396" i="1"/>
  <c r="B396" i="1"/>
  <c r="C396" i="1" s="1"/>
  <c r="AC395" i="1"/>
  <c r="AD395" i="1" s="1"/>
  <c r="AA395" i="1"/>
  <c r="X395" i="1"/>
  <c r="W395" i="1"/>
  <c r="U395" i="1"/>
  <c r="R395" i="1"/>
  <c r="N395" i="1"/>
  <c r="O395" i="1" s="1"/>
  <c r="L395" i="1"/>
  <c r="H395" i="1"/>
  <c r="I395" i="1" s="1"/>
  <c r="F395" i="1"/>
  <c r="C395" i="1"/>
  <c r="AC394" i="1"/>
  <c r="AD394" i="1" s="1"/>
  <c r="AA394" i="1"/>
  <c r="W394" i="1"/>
  <c r="X394" i="1" s="1"/>
  <c r="U394" i="1"/>
  <c r="R394" i="1"/>
  <c r="N394" i="1"/>
  <c r="O394" i="1" s="1"/>
  <c r="L394" i="1"/>
  <c r="H394" i="1"/>
  <c r="I394" i="1" s="1"/>
  <c r="F394" i="1"/>
  <c r="C394" i="1"/>
  <c r="Z393" i="1"/>
  <c r="AA393" i="1" s="1"/>
  <c r="W393" i="1"/>
  <c r="X393" i="1" s="1"/>
  <c r="U393" i="1"/>
  <c r="T393" i="1"/>
  <c r="R393" i="1"/>
  <c r="Q393" i="1"/>
  <c r="AC393" i="1" s="1"/>
  <c r="AD393" i="1" s="1"/>
  <c r="K393" i="1"/>
  <c r="L393" i="1" s="1"/>
  <c r="H393" i="1"/>
  <c r="I393" i="1" s="1"/>
  <c r="F393" i="1"/>
  <c r="E393" i="1"/>
  <c r="B393" i="1"/>
  <c r="C393" i="1" s="1"/>
  <c r="AC392" i="1"/>
  <c r="AD392" i="1" s="1"/>
  <c r="AA392" i="1"/>
  <c r="X392" i="1"/>
  <c r="W392" i="1"/>
  <c r="U392" i="1"/>
  <c r="R392" i="1"/>
  <c r="N392" i="1"/>
  <c r="O392" i="1" s="1"/>
  <c r="L392" i="1"/>
  <c r="H392" i="1"/>
  <c r="I392" i="1" s="1"/>
  <c r="F392" i="1"/>
  <c r="C392" i="1"/>
  <c r="AC391" i="1"/>
  <c r="AD391" i="1" s="1"/>
  <c r="AA391" i="1"/>
  <c r="X391" i="1"/>
  <c r="W391" i="1"/>
  <c r="U391" i="1"/>
  <c r="R391" i="1"/>
  <c r="N391" i="1"/>
  <c r="O391" i="1" s="1"/>
  <c r="L391" i="1"/>
  <c r="I391" i="1"/>
  <c r="H391" i="1"/>
  <c r="F391" i="1"/>
  <c r="C391" i="1"/>
  <c r="AD390" i="1"/>
  <c r="AC390" i="1"/>
  <c r="AA390" i="1"/>
  <c r="W390" i="1"/>
  <c r="X390" i="1" s="1"/>
  <c r="U390" i="1"/>
  <c r="R390" i="1"/>
  <c r="O390" i="1"/>
  <c r="N390" i="1"/>
  <c r="L390" i="1"/>
  <c r="H390" i="1"/>
  <c r="I390" i="1" s="1"/>
  <c r="F390" i="1"/>
  <c r="C390" i="1"/>
  <c r="AD389" i="1"/>
  <c r="AC389" i="1"/>
  <c r="AA389" i="1"/>
  <c r="W389" i="1"/>
  <c r="X389" i="1" s="1"/>
  <c r="U389" i="1"/>
  <c r="R389" i="1"/>
  <c r="N389" i="1"/>
  <c r="O389" i="1" s="1"/>
  <c r="L389" i="1"/>
  <c r="I389" i="1"/>
  <c r="H389" i="1"/>
  <c r="F389" i="1"/>
  <c r="C389" i="1"/>
  <c r="AC388" i="1"/>
  <c r="AD388" i="1" s="1"/>
  <c r="AA388" i="1"/>
  <c r="X388" i="1"/>
  <c r="W388" i="1"/>
  <c r="U388" i="1"/>
  <c r="R388" i="1"/>
  <c r="N388" i="1"/>
  <c r="O388" i="1" s="1"/>
  <c r="L388" i="1"/>
  <c r="H388" i="1"/>
  <c r="I388" i="1" s="1"/>
  <c r="F388" i="1"/>
  <c r="C388" i="1"/>
  <c r="AC386" i="1"/>
  <c r="AD386" i="1" s="1"/>
  <c r="AA386" i="1"/>
  <c r="W386" i="1"/>
  <c r="X386" i="1" s="1"/>
  <c r="U386" i="1"/>
  <c r="R386" i="1"/>
  <c r="N386" i="1"/>
  <c r="O386" i="1" s="1"/>
  <c r="L386" i="1"/>
  <c r="I386" i="1"/>
  <c r="H386" i="1"/>
  <c r="F386" i="1"/>
  <c r="C386" i="1"/>
  <c r="AD385" i="1"/>
  <c r="AC385" i="1"/>
  <c r="AA385" i="1"/>
  <c r="W385" i="1"/>
  <c r="X385" i="1" s="1"/>
  <c r="U385" i="1"/>
  <c r="R385" i="1"/>
  <c r="O385" i="1"/>
  <c r="N385" i="1"/>
  <c r="L385" i="1"/>
  <c r="H385" i="1"/>
  <c r="I385" i="1" s="1"/>
  <c r="F385" i="1"/>
  <c r="C385" i="1"/>
  <c r="AD383" i="1"/>
  <c r="AC383" i="1"/>
  <c r="AA383" i="1"/>
  <c r="W383" i="1"/>
  <c r="X383" i="1" s="1"/>
  <c r="U383" i="1"/>
  <c r="R383" i="1"/>
  <c r="O383" i="1"/>
  <c r="N383" i="1"/>
  <c r="L383" i="1"/>
  <c r="I383" i="1"/>
  <c r="H383" i="1"/>
  <c r="F383" i="1"/>
  <c r="C383" i="1"/>
  <c r="AD382" i="1"/>
  <c r="AC382" i="1"/>
  <c r="AA382" i="1"/>
  <c r="X382" i="1"/>
  <c r="W382" i="1"/>
  <c r="U382" i="1"/>
  <c r="R382" i="1"/>
  <c r="N382" i="1"/>
  <c r="O382" i="1" s="1"/>
  <c r="L382" i="1"/>
  <c r="I382" i="1"/>
  <c r="H382" i="1"/>
  <c r="F382" i="1"/>
  <c r="C382" i="1"/>
  <c r="AC381" i="1"/>
  <c r="AD381" i="1" s="1"/>
  <c r="AA381" i="1"/>
  <c r="W381" i="1"/>
  <c r="X381" i="1" s="1"/>
  <c r="U381" i="1"/>
  <c r="R381" i="1"/>
  <c r="N381" i="1"/>
  <c r="O381" i="1" s="1"/>
  <c r="L381" i="1"/>
  <c r="H381" i="1"/>
  <c r="I381" i="1" s="1"/>
  <c r="F381" i="1"/>
  <c r="C381" i="1"/>
  <c r="AD380" i="1"/>
  <c r="AC380" i="1"/>
  <c r="AA380" i="1"/>
  <c r="W380" i="1"/>
  <c r="X380" i="1" s="1"/>
  <c r="U380" i="1"/>
  <c r="R380" i="1"/>
  <c r="O380" i="1"/>
  <c r="N380" i="1"/>
  <c r="L380" i="1"/>
  <c r="H380" i="1"/>
  <c r="I380" i="1" s="1"/>
  <c r="F380" i="1"/>
  <c r="C380" i="1"/>
  <c r="AC379" i="1"/>
  <c r="AD379" i="1" s="1"/>
  <c r="AA379" i="1"/>
  <c r="W379" i="1"/>
  <c r="X379" i="1" s="1"/>
  <c r="U379" i="1"/>
  <c r="R379" i="1"/>
  <c r="O379" i="1"/>
  <c r="N379" i="1"/>
  <c r="L379" i="1"/>
  <c r="I379" i="1"/>
  <c r="H379" i="1"/>
  <c r="F379" i="1"/>
  <c r="C379" i="1"/>
  <c r="AC378" i="1"/>
  <c r="AD378" i="1" s="1"/>
  <c r="AA378" i="1"/>
  <c r="X378" i="1"/>
  <c r="W378" i="1"/>
  <c r="U378" i="1"/>
  <c r="R378" i="1"/>
  <c r="N378" i="1"/>
  <c r="O378" i="1" s="1"/>
  <c r="L378" i="1"/>
  <c r="I378" i="1"/>
  <c r="H378" i="1"/>
  <c r="F378" i="1"/>
  <c r="C378" i="1"/>
  <c r="AD377" i="1"/>
  <c r="AC377" i="1"/>
  <c r="AA377" i="1"/>
  <c r="W377" i="1"/>
  <c r="X377" i="1" s="1"/>
  <c r="U377" i="1"/>
  <c r="R377" i="1"/>
  <c r="N377" i="1"/>
  <c r="O377" i="1" s="1"/>
  <c r="L377" i="1"/>
  <c r="I377" i="1"/>
  <c r="H377" i="1"/>
  <c r="F377" i="1"/>
  <c r="C377" i="1"/>
  <c r="AD376" i="1"/>
  <c r="AC376" i="1"/>
  <c r="AA376" i="1"/>
  <c r="W376" i="1"/>
  <c r="X376" i="1" s="1"/>
  <c r="U376" i="1"/>
  <c r="R376" i="1"/>
  <c r="O376" i="1"/>
  <c r="N376" i="1"/>
  <c r="L376" i="1"/>
  <c r="I376" i="1"/>
  <c r="H376" i="1"/>
  <c r="F376" i="1"/>
  <c r="C376" i="1"/>
  <c r="AD375" i="1"/>
  <c r="AC375" i="1"/>
  <c r="AA375" i="1"/>
  <c r="W375" i="1"/>
  <c r="X375" i="1" s="1"/>
  <c r="U375" i="1"/>
  <c r="R375" i="1"/>
  <c r="N375" i="1"/>
  <c r="O375" i="1" s="1"/>
  <c r="L375" i="1"/>
  <c r="I375" i="1"/>
  <c r="H375" i="1"/>
  <c r="F375" i="1"/>
  <c r="C375" i="1"/>
  <c r="AC374" i="1"/>
  <c r="AD374" i="1" s="1"/>
  <c r="AA374" i="1"/>
  <c r="X374" i="1"/>
  <c r="W374" i="1"/>
  <c r="U374" i="1"/>
  <c r="R374" i="1"/>
  <c r="N374" i="1"/>
  <c r="O374" i="1" s="1"/>
  <c r="L374" i="1"/>
  <c r="H374" i="1"/>
  <c r="I374" i="1" s="1"/>
  <c r="F374" i="1"/>
  <c r="C374" i="1"/>
  <c r="AD373" i="1"/>
  <c r="AC373" i="1"/>
  <c r="AA373" i="1"/>
  <c r="W373" i="1"/>
  <c r="X373" i="1" s="1"/>
  <c r="U373" i="1"/>
  <c r="R373" i="1"/>
  <c r="N373" i="1"/>
  <c r="O373" i="1" s="1"/>
  <c r="L373" i="1"/>
  <c r="H373" i="1"/>
  <c r="I373" i="1" s="1"/>
  <c r="F373" i="1"/>
  <c r="C373" i="1"/>
  <c r="AD372" i="1"/>
  <c r="AC372" i="1"/>
  <c r="AA372" i="1"/>
  <c r="W372" i="1"/>
  <c r="X372" i="1" s="1"/>
  <c r="U372" i="1"/>
  <c r="R372" i="1"/>
  <c r="O372" i="1"/>
  <c r="N372" i="1"/>
  <c r="L372" i="1"/>
  <c r="I372" i="1"/>
  <c r="H372" i="1"/>
  <c r="F372" i="1"/>
  <c r="C372" i="1"/>
  <c r="AC371" i="1"/>
  <c r="AD371" i="1" s="1"/>
  <c r="AA371" i="1"/>
  <c r="W371" i="1"/>
  <c r="X371" i="1" s="1"/>
  <c r="U371" i="1"/>
  <c r="R371" i="1"/>
  <c r="O371" i="1"/>
  <c r="N371" i="1"/>
  <c r="L371" i="1"/>
  <c r="I371" i="1"/>
  <c r="H371" i="1"/>
  <c r="F371" i="1"/>
  <c r="C371" i="1"/>
  <c r="AC370" i="1"/>
  <c r="AD370" i="1" s="1"/>
  <c r="AA370" i="1"/>
  <c r="X370" i="1"/>
  <c r="W370" i="1"/>
  <c r="U370" i="1"/>
  <c r="R370" i="1"/>
  <c r="N370" i="1"/>
  <c r="O370" i="1" s="1"/>
  <c r="L370" i="1"/>
  <c r="I370" i="1"/>
  <c r="H370" i="1"/>
  <c r="F370" i="1"/>
  <c r="C370" i="1"/>
  <c r="AD369" i="1"/>
  <c r="AC369" i="1"/>
  <c r="AA369" i="1"/>
  <c r="W369" i="1"/>
  <c r="X369" i="1" s="1"/>
  <c r="U369" i="1"/>
  <c r="R369" i="1"/>
  <c r="N369" i="1"/>
  <c r="O369" i="1" s="1"/>
  <c r="L369" i="1"/>
  <c r="I369" i="1"/>
  <c r="H369" i="1"/>
  <c r="F369" i="1"/>
  <c r="C369" i="1"/>
  <c r="AA368" i="1"/>
  <c r="Z368" i="1"/>
  <c r="W368" i="1"/>
  <c r="X368" i="1" s="1"/>
  <c r="U368" i="1"/>
  <c r="T368" i="1"/>
  <c r="R368" i="1"/>
  <c r="Q368" i="1"/>
  <c r="AC368" i="1" s="1"/>
  <c r="AD368" i="1" s="1"/>
  <c r="K368" i="1"/>
  <c r="L368" i="1" s="1"/>
  <c r="H368" i="1"/>
  <c r="I368" i="1" s="1"/>
  <c r="F368" i="1"/>
  <c r="E368" i="1"/>
  <c r="C368" i="1"/>
  <c r="B368" i="1"/>
  <c r="AC367" i="1"/>
  <c r="AD367" i="1" s="1"/>
  <c r="AA367" i="1"/>
  <c r="X367" i="1"/>
  <c r="W367" i="1"/>
  <c r="U367" i="1"/>
  <c r="R367" i="1"/>
  <c r="N367" i="1"/>
  <c r="O367" i="1" s="1"/>
  <c r="L367" i="1"/>
  <c r="H367" i="1"/>
  <c r="I367" i="1" s="1"/>
  <c r="F367" i="1"/>
  <c r="C367" i="1"/>
  <c r="AD366" i="1"/>
  <c r="AC366" i="1"/>
  <c r="AA366" i="1"/>
  <c r="W366" i="1"/>
  <c r="X366" i="1" s="1"/>
  <c r="U366" i="1"/>
  <c r="R366" i="1"/>
  <c r="N366" i="1"/>
  <c r="O366" i="1" s="1"/>
  <c r="L366" i="1"/>
  <c r="H366" i="1"/>
  <c r="I366" i="1" s="1"/>
  <c r="F366" i="1"/>
  <c r="C366" i="1"/>
  <c r="AD365" i="1"/>
  <c r="AC365" i="1"/>
  <c r="AA365" i="1"/>
  <c r="W365" i="1"/>
  <c r="X365" i="1" s="1"/>
  <c r="U365" i="1"/>
  <c r="R365" i="1"/>
  <c r="O365" i="1"/>
  <c r="N365" i="1"/>
  <c r="L365" i="1"/>
  <c r="I365" i="1"/>
  <c r="H365" i="1"/>
  <c r="F365" i="1"/>
  <c r="C365" i="1"/>
  <c r="AD364" i="1"/>
  <c r="AC364" i="1"/>
  <c r="AA364" i="1"/>
  <c r="W364" i="1"/>
  <c r="X364" i="1" s="1"/>
  <c r="U364" i="1"/>
  <c r="R364" i="1"/>
  <c r="O364" i="1"/>
  <c r="N364" i="1"/>
  <c r="L364" i="1"/>
  <c r="I364" i="1"/>
  <c r="H364" i="1"/>
  <c r="F364" i="1"/>
  <c r="C364" i="1"/>
  <c r="AD363" i="1"/>
  <c r="AC363" i="1"/>
  <c r="AA363" i="1"/>
  <c r="X363" i="1"/>
  <c r="W363" i="1"/>
  <c r="U363" i="1"/>
  <c r="R363" i="1"/>
  <c r="N363" i="1"/>
  <c r="O363" i="1" s="1"/>
  <c r="L363" i="1"/>
  <c r="I363" i="1"/>
  <c r="H363" i="1"/>
  <c r="F363" i="1"/>
  <c r="C363" i="1"/>
  <c r="AC362" i="1"/>
  <c r="AD362" i="1" s="1"/>
  <c r="AA362" i="1"/>
  <c r="W362" i="1"/>
  <c r="X362" i="1" s="1"/>
  <c r="U362" i="1"/>
  <c r="R362" i="1"/>
  <c r="N362" i="1"/>
  <c r="O362" i="1" s="1"/>
  <c r="L362" i="1"/>
  <c r="H362" i="1"/>
  <c r="I362" i="1" s="1"/>
  <c r="F362" i="1"/>
  <c r="C362" i="1"/>
  <c r="AD361" i="1"/>
  <c r="AC361" i="1"/>
  <c r="AA361" i="1"/>
  <c r="W361" i="1"/>
  <c r="X361" i="1" s="1"/>
  <c r="U361" i="1"/>
  <c r="R361" i="1"/>
  <c r="O361" i="1"/>
  <c r="N361" i="1"/>
  <c r="L361" i="1"/>
  <c r="H361" i="1"/>
  <c r="I361" i="1" s="1"/>
  <c r="F361" i="1"/>
  <c r="C361" i="1"/>
  <c r="AC360" i="1"/>
  <c r="AD360" i="1" s="1"/>
  <c r="AA360" i="1"/>
  <c r="W360" i="1"/>
  <c r="X360" i="1" s="1"/>
  <c r="U360" i="1"/>
  <c r="R360" i="1"/>
  <c r="O360" i="1"/>
  <c r="N360" i="1"/>
  <c r="L360" i="1"/>
  <c r="I360" i="1"/>
  <c r="H360" i="1"/>
  <c r="F360" i="1"/>
  <c r="C360" i="1"/>
  <c r="Z358" i="1"/>
  <c r="AA358" i="1" s="1"/>
  <c r="T358" i="1"/>
  <c r="U358" i="1" s="1"/>
  <c r="Q358" i="1"/>
  <c r="W358" i="1" s="1"/>
  <c r="X358" i="1" s="1"/>
  <c r="L358" i="1"/>
  <c r="K358" i="1"/>
  <c r="E358" i="1"/>
  <c r="F358" i="1" s="1"/>
  <c r="B358" i="1"/>
  <c r="H358" i="1" s="1"/>
  <c r="I358" i="1" s="1"/>
  <c r="AD357" i="1"/>
  <c r="AC357" i="1"/>
  <c r="AA357" i="1"/>
  <c r="W357" i="1"/>
  <c r="X357" i="1" s="1"/>
  <c r="U357" i="1"/>
  <c r="R357" i="1"/>
  <c r="O357" i="1"/>
  <c r="N357" i="1"/>
  <c r="L357" i="1"/>
  <c r="H357" i="1"/>
  <c r="I357" i="1" s="1"/>
  <c r="F357" i="1"/>
  <c r="C357" i="1"/>
  <c r="AC356" i="1"/>
  <c r="AD356" i="1" s="1"/>
  <c r="AA356" i="1"/>
  <c r="W356" i="1"/>
  <c r="X356" i="1" s="1"/>
  <c r="U356" i="1"/>
  <c r="R356" i="1"/>
  <c r="O356" i="1"/>
  <c r="N356" i="1"/>
  <c r="L356" i="1"/>
  <c r="I356" i="1"/>
  <c r="H356" i="1"/>
  <c r="F356" i="1"/>
  <c r="C356" i="1"/>
  <c r="AC355" i="1"/>
  <c r="AD355" i="1" s="1"/>
  <c r="AA355" i="1"/>
  <c r="X355" i="1"/>
  <c r="W355" i="1"/>
  <c r="U355" i="1"/>
  <c r="R355" i="1"/>
  <c r="N355" i="1"/>
  <c r="O355" i="1" s="1"/>
  <c r="L355" i="1"/>
  <c r="I355" i="1"/>
  <c r="H355" i="1"/>
  <c r="F355" i="1"/>
  <c r="C355" i="1"/>
  <c r="AC354" i="1"/>
  <c r="AD354" i="1" s="1"/>
  <c r="AA354" i="1"/>
  <c r="X354" i="1"/>
  <c r="W354" i="1"/>
  <c r="U354" i="1"/>
  <c r="R354" i="1"/>
  <c r="N354" i="1"/>
  <c r="O354" i="1" s="1"/>
  <c r="L354" i="1"/>
  <c r="H354" i="1"/>
  <c r="I354" i="1" s="1"/>
  <c r="F354" i="1"/>
  <c r="C354" i="1"/>
  <c r="AD353" i="1"/>
  <c r="AC353" i="1"/>
  <c r="AA353" i="1"/>
  <c r="W353" i="1"/>
  <c r="X353" i="1" s="1"/>
  <c r="U353" i="1"/>
  <c r="R353" i="1"/>
  <c r="O353" i="1"/>
  <c r="N353" i="1"/>
  <c r="L353" i="1"/>
  <c r="H353" i="1"/>
  <c r="I353" i="1" s="1"/>
  <c r="F353" i="1"/>
  <c r="C353" i="1"/>
  <c r="AC352" i="1"/>
  <c r="AD352" i="1" s="1"/>
  <c r="AA352" i="1"/>
  <c r="W352" i="1"/>
  <c r="X352" i="1" s="1"/>
  <c r="U352" i="1"/>
  <c r="R352" i="1"/>
  <c r="N352" i="1"/>
  <c r="O352" i="1" s="1"/>
  <c r="L352" i="1"/>
  <c r="I352" i="1"/>
  <c r="H352" i="1"/>
  <c r="F352" i="1"/>
  <c r="C352" i="1"/>
  <c r="AC351" i="1"/>
  <c r="AD351" i="1" s="1"/>
  <c r="AA351" i="1"/>
  <c r="X351" i="1"/>
  <c r="W351" i="1"/>
  <c r="U351" i="1"/>
  <c r="R351" i="1"/>
  <c r="N351" i="1"/>
  <c r="O351" i="1" s="1"/>
  <c r="L351" i="1"/>
  <c r="H351" i="1"/>
  <c r="I351" i="1" s="1"/>
  <c r="F351" i="1"/>
  <c r="C351" i="1"/>
  <c r="AC350" i="1"/>
  <c r="AD350" i="1" s="1"/>
  <c r="AA350" i="1"/>
  <c r="X350" i="1"/>
  <c r="W350" i="1"/>
  <c r="U350" i="1"/>
  <c r="R350" i="1"/>
  <c r="N350" i="1"/>
  <c r="O350" i="1" s="1"/>
  <c r="L350" i="1"/>
  <c r="I350" i="1"/>
  <c r="H350" i="1"/>
  <c r="F350" i="1"/>
  <c r="C350" i="1"/>
  <c r="AD349" i="1"/>
  <c r="AC349" i="1"/>
  <c r="AA349" i="1"/>
  <c r="W349" i="1"/>
  <c r="X349" i="1" s="1"/>
  <c r="U349" i="1"/>
  <c r="R349" i="1"/>
  <c r="O349" i="1"/>
  <c r="N349" i="1"/>
  <c r="L349" i="1"/>
  <c r="H349" i="1"/>
  <c r="I349" i="1" s="1"/>
  <c r="F349" i="1"/>
  <c r="C349" i="1"/>
  <c r="AD347" i="1"/>
  <c r="AC347" i="1"/>
  <c r="AA347" i="1"/>
  <c r="W347" i="1"/>
  <c r="X347" i="1" s="1"/>
  <c r="U347" i="1"/>
  <c r="R347" i="1"/>
  <c r="N347" i="1"/>
  <c r="O347" i="1" s="1"/>
  <c r="L347" i="1"/>
  <c r="I347" i="1"/>
  <c r="H347" i="1"/>
  <c r="F347" i="1"/>
  <c r="C347" i="1"/>
  <c r="Z344" i="1"/>
  <c r="AA344" i="1" s="1"/>
  <c r="T344" i="1"/>
  <c r="W344" i="1" s="1"/>
  <c r="X344" i="1" s="1"/>
  <c r="R344" i="1"/>
  <c r="Q344" i="1"/>
  <c r="AC344" i="1" s="1"/>
  <c r="AD344" i="1" s="1"/>
  <c r="L344" i="1"/>
  <c r="K344" i="1"/>
  <c r="I344" i="1"/>
  <c r="H344" i="1"/>
  <c r="F344" i="1"/>
  <c r="E344" i="1"/>
  <c r="B344" i="1"/>
  <c r="C344" i="1" s="1"/>
  <c r="Z343" i="1"/>
  <c r="AA343" i="1" s="1"/>
  <c r="T343" i="1"/>
  <c r="U343" i="1" s="1"/>
  <c r="Q343" i="1"/>
  <c r="W343" i="1" s="1"/>
  <c r="X343" i="1" s="1"/>
  <c r="N343" i="1"/>
  <c r="O343" i="1" s="1"/>
  <c r="L343" i="1"/>
  <c r="K343" i="1"/>
  <c r="F343" i="1"/>
  <c r="E343" i="1"/>
  <c r="B343" i="1"/>
  <c r="H343" i="1" s="1"/>
  <c r="I343" i="1" s="1"/>
  <c r="Z342" i="1"/>
  <c r="AA342" i="1" s="1"/>
  <c r="T342" i="1"/>
  <c r="U342" i="1" s="1"/>
  <c r="R342" i="1"/>
  <c r="Q342" i="1"/>
  <c r="AC342" i="1" s="1"/>
  <c r="AD342" i="1" s="1"/>
  <c r="K342" i="1"/>
  <c r="L342" i="1" s="1"/>
  <c r="I342" i="1"/>
  <c r="H342" i="1"/>
  <c r="F342" i="1"/>
  <c r="E342" i="1"/>
  <c r="B342" i="1"/>
  <c r="C342" i="1" s="1"/>
  <c r="AC341" i="1"/>
  <c r="AD341" i="1" s="1"/>
  <c r="AA341" i="1"/>
  <c r="X341" i="1"/>
  <c r="W341" i="1"/>
  <c r="U341" i="1"/>
  <c r="R341" i="1"/>
  <c r="N341" i="1"/>
  <c r="O341" i="1" s="1"/>
  <c r="L341" i="1"/>
  <c r="H341" i="1"/>
  <c r="I341" i="1" s="1"/>
  <c r="F341" i="1"/>
  <c r="C341" i="1"/>
  <c r="AC340" i="1"/>
  <c r="AD340" i="1" s="1"/>
  <c r="AA340" i="1"/>
  <c r="W340" i="1"/>
  <c r="X340" i="1" s="1"/>
  <c r="U340" i="1"/>
  <c r="R340" i="1"/>
  <c r="N340" i="1"/>
  <c r="O340" i="1" s="1"/>
  <c r="L340" i="1"/>
  <c r="H340" i="1"/>
  <c r="I340" i="1" s="1"/>
  <c r="F340" i="1"/>
  <c r="C340" i="1"/>
  <c r="AD339" i="1"/>
  <c r="AC339" i="1"/>
  <c r="AA339" i="1"/>
  <c r="W339" i="1"/>
  <c r="X339" i="1" s="1"/>
  <c r="U339" i="1"/>
  <c r="R339" i="1"/>
  <c r="O339" i="1"/>
  <c r="N339" i="1"/>
  <c r="L339" i="1"/>
  <c r="H339" i="1"/>
  <c r="I339" i="1" s="1"/>
  <c r="F339" i="1"/>
  <c r="C339" i="1"/>
  <c r="AC338" i="1"/>
  <c r="AD338" i="1" s="1"/>
  <c r="AA338" i="1"/>
  <c r="W338" i="1"/>
  <c r="X338" i="1" s="1"/>
  <c r="U338" i="1"/>
  <c r="R338" i="1"/>
  <c r="O338" i="1"/>
  <c r="N338" i="1"/>
  <c r="L338" i="1"/>
  <c r="I338" i="1"/>
  <c r="H338" i="1"/>
  <c r="F338" i="1"/>
  <c r="C338" i="1"/>
  <c r="AC337" i="1"/>
  <c r="AD337" i="1" s="1"/>
  <c r="AA337" i="1"/>
  <c r="X337" i="1"/>
  <c r="W337" i="1"/>
  <c r="U337" i="1"/>
  <c r="R337" i="1"/>
  <c r="N337" i="1"/>
  <c r="O337" i="1" s="1"/>
  <c r="L337" i="1"/>
  <c r="I337" i="1"/>
  <c r="H337" i="1"/>
  <c r="F337" i="1"/>
  <c r="C337" i="1"/>
  <c r="AC335" i="1"/>
  <c r="AD335" i="1" s="1"/>
  <c r="AA335" i="1"/>
  <c r="W335" i="1"/>
  <c r="X335" i="1" s="1"/>
  <c r="U335" i="1"/>
  <c r="R335" i="1"/>
  <c r="N335" i="1"/>
  <c r="O335" i="1" s="1"/>
  <c r="L335" i="1"/>
  <c r="H335" i="1"/>
  <c r="I335" i="1" s="1"/>
  <c r="F335" i="1"/>
  <c r="C335" i="1"/>
  <c r="AD334" i="1"/>
  <c r="AC334" i="1"/>
  <c r="AA334" i="1"/>
  <c r="W334" i="1"/>
  <c r="X334" i="1" s="1"/>
  <c r="U334" i="1"/>
  <c r="R334" i="1"/>
  <c r="O334" i="1"/>
  <c r="N334" i="1"/>
  <c r="L334" i="1"/>
  <c r="H334" i="1"/>
  <c r="I334" i="1" s="1"/>
  <c r="F334" i="1"/>
  <c r="C334" i="1"/>
  <c r="AC333" i="1"/>
  <c r="AD333" i="1" s="1"/>
  <c r="AA333" i="1"/>
  <c r="W333" i="1"/>
  <c r="X333" i="1" s="1"/>
  <c r="U333" i="1"/>
  <c r="R333" i="1"/>
  <c r="N333" i="1"/>
  <c r="O333" i="1" s="1"/>
  <c r="L333" i="1"/>
  <c r="I333" i="1"/>
  <c r="H333" i="1"/>
  <c r="F333" i="1"/>
  <c r="C333" i="1"/>
  <c r="AD332" i="1"/>
  <c r="AC332" i="1"/>
  <c r="AA332" i="1"/>
  <c r="X332" i="1"/>
  <c r="W332" i="1"/>
  <c r="U332" i="1"/>
  <c r="R332" i="1"/>
  <c r="N332" i="1"/>
  <c r="O332" i="1" s="1"/>
  <c r="L332" i="1"/>
  <c r="H332" i="1"/>
  <c r="I332" i="1" s="1"/>
  <c r="F332" i="1"/>
  <c r="C332" i="1"/>
  <c r="AC331" i="1"/>
  <c r="AD331" i="1" s="1"/>
  <c r="AA331" i="1"/>
  <c r="X331" i="1"/>
  <c r="W331" i="1"/>
  <c r="U331" i="1"/>
  <c r="R331" i="1"/>
  <c r="N331" i="1"/>
  <c r="O331" i="1" s="1"/>
  <c r="L331" i="1"/>
  <c r="H331" i="1"/>
  <c r="I331" i="1" s="1"/>
  <c r="F331" i="1"/>
  <c r="C331" i="1"/>
  <c r="AD330" i="1"/>
  <c r="AC330" i="1"/>
  <c r="AA330" i="1"/>
  <c r="W330" i="1"/>
  <c r="X330" i="1" s="1"/>
  <c r="U330" i="1"/>
  <c r="R330" i="1"/>
  <c r="O330" i="1"/>
  <c r="N330" i="1"/>
  <c r="L330" i="1"/>
  <c r="H330" i="1"/>
  <c r="I330" i="1" s="1"/>
  <c r="F330" i="1"/>
  <c r="C330" i="1"/>
  <c r="AC329" i="1"/>
  <c r="AD329" i="1" s="1"/>
  <c r="AA329" i="1"/>
  <c r="W329" i="1"/>
  <c r="X329" i="1" s="1"/>
  <c r="U329" i="1"/>
  <c r="R329" i="1"/>
  <c r="N329" i="1"/>
  <c r="O329" i="1" s="1"/>
  <c r="L329" i="1"/>
  <c r="I329" i="1"/>
  <c r="H329" i="1"/>
  <c r="F329" i="1"/>
  <c r="C329" i="1"/>
  <c r="AD328" i="1"/>
  <c r="AC328" i="1"/>
  <c r="AA328" i="1"/>
  <c r="X328" i="1"/>
  <c r="W328" i="1"/>
  <c r="U328" i="1"/>
  <c r="R328" i="1"/>
  <c r="N328" i="1"/>
  <c r="O328" i="1" s="1"/>
  <c r="L328" i="1"/>
  <c r="H328" i="1"/>
  <c r="I328" i="1" s="1"/>
  <c r="F328" i="1"/>
  <c r="C328" i="1"/>
  <c r="AA325" i="1"/>
  <c r="Z325" i="1"/>
  <c r="W325" i="1"/>
  <c r="X325" i="1" s="1"/>
  <c r="U325" i="1"/>
  <c r="T325" i="1"/>
  <c r="Q325" i="1"/>
  <c r="R325" i="1" s="1"/>
  <c r="N325" i="1"/>
  <c r="O325" i="1" s="1"/>
  <c r="L325" i="1"/>
  <c r="K325" i="1"/>
  <c r="E325" i="1"/>
  <c r="F325" i="1" s="1"/>
  <c r="B325" i="1"/>
  <c r="H325" i="1" s="1"/>
  <c r="I325" i="1" s="1"/>
  <c r="AC324" i="1"/>
  <c r="AD324" i="1" s="1"/>
  <c r="AA324" i="1"/>
  <c r="Z324" i="1"/>
  <c r="T324" i="1"/>
  <c r="U324" i="1" s="1"/>
  <c r="Q324" i="1"/>
  <c r="W324" i="1" s="1"/>
  <c r="X324" i="1" s="1"/>
  <c r="K324" i="1"/>
  <c r="L324" i="1" s="1"/>
  <c r="H324" i="1"/>
  <c r="I324" i="1" s="1"/>
  <c r="F324" i="1"/>
  <c r="E324" i="1"/>
  <c r="C324" i="1"/>
  <c r="B324" i="1"/>
  <c r="N324" i="1" s="1"/>
  <c r="O324" i="1" s="1"/>
  <c r="AC323" i="1"/>
  <c r="AD323" i="1" s="1"/>
  <c r="AA323" i="1"/>
  <c r="W323" i="1"/>
  <c r="X323" i="1" s="1"/>
  <c r="U323" i="1"/>
  <c r="R323" i="1"/>
  <c r="N323" i="1"/>
  <c r="O323" i="1" s="1"/>
  <c r="L323" i="1"/>
  <c r="H323" i="1"/>
  <c r="I323" i="1" s="1"/>
  <c r="F323" i="1"/>
  <c r="C323" i="1"/>
  <c r="AD322" i="1"/>
  <c r="AC322" i="1"/>
  <c r="AA322" i="1"/>
  <c r="W322" i="1"/>
  <c r="X322" i="1" s="1"/>
  <c r="U322" i="1"/>
  <c r="R322" i="1"/>
  <c r="O322" i="1"/>
  <c r="N322" i="1"/>
  <c r="L322" i="1"/>
  <c r="H322" i="1"/>
  <c r="I322" i="1" s="1"/>
  <c r="F322" i="1"/>
  <c r="C322" i="1"/>
  <c r="AC321" i="1"/>
  <c r="AD321" i="1" s="1"/>
  <c r="AA321" i="1"/>
  <c r="W321" i="1"/>
  <c r="X321" i="1" s="1"/>
  <c r="U321" i="1"/>
  <c r="R321" i="1"/>
  <c r="O321" i="1"/>
  <c r="N321" i="1"/>
  <c r="L321" i="1"/>
  <c r="I321" i="1"/>
  <c r="H321" i="1"/>
  <c r="F321" i="1"/>
  <c r="C321" i="1"/>
  <c r="AC320" i="1"/>
  <c r="AD320" i="1" s="1"/>
  <c r="AA320" i="1"/>
  <c r="W320" i="1"/>
  <c r="X320" i="1" s="1"/>
  <c r="U320" i="1"/>
  <c r="R320" i="1"/>
  <c r="N320" i="1"/>
  <c r="O320" i="1" s="1"/>
  <c r="L320" i="1"/>
  <c r="I320" i="1"/>
  <c r="H320" i="1"/>
  <c r="F320" i="1"/>
  <c r="C320" i="1"/>
  <c r="AC319" i="1"/>
  <c r="AD319" i="1" s="1"/>
  <c r="AA319" i="1"/>
  <c r="X319" i="1"/>
  <c r="W319" i="1"/>
  <c r="U319" i="1"/>
  <c r="R319" i="1"/>
  <c r="N319" i="1"/>
  <c r="O319" i="1" s="1"/>
  <c r="L319" i="1"/>
  <c r="H319" i="1"/>
  <c r="I319" i="1" s="1"/>
  <c r="F319" i="1"/>
  <c r="C319" i="1"/>
  <c r="AD318" i="1"/>
  <c r="AC318" i="1"/>
  <c r="AA318" i="1"/>
  <c r="W318" i="1"/>
  <c r="X318" i="1" s="1"/>
  <c r="U318" i="1"/>
  <c r="R318" i="1"/>
  <c r="O318" i="1"/>
  <c r="N318" i="1"/>
  <c r="L318" i="1"/>
  <c r="H318" i="1"/>
  <c r="I318" i="1" s="1"/>
  <c r="F318" i="1"/>
  <c r="C318" i="1"/>
  <c r="AC317" i="1"/>
  <c r="AD317" i="1" s="1"/>
  <c r="AA317" i="1"/>
  <c r="W317" i="1"/>
  <c r="X317" i="1" s="1"/>
  <c r="U317" i="1"/>
  <c r="R317" i="1"/>
  <c r="N317" i="1"/>
  <c r="O317" i="1" s="1"/>
  <c r="L317" i="1"/>
  <c r="I317" i="1"/>
  <c r="H317" i="1"/>
  <c r="F317" i="1"/>
  <c r="C317" i="1"/>
  <c r="AC316" i="1"/>
  <c r="AD316" i="1" s="1"/>
  <c r="AA316" i="1"/>
  <c r="W316" i="1"/>
  <c r="X316" i="1" s="1"/>
  <c r="U316" i="1"/>
  <c r="R316" i="1"/>
  <c r="N316" i="1"/>
  <c r="O316" i="1" s="1"/>
  <c r="L316" i="1"/>
  <c r="H316" i="1"/>
  <c r="I316" i="1" s="1"/>
  <c r="F316" i="1"/>
  <c r="C316" i="1"/>
  <c r="AC315" i="1"/>
  <c r="AD315" i="1" s="1"/>
  <c r="AA315" i="1"/>
  <c r="X315" i="1"/>
  <c r="W315" i="1"/>
  <c r="U315" i="1"/>
  <c r="R315" i="1"/>
  <c r="N315" i="1"/>
  <c r="O315" i="1" s="1"/>
  <c r="L315" i="1"/>
  <c r="I315" i="1"/>
  <c r="H315" i="1"/>
  <c r="F315" i="1"/>
  <c r="C315" i="1"/>
  <c r="AD314" i="1"/>
  <c r="AC314" i="1"/>
  <c r="AA314" i="1"/>
  <c r="W314" i="1"/>
  <c r="X314" i="1" s="1"/>
  <c r="U314" i="1"/>
  <c r="R314" i="1"/>
  <c r="O314" i="1"/>
  <c r="N314" i="1"/>
  <c r="L314" i="1"/>
  <c r="H314" i="1"/>
  <c r="I314" i="1" s="1"/>
  <c r="F314" i="1"/>
  <c r="C314" i="1"/>
  <c r="AD313" i="1"/>
  <c r="AC313" i="1"/>
  <c r="AA313" i="1"/>
  <c r="W313" i="1"/>
  <c r="X313" i="1" s="1"/>
  <c r="U313" i="1"/>
  <c r="R313" i="1"/>
  <c r="N313" i="1"/>
  <c r="O313" i="1" s="1"/>
  <c r="L313" i="1"/>
  <c r="I313" i="1"/>
  <c r="H313" i="1"/>
  <c r="F313" i="1"/>
  <c r="C313" i="1"/>
  <c r="AC312" i="1"/>
  <c r="AD312" i="1" s="1"/>
  <c r="AA312" i="1"/>
  <c r="X312" i="1"/>
  <c r="W312" i="1"/>
  <c r="U312" i="1"/>
  <c r="R312" i="1"/>
  <c r="N312" i="1"/>
  <c r="O312" i="1" s="1"/>
  <c r="L312" i="1"/>
  <c r="H312" i="1"/>
  <c r="I312" i="1" s="1"/>
  <c r="F312" i="1"/>
  <c r="C312" i="1"/>
  <c r="AC311" i="1"/>
  <c r="AD311" i="1" s="1"/>
  <c r="AA311" i="1"/>
  <c r="W311" i="1"/>
  <c r="X311" i="1" s="1"/>
  <c r="U311" i="1"/>
  <c r="R311" i="1"/>
  <c r="N311" i="1"/>
  <c r="O311" i="1" s="1"/>
  <c r="L311" i="1"/>
  <c r="I311" i="1"/>
  <c r="H311" i="1"/>
  <c r="F311" i="1"/>
  <c r="C311" i="1"/>
  <c r="AD310" i="1"/>
  <c r="AC310" i="1"/>
  <c r="AA310" i="1"/>
  <c r="W310" i="1"/>
  <c r="X310" i="1" s="1"/>
  <c r="U310" i="1"/>
  <c r="R310" i="1"/>
  <c r="N310" i="1"/>
  <c r="O310" i="1" s="1"/>
  <c r="L310" i="1"/>
  <c r="H310" i="1"/>
  <c r="I310" i="1" s="1"/>
  <c r="F310" i="1"/>
  <c r="C310" i="1"/>
  <c r="AD309" i="1"/>
  <c r="AC309" i="1"/>
  <c r="AA309" i="1"/>
  <c r="W309" i="1"/>
  <c r="X309" i="1" s="1"/>
  <c r="U309" i="1"/>
  <c r="R309" i="1"/>
  <c r="O309" i="1"/>
  <c r="N309" i="1"/>
  <c r="L309" i="1"/>
  <c r="I309" i="1"/>
  <c r="H309" i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I308" i="1"/>
  <c r="H308" i="1"/>
  <c r="F308" i="1"/>
  <c r="C308" i="1"/>
  <c r="AC307" i="1"/>
  <c r="AD307" i="1" s="1"/>
  <c r="AA307" i="1"/>
  <c r="W307" i="1"/>
  <c r="X307" i="1" s="1"/>
  <c r="U307" i="1"/>
  <c r="R307" i="1"/>
  <c r="N307" i="1"/>
  <c r="O307" i="1" s="1"/>
  <c r="L307" i="1"/>
  <c r="H307" i="1"/>
  <c r="I307" i="1" s="1"/>
  <c r="F307" i="1"/>
  <c r="C307" i="1"/>
  <c r="AD306" i="1"/>
  <c r="AC306" i="1"/>
  <c r="AA306" i="1"/>
  <c r="W306" i="1"/>
  <c r="X306" i="1" s="1"/>
  <c r="U306" i="1"/>
  <c r="R306" i="1"/>
  <c r="N306" i="1"/>
  <c r="O306" i="1" s="1"/>
  <c r="L306" i="1"/>
  <c r="H306" i="1"/>
  <c r="I306" i="1" s="1"/>
  <c r="F306" i="1"/>
  <c r="C306" i="1"/>
  <c r="AC305" i="1"/>
  <c r="AD305" i="1" s="1"/>
  <c r="AA305" i="1"/>
  <c r="W305" i="1"/>
  <c r="X305" i="1" s="1"/>
  <c r="U305" i="1"/>
  <c r="R305" i="1"/>
  <c r="O305" i="1"/>
  <c r="N305" i="1"/>
  <c r="L305" i="1"/>
  <c r="I305" i="1"/>
  <c r="H305" i="1"/>
  <c r="F305" i="1"/>
  <c r="C305" i="1"/>
  <c r="AC304" i="1"/>
  <c r="AD304" i="1" s="1"/>
  <c r="AA304" i="1"/>
  <c r="W304" i="1"/>
  <c r="X304" i="1" s="1"/>
  <c r="U304" i="1"/>
  <c r="R304" i="1"/>
  <c r="N304" i="1"/>
  <c r="O304" i="1" s="1"/>
  <c r="L304" i="1"/>
  <c r="I304" i="1"/>
  <c r="H304" i="1"/>
  <c r="F304" i="1"/>
  <c r="C304" i="1"/>
  <c r="AC303" i="1"/>
  <c r="AD303" i="1" s="1"/>
  <c r="AA303" i="1"/>
  <c r="X303" i="1"/>
  <c r="W303" i="1"/>
  <c r="U303" i="1"/>
  <c r="R303" i="1"/>
  <c r="N303" i="1"/>
  <c r="O303" i="1" s="1"/>
  <c r="L303" i="1"/>
  <c r="H303" i="1"/>
  <c r="I303" i="1" s="1"/>
  <c r="F303" i="1"/>
  <c r="C303" i="1"/>
  <c r="AD302" i="1"/>
  <c r="AC302" i="1"/>
  <c r="AA302" i="1"/>
  <c r="W302" i="1"/>
  <c r="X302" i="1" s="1"/>
  <c r="U302" i="1"/>
  <c r="R302" i="1"/>
  <c r="O302" i="1"/>
  <c r="N302" i="1"/>
  <c r="L302" i="1"/>
  <c r="H302" i="1"/>
  <c r="I302" i="1" s="1"/>
  <c r="F302" i="1"/>
  <c r="C302" i="1"/>
  <c r="AC301" i="1"/>
  <c r="AD301" i="1" s="1"/>
  <c r="AA301" i="1"/>
  <c r="W301" i="1"/>
  <c r="X301" i="1" s="1"/>
  <c r="U301" i="1"/>
  <c r="R301" i="1"/>
  <c r="N301" i="1"/>
  <c r="O301" i="1" s="1"/>
  <c r="L301" i="1"/>
  <c r="I301" i="1"/>
  <c r="H301" i="1"/>
  <c r="F301" i="1"/>
  <c r="C301" i="1"/>
  <c r="AC300" i="1"/>
  <c r="AD300" i="1" s="1"/>
  <c r="AA300" i="1"/>
  <c r="W300" i="1"/>
  <c r="X300" i="1" s="1"/>
  <c r="U300" i="1"/>
  <c r="R300" i="1"/>
  <c r="N300" i="1"/>
  <c r="O300" i="1" s="1"/>
  <c r="L300" i="1"/>
  <c r="H300" i="1"/>
  <c r="I300" i="1" s="1"/>
  <c r="F300" i="1"/>
  <c r="C300" i="1"/>
  <c r="AC299" i="1"/>
  <c r="AD299" i="1" s="1"/>
  <c r="AA299" i="1"/>
  <c r="X299" i="1"/>
  <c r="W299" i="1"/>
  <c r="U299" i="1"/>
  <c r="R299" i="1"/>
  <c r="N299" i="1"/>
  <c r="O299" i="1" s="1"/>
  <c r="L299" i="1"/>
  <c r="I299" i="1"/>
  <c r="H299" i="1"/>
  <c r="F299" i="1"/>
  <c r="C299" i="1"/>
  <c r="AD298" i="1"/>
  <c r="AC298" i="1"/>
  <c r="AA298" i="1"/>
  <c r="W298" i="1"/>
  <c r="X298" i="1" s="1"/>
  <c r="U298" i="1"/>
  <c r="R298" i="1"/>
  <c r="O298" i="1"/>
  <c r="N298" i="1"/>
  <c r="L298" i="1"/>
  <c r="H298" i="1"/>
  <c r="I298" i="1" s="1"/>
  <c r="F298" i="1"/>
  <c r="C298" i="1"/>
  <c r="AD297" i="1"/>
  <c r="AC297" i="1"/>
  <c r="AA297" i="1"/>
  <c r="W297" i="1"/>
  <c r="X297" i="1" s="1"/>
  <c r="U297" i="1"/>
  <c r="R297" i="1"/>
  <c r="N297" i="1"/>
  <c r="O297" i="1" s="1"/>
  <c r="L297" i="1"/>
  <c r="I297" i="1"/>
  <c r="H297" i="1"/>
  <c r="F297" i="1"/>
  <c r="C297" i="1"/>
  <c r="AC295" i="1"/>
  <c r="AD295" i="1" s="1"/>
  <c r="AA295" i="1"/>
  <c r="Z295" i="1"/>
  <c r="T295" i="1"/>
  <c r="U295" i="1" s="1"/>
  <c r="Q295" i="1"/>
  <c r="W295" i="1" s="1"/>
  <c r="X295" i="1" s="1"/>
  <c r="N295" i="1"/>
  <c r="O295" i="1" s="1"/>
  <c r="L295" i="1"/>
  <c r="K295" i="1"/>
  <c r="E295" i="1"/>
  <c r="F295" i="1" s="1"/>
  <c r="B295" i="1"/>
  <c r="H295" i="1" s="1"/>
  <c r="I295" i="1" s="1"/>
  <c r="AD294" i="1"/>
  <c r="AC294" i="1"/>
  <c r="AA294" i="1"/>
  <c r="W294" i="1"/>
  <c r="X294" i="1" s="1"/>
  <c r="U294" i="1"/>
  <c r="R294" i="1"/>
  <c r="N294" i="1"/>
  <c r="O294" i="1" s="1"/>
  <c r="L294" i="1"/>
  <c r="H294" i="1"/>
  <c r="I294" i="1" s="1"/>
  <c r="F294" i="1"/>
  <c r="C294" i="1"/>
  <c r="AC293" i="1"/>
  <c r="AD293" i="1" s="1"/>
  <c r="AA293" i="1"/>
  <c r="W293" i="1"/>
  <c r="X293" i="1" s="1"/>
  <c r="U293" i="1"/>
  <c r="R293" i="1"/>
  <c r="O293" i="1"/>
  <c r="N293" i="1"/>
  <c r="L293" i="1"/>
  <c r="I293" i="1"/>
  <c r="H293" i="1"/>
  <c r="F293" i="1"/>
  <c r="C293" i="1"/>
  <c r="AC292" i="1"/>
  <c r="AD292" i="1" s="1"/>
  <c r="AA292" i="1"/>
  <c r="W292" i="1"/>
  <c r="X292" i="1" s="1"/>
  <c r="U292" i="1"/>
  <c r="R292" i="1"/>
  <c r="N292" i="1"/>
  <c r="O292" i="1" s="1"/>
  <c r="L292" i="1"/>
  <c r="I292" i="1"/>
  <c r="H292" i="1"/>
  <c r="F292" i="1"/>
  <c r="C292" i="1"/>
  <c r="AC291" i="1"/>
  <c r="AD291" i="1" s="1"/>
  <c r="AA291" i="1"/>
  <c r="W291" i="1"/>
  <c r="X291" i="1" s="1"/>
  <c r="U291" i="1"/>
  <c r="R291" i="1"/>
  <c r="N291" i="1"/>
  <c r="O291" i="1" s="1"/>
  <c r="L291" i="1"/>
  <c r="H291" i="1"/>
  <c r="I291" i="1" s="1"/>
  <c r="F291" i="1"/>
  <c r="C291" i="1"/>
  <c r="AD290" i="1"/>
  <c r="AC290" i="1"/>
  <c r="AA290" i="1"/>
  <c r="W290" i="1"/>
  <c r="X290" i="1" s="1"/>
  <c r="U290" i="1"/>
  <c r="R290" i="1"/>
  <c r="N290" i="1"/>
  <c r="O290" i="1" s="1"/>
  <c r="L290" i="1"/>
  <c r="H290" i="1"/>
  <c r="I290" i="1" s="1"/>
  <c r="F290" i="1"/>
  <c r="C290" i="1"/>
  <c r="AC289" i="1"/>
  <c r="AD289" i="1" s="1"/>
  <c r="AA289" i="1"/>
  <c r="W289" i="1"/>
  <c r="X289" i="1" s="1"/>
  <c r="U289" i="1"/>
  <c r="R289" i="1"/>
  <c r="N289" i="1"/>
  <c r="O289" i="1" s="1"/>
  <c r="L289" i="1"/>
  <c r="I289" i="1"/>
  <c r="H289" i="1"/>
  <c r="F289" i="1"/>
  <c r="C289" i="1"/>
  <c r="AD288" i="1"/>
  <c r="AC288" i="1"/>
  <c r="AA288" i="1"/>
  <c r="W288" i="1"/>
  <c r="X288" i="1" s="1"/>
  <c r="U288" i="1"/>
  <c r="R288" i="1"/>
  <c r="N288" i="1"/>
  <c r="O288" i="1" s="1"/>
  <c r="L288" i="1"/>
  <c r="H288" i="1"/>
  <c r="I288" i="1" s="1"/>
  <c r="F288" i="1"/>
  <c r="C288" i="1"/>
  <c r="AC287" i="1"/>
  <c r="AD287" i="1" s="1"/>
  <c r="AA287" i="1"/>
  <c r="X287" i="1"/>
  <c r="W287" i="1"/>
  <c r="U287" i="1"/>
  <c r="R287" i="1"/>
  <c r="N287" i="1"/>
  <c r="O287" i="1" s="1"/>
  <c r="L287" i="1"/>
  <c r="H287" i="1"/>
  <c r="I287" i="1" s="1"/>
  <c r="F287" i="1"/>
  <c r="C287" i="1"/>
  <c r="AD286" i="1"/>
  <c r="AC286" i="1"/>
  <c r="AA286" i="1"/>
  <c r="W286" i="1"/>
  <c r="X286" i="1" s="1"/>
  <c r="U286" i="1"/>
  <c r="R286" i="1"/>
  <c r="O286" i="1"/>
  <c r="N286" i="1"/>
  <c r="L286" i="1"/>
  <c r="H286" i="1"/>
  <c r="I286" i="1" s="1"/>
  <c r="F286" i="1"/>
  <c r="C286" i="1"/>
  <c r="AC284" i="1"/>
  <c r="AD284" i="1" s="1"/>
  <c r="AA284" i="1"/>
  <c r="Z284" i="1"/>
  <c r="T284" i="1"/>
  <c r="U284" i="1" s="1"/>
  <c r="Q284" i="1"/>
  <c r="W284" i="1" s="1"/>
  <c r="X284" i="1" s="1"/>
  <c r="O284" i="1"/>
  <c r="K284" i="1"/>
  <c r="L284" i="1" s="1"/>
  <c r="E284" i="1"/>
  <c r="F284" i="1" s="1"/>
  <c r="C284" i="1"/>
  <c r="B284" i="1"/>
  <c r="N284" i="1" s="1"/>
  <c r="AC283" i="1"/>
  <c r="AD283" i="1" s="1"/>
  <c r="AA283" i="1"/>
  <c r="X283" i="1"/>
  <c r="W283" i="1"/>
  <c r="U283" i="1"/>
  <c r="R283" i="1"/>
  <c r="N283" i="1"/>
  <c r="O283" i="1" s="1"/>
  <c r="L283" i="1"/>
  <c r="H283" i="1"/>
  <c r="I283" i="1" s="1"/>
  <c r="F283" i="1"/>
  <c r="C283" i="1"/>
  <c r="AD282" i="1"/>
  <c r="AC282" i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C281" i="1"/>
  <c r="AD281" i="1" s="1"/>
  <c r="AA281" i="1"/>
  <c r="W281" i="1"/>
  <c r="X281" i="1" s="1"/>
  <c r="U281" i="1"/>
  <c r="R281" i="1"/>
  <c r="N281" i="1"/>
  <c r="O281" i="1" s="1"/>
  <c r="L281" i="1"/>
  <c r="I281" i="1"/>
  <c r="H281" i="1"/>
  <c r="F281" i="1"/>
  <c r="C281" i="1"/>
  <c r="AD280" i="1"/>
  <c r="AC280" i="1"/>
  <c r="AA280" i="1"/>
  <c r="W280" i="1"/>
  <c r="X280" i="1" s="1"/>
  <c r="U280" i="1"/>
  <c r="R280" i="1"/>
  <c r="N280" i="1"/>
  <c r="O280" i="1" s="1"/>
  <c r="L280" i="1"/>
  <c r="H280" i="1"/>
  <c r="I280" i="1" s="1"/>
  <c r="F280" i="1"/>
  <c r="C280" i="1"/>
  <c r="AC279" i="1"/>
  <c r="AD279" i="1" s="1"/>
  <c r="AA279" i="1"/>
  <c r="W279" i="1"/>
  <c r="X279" i="1" s="1"/>
  <c r="U279" i="1"/>
  <c r="R279" i="1"/>
  <c r="N279" i="1"/>
  <c r="O279" i="1" s="1"/>
  <c r="L279" i="1"/>
  <c r="I279" i="1"/>
  <c r="H279" i="1"/>
  <c r="F279" i="1"/>
  <c r="C279" i="1"/>
  <c r="AD278" i="1"/>
  <c r="AC278" i="1"/>
  <c r="AA278" i="1"/>
  <c r="W278" i="1"/>
  <c r="X278" i="1" s="1"/>
  <c r="U278" i="1"/>
  <c r="R278" i="1"/>
  <c r="N278" i="1"/>
  <c r="O278" i="1" s="1"/>
  <c r="L278" i="1"/>
  <c r="H278" i="1"/>
  <c r="I278" i="1" s="1"/>
  <c r="F278" i="1"/>
  <c r="C278" i="1"/>
  <c r="AD277" i="1"/>
  <c r="AC277" i="1"/>
  <c r="AA277" i="1"/>
  <c r="W277" i="1"/>
  <c r="X277" i="1" s="1"/>
  <c r="U277" i="1"/>
  <c r="R277" i="1"/>
  <c r="N277" i="1"/>
  <c r="O277" i="1" s="1"/>
  <c r="L277" i="1"/>
  <c r="I277" i="1"/>
  <c r="H277" i="1"/>
  <c r="F277" i="1"/>
  <c r="C277" i="1"/>
  <c r="AC276" i="1"/>
  <c r="AD276" i="1" s="1"/>
  <c r="AA276" i="1"/>
  <c r="X276" i="1"/>
  <c r="W276" i="1"/>
  <c r="U276" i="1"/>
  <c r="R276" i="1"/>
  <c r="N276" i="1"/>
  <c r="O276" i="1" s="1"/>
  <c r="L276" i="1"/>
  <c r="H276" i="1"/>
  <c r="I276" i="1" s="1"/>
  <c r="F276" i="1"/>
  <c r="C276" i="1"/>
  <c r="AC275" i="1"/>
  <c r="AD275" i="1" s="1"/>
  <c r="AA275" i="1"/>
  <c r="W275" i="1"/>
  <c r="X275" i="1" s="1"/>
  <c r="U275" i="1"/>
  <c r="R275" i="1"/>
  <c r="N275" i="1"/>
  <c r="O275" i="1" s="1"/>
  <c r="L275" i="1"/>
  <c r="H275" i="1"/>
  <c r="I275" i="1" s="1"/>
  <c r="F275" i="1"/>
  <c r="C275" i="1"/>
  <c r="AD273" i="1"/>
  <c r="Z273" i="1"/>
  <c r="AA273" i="1" s="1"/>
  <c r="X273" i="1"/>
  <c r="W273" i="1"/>
  <c r="T273" i="1"/>
  <c r="U273" i="1" s="1"/>
  <c r="R273" i="1"/>
  <c r="Q273" i="1"/>
  <c r="AC273" i="1" s="1"/>
  <c r="K273" i="1"/>
  <c r="L273" i="1" s="1"/>
  <c r="I273" i="1"/>
  <c r="H273" i="1"/>
  <c r="F273" i="1"/>
  <c r="E273" i="1"/>
  <c r="B273" i="1"/>
  <c r="C273" i="1" s="1"/>
  <c r="AC272" i="1"/>
  <c r="AD272" i="1" s="1"/>
  <c r="AA272" i="1"/>
  <c r="X272" i="1"/>
  <c r="W272" i="1"/>
  <c r="U272" i="1"/>
  <c r="R272" i="1"/>
  <c r="N272" i="1"/>
  <c r="O272" i="1" s="1"/>
  <c r="L272" i="1"/>
  <c r="H272" i="1"/>
  <c r="I272" i="1" s="1"/>
  <c r="F272" i="1"/>
  <c r="C272" i="1"/>
  <c r="AC271" i="1"/>
  <c r="AD271" i="1" s="1"/>
  <c r="AA271" i="1"/>
  <c r="W271" i="1"/>
  <c r="X271" i="1" s="1"/>
  <c r="U271" i="1"/>
  <c r="R271" i="1"/>
  <c r="N271" i="1"/>
  <c r="O271" i="1" s="1"/>
  <c r="L271" i="1"/>
  <c r="H271" i="1"/>
  <c r="I271" i="1" s="1"/>
  <c r="F271" i="1"/>
  <c r="C271" i="1"/>
  <c r="AD270" i="1"/>
  <c r="AC270" i="1"/>
  <c r="AA270" i="1"/>
  <c r="W270" i="1"/>
  <c r="X270" i="1" s="1"/>
  <c r="U270" i="1"/>
  <c r="R270" i="1"/>
  <c r="N270" i="1"/>
  <c r="O270" i="1" s="1"/>
  <c r="L270" i="1"/>
  <c r="H270" i="1"/>
  <c r="I270" i="1" s="1"/>
  <c r="F270" i="1"/>
  <c r="C270" i="1"/>
  <c r="AC269" i="1"/>
  <c r="AD269" i="1" s="1"/>
  <c r="AA269" i="1"/>
  <c r="W269" i="1"/>
  <c r="X269" i="1" s="1"/>
  <c r="U269" i="1"/>
  <c r="R269" i="1"/>
  <c r="O269" i="1"/>
  <c r="N269" i="1"/>
  <c r="L269" i="1"/>
  <c r="I269" i="1"/>
  <c r="H269" i="1"/>
  <c r="F269" i="1"/>
  <c r="C269" i="1"/>
  <c r="AD267" i="1"/>
  <c r="AC267" i="1"/>
  <c r="AA267" i="1"/>
  <c r="Z267" i="1"/>
  <c r="T267" i="1"/>
  <c r="U267" i="1" s="1"/>
  <c r="Q267" i="1"/>
  <c r="W267" i="1" s="1"/>
  <c r="X267" i="1" s="1"/>
  <c r="N267" i="1"/>
  <c r="O267" i="1" s="1"/>
  <c r="L267" i="1"/>
  <c r="K267" i="1"/>
  <c r="F267" i="1"/>
  <c r="E267" i="1"/>
  <c r="B267" i="1"/>
  <c r="H267" i="1" s="1"/>
  <c r="I267" i="1" s="1"/>
  <c r="AD266" i="1"/>
  <c r="AC266" i="1"/>
  <c r="AA266" i="1"/>
  <c r="W266" i="1"/>
  <c r="X266" i="1" s="1"/>
  <c r="U266" i="1"/>
  <c r="R266" i="1"/>
  <c r="N266" i="1"/>
  <c r="O266" i="1" s="1"/>
  <c r="L266" i="1"/>
  <c r="H266" i="1"/>
  <c r="I266" i="1" s="1"/>
  <c r="F266" i="1"/>
  <c r="C266" i="1"/>
  <c r="AD265" i="1"/>
  <c r="AC265" i="1"/>
  <c r="AA265" i="1"/>
  <c r="W265" i="1"/>
  <c r="X265" i="1" s="1"/>
  <c r="U265" i="1"/>
  <c r="R265" i="1"/>
  <c r="O265" i="1"/>
  <c r="N265" i="1"/>
  <c r="L265" i="1"/>
  <c r="I265" i="1"/>
  <c r="H265" i="1"/>
  <c r="F265" i="1"/>
  <c r="C265" i="1"/>
  <c r="Z263" i="1"/>
  <c r="AA263" i="1" s="1"/>
  <c r="T263" i="1"/>
  <c r="U263" i="1" s="1"/>
  <c r="Q263" i="1"/>
  <c r="W263" i="1" s="1"/>
  <c r="X263" i="1" s="1"/>
  <c r="L263" i="1"/>
  <c r="K263" i="1"/>
  <c r="E263" i="1"/>
  <c r="F263" i="1" s="1"/>
  <c r="B263" i="1"/>
  <c r="H263" i="1" s="1"/>
  <c r="I263" i="1" s="1"/>
  <c r="Z262" i="1"/>
  <c r="AA262" i="1" s="1"/>
  <c r="T262" i="1"/>
  <c r="W262" i="1" s="1"/>
  <c r="X262" i="1" s="1"/>
  <c r="R262" i="1"/>
  <c r="Q262" i="1"/>
  <c r="AC262" i="1" s="1"/>
  <c r="AD262" i="1" s="1"/>
  <c r="L262" i="1"/>
  <c r="K262" i="1"/>
  <c r="H262" i="1"/>
  <c r="I262" i="1" s="1"/>
  <c r="F262" i="1"/>
  <c r="E262" i="1"/>
  <c r="B262" i="1"/>
  <c r="C262" i="1" s="1"/>
  <c r="AD261" i="1"/>
  <c r="AC261" i="1"/>
  <c r="AA261" i="1"/>
  <c r="W261" i="1"/>
  <c r="X261" i="1" s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N260" i="1"/>
  <c r="O260" i="1" s="1"/>
  <c r="L260" i="1"/>
  <c r="H260" i="1"/>
  <c r="I260" i="1" s="1"/>
  <c r="F260" i="1"/>
  <c r="C260" i="1"/>
  <c r="AD259" i="1"/>
  <c r="AC259" i="1"/>
  <c r="AA259" i="1"/>
  <c r="W259" i="1"/>
  <c r="X259" i="1" s="1"/>
  <c r="U259" i="1"/>
  <c r="R259" i="1"/>
  <c r="N259" i="1"/>
  <c r="O259" i="1" s="1"/>
  <c r="L259" i="1"/>
  <c r="H259" i="1"/>
  <c r="I259" i="1" s="1"/>
  <c r="F259" i="1"/>
  <c r="C259" i="1"/>
  <c r="AC258" i="1"/>
  <c r="AD258" i="1" s="1"/>
  <c r="AA258" i="1"/>
  <c r="W258" i="1"/>
  <c r="X258" i="1" s="1"/>
  <c r="U258" i="1"/>
  <c r="R258" i="1"/>
  <c r="N258" i="1"/>
  <c r="O258" i="1" s="1"/>
  <c r="L258" i="1"/>
  <c r="I258" i="1"/>
  <c r="H258" i="1"/>
  <c r="F258" i="1"/>
  <c r="C258" i="1"/>
  <c r="AD257" i="1"/>
  <c r="AC257" i="1"/>
  <c r="AA257" i="1"/>
  <c r="W257" i="1"/>
  <c r="X257" i="1" s="1"/>
  <c r="U257" i="1"/>
  <c r="R257" i="1"/>
  <c r="N257" i="1"/>
  <c r="O257" i="1" s="1"/>
  <c r="L257" i="1"/>
  <c r="H257" i="1"/>
  <c r="I257" i="1" s="1"/>
  <c r="F257" i="1"/>
  <c r="C257" i="1"/>
  <c r="AC256" i="1"/>
  <c r="AD256" i="1" s="1"/>
  <c r="AA256" i="1"/>
  <c r="X256" i="1"/>
  <c r="W256" i="1"/>
  <c r="U256" i="1"/>
  <c r="R256" i="1"/>
  <c r="N256" i="1"/>
  <c r="O256" i="1" s="1"/>
  <c r="L256" i="1"/>
  <c r="H256" i="1"/>
  <c r="I256" i="1" s="1"/>
  <c r="F256" i="1"/>
  <c r="C256" i="1"/>
  <c r="AD255" i="1"/>
  <c r="AC255" i="1"/>
  <c r="AA255" i="1"/>
  <c r="W255" i="1"/>
  <c r="X255" i="1" s="1"/>
  <c r="U255" i="1"/>
  <c r="R255" i="1"/>
  <c r="O255" i="1"/>
  <c r="N255" i="1"/>
  <c r="L255" i="1"/>
  <c r="H255" i="1"/>
  <c r="I255" i="1" s="1"/>
  <c r="F255" i="1"/>
  <c r="C255" i="1"/>
  <c r="AC254" i="1"/>
  <c r="AD254" i="1" s="1"/>
  <c r="AA254" i="1"/>
  <c r="W254" i="1"/>
  <c r="X254" i="1" s="1"/>
  <c r="U254" i="1"/>
  <c r="R254" i="1"/>
  <c r="N254" i="1"/>
  <c r="O254" i="1" s="1"/>
  <c r="L254" i="1"/>
  <c r="I254" i="1"/>
  <c r="H254" i="1"/>
  <c r="F254" i="1"/>
  <c r="C254" i="1"/>
  <c r="AD253" i="1"/>
  <c r="AC253" i="1"/>
  <c r="AA253" i="1"/>
  <c r="W253" i="1"/>
  <c r="X253" i="1" s="1"/>
  <c r="U253" i="1"/>
  <c r="R253" i="1"/>
  <c r="N253" i="1"/>
  <c r="O253" i="1" s="1"/>
  <c r="L253" i="1"/>
  <c r="H253" i="1"/>
  <c r="I253" i="1" s="1"/>
  <c r="F253" i="1"/>
  <c r="C253" i="1"/>
  <c r="AC252" i="1"/>
  <c r="AD252" i="1" s="1"/>
  <c r="AA252" i="1"/>
  <c r="W252" i="1"/>
  <c r="X252" i="1" s="1"/>
  <c r="U252" i="1"/>
  <c r="R252" i="1"/>
  <c r="N252" i="1"/>
  <c r="O252" i="1" s="1"/>
  <c r="L252" i="1"/>
  <c r="I252" i="1"/>
  <c r="H252" i="1"/>
  <c r="F252" i="1"/>
  <c r="C252" i="1"/>
  <c r="AD251" i="1"/>
  <c r="AC251" i="1"/>
  <c r="AA251" i="1"/>
  <c r="W251" i="1"/>
  <c r="X251" i="1" s="1"/>
  <c r="U251" i="1"/>
  <c r="R251" i="1"/>
  <c r="N251" i="1"/>
  <c r="O251" i="1" s="1"/>
  <c r="L251" i="1"/>
  <c r="H251" i="1"/>
  <c r="I251" i="1" s="1"/>
  <c r="F251" i="1"/>
  <c r="C251" i="1"/>
  <c r="AD250" i="1"/>
  <c r="AC250" i="1"/>
  <c r="AA250" i="1"/>
  <c r="W250" i="1"/>
  <c r="X250" i="1" s="1"/>
  <c r="U250" i="1"/>
  <c r="R250" i="1"/>
  <c r="N250" i="1"/>
  <c r="O250" i="1" s="1"/>
  <c r="L250" i="1"/>
  <c r="I250" i="1"/>
  <c r="H250" i="1"/>
  <c r="F250" i="1"/>
  <c r="C250" i="1"/>
  <c r="AC249" i="1"/>
  <c r="AD249" i="1" s="1"/>
  <c r="AA249" i="1"/>
  <c r="X249" i="1"/>
  <c r="W249" i="1"/>
  <c r="U249" i="1"/>
  <c r="R249" i="1"/>
  <c r="N249" i="1"/>
  <c r="O249" i="1" s="1"/>
  <c r="L249" i="1"/>
  <c r="H249" i="1"/>
  <c r="I249" i="1" s="1"/>
  <c r="F249" i="1"/>
  <c r="C249" i="1"/>
  <c r="AC248" i="1"/>
  <c r="AD248" i="1" s="1"/>
  <c r="AA248" i="1"/>
  <c r="W248" i="1"/>
  <c r="X248" i="1" s="1"/>
  <c r="U248" i="1"/>
  <c r="R248" i="1"/>
  <c r="N248" i="1"/>
  <c r="O248" i="1" s="1"/>
  <c r="L248" i="1"/>
  <c r="H248" i="1"/>
  <c r="I248" i="1" s="1"/>
  <c r="F248" i="1"/>
  <c r="C248" i="1"/>
  <c r="AD247" i="1"/>
  <c r="AC247" i="1"/>
  <c r="AA247" i="1"/>
  <c r="W247" i="1"/>
  <c r="X247" i="1" s="1"/>
  <c r="U247" i="1"/>
  <c r="R247" i="1"/>
  <c r="N247" i="1"/>
  <c r="O247" i="1" s="1"/>
  <c r="L247" i="1"/>
  <c r="H247" i="1"/>
  <c r="I247" i="1" s="1"/>
  <c r="F247" i="1"/>
  <c r="C247" i="1"/>
  <c r="AC246" i="1"/>
  <c r="AD246" i="1" s="1"/>
  <c r="AA246" i="1"/>
  <c r="W246" i="1"/>
  <c r="X246" i="1" s="1"/>
  <c r="U246" i="1"/>
  <c r="R246" i="1"/>
  <c r="O246" i="1"/>
  <c r="N246" i="1"/>
  <c r="L246" i="1"/>
  <c r="I246" i="1"/>
  <c r="H246" i="1"/>
  <c r="F246" i="1"/>
  <c r="C246" i="1"/>
  <c r="AD245" i="1"/>
  <c r="AC245" i="1"/>
  <c r="AA245" i="1"/>
  <c r="W245" i="1"/>
  <c r="X245" i="1" s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W244" i="1"/>
  <c r="X244" i="1" s="1"/>
  <c r="U244" i="1"/>
  <c r="R244" i="1"/>
  <c r="N244" i="1"/>
  <c r="O244" i="1" s="1"/>
  <c r="L244" i="1"/>
  <c r="H244" i="1"/>
  <c r="I244" i="1" s="1"/>
  <c r="F244" i="1"/>
  <c r="C244" i="1"/>
  <c r="AD243" i="1"/>
  <c r="AC243" i="1"/>
  <c r="AA243" i="1"/>
  <c r="W243" i="1"/>
  <c r="X243" i="1" s="1"/>
  <c r="U243" i="1"/>
  <c r="R243" i="1"/>
  <c r="N243" i="1"/>
  <c r="O243" i="1" s="1"/>
  <c r="L243" i="1"/>
  <c r="H243" i="1"/>
  <c r="I243" i="1" s="1"/>
  <c r="F243" i="1"/>
  <c r="C243" i="1"/>
  <c r="AC242" i="1"/>
  <c r="AD242" i="1" s="1"/>
  <c r="AA242" i="1"/>
  <c r="W242" i="1"/>
  <c r="X242" i="1" s="1"/>
  <c r="U242" i="1"/>
  <c r="R242" i="1"/>
  <c r="N242" i="1"/>
  <c r="O242" i="1" s="1"/>
  <c r="L242" i="1"/>
  <c r="I242" i="1"/>
  <c r="H242" i="1"/>
  <c r="F242" i="1"/>
  <c r="C242" i="1"/>
  <c r="AD241" i="1"/>
  <c r="AC241" i="1"/>
  <c r="AA241" i="1"/>
  <c r="W241" i="1"/>
  <c r="X241" i="1" s="1"/>
  <c r="U241" i="1"/>
  <c r="R241" i="1"/>
  <c r="N241" i="1"/>
  <c r="O241" i="1" s="1"/>
  <c r="L241" i="1"/>
  <c r="H241" i="1"/>
  <c r="I241" i="1" s="1"/>
  <c r="F241" i="1"/>
  <c r="C241" i="1"/>
  <c r="AC240" i="1"/>
  <c r="AD240" i="1" s="1"/>
  <c r="AA240" i="1"/>
  <c r="X240" i="1"/>
  <c r="W240" i="1"/>
  <c r="U240" i="1"/>
  <c r="R240" i="1"/>
  <c r="N240" i="1"/>
  <c r="O240" i="1" s="1"/>
  <c r="L240" i="1"/>
  <c r="H240" i="1"/>
  <c r="I240" i="1" s="1"/>
  <c r="F240" i="1"/>
  <c r="C240" i="1"/>
  <c r="AD238" i="1"/>
  <c r="AC238" i="1"/>
  <c r="AA238" i="1"/>
  <c r="W238" i="1"/>
  <c r="X238" i="1" s="1"/>
  <c r="U238" i="1"/>
  <c r="R238" i="1"/>
  <c r="O238" i="1"/>
  <c r="N238" i="1"/>
  <c r="L238" i="1"/>
  <c r="H238" i="1"/>
  <c r="I238" i="1" s="1"/>
  <c r="F238" i="1"/>
  <c r="C238" i="1"/>
  <c r="AC236" i="1"/>
  <c r="AD236" i="1" s="1"/>
  <c r="AA236" i="1"/>
  <c r="Z236" i="1"/>
  <c r="T236" i="1"/>
  <c r="U236" i="1" s="1"/>
  <c r="Q236" i="1"/>
  <c r="W236" i="1" s="1"/>
  <c r="X236" i="1" s="1"/>
  <c r="O236" i="1"/>
  <c r="K236" i="1"/>
  <c r="L236" i="1" s="1"/>
  <c r="I236" i="1"/>
  <c r="H236" i="1"/>
  <c r="E236" i="1"/>
  <c r="F236" i="1" s="1"/>
  <c r="C236" i="1"/>
  <c r="B236" i="1"/>
  <c r="N236" i="1" s="1"/>
  <c r="AC235" i="1"/>
  <c r="AD235" i="1" s="1"/>
  <c r="AA235" i="1"/>
  <c r="X235" i="1"/>
  <c r="W235" i="1"/>
  <c r="U235" i="1"/>
  <c r="R235" i="1"/>
  <c r="N235" i="1"/>
  <c r="O235" i="1" s="1"/>
  <c r="L235" i="1"/>
  <c r="H235" i="1"/>
  <c r="I235" i="1" s="1"/>
  <c r="F235" i="1"/>
  <c r="C235" i="1"/>
  <c r="AD234" i="1"/>
  <c r="AC234" i="1"/>
  <c r="AA234" i="1"/>
  <c r="W234" i="1"/>
  <c r="X234" i="1" s="1"/>
  <c r="U234" i="1"/>
  <c r="R234" i="1"/>
  <c r="O234" i="1"/>
  <c r="N234" i="1"/>
  <c r="L234" i="1"/>
  <c r="H234" i="1"/>
  <c r="I234" i="1" s="1"/>
  <c r="F234" i="1"/>
  <c r="C234" i="1"/>
  <c r="AC233" i="1"/>
  <c r="AD233" i="1" s="1"/>
  <c r="AA233" i="1"/>
  <c r="W233" i="1"/>
  <c r="X233" i="1" s="1"/>
  <c r="U233" i="1"/>
  <c r="R233" i="1"/>
  <c r="N233" i="1"/>
  <c r="O233" i="1" s="1"/>
  <c r="L233" i="1"/>
  <c r="I233" i="1"/>
  <c r="H233" i="1"/>
  <c r="F233" i="1"/>
  <c r="C233" i="1"/>
  <c r="AD232" i="1"/>
  <c r="AC232" i="1"/>
  <c r="AA232" i="1"/>
  <c r="W232" i="1"/>
  <c r="X232" i="1" s="1"/>
  <c r="U232" i="1"/>
  <c r="R232" i="1"/>
  <c r="N232" i="1"/>
  <c r="O232" i="1" s="1"/>
  <c r="L232" i="1"/>
  <c r="H232" i="1"/>
  <c r="I232" i="1" s="1"/>
  <c r="F232" i="1"/>
  <c r="C232" i="1"/>
  <c r="AC231" i="1"/>
  <c r="AD231" i="1" s="1"/>
  <c r="AA231" i="1"/>
  <c r="W231" i="1"/>
  <c r="X231" i="1" s="1"/>
  <c r="U231" i="1"/>
  <c r="R231" i="1"/>
  <c r="N231" i="1"/>
  <c r="O231" i="1" s="1"/>
  <c r="L231" i="1"/>
  <c r="I231" i="1"/>
  <c r="H231" i="1"/>
  <c r="F231" i="1"/>
  <c r="C231" i="1"/>
  <c r="AD230" i="1"/>
  <c r="AC230" i="1"/>
  <c r="AA230" i="1"/>
  <c r="W230" i="1"/>
  <c r="X230" i="1" s="1"/>
  <c r="U230" i="1"/>
  <c r="R230" i="1"/>
  <c r="N230" i="1"/>
  <c r="O230" i="1" s="1"/>
  <c r="L230" i="1"/>
  <c r="H230" i="1"/>
  <c r="I230" i="1" s="1"/>
  <c r="F230" i="1"/>
  <c r="C230" i="1"/>
  <c r="AD229" i="1"/>
  <c r="AC229" i="1"/>
  <c r="AA229" i="1"/>
  <c r="W229" i="1"/>
  <c r="X229" i="1" s="1"/>
  <c r="U229" i="1"/>
  <c r="R229" i="1"/>
  <c r="N229" i="1"/>
  <c r="O229" i="1" s="1"/>
  <c r="L229" i="1"/>
  <c r="I229" i="1"/>
  <c r="H229" i="1"/>
  <c r="F229" i="1"/>
  <c r="C229" i="1"/>
  <c r="AA227" i="1"/>
  <c r="Z227" i="1"/>
  <c r="AC227" i="1" s="1"/>
  <c r="AD227" i="1" s="1"/>
  <c r="X227" i="1"/>
  <c r="T227" i="1"/>
  <c r="U227" i="1" s="1"/>
  <c r="R227" i="1"/>
  <c r="Q227" i="1"/>
  <c r="W227" i="1" s="1"/>
  <c r="N227" i="1"/>
  <c r="O227" i="1" s="1"/>
  <c r="L227" i="1"/>
  <c r="K227" i="1"/>
  <c r="F227" i="1"/>
  <c r="E227" i="1"/>
  <c r="C227" i="1"/>
  <c r="B227" i="1"/>
  <c r="H227" i="1" s="1"/>
  <c r="I227" i="1" s="1"/>
  <c r="AD226" i="1"/>
  <c r="AC226" i="1"/>
  <c r="AA226" i="1"/>
  <c r="W226" i="1"/>
  <c r="X226" i="1" s="1"/>
  <c r="U226" i="1"/>
  <c r="R226" i="1"/>
  <c r="O226" i="1"/>
  <c r="N226" i="1"/>
  <c r="L226" i="1"/>
  <c r="H226" i="1"/>
  <c r="I226" i="1" s="1"/>
  <c r="F226" i="1"/>
  <c r="C226" i="1"/>
  <c r="AD225" i="1"/>
  <c r="AC225" i="1"/>
  <c r="AA225" i="1"/>
  <c r="W225" i="1"/>
  <c r="X225" i="1" s="1"/>
  <c r="U225" i="1"/>
  <c r="R225" i="1"/>
  <c r="O225" i="1"/>
  <c r="N225" i="1"/>
  <c r="L225" i="1"/>
  <c r="I225" i="1"/>
  <c r="H225" i="1"/>
  <c r="F225" i="1"/>
  <c r="C225" i="1"/>
  <c r="AC224" i="1"/>
  <c r="AD224" i="1" s="1"/>
  <c r="AA224" i="1"/>
  <c r="X224" i="1"/>
  <c r="W224" i="1"/>
  <c r="U224" i="1"/>
  <c r="R224" i="1"/>
  <c r="N224" i="1"/>
  <c r="O224" i="1" s="1"/>
  <c r="L224" i="1"/>
  <c r="I224" i="1"/>
  <c r="H224" i="1"/>
  <c r="F224" i="1"/>
  <c r="C224" i="1"/>
  <c r="AC223" i="1"/>
  <c r="AD223" i="1" s="1"/>
  <c r="AA223" i="1"/>
  <c r="W223" i="1"/>
  <c r="X223" i="1" s="1"/>
  <c r="U223" i="1"/>
  <c r="R223" i="1"/>
  <c r="N223" i="1"/>
  <c r="O223" i="1" s="1"/>
  <c r="L223" i="1"/>
  <c r="I223" i="1"/>
  <c r="H223" i="1"/>
  <c r="F223" i="1"/>
  <c r="C223" i="1"/>
  <c r="AD222" i="1"/>
  <c r="AC222" i="1"/>
  <c r="AA222" i="1"/>
  <c r="W222" i="1"/>
  <c r="X222" i="1" s="1"/>
  <c r="U222" i="1"/>
  <c r="R222" i="1"/>
  <c r="N222" i="1"/>
  <c r="O222" i="1" s="1"/>
  <c r="L222" i="1"/>
  <c r="H222" i="1"/>
  <c r="I222" i="1" s="1"/>
  <c r="F222" i="1"/>
  <c r="C222" i="1"/>
  <c r="AD221" i="1"/>
  <c r="AC221" i="1"/>
  <c r="AA221" i="1"/>
  <c r="W221" i="1"/>
  <c r="X221" i="1" s="1"/>
  <c r="U221" i="1"/>
  <c r="R221" i="1"/>
  <c r="O221" i="1"/>
  <c r="N221" i="1"/>
  <c r="L221" i="1"/>
  <c r="I221" i="1"/>
  <c r="H221" i="1"/>
  <c r="F221" i="1"/>
  <c r="C221" i="1"/>
  <c r="AD220" i="1"/>
  <c r="AC220" i="1"/>
  <c r="AA220" i="1"/>
  <c r="X220" i="1"/>
  <c r="W220" i="1"/>
  <c r="U220" i="1"/>
  <c r="R220" i="1"/>
  <c r="N220" i="1"/>
  <c r="O220" i="1" s="1"/>
  <c r="L220" i="1"/>
  <c r="I220" i="1"/>
  <c r="H220" i="1"/>
  <c r="F220" i="1"/>
  <c r="C220" i="1"/>
  <c r="AD219" i="1"/>
  <c r="AC219" i="1"/>
  <c r="AA219" i="1"/>
  <c r="X219" i="1"/>
  <c r="W219" i="1"/>
  <c r="U219" i="1"/>
  <c r="R219" i="1"/>
  <c r="N219" i="1"/>
  <c r="O219" i="1" s="1"/>
  <c r="L219" i="1"/>
  <c r="H219" i="1"/>
  <c r="I219" i="1" s="1"/>
  <c r="F219" i="1"/>
  <c r="C219" i="1"/>
  <c r="AA218" i="1"/>
  <c r="Z218" i="1"/>
  <c r="U218" i="1"/>
  <c r="T218" i="1"/>
  <c r="W218" i="1" s="1"/>
  <c r="X218" i="1" s="1"/>
  <c r="R218" i="1"/>
  <c r="Q218" i="1"/>
  <c r="AC218" i="1" s="1"/>
  <c r="AD218" i="1" s="1"/>
  <c r="L218" i="1"/>
  <c r="K218" i="1"/>
  <c r="H218" i="1"/>
  <c r="I218" i="1" s="1"/>
  <c r="F218" i="1"/>
  <c r="E218" i="1"/>
  <c r="C218" i="1"/>
  <c r="B218" i="1"/>
  <c r="AD217" i="1"/>
  <c r="AC217" i="1"/>
  <c r="AA217" i="1"/>
  <c r="W217" i="1"/>
  <c r="X217" i="1" s="1"/>
  <c r="U217" i="1"/>
  <c r="R217" i="1"/>
  <c r="N217" i="1"/>
  <c r="O217" i="1" s="1"/>
  <c r="L217" i="1"/>
  <c r="H217" i="1"/>
  <c r="I217" i="1" s="1"/>
  <c r="F217" i="1"/>
  <c r="C217" i="1"/>
  <c r="AD216" i="1"/>
  <c r="AC216" i="1"/>
  <c r="AA216" i="1"/>
  <c r="X216" i="1"/>
  <c r="W216" i="1"/>
  <c r="U216" i="1"/>
  <c r="R216" i="1"/>
  <c r="N216" i="1"/>
  <c r="O216" i="1" s="1"/>
  <c r="L216" i="1"/>
  <c r="I216" i="1"/>
  <c r="H216" i="1"/>
  <c r="F216" i="1"/>
  <c r="C216" i="1"/>
  <c r="AD215" i="1"/>
  <c r="AC215" i="1"/>
  <c r="AA215" i="1"/>
  <c r="W215" i="1"/>
  <c r="X215" i="1" s="1"/>
  <c r="U215" i="1"/>
  <c r="R215" i="1"/>
  <c r="O215" i="1"/>
  <c r="N215" i="1"/>
  <c r="L215" i="1"/>
  <c r="I215" i="1"/>
  <c r="H215" i="1"/>
  <c r="F215" i="1"/>
  <c r="C215" i="1"/>
  <c r="AC214" i="1"/>
  <c r="AD214" i="1" s="1"/>
  <c r="AA214" i="1"/>
  <c r="W214" i="1"/>
  <c r="X214" i="1" s="1"/>
  <c r="U214" i="1"/>
  <c r="R214" i="1"/>
  <c r="O214" i="1"/>
  <c r="N214" i="1"/>
  <c r="L214" i="1"/>
  <c r="I214" i="1"/>
  <c r="H214" i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W211" i="1"/>
  <c r="X211" i="1" s="1"/>
  <c r="U211" i="1"/>
  <c r="R211" i="1"/>
  <c r="N211" i="1"/>
  <c r="O211" i="1" s="1"/>
  <c r="L211" i="1"/>
  <c r="H211" i="1"/>
  <c r="I211" i="1" s="1"/>
  <c r="F211" i="1"/>
  <c r="C211" i="1"/>
  <c r="AD209" i="1"/>
  <c r="Z209" i="1"/>
  <c r="AA209" i="1" s="1"/>
  <c r="T209" i="1"/>
  <c r="W209" i="1" s="1"/>
  <c r="X209" i="1" s="1"/>
  <c r="R209" i="1"/>
  <c r="Q209" i="1"/>
  <c r="AC209" i="1" s="1"/>
  <c r="L209" i="1"/>
  <c r="K209" i="1"/>
  <c r="H209" i="1"/>
  <c r="I209" i="1" s="1"/>
  <c r="F209" i="1"/>
  <c r="E209" i="1"/>
  <c r="B209" i="1"/>
  <c r="C209" i="1" s="1"/>
  <c r="AC208" i="1"/>
  <c r="AD208" i="1" s="1"/>
  <c r="AA208" i="1"/>
  <c r="W208" i="1"/>
  <c r="X208" i="1" s="1"/>
  <c r="U208" i="1"/>
  <c r="R208" i="1"/>
  <c r="N208" i="1"/>
  <c r="O208" i="1" s="1"/>
  <c r="L208" i="1"/>
  <c r="I208" i="1"/>
  <c r="H208" i="1"/>
  <c r="F208" i="1"/>
  <c r="C208" i="1"/>
  <c r="AC207" i="1"/>
  <c r="AD207" i="1" s="1"/>
  <c r="AA207" i="1"/>
  <c r="W207" i="1"/>
  <c r="X207" i="1" s="1"/>
  <c r="U207" i="1"/>
  <c r="R207" i="1"/>
  <c r="N207" i="1"/>
  <c r="O207" i="1" s="1"/>
  <c r="L207" i="1"/>
  <c r="H207" i="1"/>
  <c r="I207" i="1" s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C205" i="1"/>
  <c r="AD205" i="1" s="1"/>
  <c r="AA205" i="1"/>
  <c r="W205" i="1"/>
  <c r="X205" i="1" s="1"/>
  <c r="U205" i="1"/>
  <c r="R205" i="1"/>
  <c r="N205" i="1"/>
  <c r="O205" i="1" s="1"/>
  <c r="L205" i="1"/>
  <c r="I205" i="1"/>
  <c r="H205" i="1"/>
  <c r="F205" i="1"/>
  <c r="C205" i="1"/>
  <c r="AD204" i="1"/>
  <c r="AC204" i="1"/>
  <c r="AA204" i="1"/>
  <c r="W204" i="1"/>
  <c r="X204" i="1" s="1"/>
  <c r="U204" i="1"/>
  <c r="R204" i="1"/>
  <c r="N204" i="1"/>
  <c r="O204" i="1" s="1"/>
  <c r="L204" i="1"/>
  <c r="H204" i="1"/>
  <c r="I204" i="1" s="1"/>
  <c r="F204" i="1"/>
  <c r="C204" i="1"/>
  <c r="AC203" i="1"/>
  <c r="AD203" i="1" s="1"/>
  <c r="AA203" i="1"/>
  <c r="X203" i="1"/>
  <c r="W203" i="1"/>
  <c r="U203" i="1"/>
  <c r="R203" i="1"/>
  <c r="N203" i="1"/>
  <c r="O203" i="1" s="1"/>
  <c r="L203" i="1"/>
  <c r="H203" i="1"/>
  <c r="I203" i="1" s="1"/>
  <c r="F203" i="1"/>
  <c r="C203" i="1"/>
  <c r="AD202" i="1"/>
  <c r="AC202" i="1"/>
  <c r="AA202" i="1"/>
  <c r="W202" i="1"/>
  <c r="X202" i="1" s="1"/>
  <c r="U202" i="1"/>
  <c r="R202" i="1"/>
  <c r="O202" i="1"/>
  <c r="N202" i="1"/>
  <c r="L202" i="1"/>
  <c r="I202" i="1"/>
  <c r="H202" i="1"/>
  <c r="F202" i="1"/>
  <c r="C202" i="1"/>
  <c r="AC201" i="1"/>
  <c r="AD201" i="1" s="1"/>
  <c r="AA201" i="1"/>
  <c r="W201" i="1"/>
  <c r="X201" i="1" s="1"/>
  <c r="U201" i="1"/>
  <c r="R201" i="1"/>
  <c r="N201" i="1"/>
  <c r="O201" i="1" s="1"/>
  <c r="L201" i="1"/>
  <c r="I201" i="1"/>
  <c r="H201" i="1"/>
  <c r="F201" i="1"/>
  <c r="C201" i="1"/>
  <c r="Z198" i="1"/>
  <c r="AA198" i="1" s="1"/>
  <c r="Z197" i="1"/>
  <c r="AA197" i="1" s="1"/>
  <c r="T197" i="1"/>
  <c r="U197" i="1" s="1"/>
  <c r="R197" i="1"/>
  <c r="Q197" i="1"/>
  <c r="AC197" i="1" s="1"/>
  <c r="AD197" i="1" s="1"/>
  <c r="K197" i="1"/>
  <c r="L197" i="1" s="1"/>
  <c r="H197" i="1"/>
  <c r="I197" i="1" s="1"/>
  <c r="F197" i="1"/>
  <c r="E197" i="1"/>
  <c r="B197" i="1"/>
  <c r="C197" i="1" s="1"/>
  <c r="AA196" i="1"/>
  <c r="Z196" i="1"/>
  <c r="T196" i="1"/>
  <c r="U196" i="1" s="1"/>
  <c r="Q196" i="1"/>
  <c r="W196" i="1" s="1"/>
  <c r="X196" i="1" s="1"/>
  <c r="L196" i="1"/>
  <c r="K196" i="1"/>
  <c r="E196" i="1"/>
  <c r="F196" i="1" s="1"/>
  <c r="B196" i="1"/>
  <c r="H196" i="1" s="1"/>
  <c r="I196" i="1" s="1"/>
  <c r="AD195" i="1"/>
  <c r="AC195" i="1"/>
  <c r="AA195" i="1"/>
  <c r="W195" i="1"/>
  <c r="X195" i="1" s="1"/>
  <c r="U195" i="1"/>
  <c r="R195" i="1"/>
  <c r="N195" i="1"/>
  <c r="O195" i="1" s="1"/>
  <c r="L195" i="1"/>
  <c r="H195" i="1"/>
  <c r="I195" i="1" s="1"/>
  <c r="F195" i="1"/>
  <c r="C195" i="1"/>
  <c r="AC194" i="1"/>
  <c r="AD194" i="1" s="1"/>
  <c r="AA194" i="1"/>
  <c r="W194" i="1"/>
  <c r="X194" i="1" s="1"/>
  <c r="U194" i="1"/>
  <c r="R194" i="1"/>
  <c r="O194" i="1"/>
  <c r="N194" i="1"/>
  <c r="L194" i="1"/>
  <c r="I194" i="1"/>
  <c r="H194" i="1"/>
  <c r="F194" i="1"/>
  <c r="C194" i="1"/>
  <c r="Z193" i="1"/>
  <c r="AA193" i="1" s="1"/>
  <c r="X193" i="1"/>
  <c r="T193" i="1"/>
  <c r="U193" i="1" s="1"/>
  <c r="R193" i="1"/>
  <c r="Q193" i="1"/>
  <c r="W193" i="1" s="1"/>
  <c r="L193" i="1"/>
  <c r="K193" i="1"/>
  <c r="E193" i="1"/>
  <c r="F193" i="1" s="1"/>
  <c r="C193" i="1"/>
  <c r="B193" i="1"/>
  <c r="AD192" i="1"/>
  <c r="AC192" i="1"/>
  <c r="AA192" i="1"/>
  <c r="W192" i="1"/>
  <c r="X192" i="1" s="1"/>
  <c r="U192" i="1"/>
  <c r="R192" i="1"/>
  <c r="O192" i="1"/>
  <c r="N192" i="1"/>
  <c r="L192" i="1"/>
  <c r="H192" i="1"/>
  <c r="I192" i="1" s="1"/>
  <c r="F192" i="1"/>
  <c r="C192" i="1"/>
  <c r="AC191" i="1"/>
  <c r="AD191" i="1" s="1"/>
  <c r="AA191" i="1"/>
  <c r="W191" i="1"/>
  <c r="X191" i="1" s="1"/>
  <c r="U191" i="1"/>
  <c r="R191" i="1"/>
  <c r="N191" i="1"/>
  <c r="O191" i="1" s="1"/>
  <c r="L191" i="1"/>
  <c r="I191" i="1"/>
  <c r="H191" i="1"/>
  <c r="F191" i="1"/>
  <c r="C191" i="1"/>
  <c r="AD190" i="1"/>
  <c r="AC190" i="1"/>
  <c r="AA190" i="1"/>
  <c r="W190" i="1"/>
  <c r="X190" i="1" s="1"/>
  <c r="U190" i="1"/>
  <c r="R190" i="1"/>
  <c r="N190" i="1"/>
  <c r="O190" i="1" s="1"/>
  <c r="L190" i="1"/>
  <c r="H190" i="1"/>
  <c r="I190" i="1" s="1"/>
  <c r="F190" i="1"/>
  <c r="C190" i="1"/>
  <c r="AC189" i="1"/>
  <c r="AD189" i="1" s="1"/>
  <c r="AA189" i="1"/>
  <c r="W189" i="1"/>
  <c r="X189" i="1" s="1"/>
  <c r="U189" i="1"/>
  <c r="R189" i="1"/>
  <c r="N189" i="1"/>
  <c r="O189" i="1" s="1"/>
  <c r="L189" i="1"/>
  <c r="I189" i="1"/>
  <c r="H189" i="1"/>
  <c r="F189" i="1"/>
  <c r="C189" i="1"/>
  <c r="AD188" i="1"/>
  <c r="AC188" i="1"/>
  <c r="AA188" i="1"/>
  <c r="W188" i="1"/>
  <c r="X188" i="1" s="1"/>
  <c r="U188" i="1"/>
  <c r="R188" i="1"/>
  <c r="N188" i="1"/>
  <c r="O188" i="1" s="1"/>
  <c r="L188" i="1"/>
  <c r="H188" i="1"/>
  <c r="I188" i="1" s="1"/>
  <c r="F188" i="1"/>
  <c r="C188" i="1"/>
  <c r="AD187" i="1"/>
  <c r="AC187" i="1"/>
  <c r="AA187" i="1"/>
  <c r="W187" i="1"/>
  <c r="X187" i="1" s="1"/>
  <c r="U187" i="1"/>
  <c r="R187" i="1"/>
  <c r="N187" i="1"/>
  <c r="O187" i="1" s="1"/>
  <c r="L187" i="1"/>
  <c r="I187" i="1"/>
  <c r="H187" i="1"/>
  <c r="F187" i="1"/>
  <c r="C187" i="1"/>
  <c r="AC186" i="1"/>
  <c r="AD186" i="1" s="1"/>
  <c r="AA186" i="1"/>
  <c r="X186" i="1"/>
  <c r="W186" i="1"/>
  <c r="U186" i="1"/>
  <c r="R186" i="1"/>
  <c r="N186" i="1"/>
  <c r="O186" i="1" s="1"/>
  <c r="L186" i="1"/>
  <c r="H186" i="1"/>
  <c r="I186" i="1" s="1"/>
  <c r="F186" i="1"/>
  <c r="C186" i="1"/>
  <c r="AC184" i="1"/>
  <c r="AD184" i="1" s="1"/>
  <c r="AA184" i="1"/>
  <c r="W184" i="1"/>
  <c r="X184" i="1" s="1"/>
  <c r="U184" i="1"/>
  <c r="R184" i="1"/>
  <c r="N184" i="1"/>
  <c r="O184" i="1" s="1"/>
  <c r="L184" i="1"/>
  <c r="H184" i="1"/>
  <c r="I184" i="1" s="1"/>
  <c r="F184" i="1"/>
  <c r="C184" i="1"/>
  <c r="AD183" i="1"/>
  <c r="AC183" i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A182" i="1"/>
  <c r="Z182" i="1"/>
  <c r="T182" i="1"/>
  <c r="U182" i="1" s="1"/>
  <c r="R182" i="1"/>
  <c r="Q182" i="1"/>
  <c r="K182" i="1"/>
  <c r="L182" i="1" s="1"/>
  <c r="E182" i="1"/>
  <c r="F182" i="1" s="1"/>
  <c r="C182" i="1"/>
  <c r="B182" i="1"/>
  <c r="N182" i="1" s="1"/>
  <c r="O182" i="1" s="1"/>
  <c r="AC181" i="1"/>
  <c r="AD181" i="1" s="1"/>
  <c r="AA181" i="1"/>
  <c r="W181" i="1"/>
  <c r="X181" i="1" s="1"/>
  <c r="U181" i="1"/>
  <c r="R181" i="1"/>
  <c r="N181" i="1"/>
  <c r="O181" i="1" s="1"/>
  <c r="L181" i="1"/>
  <c r="H181" i="1"/>
  <c r="I181" i="1" s="1"/>
  <c r="F181" i="1"/>
  <c r="C181" i="1"/>
  <c r="AD180" i="1"/>
  <c r="AC180" i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C179" i="1"/>
  <c r="AD179" i="1" s="1"/>
  <c r="AA179" i="1"/>
  <c r="W179" i="1"/>
  <c r="X179" i="1" s="1"/>
  <c r="U179" i="1"/>
  <c r="R179" i="1"/>
  <c r="O179" i="1"/>
  <c r="N179" i="1"/>
  <c r="L179" i="1"/>
  <c r="I179" i="1"/>
  <c r="H179" i="1"/>
  <c r="F179" i="1"/>
  <c r="C179" i="1"/>
  <c r="AC178" i="1"/>
  <c r="AD178" i="1" s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C177" i="1"/>
  <c r="AD177" i="1" s="1"/>
  <c r="AA177" i="1"/>
  <c r="W177" i="1"/>
  <c r="X177" i="1" s="1"/>
  <c r="U177" i="1"/>
  <c r="R177" i="1"/>
  <c r="N177" i="1"/>
  <c r="O177" i="1" s="1"/>
  <c r="L177" i="1"/>
  <c r="H177" i="1"/>
  <c r="I177" i="1" s="1"/>
  <c r="F177" i="1"/>
  <c r="C177" i="1"/>
  <c r="AD175" i="1"/>
  <c r="AC175" i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T172" i="1"/>
  <c r="T198" i="1" s="1"/>
  <c r="AA171" i="1"/>
  <c r="Z171" i="1"/>
  <c r="X171" i="1"/>
  <c r="W171" i="1"/>
  <c r="U171" i="1"/>
  <c r="T171" i="1"/>
  <c r="Q171" i="1"/>
  <c r="R171" i="1" s="1"/>
  <c r="K171" i="1"/>
  <c r="L171" i="1" s="1"/>
  <c r="E171" i="1"/>
  <c r="F171" i="1" s="1"/>
  <c r="B171" i="1"/>
  <c r="H171" i="1" s="1"/>
  <c r="I171" i="1" s="1"/>
  <c r="AA170" i="1"/>
  <c r="Z170" i="1"/>
  <c r="T170" i="1"/>
  <c r="U170" i="1" s="1"/>
  <c r="Q170" i="1"/>
  <c r="W170" i="1" s="1"/>
  <c r="X170" i="1" s="1"/>
  <c r="O170" i="1"/>
  <c r="K170" i="1"/>
  <c r="L170" i="1" s="1"/>
  <c r="E170" i="1"/>
  <c r="H170" i="1" s="1"/>
  <c r="I170" i="1" s="1"/>
  <c r="C170" i="1"/>
  <c r="B170" i="1"/>
  <c r="N170" i="1" s="1"/>
  <c r="AC169" i="1"/>
  <c r="AD169" i="1" s="1"/>
  <c r="AA169" i="1"/>
  <c r="W169" i="1"/>
  <c r="X169" i="1" s="1"/>
  <c r="U169" i="1"/>
  <c r="R169" i="1"/>
  <c r="N169" i="1"/>
  <c r="O169" i="1" s="1"/>
  <c r="L169" i="1"/>
  <c r="I169" i="1"/>
  <c r="H169" i="1"/>
  <c r="F169" i="1"/>
  <c r="C169" i="1"/>
  <c r="AD168" i="1"/>
  <c r="AC168" i="1"/>
  <c r="AA168" i="1"/>
  <c r="W168" i="1"/>
  <c r="X168" i="1" s="1"/>
  <c r="U168" i="1"/>
  <c r="R168" i="1"/>
  <c r="N168" i="1"/>
  <c r="O168" i="1" s="1"/>
  <c r="L168" i="1"/>
  <c r="H168" i="1"/>
  <c r="I168" i="1" s="1"/>
  <c r="F168" i="1"/>
  <c r="C168" i="1"/>
  <c r="AD167" i="1"/>
  <c r="AC167" i="1"/>
  <c r="AA167" i="1"/>
  <c r="W167" i="1"/>
  <c r="X167" i="1" s="1"/>
  <c r="U167" i="1"/>
  <c r="R167" i="1"/>
  <c r="N167" i="1"/>
  <c r="O167" i="1" s="1"/>
  <c r="L167" i="1"/>
  <c r="I167" i="1"/>
  <c r="H167" i="1"/>
  <c r="F167" i="1"/>
  <c r="C167" i="1"/>
  <c r="Z166" i="1"/>
  <c r="AC166" i="1" s="1"/>
  <c r="AD166" i="1" s="1"/>
  <c r="X166" i="1"/>
  <c r="T166" i="1"/>
  <c r="U166" i="1" s="1"/>
  <c r="R166" i="1"/>
  <c r="Q166" i="1"/>
  <c r="W166" i="1" s="1"/>
  <c r="N166" i="1"/>
  <c r="O166" i="1" s="1"/>
  <c r="L166" i="1"/>
  <c r="K166" i="1"/>
  <c r="F166" i="1"/>
  <c r="E166" i="1"/>
  <c r="C166" i="1"/>
  <c r="B166" i="1"/>
  <c r="H166" i="1" s="1"/>
  <c r="I166" i="1" s="1"/>
  <c r="AD165" i="1"/>
  <c r="AC165" i="1"/>
  <c r="AA165" i="1"/>
  <c r="W165" i="1"/>
  <c r="X165" i="1" s="1"/>
  <c r="U165" i="1"/>
  <c r="R165" i="1"/>
  <c r="O165" i="1"/>
  <c r="N165" i="1"/>
  <c r="L165" i="1"/>
  <c r="H165" i="1"/>
  <c r="I165" i="1" s="1"/>
  <c r="F165" i="1"/>
  <c r="C165" i="1"/>
  <c r="AD164" i="1"/>
  <c r="AC164" i="1"/>
  <c r="AA164" i="1"/>
  <c r="W164" i="1"/>
  <c r="X164" i="1" s="1"/>
  <c r="U164" i="1"/>
  <c r="R164" i="1"/>
  <c r="N164" i="1"/>
  <c r="O164" i="1" s="1"/>
  <c r="L164" i="1"/>
  <c r="I164" i="1"/>
  <c r="H164" i="1"/>
  <c r="F164" i="1"/>
  <c r="C164" i="1"/>
  <c r="AC163" i="1"/>
  <c r="AD163" i="1" s="1"/>
  <c r="AA163" i="1"/>
  <c r="X163" i="1"/>
  <c r="W163" i="1"/>
  <c r="U163" i="1"/>
  <c r="R163" i="1"/>
  <c r="N163" i="1"/>
  <c r="O163" i="1" s="1"/>
  <c r="L163" i="1"/>
  <c r="H163" i="1"/>
  <c r="I163" i="1" s="1"/>
  <c r="F163" i="1"/>
  <c r="C163" i="1"/>
  <c r="AC162" i="1"/>
  <c r="AD162" i="1" s="1"/>
  <c r="AA162" i="1"/>
  <c r="W162" i="1"/>
  <c r="X162" i="1" s="1"/>
  <c r="U162" i="1"/>
  <c r="R162" i="1"/>
  <c r="N162" i="1"/>
  <c r="O162" i="1" s="1"/>
  <c r="L162" i="1"/>
  <c r="I162" i="1"/>
  <c r="H162" i="1"/>
  <c r="F162" i="1"/>
  <c r="C162" i="1"/>
  <c r="AD161" i="1"/>
  <c r="AC161" i="1"/>
  <c r="AA161" i="1"/>
  <c r="W161" i="1"/>
  <c r="X161" i="1" s="1"/>
  <c r="U161" i="1"/>
  <c r="R161" i="1"/>
  <c r="N161" i="1"/>
  <c r="O161" i="1" s="1"/>
  <c r="L161" i="1"/>
  <c r="H161" i="1"/>
  <c r="I161" i="1" s="1"/>
  <c r="F161" i="1"/>
  <c r="C161" i="1"/>
  <c r="AD160" i="1"/>
  <c r="AC160" i="1"/>
  <c r="AA160" i="1"/>
  <c r="W160" i="1"/>
  <c r="X160" i="1" s="1"/>
  <c r="U160" i="1"/>
  <c r="R160" i="1"/>
  <c r="O160" i="1"/>
  <c r="N160" i="1"/>
  <c r="L160" i="1"/>
  <c r="I160" i="1"/>
  <c r="H160" i="1"/>
  <c r="F160" i="1"/>
  <c r="C160" i="1"/>
  <c r="Z158" i="1"/>
  <c r="AA158" i="1" s="1"/>
  <c r="T158" i="1"/>
  <c r="U158" i="1" s="1"/>
  <c r="Q158" i="1"/>
  <c r="W158" i="1" s="1"/>
  <c r="X158" i="1" s="1"/>
  <c r="L158" i="1"/>
  <c r="K158" i="1"/>
  <c r="E158" i="1"/>
  <c r="F158" i="1" s="1"/>
  <c r="B158" i="1"/>
  <c r="H158" i="1" s="1"/>
  <c r="I158" i="1" s="1"/>
  <c r="AD157" i="1"/>
  <c r="AC157" i="1"/>
  <c r="AA157" i="1"/>
  <c r="W157" i="1"/>
  <c r="X157" i="1" s="1"/>
  <c r="U157" i="1"/>
  <c r="R157" i="1"/>
  <c r="N157" i="1"/>
  <c r="O157" i="1" s="1"/>
  <c r="L157" i="1"/>
  <c r="H157" i="1"/>
  <c r="I157" i="1" s="1"/>
  <c r="F157" i="1"/>
  <c r="C157" i="1"/>
  <c r="AC156" i="1"/>
  <c r="AD156" i="1" s="1"/>
  <c r="AA156" i="1"/>
  <c r="W156" i="1"/>
  <c r="X156" i="1" s="1"/>
  <c r="U156" i="1"/>
  <c r="R156" i="1"/>
  <c r="N156" i="1"/>
  <c r="O156" i="1" s="1"/>
  <c r="L156" i="1"/>
  <c r="I156" i="1"/>
  <c r="H156" i="1"/>
  <c r="F156" i="1"/>
  <c r="C156" i="1"/>
  <c r="AD155" i="1"/>
  <c r="AC155" i="1"/>
  <c r="AA155" i="1"/>
  <c r="W155" i="1"/>
  <c r="X155" i="1" s="1"/>
  <c r="U155" i="1"/>
  <c r="R155" i="1"/>
  <c r="N155" i="1"/>
  <c r="O155" i="1" s="1"/>
  <c r="L155" i="1"/>
  <c r="H155" i="1"/>
  <c r="I155" i="1" s="1"/>
  <c r="F155" i="1"/>
  <c r="C155" i="1"/>
  <c r="AC154" i="1"/>
  <c r="AD154" i="1" s="1"/>
  <c r="AA154" i="1"/>
  <c r="X154" i="1"/>
  <c r="W154" i="1"/>
  <c r="U154" i="1"/>
  <c r="R154" i="1"/>
  <c r="N154" i="1"/>
  <c r="O154" i="1" s="1"/>
  <c r="L154" i="1"/>
  <c r="H154" i="1"/>
  <c r="I154" i="1" s="1"/>
  <c r="F154" i="1"/>
  <c r="C154" i="1"/>
  <c r="AD153" i="1"/>
  <c r="AC153" i="1"/>
  <c r="AA153" i="1"/>
  <c r="W153" i="1"/>
  <c r="X153" i="1" s="1"/>
  <c r="U153" i="1"/>
  <c r="R153" i="1"/>
  <c r="O153" i="1"/>
  <c r="N153" i="1"/>
  <c r="L153" i="1"/>
  <c r="H153" i="1"/>
  <c r="I153" i="1" s="1"/>
  <c r="F153" i="1"/>
  <c r="C153" i="1"/>
  <c r="AC151" i="1"/>
  <c r="AD151" i="1" s="1"/>
  <c r="AA151" i="1"/>
  <c r="W151" i="1"/>
  <c r="X151" i="1" s="1"/>
  <c r="U151" i="1"/>
  <c r="R151" i="1"/>
  <c r="N151" i="1"/>
  <c r="O151" i="1" s="1"/>
  <c r="L151" i="1"/>
  <c r="I151" i="1"/>
  <c r="H151" i="1"/>
  <c r="F151" i="1"/>
  <c r="C151" i="1"/>
  <c r="Z149" i="1"/>
  <c r="AA149" i="1" s="1"/>
  <c r="X149" i="1"/>
  <c r="T149" i="1"/>
  <c r="U149" i="1" s="1"/>
  <c r="R149" i="1"/>
  <c r="Q149" i="1"/>
  <c r="W149" i="1" s="1"/>
  <c r="O149" i="1"/>
  <c r="N149" i="1"/>
  <c r="L149" i="1"/>
  <c r="K149" i="1"/>
  <c r="E149" i="1"/>
  <c r="F149" i="1" s="1"/>
  <c r="C149" i="1"/>
  <c r="B149" i="1"/>
  <c r="AD148" i="1"/>
  <c r="Z148" i="1"/>
  <c r="AA148" i="1" s="1"/>
  <c r="T148" i="1"/>
  <c r="W148" i="1" s="1"/>
  <c r="X148" i="1" s="1"/>
  <c r="R148" i="1"/>
  <c r="Q148" i="1"/>
  <c r="AC148" i="1" s="1"/>
  <c r="L148" i="1"/>
  <c r="K148" i="1"/>
  <c r="H148" i="1"/>
  <c r="I148" i="1" s="1"/>
  <c r="F148" i="1"/>
  <c r="E148" i="1"/>
  <c r="B148" i="1"/>
  <c r="C148" i="1" s="1"/>
  <c r="AC147" i="1"/>
  <c r="AD147" i="1" s="1"/>
  <c r="AA147" i="1"/>
  <c r="W147" i="1"/>
  <c r="X147" i="1" s="1"/>
  <c r="U147" i="1"/>
  <c r="R147" i="1"/>
  <c r="N147" i="1"/>
  <c r="O147" i="1" s="1"/>
  <c r="L147" i="1"/>
  <c r="I147" i="1"/>
  <c r="H147" i="1"/>
  <c r="F147" i="1"/>
  <c r="C147" i="1"/>
  <c r="AC146" i="1"/>
  <c r="AD146" i="1" s="1"/>
  <c r="AA146" i="1"/>
  <c r="X146" i="1"/>
  <c r="W146" i="1"/>
  <c r="U146" i="1"/>
  <c r="R146" i="1"/>
  <c r="N146" i="1"/>
  <c r="O146" i="1" s="1"/>
  <c r="L146" i="1"/>
  <c r="H146" i="1"/>
  <c r="I146" i="1" s="1"/>
  <c r="F146" i="1"/>
  <c r="C146" i="1"/>
  <c r="AD145" i="1"/>
  <c r="AC145" i="1"/>
  <c r="AA145" i="1"/>
  <c r="W145" i="1"/>
  <c r="X145" i="1" s="1"/>
  <c r="U145" i="1"/>
  <c r="R145" i="1"/>
  <c r="O145" i="1"/>
  <c r="N145" i="1"/>
  <c r="L145" i="1"/>
  <c r="H145" i="1"/>
  <c r="I145" i="1" s="1"/>
  <c r="F145" i="1"/>
  <c r="C145" i="1"/>
  <c r="AC144" i="1"/>
  <c r="AD144" i="1" s="1"/>
  <c r="AA144" i="1"/>
  <c r="W144" i="1"/>
  <c r="X144" i="1" s="1"/>
  <c r="U144" i="1"/>
  <c r="R144" i="1"/>
  <c r="N144" i="1"/>
  <c r="O144" i="1" s="1"/>
  <c r="L144" i="1"/>
  <c r="I144" i="1"/>
  <c r="H144" i="1"/>
  <c r="F144" i="1"/>
  <c r="C144" i="1"/>
  <c r="AC143" i="1"/>
  <c r="AD143" i="1" s="1"/>
  <c r="AA143" i="1"/>
  <c r="W143" i="1"/>
  <c r="X143" i="1" s="1"/>
  <c r="U143" i="1"/>
  <c r="R143" i="1"/>
  <c r="N143" i="1"/>
  <c r="O143" i="1" s="1"/>
  <c r="L143" i="1"/>
  <c r="H143" i="1"/>
  <c r="I143" i="1" s="1"/>
  <c r="F143" i="1"/>
  <c r="C143" i="1"/>
  <c r="AA141" i="1"/>
  <c r="Z141" i="1"/>
  <c r="X141" i="1"/>
  <c r="W141" i="1"/>
  <c r="U141" i="1"/>
  <c r="T141" i="1"/>
  <c r="Q141" i="1"/>
  <c r="R141" i="1" s="1"/>
  <c r="K141" i="1"/>
  <c r="L141" i="1" s="1"/>
  <c r="E141" i="1"/>
  <c r="F141" i="1" s="1"/>
  <c r="B141" i="1"/>
  <c r="H141" i="1" s="1"/>
  <c r="I141" i="1" s="1"/>
  <c r="AD140" i="1"/>
  <c r="AC140" i="1"/>
  <c r="AA140" i="1"/>
  <c r="W140" i="1"/>
  <c r="X140" i="1" s="1"/>
  <c r="U140" i="1"/>
  <c r="R140" i="1"/>
  <c r="N140" i="1"/>
  <c r="O140" i="1" s="1"/>
  <c r="L140" i="1"/>
  <c r="I140" i="1"/>
  <c r="H140" i="1"/>
  <c r="F140" i="1"/>
  <c r="C140" i="1"/>
  <c r="AC139" i="1"/>
  <c r="AD139" i="1" s="1"/>
  <c r="AA139" i="1"/>
  <c r="X139" i="1"/>
  <c r="W139" i="1"/>
  <c r="U139" i="1"/>
  <c r="R139" i="1"/>
  <c r="N139" i="1"/>
  <c r="O139" i="1" s="1"/>
  <c r="L139" i="1"/>
  <c r="H139" i="1"/>
  <c r="I139" i="1" s="1"/>
  <c r="F139" i="1"/>
  <c r="C139" i="1"/>
  <c r="AC138" i="1"/>
  <c r="AD138" i="1" s="1"/>
  <c r="AA138" i="1"/>
  <c r="W138" i="1"/>
  <c r="X138" i="1" s="1"/>
  <c r="U138" i="1"/>
  <c r="R138" i="1"/>
  <c r="N138" i="1"/>
  <c r="O138" i="1" s="1"/>
  <c r="L138" i="1"/>
  <c r="H138" i="1"/>
  <c r="I138" i="1" s="1"/>
  <c r="F138" i="1"/>
  <c r="C138" i="1"/>
  <c r="AD137" i="1"/>
  <c r="AC137" i="1"/>
  <c r="AA137" i="1"/>
  <c r="W137" i="1"/>
  <c r="X137" i="1" s="1"/>
  <c r="U137" i="1"/>
  <c r="R137" i="1"/>
  <c r="N137" i="1"/>
  <c r="O137" i="1" s="1"/>
  <c r="L137" i="1"/>
  <c r="H137" i="1"/>
  <c r="I137" i="1" s="1"/>
  <c r="F137" i="1"/>
  <c r="C137" i="1"/>
  <c r="AC136" i="1"/>
  <c r="AD136" i="1" s="1"/>
  <c r="AA136" i="1"/>
  <c r="W136" i="1"/>
  <c r="X136" i="1" s="1"/>
  <c r="U136" i="1"/>
  <c r="R136" i="1"/>
  <c r="O136" i="1"/>
  <c r="N136" i="1"/>
  <c r="L136" i="1"/>
  <c r="I136" i="1"/>
  <c r="H136" i="1"/>
  <c r="F136" i="1"/>
  <c r="C136" i="1"/>
  <c r="AC135" i="1"/>
  <c r="AD135" i="1" s="1"/>
  <c r="AA135" i="1"/>
  <c r="W135" i="1"/>
  <c r="X135" i="1" s="1"/>
  <c r="U135" i="1"/>
  <c r="R135" i="1"/>
  <c r="N135" i="1"/>
  <c r="O135" i="1" s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N134" i="1"/>
  <c r="O134" i="1" s="1"/>
  <c r="L134" i="1"/>
  <c r="H134" i="1"/>
  <c r="I134" i="1" s="1"/>
  <c r="F134" i="1"/>
  <c r="C134" i="1"/>
  <c r="AD133" i="1"/>
  <c r="AC133" i="1"/>
  <c r="AA133" i="1"/>
  <c r="W133" i="1"/>
  <c r="X133" i="1" s="1"/>
  <c r="U133" i="1"/>
  <c r="R133" i="1"/>
  <c r="N133" i="1"/>
  <c r="O133" i="1" s="1"/>
  <c r="L133" i="1"/>
  <c r="H133" i="1"/>
  <c r="I133" i="1" s="1"/>
  <c r="F133" i="1"/>
  <c r="C133" i="1"/>
  <c r="AC132" i="1"/>
  <c r="AD132" i="1" s="1"/>
  <c r="AA132" i="1"/>
  <c r="W132" i="1"/>
  <c r="X132" i="1" s="1"/>
  <c r="U132" i="1"/>
  <c r="R132" i="1"/>
  <c r="N132" i="1"/>
  <c r="O132" i="1" s="1"/>
  <c r="L132" i="1"/>
  <c r="I132" i="1"/>
  <c r="H132" i="1"/>
  <c r="F132" i="1"/>
  <c r="C132" i="1"/>
  <c r="AD131" i="1"/>
  <c r="AC131" i="1"/>
  <c r="AA131" i="1"/>
  <c r="W131" i="1"/>
  <c r="X131" i="1" s="1"/>
  <c r="U131" i="1"/>
  <c r="R131" i="1"/>
  <c r="N131" i="1"/>
  <c r="O131" i="1" s="1"/>
  <c r="L131" i="1"/>
  <c r="H131" i="1"/>
  <c r="I131" i="1" s="1"/>
  <c r="F131" i="1"/>
  <c r="C131" i="1"/>
  <c r="AC130" i="1"/>
  <c r="AD130" i="1" s="1"/>
  <c r="AA130" i="1"/>
  <c r="X130" i="1"/>
  <c r="W130" i="1"/>
  <c r="U130" i="1"/>
  <c r="R130" i="1"/>
  <c r="N130" i="1"/>
  <c r="O130" i="1" s="1"/>
  <c r="L130" i="1"/>
  <c r="H130" i="1"/>
  <c r="I130" i="1" s="1"/>
  <c r="F130" i="1"/>
  <c r="C130" i="1"/>
  <c r="AD129" i="1"/>
  <c r="AC129" i="1"/>
  <c r="AA129" i="1"/>
  <c r="W129" i="1"/>
  <c r="X129" i="1" s="1"/>
  <c r="U129" i="1"/>
  <c r="R129" i="1"/>
  <c r="O129" i="1"/>
  <c r="N129" i="1"/>
  <c r="L129" i="1"/>
  <c r="H129" i="1"/>
  <c r="I129" i="1" s="1"/>
  <c r="F129" i="1"/>
  <c r="C129" i="1"/>
  <c r="AC127" i="1"/>
  <c r="AD127" i="1" s="1"/>
  <c r="AA127" i="1"/>
  <c r="W127" i="1"/>
  <c r="X127" i="1" s="1"/>
  <c r="U127" i="1"/>
  <c r="R127" i="1"/>
  <c r="N127" i="1"/>
  <c r="O127" i="1" s="1"/>
  <c r="L127" i="1"/>
  <c r="I127" i="1"/>
  <c r="H127" i="1"/>
  <c r="F127" i="1"/>
  <c r="C127" i="1"/>
  <c r="Z124" i="1"/>
  <c r="Z172" i="1" s="1"/>
  <c r="AA172" i="1" s="1"/>
  <c r="X124" i="1"/>
  <c r="T124" i="1"/>
  <c r="U124" i="1" s="1"/>
  <c r="R124" i="1"/>
  <c r="Q124" i="1"/>
  <c r="W124" i="1" s="1"/>
  <c r="O124" i="1"/>
  <c r="N124" i="1"/>
  <c r="L124" i="1"/>
  <c r="K124" i="1"/>
  <c r="K172" i="1" s="1"/>
  <c r="E124" i="1"/>
  <c r="F124" i="1" s="1"/>
  <c r="C124" i="1"/>
  <c r="B124" i="1"/>
  <c r="AD123" i="1"/>
  <c r="AC123" i="1"/>
  <c r="AA123" i="1"/>
  <c r="W123" i="1"/>
  <c r="X123" i="1" s="1"/>
  <c r="U123" i="1"/>
  <c r="R123" i="1"/>
  <c r="O123" i="1"/>
  <c r="N123" i="1"/>
  <c r="L123" i="1"/>
  <c r="H123" i="1"/>
  <c r="I123" i="1" s="1"/>
  <c r="F123" i="1"/>
  <c r="C123" i="1"/>
  <c r="AC122" i="1"/>
  <c r="AD122" i="1" s="1"/>
  <c r="AA122" i="1"/>
  <c r="Z122" i="1"/>
  <c r="U122" i="1"/>
  <c r="T122" i="1"/>
  <c r="Q122" i="1"/>
  <c r="W122" i="1" s="1"/>
  <c r="X122" i="1" s="1"/>
  <c r="O122" i="1"/>
  <c r="K122" i="1"/>
  <c r="L122" i="1" s="1"/>
  <c r="F122" i="1"/>
  <c r="E122" i="1"/>
  <c r="H122" i="1" s="1"/>
  <c r="I122" i="1" s="1"/>
  <c r="C122" i="1"/>
  <c r="B122" i="1"/>
  <c r="N122" i="1" s="1"/>
  <c r="AC121" i="1"/>
  <c r="AD121" i="1" s="1"/>
  <c r="AA121" i="1"/>
  <c r="X121" i="1"/>
  <c r="W121" i="1"/>
  <c r="U121" i="1"/>
  <c r="R121" i="1"/>
  <c r="O121" i="1"/>
  <c r="N121" i="1"/>
  <c r="L121" i="1"/>
  <c r="I121" i="1"/>
  <c r="H121" i="1"/>
  <c r="F121" i="1"/>
  <c r="C121" i="1"/>
  <c r="AD120" i="1"/>
  <c r="AC120" i="1"/>
  <c r="AA120" i="1"/>
  <c r="W120" i="1"/>
  <c r="X120" i="1" s="1"/>
  <c r="U120" i="1"/>
  <c r="R120" i="1"/>
  <c r="N120" i="1"/>
  <c r="O120" i="1" s="1"/>
  <c r="L120" i="1"/>
  <c r="H120" i="1"/>
  <c r="I120" i="1" s="1"/>
  <c r="F120" i="1"/>
  <c r="C120" i="1"/>
  <c r="AD119" i="1"/>
  <c r="AC119" i="1"/>
  <c r="AA119" i="1"/>
  <c r="X119" i="1"/>
  <c r="W119" i="1"/>
  <c r="U119" i="1"/>
  <c r="R119" i="1"/>
  <c r="N119" i="1"/>
  <c r="O119" i="1" s="1"/>
  <c r="L119" i="1"/>
  <c r="I119" i="1"/>
  <c r="H119" i="1"/>
  <c r="F119" i="1"/>
  <c r="C119" i="1"/>
  <c r="AC118" i="1"/>
  <c r="AD118" i="1" s="1"/>
  <c r="AA118" i="1"/>
  <c r="Z118" i="1"/>
  <c r="T118" i="1"/>
  <c r="U118" i="1" s="1"/>
  <c r="Q118" i="1"/>
  <c r="W118" i="1" s="1"/>
  <c r="X118" i="1" s="1"/>
  <c r="N118" i="1"/>
  <c r="O118" i="1" s="1"/>
  <c r="L118" i="1"/>
  <c r="K118" i="1"/>
  <c r="E118" i="1"/>
  <c r="F118" i="1" s="1"/>
  <c r="B118" i="1"/>
  <c r="H118" i="1" s="1"/>
  <c r="I118" i="1" s="1"/>
  <c r="AD117" i="1"/>
  <c r="AC117" i="1"/>
  <c r="AA117" i="1"/>
  <c r="W117" i="1"/>
  <c r="X117" i="1" s="1"/>
  <c r="U117" i="1"/>
  <c r="R117" i="1"/>
  <c r="N117" i="1"/>
  <c r="O117" i="1" s="1"/>
  <c r="L117" i="1"/>
  <c r="H117" i="1"/>
  <c r="I117" i="1" s="1"/>
  <c r="F117" i="1"/>
  <c r="C117" i="1"/>
  <c r="AC116" i="1"/>
  <c r="AD116" i="1" s="1"/>
  <c r="AA116" i="1"/>
  <c r="X116" i="1"/>
  <c r="W116" i="1"/>
  <c r="U116" i="1"/>
  <c r="R116" i="1"/>
  <c r="O116" i="1"/>
  <c r="N116" i="1"/>
  <c r="L116" i="1"/>
  <c r="I116" i="1"/>
  <c r="H116" i="1"/>
  <c r="F116" i="1"/>
  <c r="C116" i="1"/>
  <c r="AD115" i="1"/>
  <c r="AC115" i="1"/>
  <c r="AA115" i="1"/>
  <c r="X115" i="1"/>
  <c r="W115" i="1"/>
  <c r="U115" i="1"/>
  <c r="R115" i="1"/>
  <c r="N115" i="1"/>
  <c r="O115" i="1" s="1"/>
  <c r="L115" i="1"/>
  <c r="I115" i="1"/>
  <c r="H115" i="1"/>
  <c r="F115" i="1"/>
  <c r="C115" i="1"/>
  <c r="AC114" i="1"/>
  <c r="AD114" i="1" s="1"/>
  <c r="AA114" i="1"/>
  <c r="W114" i="1"/>
  <c r="X114" i="1" s="1"/>
  <c r="U114" i="1"/>
  <c r="R114" i="1"/>
  <c r="O114" i="1"/>
  <c r="N114" i="1"/>
  <c r="L114" i="1"/>
  <c r="H114" i="1"/>
  <c r="I114" i="1" s="1"/>
  <c r="F114" i="1"/>
  <c r="C114" i="1"/>
  <c r="AD113" i="1"/>
  <c r="AC113" i="1"/>
  <c r="AA113" i="1"/>
  <c r="W113" i="1"/>
  <c r="X113" i="1" s="1"/>
  <c r="U113" i="1"/>
  <c r="R113" i="1"/>
  <c r="O113" i="1"/>
  <c r="N113" i="1"/>
  <c r="L113" i="1"/>
  <c r="H113" i="1"/>
  <c r="I113" i="1" s="1"/>
  <c r="F113" i="1"/>
  <c r="C113" i="1"/>
  <c r="AC112" i="1"/>
  <c r="AD112" i="1" s="1"/>
  <c r="AA112" i="1"/>
  <c r="X112" i="1"/>
  <c r="W112" i="1"/>
  <c r="U112" i="1"/>
  <c r="R112" i="1"/>
  <c r="N112" i="1"/>
  <c r="O112" i="1" s="1"/>
  <c r="L112" i="1"/>
  <c r="I112" i="1"/>
  <c r="H112" i="1"/>
  <c r="F112" i="1"/>
  <c r="C112" i="1"/>
  <c r="AC111" i="1"/>
  <c r="AD111" i="1" s="1"/>
  <c r="AA111" i="1"/>
  <c r="W111" i="1"/>
  <c r="X111" i="1" s="1"/>
  <c r="U111" i="1"/>
  <c r="R111" i="1"/>
  <c r="N111" i="1"/>
  <c r="O111" i="1" s="1"/>
  <c r="L111" i="1"/>
  <c r="H111" i="1"/>
  <c r="I111" i="1" s="1"/>
  <c r="F111" i="1"/>
  <c r="C111" i="1"/>
  <c r="AC110" i="1"/>
  <c r="AD110" i="1" s="1"/>
  <c r="AA110" i="1"/>
  <c r="X110" i="1"/>
  <c r="W110" i="1"/>
  <c r="U110" i="1"/>
  <c r="R110" i="1"/>
  <c r="O110" i="1"/>
  <c r="N110" i="1"/>
  <c r="L110" i="1"/>
  <c r="H110" i="1"/>
  <c r="I110" i="1" s="1"/>
  <c r="F110" i="1"/>
  <c r="C110" i="1"/>
  <c r="AD109" i="1"/>
  <c r="AC109" i="1"/>
  <c r="AA109" i="1"/>
  <c r="W109" i="1"/>
  <c r="X109" i="1" s="1"/>
  <c r="U109" i="1"/>
  <c r="R109" i="1"/>
  <c r="N109" i="1"/>
  <c r="O109" i="1" s="1"/>
  <c r="L109" i="1"/>
  <c r="H109" i="1"/>
  <c r="I109" i="1" s="1"/>
  <c r="F109" i="1"/>
  <c r="C109" i="1"/>
  <c r="AC108" i="1"/>
  <c r="AD108" i="1" s="1"/>
  <c r="AA108" i="1"/>
  <c r="X108" i="1"/>
  <c r="W108" i="1"/>
  <c r="U108" i="1"/>
  <c r="R108" i="1"/>
  <c r="O108" i="1"/>
  <c r="N108" i="1"/>
  <c r="L108" i="1"/>
  <c r="I108" i="1"/>
  <c r="H108" i="1"/>
  <c r="F108" i="1"/>
  <c r="C108" i="1"/>
  <c r="AD107" i="1"/>
  <c r="AC107" i="1"/>
  <c r="AA107" i="1"/>
  <c r="X107" i="1"/>
  <c r="W107" i="1"/>
  <c r="U107" i="1"/>
  <c r="R107" i="1"/>
  <c r="N107" i="1"/>
  <c r="O107" i="1" s="1"/>
  <c r="L107" i="1"/>
  <c r="I107" i="1"/>
  <c r="H107" i="1"/>
  <c r="F107" i="1"/>
  <c r="C107" i="1"/>
  <c r="AC106" i="1"/>
  <c r="AD106" i="1" s="1"/>
  <c r="AA106" i="1"/>
  <c r="W106" i="1"/>
  <c r="X106" i="1" s="1"/>
  <c r="U106" i="1"/>
  <c r="R106" i="1"/>
  <c r="O106" i="1"/>
  <c r="N106" i="1"/>
  <c r="L106" i="1"/>
  <c r="H106" i="1"/>
  <c r="I106" i="1" s="1"/>
  <c r="F106" i="1"/>
  <c r="C106" i="1"/>
  <c r="AD105" i="1"/>
  <c r="AC105" i="1"/>
  <c r="AA105" i="1"/>
  <c r="W105" i="1"/>
  <c r="X105" i="1" s="1"/>
  <c r="U105" i="1"/>
  <c r="R105" i="1"/>
  <c r="O105" i="1"/>
  <c r="N105" i="1"/>
  <c r="L105" i="1"/>
  <c r="H105" i="1"/>
  <c r="I105" i="1" s="1"/>
  <c r="F105" i="1"/>
  <c r="C105" i="1"/>
  <c r="AC104" i="1"/>
  <c r="AD104" i="1" s="1"/>
  <c r="AA104" i="1"/>
  <c r="X104" i="1"/>
  <c r="W104" i="1"/>
  <c r="U104" i="1"/>
  <c r="R104" i="1"/>
  <c r="N104" i="1"/>
  <c r="O104" i="1" s="1"/>
  <c r="L104" i="1"/>
  <c r="I104" i="1"/>
  <c r="H104" i="1"/>
  <c r="F104" i="1"/>
  <c r="C104" i="1"/>
  <c r="AC103" i="1"/>
  <c r="AD103" i="1" s="1"/>
  <c r="AA103" i="1"/>
  <c r="W103" i="1"/>
  <c r="X103" i="1" s="1"/>
  <c r="U103" i="1"/>
  <c r="R103" i="1"/>
  <c r="N103" i="1"/>
  <c r="O103" i="1" s="1"/>
  <c r="L103" i="1"/>
  <c r="H103" i="1"/>
  <c r="I103" i="1" s="1"/>
  <c r="F103" i="1"/>
  <c r="C103" i="1"/>
  <c r="AC102" i="1"/>
  <c r="AD102" i="1" s="1"/>
  <c r="AA102" i="1"/>
  <c r="X102" i="1"/>
  <c r="W102" i="1"/>
  <c r="U102" i="1"/>
  <c r="R102" i="1"/>
  <c r="O102" i="1"/>
  <c r="N102" i="1"/>
  <c r="L102" i="1"/>
  <c r="H102" i="1"/>
  <c r="I102" i="1" s="1"/>
  <c r="F102" i="1"/>
  <c r="C102" i="1"/>
  <c r="AD101" i="1"/>
  <c r="AC101" i="1"/>
  <c r="AA101" i="1"/>
  <c r="W101" i="1"/>
  <c r="X101" i="1" s="1"/>
  <c r="U101" i="1"/>
  <c r="R101" i="1"/>
  <c r="N101" i="1"/>
  <c r="O101" i="1" s="1"/>
  <c r="L101" i="1"/>
  <c r="H101" i="1"/>
  <c r="I101" i="1" s="1"/>
  <c r="F101" i="1"/>
  <c r="C101" i="1"/>
  <c r="AC100" i="1"/>
  <c r="AD100" i="1" s="1"/>
  <c r="AA100" i="1"/>
  <c r="X100" i="1"/>
  <c r="W100" i="1"/>
  <c r="U100" i="1"/>
  <c r="R100" i="1"/>
  <c r="O100" i="1"/>
  <c r="N100" i="1"/>
  <c r="L100" i="1"/>
  <c r="I100" i="1"/>
  <c r="H100" i="1"/>
  <c r="F100" i="1"/>
  <c r="C100" i="1"/>
  <c r="AD99" i="1"/>
  <c r="AC99" i="1"/>
  <c r="AA99" i="1"/>
  <c r="X99" i="1"/>
  <c r="W99" i="1"/>
  <c r="U99" i="1"/>
  <c r="R99" i="1"/>
  <c r="N99" i="1"/>
  <c r="O99" i="1" s="1"/>
  <c r="L99" i="1"/>
  <c r="I99" i="1"/>
  <c r="H99" i="1"/>
  <c r="F99" i="1"/>
  <c r="C99" i="1"/>
  <c r="AC98" i="1"/>
  <c r="AD98" i="1" s="1"/>
  <c r="AA98" i="1"/>
  <c r="W98" i="1"/>
  <c r="X98" i="1" s="1"/>
  <c r="U98" i="1"/>
  <c r="R98" i="1"/>
  <c r="O98" i="1"/>
  <c r="N98" i="1"/>
  <c r="L98" i="1"/>
  <c r="H98" i="1"/>
  <c r="I98" i="1" s="1"/>
  <c r="F98" i="1"/>
  <c r="C98" i="1"/>
  <c r="AD97" i="1"/>
  <c r="AC97" i="1"/>
  <c r="AA97" i="1"/>
  <c r="W97" i="1"/>
  <c r="X97" i="1" s="1"/>
  <c r="U97" i="1"/>
  <c r="R97" i="1"/>
  <c r="O97" i="1"/>
  <c r="N97" i="1"/>
  <c r="L97" i="1"/>
  <c r="H97" i="1"/>
  <c r="I97" i="1" s="1"/>
  <c r="F97" i="1"/>
  <c r="C97" i="1"/>
  <c r="AC96" i="1"/>
  <c r="AD96" i="1" s="1"/>
  <c r="AA96" i="1"/>
  <c r="X96" i="1"/>
  <c r="W96" i="1"/>
  <c r="U96" i="1"/>
  <c r="R96" i="1"/>
  <c r="N96" i="1"/>
  <c r="O96" i="1" s="1"/>
  <c r="L96" i="1"/>
  <c r="I96" i="1"/>
  <c r="H96" i="1"/>
  <c r="F96" i="1"/>
  <c r="C96" i="1"/>
  <c r="AC95" i="1"/>
  <c r="AD95" i="1" s="1"/>
  <c r="AA95" i="1"/>
  <c r="W95" i="1"/>
  <c r="X95" i="1" s="1"/>
  <c r="U95" i="1"/>
  <c r="R95" i="1"/>
  <c r="N95" i="1"/>
  <c r="O95" i="1" s="1"/>
  <c r="L95" i="1"/>
  <c r="H95" i="1"/>
  <c r="I95" i="1" s="1"/>
  <c r="F95" i="1"/>
  <c r="C95" i="1"/>
  <c r="AC94" i="1"/>
  <c r="AD94" i="1" s="1"/>
  <c r="AA94" i="1"/>
  <c r="X94" i="1"/>
  <c r="W94" i="1"/>
  <c r="U94" i="1"/>
  <c r="R94" i="1"/>
  <c r="O94" i="1"/>
  <c r="N94" i="1"/>
  <c r="L94" i="1"/>
  <c r="H94" i="1"/>
  <c r="I94" i="1" s="1"/>
  <c r="F94" i="1"/>
  <c r="C94" i="1"/>
  <c r="AD92" i="1"/>
  <c r="AC92" i="1"/>
  <c r="AA92" i="1"/>
  <c r="W92" i="1"/>
  <c r="X92" i="1" s="1"/>
  <c r="U92" i="1"/>
  <c r="R92" i="1"/>
  <c r="N92" i="1"/>
  <c r="O92" i="1" s="1"/>
  <c r="L92" i="1"/>
  <c r="H92" i="1"/>
  <c r="I92" i="1" s="1"/>
  <c r="F92" i="1"/>
  <c r="C92" i="1"/>
  <c r="AC91" i="1"/>
  <c r="AD91" i="1" s="1"/>
  <c r="AA91" i="1"/>
  <c r="X91" i="1"/>
  <c r="W91" i="1"/>
  <c r="U91" i="1"/>
  <c r="R91" i="1"/>
  <c r="O91" i="1"/>
  <c r="N91" i="1"/>
  <c r="L91" i="1"/>
  <c r="I91" i="1"/>
  <c r="H91" i="1"/>
  <c r="F91" i="1"/>
  <c r="C91" i="1"/>
  <c r="AD90" i="1"/>
  <c r="AC90" i="1"/>
  <c r="AA90" i="1"/>
  <c r="X90" i="1"/>
  <c r="W90" i="1"/>
  <c r="U90" i="1"/>
  <c r="R90" i="1"/>
  <c r="N90" i="1"/>
  <c r="O90" i="1" s="1"/>
  <c r="L90" i="1"/>
  <c r="I90" i="1"/>
  <c r="H90" i="1"/>
  <c r="F90" i="1"/>
  <c r="C90" i="1"/>
  <c r="AC89" i="1"/>
  <c r="AD89" i="1" s="1"/>
  <c r="AA89" i="1"/>
  <c r="W89" i="1"/>
  <c r="X89" i="1" s="1"/>
  <c r="U89" i="1"/>
  <c r="R89" i="1"/>
  <c r="O89" i="1"/>
  <c r="N89" i="1"/>
  <c r="L89" i="1"/>
  <c r="H89" i="1"/>
  <c r="I89" i="1" s="1"/>
  <c r="F89" i="1"/>
  <c r="C89" i="1"/>
  <c r="Z88" i="1"/>
  <c r="AA88" i="1" s="1"/>
  <c r="T88" i="1"/>
  <c r="W88" i="1" s="1"/>
  <c r="X88" i="1" s="1"/>
  <c r="R88" i="1"/>
  <c r="Q88" i="1"/>
  <c r="AC88" i="1" s="1"/>
  <c r="AD88" i="1" s="1"/>
  <c r="K88" i="1"/>
  <c r="L88" i="1" s="1"/>
  <c r="H88" i="1"/>
  <c r="I88" i="1" s="1"/>
  <c r="F88" i="1"/>
  <c r="E88" i="1"/>
  <c r="B88" i="1"/>
  <c r="C88" i="1" s="1"/>
  <c r="AD87" i="1"/>
  <c r="AC87" i="1"/>
  <c r="AA87" i="1"/>
  <c r="W87" i="1"/>
  <c r="X87" i="1" s="1"/>
  <c r="U87" i="1"/>
  <c r="R87" i="1"/>
  <c r="N87" i="1"/>
  <c r="O87" i="1" s="1"/>
  <c r="L87" i="1"/>
  <c r="H87" i="1"/>
  <c r="I87" i="1" s="1"/>
  <c r="F87" i="1"/>
  <c r="C87" i="1"/>
  <c r="AC86" i="1"/>
  <c r="AD86" i="1" s="1"/>
  <c r="AA86" i="1"/>
  <c r="X86" i="1"/>
  <c r="W86" i="1"/>
  <c r="U86" i="1"/>
  <c r="R86" i="1"/>
  <c r="O86" i="1"/>
  <c r="N86" i="1"/>
  <c r="L86" i="1"/>
  <c r="H86" i="1"/>
  <c r="I86" i="1" s="1"/>
  <c r="F86" i="1"/>
  <c r="C86" i="1"/>
  <c r="AD85" i="1"/>
  <c r="AC85" i="1"/>
  <c r="AA85" i="1"/>
  <c r="W85" i="1"/>
  <c r="X85" i="1" s="1"/>
  <c r="U85" i="1"/>
  <c r="R85" i="1"/>
  <c r="O85" i="1"/>
  <c r="N85" i="1"/>
  <c r="L85" i="1"/>
  <c r="H85" i="1"/>
  <c r="I85" i="1" s="1"/>
  <c r="F85" i="1"/>
  <c r="C85" i="1"/>
  <c r="AC84" i="1"/>
  <c r="AD84" i="1" s="1"/>
  <c r="AA84" i="1"/>
  <c r="X84" i="1"/>
  <c r="W84" i="1"/>
  <c r="U84" i="1"/>
  <c r="R84" i="1"/>
  <c r="N84" i="1"/>
  <c r="O84" i="1" s="1"/>
  <c r="L84" i="1"/>
  <c r="I84" i="1"/>
  <c r="H84" i="1"/>
  <c r="F84" i="1"/>
  <c r="C84" i="1"/>
  <c r="AC83" i="1"/>
  <c r="AD83" i="1" s="1"/>
  <c r="AA83" i="1"/>
  <c r="X83" i="1"/>
  <c r="W83" i="1"/>
  <c r="U83" i="1"/>
  <c r="R83" i="1"/>
  <c r="N83" i="1"/>
  <c r="O83" i="1" s="1"/>
  <c r="L83" i="1"/>
  <c r="H83" i="1"/>
  <c r="I83" i="1" s="1"/>
  <c r="F83" i="1"/>
  <c r="C83" i="1"/>
  <c r="AC82" i="1"/>
  <c r="AD82" i="1" s="1"/>
  <c r="AA82" i="1"/>
  <c r="W82" i="1"/>
  <c r="X82" i="1" s="1"/>
  <c r="U82" i="1"/>
  <c r="R82" i="1"/>
  <c r="O82" i="1"/>
  <c r="N82" i="1"/>
  <c r="L82" i="1"/>
  <c r="I82" i="1"/>
  <c r="H82" i="1"/>
  <c r="F82" i="1"/>
  <c r="C82" i="1"/>
  <c r="AD81" i="1"/>
  <c r="AC81" i="1"/>
  <c r="AA81" i="1"/>
  <c r="W81" i="1"/>
  <c r="X81" i="1" s="1"/>
  <c r="U81" i="1"/>
  <c r="R81" i="1"/>
  <c r="N81" i="1"/>
  <c r="O81" i="1" s="1"/>
  <c r="L81" i="1"/>
  <c r="H81" i="1"/>
  <c r="I81" i="1" s="1"/>
  <c r="F81" i="1"/>
  <c r="C81" i="1"/>
  <c r="AD80" i="1"/>
  <c r="AC80" i="1"/>
  <c r="AA80" i="1"/>
  <c r="X80" i="1"/>
  <c r="W80" i="1"/>
  <c r="U80" i="1"/>
  <c r="R80" i="1"/>
  <c r="N80" i="1"/>
  <c r="O80" i="1" s="1"/>
  <c r="L80" i="1"/>
  <c r="I80" i="1"/>
  <c r="H80" i="1"/>
  <c r="F80" i="1"/>
  <c r="C80" i="1"/>
  <c r="AD79" i="1"/>
  <c r="AC79" i="1"/>
  <c r="AA79" i="1"/>
  <c r="W79" i="1"/>
  <c r="X79" i="1" s="1"/>
  <c r="U79" i="1"/>
  <c r="R79" i="1"/>
  <c r="N79" i="1"/>
  <c r="O79" i="1" s="1"/>
  <c r="L79" i="1"/>
  <c r="H79" i="1"/>
  <c r="I79" i="1" s="1"/>
  <c r="F79" i="1"/>
  <c r="C79" i="1"/>
  <c r="AC78" i="1"/>
  <c r="AD78" i="1" s="1"/>
  <c r="AA78" i="1"/>
  <c r="X78" i="1"/>
  <c r="W78" i="1"/>
  <c r="U78" i="1"/>
  <c r="R78" i="1"/>
  <c r="O78" i="1"/>
  <c r="N78" i="1"/>
  <c r="L78" i="1"/>
  <c r="H78" i="1"/>
  <c r="I78" i="1" s="1"/>
  <c r="F78" i="1"/>
  <c r="C78" i="1"/>
  <c r="AD77" i="1"/>
  <c r="AC77" i="1"/>
  <c r="AA77" i="1"/>
  <c r="W77" i="1"/>
  <c r="X77" i="1" s="1"/>
  <c r="U77" i="1"/>
  <c r="R77" i="1"/>
  <c r="O77" i="1"/>
  <c r="N77" i="1"/>
  <c r="L77" i="1"/>
  <c r="H77" i="1"/>
  <c r="I77" i="1" s="1"/>
  <c r="F77" i="1"/>
  <c r="C77" i="1"/>
  <c r="AC76" i="1"/>
  <c r="AD76" i="1" s="1"/>
  <c r="AA76" i="1"/>
  <c r="X76" i="1"/>
  <c r="W76" i="1"/>
  <c r="U76" i="1"/>
  <c r="R76" i="1"/>
  <c r="N76" i="1"/>
  <c r="O76" i="1" s="1"/>
  <c r="L76" i="1"/>
  <c r="I76" i="1"/>
  <c r="H76" i="1"/>
  <c r="F76" i="1"/>
  <c r="C76" i="1"/>
  <c r="AC75" i="1"/>
  <c r="AD75" i="1" s="1"/>
  <c r="AA75" i="1"/>
  <c r="X75" i="1"/>
  <c r="W75" i="1"/>
  <c r="U75" i="1"/>
  <c r="R75" i="1"/>
  <c r="N75" i="1"/>
  <c r="O75" i="1" s="1"/>
  <c r="L75" i="1"/>
  <c r="H75" i="1"/>
  <c r="I75" i="1" s="1"/>
  <c r="F75" i="1"/>
  <c r="C75" i="1"/>
  <c r="Z73" i="1"/>
  <c r="AA73" i="1" s="1"/>
  <c r="W73" i="1"/>
  <c r="X73" i="1" s="1"/>
  <c r="U73" i="1"/>
  <c r="T73" i="1"/>
  <c r="Q73" i="1"/>
  <c r="R73" i="1" s="1"/>
  <c r="L73" i="1"/>
  <c r="K73" i="1"/>
  <c r="E73" i="1"/>
  <c r="F73" i="1" s="1"/>
  <c r="B73" i="1"/>
  <c r="H73" i="1" s="1"/>
  <c r="I73" i="1" s="1"/>
  <c r="AD72" i="1"/>
  <c r="AC72" i="1"/>
  <c r="AA72" i="1"/>
  <c r="X72" i="1"/>
  <c r="W72" i="1"/>
  <c r="U72" i="1"/>
  <c r="R72" i="1"/>
  <c r="O72" i="1"/>
  <c r="N72" i="1"/>
  <c r="L72" i="1"/>
  <c r="I72" i="1"/>
  <c r="H72" i="1"/>
  <c r="F72" i="1"/>
  <c r="C72" i="1"/>
  <c r="AC71" i="1"/>
  <c r="AD71" i="1" s="1"/>
  <c r="AA71" i="1"/>
  <c r="W71" i="1"/>
  <c r="X71" i="1" s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W70" i="1"/>
  <c r="X70" i="1" s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W69" i="1"/>
  <c r="X69" i="1" s="1"/>
  <c r="U69" i="1"/>
  <c r="R69" i="1"/>
  <c r="O69" i="1"/>
  <c r="N69" i="1"/>
  <c r="L69" i="1"/>
  <c r="H69" i="1"/>
  <c r="I69" i="1" s="1"/>
  <c r="F69" i="1"/>
  <c r="C69" i="1"/>
  <c r="AC68" i="1"/>
  <c r="AD68" i="1" s="1"/>
  <c r="AA68" i="1"/>
  <c r="X68" i="1"/>
  <c r="W68" i="1"/>
  <c r="U68" i="1"/>
  <c r="R68" i="1"/>
  <c r="N68" i="1"/>
  <c r="O68" i="1" s="1"/>
  <c r="L68" i="1"/>
  <c r="I68" i="1"/>
  <c r="H68" i="1"/>
  <c r="F68" i="1"/>
  <c r="C68" i="1"/>
  <c r="AC67" i="1"/>
  <c r="AD67" i="1" s="1"/>
  <c r="AA67" i="1"/>
  <c r="X67" i="1"/>
  <c r="W67" i="1"/>
  <c r="U67" i="1"/>
  <c r="R67" i="1"/>
  <c r="N67" i="1"/>
  <c r="O67" i="1" s="1"/>
  <c r="L67" i="1"/>
  <c r="H67" i="1"/>
  <c r="I67" i="1" s="1"/>
  <c r="F67" i="1"/>
  <c r="C67" i="1"/>
  <c r="AC66" i="1"/>
  <c r="AD66" i="1" s="1"/>
  <c r="AA66" i="1"/>
  <c r="W66" i="1"/>
  <c r="X66" i="1" s="1"/>
  <c r="U66" i="1"/>
  <c r="R66" i="1"/>
  <c r="O66" i="1"/>
  <c r="N66" i="1"/>
  <c r="L66" i="1"/>
  <c r="H66" i="1"/>
  <c r="I66" i="1" s="1"/>
  <c r="F66" i="1"/>
  <c r="C66" i="1"/>
  <c r="AD65" i="1"/>
  <c r="AC65" i="1"/>
  <c r="AA65" i="1"/>
  <c r="X65" i="1"/>
  <c r="W65" i="1"/>
  <c r="U65" i="1"/>
  <c r="R65" i="1"/>
  <c r="N65" i="1"/>
  <c r="O65" i="1" s="1"/>
  <c r="L65" i="1"/>
  <c r="H65" i="1"/>
  <c r="I65" i="1" s="1"/>
  <c r="F65" i="1"/>
  <c r="C65" i="1"/>
  <c r="AC64" i="1"/>
  <c r="AD64" i="1" s="1"/>
  <c r="AA64" i="1"/>
  <c r="X64" i="1"/>
  <c r="W64" i="1"/>
  <c r="U64" i="1"/>
  <c r="R64" i="1"/>
  <c r="N64" i="1"/>
  <c r="O64" i="1" s="1"/>
  <c r="L64" i="1"/>
  <c r="H64" i="1"/>
  <c r="I64" i="1" s="1"/>
  <c r="F64" i="1"/>
  <c r="C64" i="1"/>
  <c r="Z62" i="1"/>
  <c r="AA62" i="1" s="1"/>
  <c r="W62" i="1"/>
  <c r="X62" i="1" s="1"/>
  <c r="T62" i="1"/>
  <c r="U62" i="1" s="1"/>
  <c r="Q62" i="1"/>
  <c r="R62" i="1" s="1"/>
  <c r="K62" i="1"/>
  <c r="N62" i="1" s="1"/>
  <c r="O62" i="1" s="1"/>
  <c r="H62" i="1"/>
  <c r="I62" i="1" s="1"/>
  <c r="F62" i="1"/>
  <c r="E62" i="1"/>
  <c r="C62" i="1"/>
  <c r="B62" i="1"/>
  <c r="Z61" i="1"/>
  <c r="AA61" i="1" s="1"/>
  <c r="T61" i="1"/>
  <c r="U61" i="1" s="1"/>
  <c r="Q61" i="1"/>
  <c r="R61" i="1" s="1"/>
  <c r="K61" i="1"/>
  <c r="N61" i="1" s="1"/>
  <c r="O61" i="1" s="1"/>
  <c r="F61" i="1"/>
  <c r="E61" i="1"/>
  <c r="B61" i="1"/>
  <c r="C61" i="1" s="1"/>
  <c r="AC60" i="1"/>
  <c r="AD60" i="1" s="1"/>
  <c r="AA60" i="1"/>
  <c r="X60" i="1"/>
  <c r="W60" i="1"/>
  <c r="U60" i="1"/>
  <c r="R60" i="1"/>
  <c r="N60" i="1"/>
  <c r="O60" i="1" s="1"/>
  <c r="L60" i="1"/>
  <c r="I60" i="1"/>
  <c r="H60" i="1"/>
  <c r="F60" i="1"/>
  <c r="C60" i="1"/>
  <c r="AC59" i="1"/>
  <c r="AD59" i="1" s="1"/>
  <c r="AA59" i="1"/>
  <c r="W59" i="1"/>
  <c r="X59" i="1" s="1"/>
  <c r="U59" i="1"/>
  <c r="R59" i="1"/>
  <c r="O59" i="1"/>
  <c r="N59" i="1"/>
  <c r="L59" i="1"/>
  <c r="H59" i="1"/>
  <c r="I59" i="1" s="1"/>
  <c r="F59" i="1"/>
  <c r="C59" i="1"/>
  <c r="AD58" i="1"/>
  <c r="AC58" i="1"/>
  <c r="AA58" i="1"/>
  <c r="W58" i="1"/>
  <c r="X58" i="1" s="1"/>
  <c r="U58" i="1"/>
  <c r="R58" i="1"/>
  <c r="O58" i="1"/>
  <c r="N58" i="1"/>
  <c r="L58" i="1"/>
  <c r="H58" i="1"/>
  <c r="I58" i="1" s="1"/>
  <c r="F58" i="1"/>
  <c r="C58" i="1"/>
  <c r="AC57" i="1"/>
  <c r="AD57" i="1" s="1"/>
  <c r="AA57" i="1"/>
  <c r="X57" i="1"/>
  <c r="W57" i="1"/>
  <c r="U57" i="1"/>
  <c r="R57" i="1"/>
  <c r="N57" i="1"/>
  <c r="O57" i="1" s="1"/>
  <c r="L57" i="1"/>
  <c r="I57" i="1"/>
  <c r="H57" i="1"/>
  <c r="F57" i="1"/>
  <c r="C57" i="1"/>
  <c r="AC56" i="1"/>
  <c r="AD56" i="1" s="1"/>
  <c r="AA56" i="1"/>
  <c r="W56" i="1"/>
  <c r="X56" i="1" s="1"/>
  <c r="U56" i="1"/>
  <c r="R56" i="1"/>
  <c r="O56" i="1"/>
  <c r="N56" i="1"/>
  <c r="L56" i="1"/>
  <c r="H56" i="1"/>
  <c r="I56" i="1" s="1"/>
  <c r="F56" i="1"/>
  <c r="C56" i="1"/>
  <c r="AC55" i="1"/>
  <c r="AD55" i="1" s="1"/>
  <c r="AA55" i="1"/>
  <c r="W55" i="1"/>
  <c r="X55" i="1" s="1"/>
  <c r="U55" i="1"/>
  <c r="R55" i="1"/>
  <c r="O55" i="1"/>
  <c r="N55" i="1"/>
  <c r="L55" i="1"/>
  <c r="I55" i="1"/>
  <c r="H55" i="1"/>
  <c r="F55" i="1"/>
  <c r="C55" i="1"/>
  <c r="AC54" i="1"/>
  <c r="AD54" i="1" s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C53" i="1"/>
  <c r="AD53" i="1" s="1"/>
  <c r="AA53" i="1"/>
  <c r="X53" i="1"/>
  <c r="W53" i="1"/>
  <c r="U53" i="1"/>
  <c r="R53" i="1"/>
  <c r="O53" i="1"/>
  <c r="N53" i="1"/>
  <c r="L53" i="1"/>
  <c r="H53" i="1"/>
  <c r="I53" i="1" s="1"/>
  <c r="F53" i="1"/>
  <c r="C53" i="1"/>
  <c r="AC52" i="1"/>
  <c r="AD52" i="1" s="1"/>
  <c r="AA52" i="1"/>
  <c r="W52" i="1"/>
  <c r="X52" i="1" s="1"/>
  <c r="U52" i="1"/>
  <c r="R52" i="1"/>
  <c r="O52" i="1"/>
  <c r="N52" i="1"/>
  <c r="L52" i="1"/>
  <c r="H52" i="1"/>
  <c r="I52" i="1" s="1"/>
  <c r="F52" i="1"/>
  <c r="C52" i="1"/>
  <c r="AD51" i="1"/>
  <c r="AC51" i="1"/>
  <c r="AA51" i="1"/>
  <c r="X51" i="1"/>
  <c r="W51" i="1"/>
  <c r="U51" i="1"/>
  <c r="R51" i="1"/>
  <c r="N51" i="1"/>
  <c r="O51" i="1" s="1"/>
  <c r="L51" i="1"/>
  <c r="H51" i="1"/>
  <c r="I51" i="1" s="1"/>
  <c r="F51" i="1"/>
  <c r="C51" i="1"/>
  <c r="AC50" i="1"/>
  <c r="AD50" i="1" s="1"/>
  <c r="AA50" i="1"/>
  <c r="X50" i="1"/>
  <c r="W50" i="1"/>
  <c r="U50" i="1"/>
  <c r="R50" i="1"/>
  <c r="N50" i="1"/>
  <c r="O50" i="1" s="1"/>
  <c r="L50" i="1"/>
  <c r="I50" i="1"/>
  <c r="H50" i="1"/>
  <c r="F50" i="1"/>
  <c r="C50" i="1"/>
  <c r="AC49" i="1"/>
  <c r="AD49" i="1" s="1"/>
  <c r="AA49" i="1"/>
  <c r="W49" i="1"/>
  <c r="X49" i="1" s="1"/>
  <c r="U49" i="1"/>
  <c r="R49" i="1"/>
  <c r="O49" i="1"/>
  <c r="N49" i="1"/>
  <c r="L49" i="1"/>
  <c r="H49" i="1"/>
  <c r="I49" i="1" s="1"/>
  <c r="F49" i="1"/>
  <c r="C49" i="1"/>
  <c r="AC48" i="1"/>
  <c r="AD48" i="1" s="1"/>
  <c r="AA48" i="1"/>
  <c r="W48" i="1"/>
  <c r="X48" i="1" s="1"/>
  <c r="U48" i="1"/>
  <c r="R48" i="1"/>
  <c r="O48" i="1"/>
  <c r="N48" i="1"/>
  <c r="L48" i="1"/>
  <c r="H48" i="1"/>
  <c r="I48" i="1" s="1"/>
  <c r="F48" i="1"/>
  <c r="C48" i="1"/>
  <c r="AD47" i="1"/>
  <c r="AC47" i="1"/>
  <c r="AA47" i="1"/>
  <c r="X47" i="1"/>
  <c r="W47" i="1"/>
  <c r="U47" i="1"/>
  <c r="R47" i="1"/>
  <c r="N47" i="1"/>
  <c r="O47" i="1" s="1"/>
  <c r="L47" i="1"/>
  <c r="H47" i="1"/>
  <c r="I47" i="1" s="1"/>
  <c r="F47" i="1"/>
  <c r="C47" i="1"/>
  <c r="AC46" i="1"/>
  <c r="AD46" i="1" s="1"/>
  <c r="AA46" i="1"/>
  <c r="X46" i="1"/>
  <c r="W46" i="1"/>
  <c r="U46" i="1"/>
  <c r="R46" i="1"/>
  <c r="N46" i="1"/>
  <c r="O46" i="1" s="1"/>
  <c r="L46" i="1"/>
  <c r="I46" i="1"/>
  <c r="H46" i="1"/>
  <c r="F46" i="1"/>
  <c r="C46" i="1"/>
  <c r="AC44" i="1"/>
  <c r="AD44" i="1" s="1"/>
  <c r="AA44" i="1"/>
  <c r="W44" i="1"/>
  <c r="X44" i="1" s="1"/>
  <c r="U44" i="1"/>
  <c r="R44" i="1"/>
  <c r="O44" i="1"/>
  <c r="N44" i="1"/>
  <c r="L44" i="1"/>
  <c r="H44" i="1"/>
  <c r="I44" i="1" s="1"/>
  <c r="F44" i="1"/>
  <c r="C44" i="1"/>
  <c r="AC43" i="1"/>
  <c r="AD43" i="1" s="1"/>
  <c r="AA43" i="1"/>
  <c r="W43" i="1"/>
  <c r="X43" i="1" s="1"/>
  <c r="U43" i="1"/>
  <c r="R43" i="1"/>
  <c r="O43" i="1"/>
  <c r="N43" i="1"/>
  <c r="L43" i="1"/>
  <c r="H43" i="1"/>
  <c r="I43" i="1" s="1"/>
  <c r="F43" i="1"/>
  <c r="C43" i="1"/>
  <c r="AD42" i="1"/>
  <c r="AC42" i="1"/>
  <c r="AA42" i="1"/>
  <c r="X42" i="1"/>
  <c r="W42" i="1"/>
  <c r="U42" i="1"/>
  <c r="R42" i="1"/>
  <c r="N42" i="1"/>
  <c r="O42" i="1" s="1"/>
  <c r="L42" i="1"/>
  <c r="H42" i="1"/>
  <c r="I42" i="1" s="1"/>
  <c r="F42" i="1"/>
  <c r="C42" i="1"/>
  <c r="AA40" i="1"/>
  <c r="Z40" i="1"/>
  <c r="T40" i="1"/>
  <c r="U40" i="1" s="1"/>
  <c r="Q40" i="1"/>
  <c r="W40" i="1" s="1"/>
  <c r="X40" i="1" s="1"/>
  <c r="K40" i="1"/>
  <c r="L40" i="1" s="1"/>
  <c r="E40" i="1"/>
  <c r="H40" i="1" s="1"/>
  <c r="I40" i="1" s="1"/>
  <c r="C40" i="1"/>
  <c r="B40" i="1"/>
  <c r="N40" i="1" s="1"/>
  <c r="O40" i="1" s="1"/>
  <c r="AC39" i="1"/>
  <c r="AD39" i="1" s="1"/>
  <c r="AA39" i="1"/>
  <c r="W39" i="1"/>
  <c r="X39" i="1" s="1"/>
  <c r="U39" i="1"/>
  <c r="R39" i="1"/>
  <c r="O39" i="1"/>
  <c r="N39" i="1"/>
  <c r="L39" i="1"/>
  <c r="H39" i="1"/>
  <c r="I39" i="1" s="1"/>
  <c r="F39" i="1"/>
  <c r="C39" i="1"/>
  <c r="AD38" i="1"/>
  <c r="AC38" i="1"/>
  <c r="AA38" i="1"/>
  <c r="X38" i="1"/>
  <c r="W38" i="1"/>
  <c r="U38" i="1"/>
  <c r="R38" i="1"/>
  <c r="N38" i="1"/>
  <c r="O38" i="1" s="1"/>
  <c r="L38" i="1"/>
  <c r="H38" i="1"/>
  <c r="I38" i="1" s="1"/>
  <c r="F38" i="1"/>
  <c r="C38" i="1"/>
  <c r="AC37" i="1"/>
  <c r="AD37" i="1" s="1"/>
  <c r="AA37" i="1"/>
  <c r="X37" i="1"/>
  <c r="W37" i="1"/>
  <c r="U37" i="1"/>
  <c r="R37" i="1"/>
  <c r="N37" i="1"/>
  <c r="O37" i="1" s="1"/>
  <c r="L37" i="1"/>
  <c r="I37" i="1"/>
  <c r="H37" i="1"/>
  <c r="F37" i="1"/>
  <c r="C37" i="1"/>
  <c r="AC36" i="1"/>
  <c r="AD36" i="1" s="1"/>
  <c r="AA36" i="1"/>
  <c r="W36" i="1"/>
  <c r="X36" i="1" s="1"/>
  <c r="U36" i="1"/>
  <c r="R36" i="1"/>
  <c r="O36" i="1"/>
  <c r="N36" i="1"/>
  <c r="L36" i="1"/>
  <c r="H36" i="1"/>
  <c r="I36" i="1" s="1"/>
  <c r="F36" i="1"/>
  <c r="C36" i="1"/>
  <c r="AC35" i="1"/>
  <c r="AD35" i="1" s="1"/>
  <c r="AA35" i="1"/>
  <c r="W35" i="1"/>
  <c r="X35" i="1" s="1"/>
  <c r="U35" i="1"/>
  <c r="R35" i="1"/>
  <c r="O35" i="1"/>
  <c r="N35" i="1"/>
  <c r="L35" i="1"/>
  <c r="H35" i="1"/>
  <c r="I35" i="1" s="1"/>
  <c r="F35" i="1"/>
  <c r="C35" i="1"/>
  <c r="AD34" i="1"/>
  <c r="AC34" i="1"/>
  <c r="AA34" i="1"/>
  <c r="X34" i="1"/>
  <c r="W34" i="1"/>
  <c r="U34" i="1"/>
  <c r="R34" i="1"/>
  <c r="N34" i="1"/>
  <c r="O34" i="1" s="1"/>
  <c r="L34" i="1"/>
  <c r="H34" i="1"/>
  <c r="I34" i="1" s="1"/>
  <c r="F34" i="1"/>
  <c r="C34" i="1"/>
  <c r="AC33" i="1"/>
  <c r="AD33" i="1" s="1"/>
  <c r="AA33" i="1"/>
  <c r="X33" i="1"/>
  <c r="W33" i="1"/>
  <c r="U33" i="1"/>
  <c r="R33" i="1"/>
  <c r="N33" i="1"/>
  <c r="O33" i="1" s="1"/>
  <c r="L33" i="1"/>
  <c r="I33" i="1"/>
  <c r="H33" i="1"/>
  <c r="F33" i="1"/>
  <c r="C33" i="1"/>
  <c r="AC32" i="1"/>
  <c r="AD32" i="1" s="1"/>
  <c r="AA32" i="1"/>
  <c r="W32" i="1"/>
  <c r="X32" i="1" s="1"/>
  <c r="U32" i="1"/>
  <c r="R32" i="1"/>
  <c r="O32" i="1"/>
  <c r="N32" i="1"/>
  <c r="L32" i="1"/>
  <c r="H32" i="1"/>
  <c r="I32" i="1" s="1"/>
  <c r="F32" i="1"/>
  <c r="C32" i="1"/>
  <c r="AC31" i="1"/>
  <c r="AD31" i="1" s="1"/>
  <c r="AA31" i="1"/>
  <c r="W31" i="1"/>
  <c r="X31" i="1" s="1"/>
  <c r="U31" i="1"/>
  <c r="R31" i="1"/>
  <c r="O31" i="1"/>
  <c r="N31" i="1"/>
  <c r="L31" i="1"/>
  <c r="H31" i="1"/>
  <c r="I31" i="1" s="1"/>
  <c r="F31" i="1"/>
  <c r="C31" i="1"/>
  <c r="Z29" i="1"/>
  <c r="AA29" i="1" s="1"/>
  <c r="T29" i="1"/>
  <c r="U29" i="1" s="1"/>
  <c r="R29" i="1"/>
  <c r="Q29" i="1"/>
  <c r="AC29" i="1" s="1"/>
  <c r="AD29" i="1" s="1"/>
  <c r="K29" i="1"/>
  <c r="L29" i="1" s="1"/>
  <c r="H29" i="1"/>
  <c r="I29" i="1" s="1"/>
  <c r="F29" i="1"/>
  <c r="E29" i="1"/>
  <c r="B29" i="1"/>
  <c r="C29" i="1" s="1"/>
  <c r="AC28" i="1"/>
  <c r="AD28" i="1" s="1"/>
  <c r="AA28" i="1"/>
  <c r="W28" i="1"/>
  <c r="X28" i="1" s="1"/>
  <c r="U28" i="1"/>
  <c r="R28" i="1"/>
  <c r="O28" i="1"/>
  <c r="N28" i="1"/>
  <c r="L28" i="1"/>
  <c r="H28" i="1"/>
  <c r="I28" i="1" s="1"/>
  <c r="F28" i="1"/>
  <c r="C28" i="1"/>
  <c r="AC27" i="1"/>
  <c r="AD27" i="1" s="1"/>
  <c r="AA27" i="1"/>
  <c r="W27" i="1"/>
  <c r="X27" i="1" s="1"/>
  <c r="U27" i="1"/>
  <c r="R27" i="1"/>
  <c r="O27" i="1"/>
  <c r="N27" i="1"/>
  <c r="L27" i="1"/>
  <c r="H27" i="1"/>
  <c r="I27" i="1" s="1"/>
  <c r="F27" i="1"/>
  <c r="C27" i="1"/>
  <c r="AD26" i="1"/>
  <c r="AC26" i="1"/>
  <c r="AA26" i="1"/>
  <c r="X26" i="1"/>
  <c r="W26" i="1"/>
  <c r="U26" i="1"/>
  <c r="R26" i="1"/>
  <c r="N26" i="1"/>
  <c r="O26" i="1" s="1"/>
  <c r="L26" i="1"/>
  <c r="H26" i="1"/>
  <c r="I26" i="1" s="1"/>
  <c r="F26" i="1"/>
  <c r="C26" i="1"/>
  <c r="AC25" i="1"/>
  <c r="AD25" i="1" s="1"/>
  <c r="AA25" i="1"/>
  <c r="X25" i="1"/>
  <c r="W25" i="1"/>
  <c r="U25" i="1"/>
  <c r="R25" i="1"/>
  <c r="N25" i="1"/>
  <c r="O25" i="1" s="1"/>
  <c r="L25" i="1"/>
  <c r="I25" i="1"/>
  <c r="H25" i="1"/>
  <c r="F25" i="1"/>
  <c r="C25" i="1"/>
  <c r="AC24" i="1"/>
  <c r="AD24" i="1" s="1"/>
  <c r="AA24" i="1"/>
  <c r="W24" i="1"/>
  <c r="X24" i="1" s="1"/>
  <c r="U24" i="1"/>
  <c r="R24" i="1"/>
  <c r="O24" i="1"/>
  <c r="N24" i="1"/>
  <c r="L24" i="1"/>
  <c r="H24" i="1"/>
  <c r="I24" i="1" s="1"/>
  <c r="F24" i="1"/>
  <c r="C24" i="1"/>
  <c r="AC23" i="1"/>
  <c r="AD23" i="1" s="1"/>
  <c r="AA23" i="1"/>
  <c r="W23" i="1"/>
  <c r="X23" i="1" s="1"/>
  <c r="U23" i="1"/>
  <c r="R23" i="1"/>
  <c r="O23" i="1"/>
  <c r="N23" i="1"/>
  <c r="L23" i="1"/>
  <c r="H23" i="1"/>
  <c r="I23" i="1" s="1"/>
  <c r="F23" i="1"/>
  <c r="C23" i="1"/>
  <c r="AD22" i="1"/>
  <c r="AC22" i="1"/>
  <c r="AA22" i="1"/>
  <c r="X22" i="1"/>
  <c r="W22" i="1"/>
  <c r="U22" i="1"/>
  <c r="R22" i="1"/>
  <c r="N22" i="1"/>
  <c r="O22" i="1" s="1"/>
  <c r="L22" i="1"/>
  <c r="H22" i="1"/>
  <c r="I22" i="1" s="1"/>
  <c r="F22" i="1"/>
  <c r="C22" i="1"/>
  <c r="AC21" i="1"/>
  <c r="AD21" i="1" s="1"/>
  <c r="AA21" i="1"/>
  <c r="X21" i="1"/>
  <c r="W21" i="1"/>
  <c r="U21" i="1"/>
  <c r="R21" i="1"/>
  <c r="N21" i="1"/>
  <c r="O21" i="1" s="1"/>
  <c r="L21" i="1"/>
  <c r="I21" i="1"/>
  <c r="H21" i="1"/>
  <c r="F21" i="1"/>
  <c r="C21" i="1"/>
  <c r="AC19" i="1"/>
  <c r="AD19" i="1" s="1"/>
  <c r="AA19" i="1"/>
  <c r="W19" i="1"/>
  <c r="X19" i="1" s="1"/>
  <c r="U19" i="1"/>
  <c r="R19" i="1"/>
  <c r="O19" i="1"/>
  <c r="N19" i="1"/>
  <c r="L19" i="1"/>
  <c r="H19" i="1"/>
  <c r="I19" i="1" s="1"/>
  <c r="F19" i="1"/>
  <c r="C19" i="1"/>
  <c r="Z18" i="1"/>
  <c r="AA18" i="1" s="1"/>
  <c r="W18" i="1"/>
  <c r="X18" i="1" s="1"/>
  <c r="U18" i="1"/>
  <c r="T18" i="1"/>
  <c r="Q18" i="1"/>
  <c r="R18" i="1" s="1"/>
  <c r="K18" i="1"/>
  <c r="L18" i="1" s="1"/>
  <c r="E18" i="1"/>
  <c r="F18" i="1" s="1"/>
  <c r="B18" i="1"/>
  <c r="C18" i="1" s="1"/>
  <c r="AC17" i="1"/>
  <c r="AD17" i="1" s="1"/>
  <c r="AA17" i="1"/>
  <c r="X17" i="1"/>
  <c r="W17" i="1"/>
  <c r="U17" i="1"/>
  <c r="R17" i="1"/>
  <c r="N17" i="1"/>
  <c r="O17" i="1" s="1"/>
  <c r="L17" i="1"/>
  <c r="I17" i="1"/>
  <c r="H17" i="1"/>
  <c r="F17" i="1"/>
  <c r="C17" i="1"/>
  <c r="AC16" i="1"/>
  <c r="AD16" i="1" s="1"/>
  <c r="AA16" i="1"/>
  <c r="W16" i="1"/>
  <c r="X16" i="1" s="1"/>
  <c r="U16" i="1"/>
  <c r="R16" i="1"/>
  <c r="O16" i="1"/>
  <c r="N16" i="1"/>
  <c r="L16" i="1"/>
  <c r="H16" i="1"/>
  <c r="I16" i="1" s="1"/>
  <c r="F16" i="1"/>
  <c r="C16" i="1"/>
  <c r="AC15" i="1"/>
  <c r="AD15" i="1" s="1"/>
  <c r="AA15" i="1"/>
  <c r="W15" i="1"/>
  <c r="X15" i="1" s="1"/>
  <c r="U15" i="1"/>
  <c r="R15" i="1"/>
  <c r="O15" i="1"/>
  <c r="N15" i="1"/>
  <c r="L15" i="1"/>
  <c r="H15" i="1"/>
  <c r="I15" i="1" s="1"/>
  <c r="F15" i="1"/>
  <c r="C15" i="1"/>
  <c r="AD14" i="1"/>
  <c r="AC14" i="1"/>
  <c r="AA14" i="1"/>
  <c r="X14" i="1"/>
  <c r="W14" i="1"/>
  <c r="U14" i="1"/>
  <c r="R14" i="1"/>
  <c r="N14" i="1"/>
  <c r="O14" i="1" s="1"/>
  <c r="L14" i="1"/>
  <c r="H14" i="1"/>
  <c r="I14" i="1" s="1"/>
  <c r="F14" i="1"/>
  <c r="C14" i="1"/>
  <c r="AC13" i="1"/>
  <c r="AD13" i="1" s="1"/>
  <c r="AA13" i="1"/>
  <c r="X13" i="1"/>
  <c r="W13" i="1"/>
  <c r="U13" i="1"/>
  <c r="R13" i="1"/>
  <c r="N13" i="1"/>
  <c r="O13" i="1" s="1"/>
  <c r="L13" i="1"/>
  <c r="I13" i="1"/>
  <c r="H13" i="1"/>
  <c r="F13" i="1"/>
  <c r="C13" i="1"/>
  <c r="AC12" i="1"/>
  <c r="AD12" i="1" s="1"/>
  <c r="AA12" i="1"/>
  <c r="W12" i="1"/>
  <c r="X12" i="1" s="1"/>
  <c r="U12" i="1"/>
  <c r="R12" i="1"/>
  <c r="O12" i="1"/>
  <c r="N12" i="1"/>
  <c r="L12" i="1"/>
  <c r="H12" i="1"/>
  <c r="I12" i="1" s="1"/>
  <c r="F12" i="1"/>
  <c r="C12" i="1"/>
  <c r="AC11" i="1"/>
  <c r="AD11" i="1" s="1"/>
  <c r="AA11" i="1"/>
  <c r="W11" i="1"/>
  <c r="X11" i="1" s="1"/>
  <c r="U11" i="1"/>
  <c r="R11" i="1"/>
  <c r="O11" i="1"/>
  <c r="N11" i="1"/>
  <c r="L11" i="1"/>
  <c r="H11" i="1"/>
  <c r="I11" i="1" s="1"/>
  <c r="F11" i="1"/>
  <c r="C11" i="1"/>
  <c r="AD10" i="1"/>
  <c r="AC10" i="1"/>
  <c r="AA10" i="1"/>
  <c r="X10" i="1"/>
  <c r="W10" i="1"/>
  <c r="U10" i="1"/>
  <c r="R10" i="1"/>
  <c r="N10" i="1"/>
  <c r="O10" i="1" s="1"/>
  <c r="L10" i="1"/>
  <c r="H10" i="1"/>
  <c r="I10" i="1" s="1"/>
  <c r="F10" i="1"/>
  <c r="C10" i="1"/>
  <c r="AC8" i="1"/>
  <c r="AD8" i="1" s="1"/>
  <c r="AA8" i="1"/>
  <c r="X8" i="1"/>
  <c r="W8" i="1"/>
  <c r="U8" i="1"/>
  <c r="R8" i="1"/>
  <c r="N8" i="1"/>
  <c r="O8" i="1" s="1"/>
  <c r="L8" i="1"/>
  <c r="I8" i="1"/>
  <c r="H8" i="1"/>
  <c r="F8" i="1"/>
  <c r="C8" i="1"/>
  <c r="AC40" i="1" l="1"/>
  <c r="AD40" i="1" s="1"/>
  <c r="L61" i="1"/>
  <c r="F40" i="1"/>
  <c r="L62" i="1"/>
  <c r="U88" i="1"/>
  <c r="K198" i="1"/>
  <c r="L172" i="1"/>
  <c r="R158" i="1"/>
  <c r="R170" i="1"/>
  <c r="R263" i="1"/>
  <c r="R441" i="1"/>
  <c r="N18" i="1"/>
  <c r="O18" i="1" s="1"/>
  <c r="W29" i="1"/>
  <c r="X29" i="1" s="1"/>
  <c r="R122" i="1"/>
  <c r="H182" i="1"/>
  <c r="I182" i="1" s="1"/>
  <c r="R267" i="1"/>
  <c r="C40" i="2"/>
  <c r="L141" i="2"/>
  <c r="H18" i="1"/>
  <c r="I18" i="1" s="1"/>
  <c r="W61" i="1"/>
  <c r="X61" i="1" s="1"/>
  <c r="N141" i="1"/>
  <c r="O141" i="1" s="1"/>
  <c r="N158" i="1"/>
  <c r="O158" i="1" s="1"/>
  <c r="AC158" i="1"/>
  <c r="AD158" i="1" s="1"/>
  <c r="AC170" i="1"/>
  <c r="AD170" i="1" s="1"/>
  <c r="N171" i="1"/>
  <c r="O171" i="1" s="1"/>
  <c r="W182" i="1"/>
  <c r="X182" i="1" s="1"/>
  <c r="H193" i="1"/>
  <c r="I193" i="1" s="1"/>
  <c r="N263" i="1"/>
  <c r="O263" i="1" s="1"/>
  <c r="AC263" i="1"/>
  <c r="AD263" i="1" s="1"/>
  <c r="H284" i="1"/>
  <c r="I284" i="1" s="1"/>
  <c r="W342" i="1"/>
  <c r="X342" i="1" s="1"/>
  <c r="AC343" i="1"/>
  <c r="AD343" i="1" s="1"/>
  <c r="Z345" i="1"/>
  <c r="N441" i="1"/>
  <c r="O441" i="1" s="1"/>
  <c r="AC441" i="1"/>
  <c r="AD441" i="1" s="1"/>
  <c r="AC18" i="2"/>
  <c r="AD18" i="2" s="1"/>
  <c r="N29" i="2"/>
  <c r="O29" i="2" s="1"/>
  <c r="AC29" i="2"/>
  <c r="AD29" i="2" s="1"/>
  <c r="N62" i="2"/>
  <c r="O62" i="2" s="1"/>
  <c r="Z172" i="2"/>
  <c r="W149" i="2"/>
  <c r="X149" i="2" s="1"/>
  <c r="AC149" i="2"/>
  <c r="AD149" i="2" s="1"/>
  <c r="N170" i="2"/>
  <c r="O170" i="2" s="1"/>
  <c r="U198" i="1"/>
  <c r="T345" i="1"/>
  <c r="N40" i="2"/>
  <c r="O40" i="2" s="1"/>
  <c r="R196" i="1"/>
  <c r="C358" i="1"/>
  <c r="R358" i="1"/>
  <c r="H73" i="2"/>
  <c r="I73" i="2" s="1"/>
  <c r="N73" i="2"/>
  <c r="O73" i="2" s="1"/>
  <c r="L88" i="2"/>
  <c r="H149" i="2"/>
  <c r="I149" i="2" s="1"/>
  <c r="N149" i="2"/>
  <c r="O149" i="2" s="1"/>
  <c r="C158" i="2"/>
  <c r="R158" i="2"/>
  <c r="R182" i="2"/>
  <c r="W182" i="2"/>
  <c r="X182" i="2" s="1"/>
  <c r="C196" i="2"/>
  <c r="R196" i="2"/>
  <c r="U172" i="1"/>
  <c r="AC61" i="1"/>
  <c r="AD61" i="1" s="1"/>
  <c r="R18" i="2"/>
  <c r="C29" i="2"/>
  <c r="AC40" i="2"/>
  <c r="AD40" i="2" s="1"/>
  <c r="H61" i="2"/>
  <c r="I61" i="2" s="1"/>
  <c r="R62" i="2"/>
  <c r="C73" i="2"/>
  <c r="AC171" i="2"/>
  <c r="AD171" i="2" s="1"/>
  <c r="AA166" i="1"/>
  <c r="E172" i="1"/>
  <c r="C196" i="1"/>
  <c r="C141" i="1"/>
  <c r="U236" i="2"/>
  <c r="C73" i="1"/>
  <c r="C441" i="1"/>
  <c r="R343" i="1"/>
  <c r="U344" i="1"/>
  <c r="AC62" i="1"/>
  <c r="AD62" i="1" s="1"/>
  <c r="C118" i="1"/>
  <c r="R118" i="1"/>
  <c r="AC124" i="1"/>
  <c r="AD124" i="1" s="1"/>
  <c r="AC149" i="1"/>
  <c r="AD149" i="1" s="1"/>
  <c r="F170" i="1"/>
  <c r="U209" i="1"/>
  <c r="R236" i="1"/>
  <c r="U262" i="1"/>
  <c r="R284" i="1"/>
  <c r="C295" i="1"/>
  <c r="R295" i="1"/>
  <c r="R324" i="1"/>
  <c r="C325" i="1"/>
  <c r="N428" i="1"/>
  <c r="O428" i="1" s="1"/>
  <c r="U442" i="1"/>
  <c r="F18" i="2"/>
  <c r="C62" i="2"/>
  <c r="W118" i="2"/>
  <c r="X118" i="2" s="1"/>
  <c r="AC118" i="2"/>
  <c r="AD118" i="2" s="1"/>
  <c r="F122" i="2"/>
  <c r="W122" i="2"/>
  <c r="X122" i="2" s="1"/>
  <c r="R172" i="2"/>
  <c r="Q198" i="2"/>
  <c r="K198" i="2"/>
  <c r="L197" i="2"/>
  <c r="C171" i="1"/>
  <c r="C263" i="1"/>
  <c r="W197" i="1"/>
  <c r="X197" i="1" s="1"/>
  <c r="AC18" i="1"/>
  <c r="AD18" i="1" s="1"/>
  <c r="AC182" i="1"/>
  <c r="AD182" i="1" s="1"/>
  <c r="N193" i="1"/>
  <c r="O193" i="1" s="1"/>
  <c r="AC193" i="1"/>
  <c r="AD193" i="1" s="1"/>
  <c r="AC358" i="1"/>
  <c r="AD358" i="1" s="1"/>
  <c r="N368" i="1"/>
  <c r="O368" i="1" s="1"/>
  <c r="R61" i="2"/>
  <c r="W61" i="2"/>
  <c r="X61" i="2" s="1"/>
  <c r="T198" i="2"/>
  <c r="U172" i="2"/>
  <c r="AC158" i="2"/>
  <c r="AD158" i="2" s="1"/>
  <c r="W166" i="2"/>
  <c r="X166" i="2" s="1"/>
  <c r="R166" i="2"/>
  <c r="AC196" i="2"/>
  <c r="AD196" i="2" s="1"/>
  <c r="N267" i="2"/>
  <c r="O267" i="2" s="1"/>
  <c r="L267" i="2"/>
  <c r="U148" i="1"/>
  <c r="R40" i="1"/>
  <c r="C158" i="1"/>
  <c r="R29" i="2"/>
  <c r="AA124" i="1"/>
  <c r="C267" i="1"/>
  <c r="C343" i="1"/>
  <c r="N29" i="1"/>
  <c r="O29" i="1" s="1"/>
  <c r="H61" i="1"/>
  <c r="I61" i="1" s="1"/>
  <c r="N73" i="1"/>
  <c r="O73" i="1" s="1"/>
  <c r="B172" i="1"/>
  <c r="H124" i="1"/>
  <c r="I124" i="1" s="1"/>
  <c r="H149" i="1"/>
  <c r="I149" i="1" s="1"/>
  <c r="Q172" i="1"/>
  <c r="N196" i="1"/>
  <c r="O196" i="1" s="1"/>
  <c r="AC196" i="1"/>
  <c r="AD196" i="1" s="1"/>
  <c r="N218" i="1"/>
  <c r="O218" i="1" s="1"/>
  <c r="N358" i="1"/>
  <c r="O358" i="1" s="1"/>
  <c r="AC62" i="2"/>
  <c r="AD62" i="2" s="1"/>
  <c r="H118" i="2"/>
  <c r="I118" i="2" s="1"/>
  <c r="N118" i="2"/>
  <c r="O118" i="2" s="1"/>
  <c r="E198" i="2"/>
  <c r="F172" i="2"/>
  <c r="U148" i="2"/>
  <c r="N158" i="2"/>
  <c r="O158" i="2" s="1"/>
  <c r="H166" i="2"/>
  <c r="I166" i="2" s="1"/>
  <c r="W172" i="2"/>
  <c r="X172" i="2" s="1"/>
  <c r="AC182" i="2"/>
  <c r="AD182" i="2" s="1"/>
  <c r="N196" i="2"/>
  <c r="O196" i="2" s="1"/>
  <c r="AD12" i="2"/>
  <c r="AD16" i="2"/>
  <c r="AD19" i="2"/>
  <c r="AD24" i="2"/>
  <c r="AD28" i="2"/>
  <c r="AD32" i="2"/>
  <c r="AD36" i="2"/>
  <c r="AD44" i="2"/>
  <c r="AD49" i="2"/>
  <c r="AD53" i="2"/>
  <c r="O57" i="2"/>
  <c r="AD60" i="2"/>
  <c r="AD64" i="2"/>
  <c r="X66" i="2"/>
  <c r="X69" i="2"/>
  <c r="O70" i="2"/>
  <c r="AD75" i="2"/>
  <c r="AD80" i="2"/>
  <c r="AD83" i="2"/>
  <c r="O90" i="2"/>
  <c r="X91" i="2"/>
  <c r="AD92" i="2"/>
  <c r="X95" i="2"/>
  <c r="O99" i="2"/>
  <c r="X100" i="2"/>
  <c r="AD101" i="2"/>
  <c r="X103" i="2"/>
  <c r="O107" i="2"/>
  <c r="X108" i="2"/>
  <c r="AD109" i="2"/>
  <c r="X111" i="2"/>
  <c r="O115" i="2"/>
  <c r="X116" i="2"/>
  <c r="AD117" i="2"/>
  <c r="X120" i="2"/>
  <c r="O121" i="2"/>
  <c r="O129" i="2"/>
  <c r="X130" i="2"/>
  <c r="X133" i="2"/>
  <c r="O134" i="2"/>
  <c r="O137" i="2"/>
  <c r="X138" i="2"/>
  <c r="AD144" i="2"/>
  <c r="AD147" i="2"/>
  <c r="O151" i="2"/>
  <c r="AD154" i="2"/>
  <c r="X156" i="2"/>
  <c r="O163" i="2"/>
  <c r="AD167" i="2"/>
  <c r="O180" i="2"/>
  <c r="X181" i="2"/>
  <c r="X183" i="2"/>
  <c r="O184" i="2"/>
  <c r="X194" i="2"/>
  <c r="O202" i="2"/>
  <c r="X203" i="2"/>
  <c r="O205" i="2"/>
  <c r="AD207" i="2"/>
  <c r="AD216" i="2"/>
  <c r="X219" i="2"/>
  <c r="AD220" i="2"/>
  <c r="AD225" i="2"/>
  <c r="X231" i="2"/>
  <c r="AD232" i="2"/>
  <c r="AD240" i="2"/>
  <c r="X244" i="2"/>
  <c r="AD245" i="2"/>
  <c r="AD250" i="2"/>
  <c r="O280" i="2"/>
  <c r="O282" i="2"/>
  <c r="O297" i="2"/>
  <c r="AD302" i="2"/>
  <c r="O304" i="2"/>
  <c r="X305" i="2"/>
  <c r="O306" i="2"/>
  <c r="AD320" i="2"/>
  <c r="AD322" i="2"/>
  <c r="AD328" i="2"/>
  <c r="AD338" i="2"/>
  <c r="W344" i="2"/>
  <c r="X344" i="2" s="1"/>
  <c r="AC344" i="2"/>
  <c r="AD344" i="2" s="1"/>
  <c r="AD350" i="2"/>
  <c r="X353" i="2"/>
  <c r="AD360" i="2"/>
  <c r="X367" i="2"/>
  <c r="O371" i="2"/>
  <c r="X377" i="2"/>
  <c r="X385" i="2"/>
  <c r="AD386" i="2"/>
  <c r="X397" i="2"/>
  <c r="X409" i="2"/>
  <c r="X416" i="2"/>
  <c r="AD417" i="2"/>
  <c r="O426" i="2"/>
  <c r="AD434" i="2"/>
  <c r="AD436" i="2"/>
  <c r="N29" i="3"/>
  <c r="O29" i="3" s="1"/>
  <c r="T172" i="3"/>
  <c r="W342" i="2"/>
  <c r="X342" i="2" s="1"/>
  <c r="AC342" i="2"/>
  <c r="AD342" i="2" s="1"/>
  <c r="U325" i="2"/>
  <c r="R342" i="2"/>
  <c r="C358" i="2"/>
  <c r="H358" i="2"/>
  <c r="I358" i="2" s="1"/>
  <c r="N358" i="2"/>
  <c r="O358" i="2" s="1"/>
  <c r="W396" i="2"/>
  <c r="X396" i="2" s="1"/>
  <c r="AC396" i="2"/>
  <c r="AD396" i="2" s="1"/>
  <c r="O281" i="2"/>
  <c r="O265" i="2"/>
  <c r="O258" i="2"/>
  <c r="O440" i="2"/>
  <c r="O425" i="2"/>
  <c r="O409" i="2"/>
  <c r="O397" i="2"/>
  <c r="O377" i="2"/>
  <c r="O349" i="2"/>
  <c r="O340" i="2"/>
  <c r="O310" i="2"/>
  <c r="O290" i="2"/>
  <c r="O279" i="2"/>
  <c r="O270" i="2"/>
  <c r="O266" i="2"/>
  <c r="O254" i="2"/>
  <c r="O251" i="2"/>
  <c r="O247" i="2"/>
  <c r="O243" i="2"/>
  <c r="O238" i="2"/>
  <c r="O234" i="2"/>
  <c r="O230" i="2"/>
  <c r="O226" i="2"/>
  <c r="O222" i="2"/>
  <c r="O215" i="2"/>
  <c r="O416" i="2"/>
  <c r="O394" i="2"/>
  <c r="O385" i="2"/>
  <c r="O354" i="2"/>
  <c r="O330" i="2"/>
  <c r="O315" i="2"/>
  <c r="O299" i="2"/>
  <c r="O259" i="2"/>
  <c r="O433" i="2"/>
  <c r="O420" i="2"/>
  <c r="O390" i="2"/>
  <c r="O372" i="2"/>
  <c r="O362" i="2"/>
  <c r="O334" i="2"/>
  <c r="O319" i="2"/>
  <c r="O303" i="2"/>
  <c r="C171" i="3"/>
  <c r="H171" i="3"/>
  <c r="I171" i="3" s="1"/>
  <c r="B172" i="3"/>
  <c r="N171" i="3"/>
  <c r="O171" i="3" s="1"/>
  <c r="R324" i="2"/>
  <c r="W324" i="2"/>
  <c r="X324" i="2" s="1"/>
  <c r="AC324" i="2"/>
  <c r="AD324" i="2" s="1"/>
  <c r="X283" i="2"/>
  <c r="X279" i="2"/>
  <c r="X260" i="2"/>
  <c r="X256" i="2"/>
  <c r="X434" i="2"/>
  <c r="X419" i="2"/>
  <c r="X389" i="2"/>
  <c r="X371" i="2"/>
  <c r="X363" i="2"/>
  <c r="X333" i="2"/>
  <c r="X320" i="2"/>
  <c r="X304" i="2"/>
  <c r="X249" i="2"/>
  <c r="X245" i="2"/>
  <c r="X241" i="2"/>
  <c r="X232" i="2"/>
  <c r="X224" i="2"/>
  <c r="X220" i="2"/>
  <c r="X217" i="2"/>
  <c r="X213" i="2"/>
  <c r="X439" i="2"/>
  <c r="X426" i="2"/>
  <c r="X410" i="2"/>
  <c r="X398" i="2"/>
  <c r="X378" i="2"/>
  <c r="X358" i="2"/>
  <c r="X347" i="2"/>
  <c r="X343" i="2"/>
  <c r="X341" i="2"/>
  <c r="X309" i="2"/>
  <c r="X289" i="2"/>
  <c r="X280" i="2"/>
  <c r="X269" i="2"/>
  <c r="X265" i="2"/>
  <c r="X414" i="2"/>
  <c r="X402" i="2"/>
  <c r="X382" i="2"/>
  <c r="X352" i="2"/>
  <c r="X328" i="2"/>
  <c r="X313" i="2"/>
  <c r="X297" i="2"/>
  <c r="X293" i="2"/>
  <c r="H62" i="3"/>
  <c r="I62" i="3" s="1"/>
  <c r="AA429" i="2"/>
  <c r="AD422" i="2"/>
  <c r="AD413" i="2"/>
  <c r="AD401" i="2"/>
  <c r="AD392" i="2"/>
  <c r="AD381" i="2"/>
  <c r="AD374" i="2"/>
  <c r="AD353" i="2"/>
  <c r="AD337" i="2"/>
  <c r="AD314" i="2"/>
  <c r="AD298" i="2"/>
  <c r="AD294" i="2"/>
  <c r="AD283" i="2"/>
  <c r="AD276" i="2"/>
  <c r="AD256" i="2"/>
  <c r="AD433" i="2"/>
  <c r="AD420" i="2"/>
  <c r="AD390" i="2"/>
  <c r="AD372" i="2"/>
  <c r="AD362" i="2"/>
  <c r="AD351" i="2"/>
  <c r="AD334" i="2"/>
  <c r="AD319" i="2"/>
  <c r="AD312" i="2"/>
  <c r="AD303" i="2"/>
  <c r="AD292" i="2"/>
  <c r="AD272" i="2"/>
  <c r="AD251" i="2"/>
  <c r="AD247" i="2"/>
  <c r="AD243" i="2"/>
  <c r="AD238" i="2"/>
  <c r="AD234" i="2"/>
  <c r="AD230" i="2"/>
  <c r="AD226" i="2"/>
  <c r="AD222" i="2"/>
  <c r="AD215" i="2"/>
  <c r="AD206" i="2"/>
  <c r="AD202" i="2"/>
  <c r="AD195" i="2"/>
  <c r="AD192" i="2"/>
  <c r="AD188" i="2"/>
  <c r="AD183" i="2"/>
  <c r="AD180" i="2"/>
  <c r="AD175" i="2"/>
  <c r="AD168" i="2"/>
  <c r="AD165" i="2"/>
  <c r="AD161" i="2"/>
  <c r="AD157" i="2"/>
  <c r="AD153" i="2"/>
  <c r="AD425" i="2"/>
  <c r="AD418" i="2"/>
  <c r="AD409" i="2"/>
  <c r="AD397" i="2"/>
  <c r="AD388" i="2"/>
  <c r="AD377" i="2"/>
  <c r="AD370" i="2"/>
  <c r="AD340" i="2"/>
  <c r="AD332" i="2"/>
  <c r="AD279" i="2"/>
  <c r="AD261" i="2"/>
  <c r="AD437" i="2"/>
  <c r="AD424" i="2"/>
  <c r="AD408" i="2"/>
  <c r="AD395" i="2"/>
  <c r="AD376" i="2"/>
  <c r="AD366" i="2"/>
  <c r="AD355" i="2"/>
  <c r="AD339" i="2"/>
  <c r="AD323" i="2"/>
  <c r="AD316" i="2"/>
  <c r="AD307" i="2"/>
  <c r="AD300" i="2"/>
  <c r="AD287" i="2"/>
  <c r="AD278" i="2"/>
  <c r="AC61" i="3"/>
  <c r="AD61" i="3" s="1"/>
  <c r="R61" i="3"/>
  <c r="W61" i="3"/>
  <c r="X61" i="3" s="1"/>
  <c r="AC73" i="1"/>
  <c r="AD73" i="1" s="1"/>
  <c r="N88" i="1"/>
  <c r="O88" i="1" s="1"/>
  <c r="AC141" i="1"/>
  <c r="AD141" i="1" s="1"/>
  <c r="N148" i="1"/>
  <c r="O148" i="1" s="1"/>
  <c r="AC171" i="1"/>
  <c r="AD171" i="1" s="1"/>
  <c r="N197" i="1"/>
  <c r="O197" i="1" s="1"/>
  <c r="N209" i="1"/>
  <c r="O209" i="1" s="1"/>
  <c r="N262" i="1"/>
  <c r="O262" i="1" s="1"/>
  <c r="N273" i="1"/>
  <c r="O273" i="1" s="1"/>
  <c r="AC325" i="1"/>
  <c r="AD325" i="1" s="1"/>
  <c r="N342" i="1"/>
  <c r="O342" i="1" s="1"/>
  <c r="N344" i="1"/>
  <c r="O344" i="1" s="1"/>
  <c r="N393" i="1"/>
  <c r="O393" i="1" s="1"/>
  <c r="N396" i="1"/>
  <c r="O396" i="1" s="1"/>
  <c r="N403" i="1"/>
  <c r="O403" i="1" s="1"/>
  <c r="AC428" i="1"/>
  <c r="AD428" i="1" s="1"/>
  <c r="X60" i="2"/>
  <c r="AD65" i="2"/>
  <c r="X75" i="2"/>
  <c r="X80" i="2"/>
  <c r="AD81" i="2"/>
  <c r="X83" i="2"/>
  <c r="C172" i="2"/>
  <c r="N172" i="2"/>
  <c r="O172" i="2" s="1"/>
  <c r="X144" i="2"/>
  <c r="AD145" i="2"/>
  <c r="X147" i="2"/>
  <c r="O153" i="2"/>
  <c r="X167" i="2"/>
  <c r="O189" i="2"/>
  <c r="N193" i="2"/>
  <c r="O193" i="2" s="1"/>
  <c r="AC197" i="2"/>
  <c r="AD197" i="2" s="1"/>
  <c r="B198" i="2"/>
  <c r="O206" i="2"/>
  <c r="AD221" i="2"/>
  <c r="X225" i="2"/>
  <c r="AD233" i="2"/>
  <c r="AD246" i="2"/>
  <c r="X250" i="2"/>
  <c r="AD257" i="2"/>
  <c r="O262" i="2"/>
  <c r="X266" i="2"/>
  <c r="O273" i="2"/>
  <c r="AD275" i="2"/>
  <c r="O283" i="2"/>
  <c r="X290" i="2"/>
  <c r="O293" i="2"/>
  <c r="AD297" i="2"/>
  <c r="AD299" i="2"/>
  <c r="X300" i="2"/>
  <c r="AD317" i="2"/>
  <c r="H324" i="2"/>
  <c r="I324" i="2" s="1"/>
  <c r="N324" i="2"/>
  <c r="O324" i="2" s="1"/>
  <c r="O333" i="2"/>
  <c r="X340" i="2"/>
  <c r="H342" i="2"/>
  <c r="I342" i="2" s="1"/>
  <c r="F342" i="2"/>
  <c r="F344" i="2"/>
  <c r="O353" i="2"/>
  <c r="AD361" i="2"/>
  <c r="O363" i="2"/>
  <c r="O365" i="2"/>
  <c r="AD371" i="2"/>
  <c r="AD378" i="2"/>
  <c r="X383" i="2"/>
  <c r="AD391" i="2"/>
  <c r="AD398" i="2"/>
  <c r="W403" i="2"/>
  <c r="X403" i="2" s="1"/>
  <c r="R403" i="2"/>
  <c r="AD410" i="2"/>
  <c r="X415" i="2"/>
  <c r="AD421" i="2"/>
  <c r="X428" i="2"/>
  <c r="X438" i="2"/>
  <c r="O442" i="2"/>
  <c r="AA40" i="3"/>
  <c r="AA88" i="3"/>
  <c r="AD8" i="2"/>
  <c r="AD13" i="2"/>
  <c r="AD17" i="2"/>
  <c r="AD21" i="2"/>
  <c r="AD25" i="2"/>
  <c r="AD33" i="2"/>
  <c r="AD37" i="2"/>
  <c r="AD46" i="2"/>
  <c r="O58" i="2"/>
  <c r="X67" i="2"/>
  <c r="X72" i="2"/>
  <c r="O94" i="2"/>
  <c r="O97" i="2"/>
  <c r="O102" i="2"/>
  <c r="O105" i="2"/>
  <c r="O110" i="2"/>
  <c r="O113" i="2"/>
  <c r="O123" i="2"/>
  <c r="W124" i="2"/>
  <c r="X124" i="2" s="1"/>
  <c r="X127" i="2"/>
  <c r="AD129" i="2"/>
  <c r="X131" i="2"/>
  <c r="X136" i="2"/>
  <c r="AD137" i="2"/>
  <c r="X139" i="2"/>
  <c r="H141" i="2"/>
  <c r="I141" i="2" s="1"/>
  <c r="O161" i="2"/>
  <c r="F170" i="2"/>
  <c r="C171" i="2"/>
  <c r="AD177" i="2"/>
  <c r="X179" i="2"/>
  <c r="O192" i="2"/>
  <c r="X201" i="2"/>
  <c r="X204" i="2"/>
  <c r="O211" i="2"/>
  <c r="W227" i="2"/>
  <c r="X227" i="2" s="1"/>
  <c r="O253" i="2"/>
  <c r="O257" i="2"/>
  <c r="X258" i="2"/>
  <c r="AD280" i="2"/>
  <c r="X288" i="2"/>
  <c r="AD304" i="2"/>
  <c r="AD308" i="2"/>
  <c r="O314" i="2"/>
  <c r="C324" i="2"/>
  <c r="O329" i="2"/>
  <c r="X338" i="2"/>
  <c r="AD352" i="2"/>
  <c r="AD354" i="2"/>
  <c r="X355" i="2"/>
  <c r="X362" i="2"/>
  <c r="X372" i="2"/>
  <c r="O373" i="2"/>
  <c r="O382" i="2"/>
  <c r="AD389" i="2"/>
  <c r="X394" i="2"/>
  <c r="O395" i="2"/>
  <c r="O402" i="2"/>
  <c r="O414" i="2"/>
  <c r="AD419" i="2"/>
  <c r="AD426" i="2"/>
  <c r="O429" i="2"/>
  <c r="O439" i="2"/>
  <c r="AD440" i="2"/>
  <c r="AC29" i="3"/>
  <c r="AD29" i="3" s="1"/>
  <c r="N40" i="3"/>
  <c r="O40" i="3" s="1"/>
  <c r="L88" i="3"/>
  <c r="N88" i="3"/>
  <c r="O88" i="3" s="1"/>
  <c r="Q172" i="3"/>
  <c r="R124" i="3"/>
  <c r="AC124" i="3"/>
  <c r="AD124" i="3" s="1"/>
  <c r="W124" i="3"/>
  <c r="X124" i="3" s="1"/>
  <c r="X56" i="2"/>
  <c r="O65" i="2"/>
  <c r="O78" i="2"/>
  <c r="O81" i="2"/>
  <c r="O86" i="2"/>
  <c r="R124" i="2"/>
  <c r="C141" i="2"/>
  <c r="O145" i="2"/>
  <c r="O168" i="2"/>
  <c r="O177" i="2"/>
  <c r="X187" i="2"/>
  <c r="X190" i="2"/>
  <c r="W193" i="2"/>
  <c r="X193" i="2" s="1"/>
  <c r="AD214" i="2"/>
  <c r="C218" i="2"/>
  <c r="AC218" i="2"/>
  <c r="AD218" i="2" s="1"/>
  <c r="O223" i="2"/>
  <c r="R227" i="2"/>
  <c r="X229" i="2"/>
  <c r="O235" i="2"/>
  <c r="N236" i="2"/>
  <c r="O236" i="2" s="1"/>
  <c r="X242" i="2"/>
  <c r="O248" i="2"/>
  <c r="AD266" i="2"/>
  <c r="O275" i="2"/>
  <c r="O289" i="2"/>
  <c r="AD290" i="2"/>
  <c r="X298" i="2"/>
  <c r="AD313" i="2"/>
  <c r="AD315" i="2"/>
  <c r="X316" i="2"/>
  <c r="AD325" i="2"/>
  <c r="C343" i="2"/>
  <c r="H343" i="2"/>
  <c r="I343" i="2" s="1"/>
  <c r="N343" i="2"/>
  <c r="O343" i="2" s="1"/>
  <c r="AD358" i="2"/>
  <c r="AD369" i="2"/>
  <c r="O378" i="2"/>
  <c r="X381" i="2"/>
  <c r="X390" i="2"/>
  <c r="O391" i="2"/>
  <c r="F396" i="2"/>
  <c r="O398" i="2"/>
  <c r="X401" i="2"/>
  <c r="O410" i="2"/>
  <c r="X413" i="2"/>
  <c r="X420" i="2"/>
  <c r="O421" i="2"/>
  <c r="H170" i="3"/>
  <c r="I170" i="3" s="1"/>
  <c r="N170" i="3"/>
  <c r="O170" i="3" s="1"/>
  <c r="X275" i="2"/>
  <c r="O276" i="2"/>
  <c r="H284" i="2"/>
  <c r="I284" i="2" s="1"/>
  <c r="R284" i="2"/>
  <c r="W284" i="2"/>
  <c r="X284" i="2" s="1"/>
  <c r="X286" i="2"/>
  <c r="AD289" i="2"/>
  <c r="C295" i="2"/>
  <c r="H295" i="2"/>
  <c r="I295" i="2" s="1"/>
  <c r="O305" i="2"/>
  <c r="X306" i="2"/>
  <c r="AD309" i="2"/>
  <c r="O321" i="2"/>
  <c r="X322" i="2"/>
  <c r="X335" i="2"/>
  <c r="O337" i="2"/>
  <c r="AD347" i="2"/>
  <c r="O364" i="2"/>
  <c r="X365" i="2"/>
  <c r="X373" i="2"/>
  <c r="O374" i="2"/>
  <c r="X391" i="2"/>
  <c r="O392" i="2"/>
  <c r="W393" i="2"/>
  <c r="X393" i="2" s="1"/>
  <c r="X421" i="2"/>
  <c r="O422" i="2"/>
  <c r="O435" i="2"/>
  <c r="X436" i="2"/>
  <c r="AD439" i="2"/>
  <c r="R118" i="3"/>
  <c r="W118" i="3"/>
  <c r="X118" i="3" s="1"/>
  <c r="N149" i="3"/>
  <c r="O149" i="3" s="1"/>
  <c r="R166" i="3"/>
  <c r="W166" i="3"/>
  <c r="X166" i="3" s="1"/>
  <c r="K198" i="3"/>
  <c r="L172" i="3"/>
  <c r="W197" i="3"/>
  <c r="X197" i="3" s="1"/>
  <c r="AC197" i="3"/>
  <c r="AD197" i="3" s="1"/>
  <c r="AC236" i="3"/>
  <c r="AD236" i="3" s="1"/>
  <c r="AC343" i="3"/>
  <c r="AD343" i="3" s="1"/>
  <c r="N342" i="3"/>
  <c r="O342" i="3" s="1"/>
  <c r="H344" i="3"/>
  <c r="I344" i="3" s="1"/>
  <c r="C344" i="3"/>
  <c r="R267" i="3"/>
  <c r="W267" i="3"/>
  <c r="X267" i="3" s="1"/>
  <c r="R295" i="3"/>
  <c r="W295" i="3"/>
  <c r="X295" i="3" s="1"/>
  <c r="N324" i="3"/>
  <c r="O324" i="3" s="1"/>
  <c r="R325" i="3"/>
  <c r="AC342" i="3"/>
  <c r="AD342" i="3" s="1"/>
  <c r="C197" i="3"/>
  <c r="H263" i="3"/>
  <c r="I263" i="3" s="1"/>
  <c r="C325" i="3"/>
  <c r="H325" i="3"/>
  <c r="I325" i="3" s="1"/>
  <c r="AA344" i="3"/>
  <c r="R196" i="3"/>
  <c r="AC196" i="3"/>
  <c r="AD196" i="3" s="1"/>
  <c r="AA218" i="3"/>
  <c r="R227" i="3"/>
  <c r="AC227" i="3"/>
  <c r="AD227" i="3" s="1"/>
  <c r="C284" i="3"/>
  <c r="H284" i="3"/>
  <c r="I284" i="3" s="1"/>
  <c r="W368" i="3"/>
  <c r="X368" i="3" s="1"/>
  <c r="AC368" i="3"/>
  <c r="AD368" i="3" s="1"/>
  <c r="AC88" i="2"/>
  <c r="AD88" i="2" s="1"/>
  <c r="N122" i="2"/>
  <c r="O122" i="2" s="1"/>
  <c r="AC148" i="2"/>
  <c r="AD148" i="2" s="1"/>
  <c r="AD254" i="2"/>
  <c r="AC263" i="2"/>
  <c r="AD263" i="2" s="1"/>
  <c r="AC267" i="2"/>
  <c r="AD267" i="2" s="1"/>
  <c r="O277" i="2"/>
  <c r="X278" i="2"/>
  <c r="AD281" i="2"/>
  <c r="X287" i="2"/>
  <c r="O288" i="2"/>
  <c r="X307" i="2"/>
  <c r="O308" i="2"/>
  <c r="X323" i="2"/>
  <c r="O338" i="2"/>
  <c r="X339" i="2"/>
  <c r="X366" i="2"/>
  <c r="O367" i="2"/>
  <c r="W368" i="2"/>
  <c r="X368" i="2" s="1"/>
  <c r="O375" i="2"/>
  <c r="X376" i="2"/>
  <c r="AD379" i="2"/>
  <c r="AD399" i="2"/>
  <c r="O407" i="2"/>
  <c r="X408" i="2"/>
  <c r="AD411" i="2"/>
  <c r="O423" i="2"/>
  <c r="X424" i="2"/>
  <c r="AD427" i="2"/>
  <c r="X437" i="2"/>
  <c r="O438" i="2"/>
  <c r="AC441" i="2"/>
  <c r="AD441" i="2" s="1"/>
  <c r="W442" i="2"/>
  <c r="X442" i="2" s="1"/>
  <c r="H61" i="3"/>
  <c r="I61" i="3" s="1"/>
  <c r="N61" i="3"/>
  <c r="O61" i="3" s="1"/>
  <c r="C61" i="3"/>
  <c r="AC118" i="3"/>
  <c r="AD118" i="3" s="1"/>
  <c r="N148" i="3"/>
  <c r="O148" i="3" s="1"/>
  <c r="R158" i="3"/>
  <c r="W158" i="3"/>
  <c r="X158" i="3" s="1"/>
  <c r="F166" i="3"/>
  <c r="H166" i="3"/>
  <c r="I166" i="3" s="1"/>
  <c r="AC166" i="3"/>
  <c r="AD166" i="3" s="1"/>
  <c r="Z198" i="3"/>
  <c r="AA172" i="3"/>
  <c r="N218" i="3"/>
  <c r="O218" i="3" s="1"/>
  <c r="N267" i="3"/>
  <c r="O267" i="3" s="1"/>
  <c r="U284" i="3"/>
  <c r="W284" i="3"/>
  <c r="X284" i="3" s="1"/>
  <c r="N295" i="3"/>
  <c r="O295" i="3" s="1"/>
  <c r="C342" i="3"/>
  <c r="W343" i="3"/>
  <c r="X343" i="3" s="1"/>
  <c r="N344" i="3"/>
  <c r="O344" i="3" s="1"/>
  <c r="R368" i="3"/>
  <c r="O261" i="2"/>
  <c r="W262" i="2"/>
  <c r="X262" i="2" s="1"/>
  <c r="C263" i="2"/>
  <c r="H263" i="2"/>
  <c r="I263" i="2" s="1"/>
  <c r="C267" i="2"/>
  <c r="H267" i="2"/>
  <c r="I267" i="2" s="1"/>
  <c r="N284" i="2"/>
  <c r="O284" i="2" s="1"/>
  <c r="AC284" i="2"/>
  <c r="AD284" i="2" s="1"/>
  <c r="N295" i="2"/>
  <c r="O295" i="2" s="1"/>
  <c r="O301" i="2"/>
  <c r="X302" i="2"/>
  <c r="AD305" i="2"/>
  <c r="O317" i="2"/>
  <c r="X318" i="2"/>
  <c r="AD321" i="2"/>
  <c r="X331" i="2"/>
  <c r="O332" i="2"/>
  <c r="O356" i="2"/>
  <c r="X357" i="2"/>
  <c r="O360" i="2"/>
  <c r="X361" i="2"/>
  <c r="AD364" i="2"/>
  <c r="X369" i="2"/>
  <c r="O370" i="2"/>
  <c r="X386" i="2"/>
  <c r="O388" i="2"/>
  <c r="AC393" i="2"/>
  <c r="AD393" i="2" s="1"/>
  <c r="X417" i="2"/>
  <c r="O418" i="2"/>
  <c r="N428" i="2"/>
  <c r="O428" i="2" s="1"/>
  <c r="H429" i="2"/>
  <c r="I429" i="2" s="1"/>
  <c r="R429" i="2"/>
  <c r="W429" i="2"/>
  <c r="X429" i="2" s="1"/>
  <c r="X432" i="2"/>
  <c r="AD435" i="2"/>
  <c r="C441" i="2"/>
  <c r="H441" i="2"/>
  <c r="I441" i="2" s="1"/>
  <c r="H18" i="3"/>
  <c r="I18" i="3" s="1"/>
  <c r="R18" i="3"/>
  <c r="W18" i="3"/>
  <c r="X18" i="3" s="1"/>
  <c r="C29" i="3"/>
  <c r="H29" i="3"/>
  <c r="I29" i="3" s="1"/>
  <c r="N227" i="3"/>
  <c r="O227" i="3" s="1"/>
  <c r="R263" i="3"/>
  <c r="AC263" i="3"/>
  <c r="AD263" i="3" s="1"/>
  <c r="AC325" i="3"/>
  <c r="AD325" i="3" s="1"/>
  <c r="L358" i="3"/>
  <c r="N358" i="3"/>
  <c r="O358" i="3" s="1"/>
  <c r="N368" i="3"/>
  <c r="O368" i="3" s="1"/>
  <c r="W393" i="3"/>
  <c r="X393" i="3" s="1"/>
  <c r="AC393" i="3"/>
  <c r="AD393" i="3" s="1"/>
  <c r="R393" i="3"/>
  <c r="X255" i="2"/>
  <c r="AD258" i="2"/>
  <c r="X271" i="2"/>
  <c r="O272" i="2"/>
  <c r="W273" i="2"/>
  <c r="X273" i="2" s="1"/>
  <c r="X282" i="2"/>
  <c r="X291" i="2"/>
  <c r="O292" i="2"/>
  <c r="X311" i="2"/>
  <c r="O312" i="2"/>
  <c r="AD329" i="2"/>
  <c r="X350" i="2"/>
  <c r="O351" i="2"/>
  <c r="O379" i="2"/>
  <c r="X380" i="2"/>
  <c r="AD383" i="2"/>
  <c r="O399" i="2"/>
  <c r="X400" i="2"/>
  <c r="O411" i="2"/>
  <c r="X412" i="2"/>
  <c r="AD415" i="2"/>
  <c r="O427" i="2"/>
  <c r="E172" i="3"/>
  <c r="F124" i="3"/>
  <c r="C141" i="3"/>
  <c r="H141" i="3"/>
  <c r="I141" i="3" s="1"/>
  <c r="W196" i="3"/>
  <c r="X196" i="3" s="1"/>
  <c r="N197" i="3"/>
  <c r="O197" i="3" s="1"/>
  <c r="W227" i="3"/>
  <c r="X227" i="3" s="1"/>
  <c r="AA262" i="3"/>
  <c r="F267" i="3"/>
  <c r="H267" i="3"/>
  <c r="I267" i="3" s="1"/>
  <c r="AC267" i="3"/>
  <c r="AD267" i="3" s="1"/>
  <c r="F295" i="3"/>
  <c r="H295" i="3"/>
  <c r="I295" i="3" s="1"/>
  <c r="AC295" i="3"/>
  <c r="AD295" i="3" s="1"/>
  <c r="R344" i="3"/>
  <c r="W344" i="3"/>
  <c r="X344" i="3" s="1"/>
  <c r="R358" i="3"/>
  <c r="AC358" i="3"/>
  <c r="AD358" i="3" s="1"/>
  <c r="H141" i="4"/>
  <c r="I141" i="4" s="1"/>
  <c r="N141" i="4"/>
  <c r="O141" i="4" s="1"/>
  <c r="C141" i="4"/>
  <c r="Q345" i="4"/>
  <c r="R198" i="4"/>
  <c r="AD35" i="3"/>
  <c r="X37" i="3"/>
  <c r="X48" i="3"/>
  <c r="AD49" i="3"/>
  <c r="X56" i="3"/>
  <c r="AD57" i="3"/>
  <c r="N62" i="3"/>
  <c r="O62" i="3" s="1"/>
  <c r="AD119" i="3"/>
  <c r="X129" i="3"/>
  <c r="AD135" i="3"/>
  <c r="X137" i="3"/>
  <c r="X147" i="3"/>
  <c r="AD160" i="3"/>
  <c r="X190" i="3"/>
  <c r="AD191" i="3"/>
  <c r="H209" i="3"/>
  <c r="I209" i="3" s="1"/>
  <c r="X232" i="3"/>
  <c r="AD233" i="3"/>
  <c r="X288" i="3"/>
  <c r="AD289" i="3"/>
  <c r="X332" i="3"/>
  <c r="AD333" i="3"/>
  <c r="X341" i="3"/>
  <c r="AD350" i="3"/>
  <c r="X360" i="3"/>
  <c r="AD370" i="3"/>
  <c r="AD381" i="3"/>
  <c r="X395" i="3"/>
  <c r="X402" i="3"/>
  <c r="H428" i="3"/>
  <c r="I428" i="3" s="1"/>
  <c r="H429" i="3"/>
  <c r="I429" i="3" s="1"/>
  <c r="O438" i="3"/>
  <c r="O434" i="3"/>
  <c r="O426" i="3"/>
  <c r="O422" i="3"/>
  <c r="O414" i="3"/>
  <c r="O410" i="3"/>
  <c r="O402" i="3"/>
  <c r="O398" i="3"/>
  <c r="O395" i="3"/>
  <c r="O392" i="3"/>
  <c r="O388" i="3"/>
  <c r="O382" i="3"/>
  <c r="O378" i="3"/>
  <c r="O374" i="3"/>
  <c r="O370" i="3"/>
  <c r="O367" i="3"/>
  <c r="O363" i="3"/>
  <c r="O355" i="3"/>
  <c r="AC18" i="4"/>
  <c r="AD18" i="4" s="1"/>
  <c r="AC40" i="4"/>
  <c r="AD40" i="4" s="1"/>
  <c r="U61" i="4"/>
  <c r="N73" i="4"/>
  <c r="O73" i="4" s="1"/>
  <c r="W149" i="4"/>
  <c r="X149" i="4" s="1"/>
  <c r="AC149" i="4"/>
  <c r="AD149" i="4" s="1"/>
  <c r="R149" i="4"/>
  <c r="W403" i="3"/>
  <c r="X403" i="3" s="1"/>
  <c r="AC403" i="3"/>
  <c r="AD403" i="3" s="1"/>
  <c r="R441" i="3"/>
  <c r="AC441" i="3"/>
  <c r="AD441" i="3" s="1"/>
  <c r="X440" i="3"/>
  <c r="X436" i="3"/>
  <c r="X432" i="3"/>
  <c r="X424" i="3"/>
  <c r="X412" i="3"/>
  <c r="X408" i="3"/>
  <c r="X400" i="3"/>
  <c r="X390" i="3"/>
  <c r="X385" i="3"/>
  <c r="X380" i="3"/>
  <c r="X376" i="3"/>
  <c r="X372" i="3"/>
  <c r="X365" i="3"/>
  <c r="X361" i="3"/>
  <c r="X357" i="3"/>
  <c r="X353" i="3"/>
  <c r="N18" i="4"/>
  <c r="O18" i="4" s="1"/>
  <c r="C40" i="4"/>
  <c r="N40" i="4"/>
  <c r="O40" i="4" s="1"/>
  <c r="R73" i="4"/>
  <c r="AC73" i="4"/>
  <c r="AD73" i="4" s="1"/>
  <c r="R403" i="3"/>
  <c r="X437" i="3"/>
  <c r="X439" i="3"/>
  <c r="H441" i="3"/>
  <c r="I441" i="3" s="1"/>
  <c r="F442" i="3"/>
  <c r="AD433" i="3"/>
  <c r="AD425" i="3"/>
  <c r="AD417" i="3"/>
  <c r="AD409" i="3"/>
  <c r="AD397" i="3"/>
  <c r="AD386" i="3"/>
  <c r="AD377" i="3"/>
  <c r="AD369" i="3"/>
  <c r="AC62" i="4"/>
  <c r="AD62" i="4" s="1"/>
  <c r="U88" i="4"/>
  <c r="U166" i="4"/>
  <c r="W166" i="4"/>
  <c r="X166" i="4" s="1"/>
  <c r="C73" i="4"/>
  <c r="R141" i="4"/>
  <c r="W141" i="4"/>
  <c r="X141" i="4" s="1"/>
  <c r="AC141" i="4"/>
  <c r="AD141" i="4" s="1"/>
  <c r="W441" i="3"/>
  <c r="X441" i="3" s="1"/>
  <c r="C18" i="4"/>
  <c r="R18" i="4"/>
  <c r="H40" i="4"/>
  <c r="I40" i="4" s="1"/>
  <c r="W73" i="4"/>
  <c r="X73" i="4" s="1"/>
  <c r="H267" i="4"/>
  <c r="I267" i="4" s="1"/>
  <c r="F267" i="4"/>
  <c r="H40" i="3"/>
  <c r="I40" i="3" s="1"/>
  <c r="AD64" i="3"/>
  <c r="X71" i="3"/>
  <c r="AD72" i="3"/>
  <c r="AD79" i="3"/>
  <c r="X81" i="3"/>
  <c r="AD87" i="3"/>
  <c r="X90" i="3"/>
  <c r="AD91" i="3"/>
  <c r="X99" i="3"/>
  <c r="AD100" i="3"/>
  <c r="X107" i="3"/>
  <c r="AD108" i="3"/>
  <c r="X115" i="3"/>
  <c r="AD116" i="3"/>
  <c r="X123" i="3"/>
  <c r="X155" i="3"/>
  <c r="AD156" i="3"/>
  <c r="X178" i="3"/>
  <c r="AD179" i="3"/>
  <c r="AD193" i="3"/>
  <c r="X195" i="3"/>
  <c r="AD201" i="3"/>
  <c r="X208" i="3"/>
  <c r="AD217" i="3"/>
  <c r="X220" i="3"/>
  <c r="AD221" i="3"/>
  <c r="X238" i="3"/>
  <c r="AD245" i="3"/>
  <c r="X247" i="3"/>
  <c r="AD253" i="3"/>
  <c r="X255" i="3"/>
  <c r="AD261" i="3"/>
  <c r="AD272" i="3"/>
  <c r="X276" i="3"/>
  <c r="AD277" i="3"/>
  <c r="AC284" i="3"/>
  <c r="AD284" i="3" s="1"/>
  <c r="AD300" i="3"/>
  <c r="X302" i="3"/>
  <c r="AD308" i="3"/>
  <c r="X310" i="3"/>
  <c r="AD316" i="3"/>
  <c r="X318" i="3"/>
  <c r="AD355" i="3"/>
  <c r="X381" i="3"/>
  <c r="X409" i="3"/>
  <c r="AD418" i="3"/>
  <c r="AC428" i="3"/>
  <c r="AD428" i="3" s="1"/>
  <c r="W429" i="3"/>
  <c r="X429" i="3" s="1"/>
  <c r="R429" i="3"/>
  <c r="AD437" i="3"/>
  <c r="W442" i="3"/>
  <c r="X442" i="3" s="1"/>
  <c r="AC442" i="3"/>
  <c r="AD442" i="3" s="1"/>
  <c r="R62" i="4"/>
  <c r="AD36" i="3"/>
  <c r="C40" i="3"/>
  <c r="AD43" i="3"/>
  <c r="X46" i="3"/>
  <c r="AD52" i="3"/>
  <c r="X54" i="3"/>
  <c r="AD60" i="3"/>
  <c r="W73" i="3"/>
  <c r="X73" i="3" s="1"/>
  <c r="H88" i="3"/>
  <c r="I88" i="3" s="1"/>
  <c r="H118" i="3"/>
  <c r="I118" i="3" s="1"/>
  <c r="AD127" i="3"/>
  <c r="X135" i="3"/>
  <c r="AD136" i="3"/>
  <c r="AD143" i="3"/>
  <c r="X145" i="3"/>
  <c r="H158" i="3"/>
  <c r="I158" i="3" s="1"/>
  <c r="AD163" i="3"/>
  <c r="X165" i="3"/>
  <c r="W170" i="3"/>
  <c r="X170" i="3" s="1"/>
  <c r="AD186" i="3"/>
  <c r="X188" i="3"/>
  <c r="N193" i="3"/>
  <c r="O193" i="3" s="1"/>
  <c r="N209" i="3"/>
  <c r="O209" i="3" s="1"/>
  <c r="H218" i="3"/>
  <c r="I218" i="3" s="1"/>
  <c r="X230" i="3"/>
  <c r="H262" i="3"/>
  <c r="I262" i="3" s="1"/>
  <c r="X266" i="3"/>
  <c r="H273" i="3"/>
  <c r="I273" i="3" s="1"/>
  <c r="X286" i="3"/>
  <c r="AD292" i="3"/>
  <c r="X294" i="3"/>
  <c r="W324" i="3"/>
  <c r="X324" i="3" s="1"/>
  <c r="AD328" i="3"/>
  <c r="X330" i="3"/>
  <c r="AD337" i="3"/>
  <c r="X339" i="3"/>
  <c r="AD353" i="3"/>
  <c r="AD361" i="3"/>
  <c r="AD366" i="3"/>
  <c r="AD373" i="3"/>
  <c r="X386" i="3"/>
  <c r="N393" i="3"/>
  <c r="O393" i="3" s="1"/>
  <c r="F403" i="3"/>
  <c r="X413" i="3"/>
  <c r="R442" i="3"/>
  <c r="W148" i="4"/>
  <c r="X148" i="4" s="1"/>
  <c r="AC148" i="4"/>
  <c r="AD148" i="4" s="1"/>
  <c r="R148" i="4"/>
  <c r="AD374" i="3"/>
  <c r="AD382" i="3"/>
  <c r="AD392" i="3"/>
  <c r="AD402" i="3"/>
  <c r="AD414" i="3"/>
  <c r="X416" i="3"/>
  <c r="AD422" i="3"/>
  <c r="H29" i="4"/>
  <c r="I29" i="4" s="1"/>
  <c r="AC61" i="4"/>
  <c r="AD61" i="4" s="1"/>
  <c r="AC88" i="4"/>
  <c r="AD88" i="4" s="1"/>
  <c r="H118" i="4"/>
  <c r="I118" i="4" s="1"/>
  <c r="W122" i="4"/>
  <c r="X122" i="4" s="1"/>
  <c r="N158" i="4"/>
  <c r="O158" i="4" s="1"/>
  <c r="L172" i="4"/>
  <c r="K198" i="4"/>
  <c r="U263" i="4"/>
  <c r="W263" i="4"/>
  <c r="X263" i="4" s="1"/>
  <c r="H368" i="4"/>
  <c r="I368" i="4" s="1"/>
  <c r="N368" i="4"/>
  <c r="O368" i="4" s="1"/>
  <c r="C368" i="4"/>
  <c r="AC118" i="4"/>
  <c r="AD118" i="4" s="1"/>
  <c r="H122" i="4"/>
  <c r="I122" i="4" s="1"/>
  <c r="AC193" i="4"/>
  <c r="AD193" i="4" s="1"/>
  <c r="W193" i="4"/>
  <c r="X193" i="4" s="1"/>
  <c r="W358" i="4"/>
  <c r="X358" i="4" s="1"/>
  <c r="U358" i="4"/>
  <c r="AC124" i="4"/>
  <c r="AD124" i="4" s="1"/>
  <c r="C148" i="4"/>
  <c r="H148" i="4"/>
  <c r="I148" i="4" s="1"/>
  <c r="H158" i="4"/>
  <c r="I158" i="4" s="1"/>
  <c r="F158" i="4"/>
  <c r="R171" i="4"/>
  <c r="W171" i="4"/>
  <c r="X171" i="4" s="1"/>
  <c r="R193" i="4"/>
  <c r="C209" i="4"/>
  <c r="H209" i="4"/>
  <c r="I209" i="4" s="1"/>
  <c r="AC209" i="4"/>
  <c r="AD209" i="4" s="1"/>
  <c r="R267" i="4"/>
  <c r="AC267" i="4"/>
  <c r="AD267" i="4" s="1"/>
  <c r="N284" i="4"/>
  <c r="O284" i="4" s="1"/>
  <c r="L284" i="4"/>
  <c r="H324" i="4"/>
  <c r="I324" i="4" s="1"/>
  <c r="N324" i="4"/>
  <c r="O324" i="4" s="1"/>
  <c r="C324" i="4"/>
  <c r="AC172" i="4"/>
  <c r="AD172" i="4" s="1"/>
  <c r="T172" i="4"/>
  <c r="W273" i="4"/>
  <c r="X273" i="4" s="1"/>
  <c r="R273" i="4"/>
  <c r="N124" i="4"/>
  <c r="O124" i="4" s="1"/>
  <c r="B172" i="4"/>
  <c r="R124" i="4"/>
  <c r="Z198" i="4"/>
  <c r="AA172" i="4"/>
  <c r="H236" i="4"/>
  <c r="I236" i="4" s="1"/>
  <c r="W267" i="4"/>
  <c r="X267" i="4" s="1"/>
  <c r="AC40" i="5"/>
  <c r="AD40" i="5" s="1"/>
  <c r="AA40" i="5"/>
  <c r="O351" i="3"/>
  <c r="AD438" i="3"/>
  <c r="C118" i="4"/>
  <c r="AC122" i="4"/>
  <c r="AD122" i="4" s="1"/>
  <c r="C124" i="4"/>
  <c r="C171" i="4"/>
  <c r="N209" i="4"/>
  <c r="O209" i="4" s="1"/>
  <c r="N148" i="4"/>
  <c r="O148" i="4" s="1"/>
  <c r="E198" i="4"/>
  <c r="R209" i="4"/>
  <c r="W209" i="4"/>
  <c r="X209" i="4" s="1"/>
  <c r="N236" i="4"/>
  <c r="O236" i="4" s="1"/>
  <c r="C262" i="4"/>
  <c r="H262" i="4"/>
  <c r="I262" i="4" s="1"/>
  <c r="N262" i="4"/>
  <c r="O262" i="4" s="1"/>
  <c r="R295" i="4"/>
  <c r="W295" i="4"/>
  <c r="X295" i="4" s="1"/>
  <c r="AC295" i="4"/>
  <c r="AD295" i="4" s="1"/>
  <c r="C325" i="4"/>
  <c r="H325" i="4"/>
  <c r="I325" i="4" s="1"/>
  <c r="N325" i="4"/>
  <c r="O325" i="4" s="1"/>
  <c r="AC344" i="4"/>
  <c r="AD344" i="4" s="1"/>
  <c r="W61" i="5"/>
  <c r="X61" i="5" s="1"/>
  <c r="R61" i="5"/>
  <c r="H61" i="5"/>
  <c r="I61" i="5" s="1"/>
  <c r="N61" i="5"/>
  <c r="O61" i="5" s="1"/>
  <c r="N393" i="4"/>
  <c r="O393" i="4" s="1"/>
  <c r="H403" i="4"/>
  <c r="I403" i="4" s="1"/>
  <c r="C403" i="4"/>
  <c r="AC442" i="4"/>
  <c r="AD442" i="4" s="1"/>
  <c r="W442" i="4"/>
  <c r="X442" i="4" s="1"/>
  <c r="C61" i="5"/>
  <c r="H172" i="5"/>
  <c r="I172" i="5" s="1"/>
  <c r="N172" i="5"/>
  <c r="O172" i="5" s="1"/>
  <c r="C172" i="5"/>
  <c r="B198" i="5"/>
  <c r="Q198" i="5"/>
  <c r="AC172" i="5"/>
  <c r="AD172" i="5" s="1"/>
  <c r="R172" i="5"/>
  <c r="R442" i="4"/>
  <c r="C18" i="5"/>
  <c r="H18" i="5"/>
  <c r="I18" i="5" s="1"/>
  <c r="W158" i="4"/>
  <c r="X158" i="4" s="1"/>
  <c r="R218" i="4"/>
  <c r="W218" i="4"/>
  <c r="X218" i="4" s="1"/>
  <c r="R262" i="4"/>
  <c r="AC262" i="4"/>
  <c r="AD262" i="4" s="1"/>
  <c r="W325" i="4"/>
  <c r="X325" i="4" s="1"/>
  <c r="AC325" i="4"/>
  <c r="AD325" i="4" s="1"/>
  <c r="R393" i="4"/>
  <c r="W393" i="4"/>
  <c r="X393" i="4" s="1"/>
  <c r="W428" i="4"/>
  <c r="X428" i="4" s="1"/>
  <c r="AC428" i="4"/>
  <c r="AD428" i="4" s="1"/>
  <c r="R428" i="4"/>
  <c r="W441" i="4"/>
  <c r="X441" i="4" s="1"/>
  <c r="AC441" i="4"/>
  <c r="AD441" i="4" s="1"/>
  <c r="AA172" i="5"/>
  <c r="Z198" i="5"/>
  <c r="R158" i="4"/>
  <c r="C182" i="4"/>
  <c r="H182" i="4"/>
  <c r="I182" i="4" s="1"/>
  <c r="W182" i="4"/>
  <c r="X182" i="4" s="1"/>
  <c r="U182" i="4"/>
  <c r="W227" i="4"/>
  <c r="X227" i="4" s="1"/>
  <c r="R325" i="4"/>
  <c r="N403" i="4"/>
  <c r="O403" i="4" s="1"/>
  <c r="R441" i="4"/>
  <c r="O397" i="4"/>
  <c r="O363" i="4"/>
  <c r="O320" i="4"/>
  <c r="O308" i="4"/>
  <c r="O300" i="4"/>
  <c r="O280" i="4"/>
  <c r="O425" i="4"/>
  <c r="O395" i="4"/>
  <c r="O347" i="4"/>
  <c r="O288" i="4"/>
  <c r="O378" i="4"/>
  <c r="O276" i="4"/>
  <c r="O411" i="4"/>
  <c r="O409" i="4"/>
  <c r="O407" i="4"/>
  <c r="O366" i="4"/>
  <c r="O323" i="4"/>
  <c r="O306" i="4"/>
  <c r="O304" i="4"/>
  <c r="O253" i="4"/>
  <c r="O246" i="4"/>
  <c r="O217" i="4"/>
  <c r="O203" i="4"/>
  <c r="O156" i="4"/>
  <c r="O413" i="4"/>
  <c r="O392" i="4"/>
  <c r="O364" i="4"/>
  <c r="O335" i="4"/>
  <c r="O321" i="4"/>
  <c r="O292" i="4"/>
  <c r="O272" i="4"/>
  <c r="O260" i="4"/>
  <c r="O244" i="4"/>
  <c r="O235" i="4"/>
  <c r="C40" i="5"/>
  <c r="H40" i="5"/>
  <c r="I40" i="5" s="1"/>
  <c r="N40" i="5"/>
  <c r="O40" i="5" s="1"/>
  <c r="AC61" i="5"/>
  <c r="AD61" i="5" s="1"/>
  <c r="O432" i="4"/>
  <c r="F73" i="5"/>
  <c r="H73" i="5"/>
  <c r="I73" i="5" s="1"/>
  <c r="N236" i="5"/>
  <c r="O236" i="5" s="1"/>
  <c r="L236" i="5"/>
  <c r="C148" i="6"/>
  <c r="H148" i="6"/>
  <c r="I148" i="6" s="1"/>
  <c r="N148" i="6"/>
  <c r="O148" i="6" s="1"/>
  <c r="N149" i="6"/>
  <c r="O149" i="6" s="1"/>
  <c r="H149" i="6"/>
  <c r="I149" i="6" s="1"/>
  <c r="C149" i="6"/>
  <c r="H193" i="5"/>
  <c r="I193" i="5" s="1"/>
  <c r="N193" i="5"/>
  <c r="O193" i="5" s="1"/>
  <c r="C193" i="5"/>
  <c r="O161" i="4"/>
  <c r="O175" i="4"/>
  <c r="O183" i="4"/>
  <c r="C218" i="4"/>
  <c r="H218" i="4"/>
  <c r="I218" i="4" s="1"/>
  <c r="O222" i="4"/>
  <c r="N267" i="4"/>
  <c r="O267" i="4" s="1"/>
  <c r="O270" i="4"/>
  <c r="O302" i="4"/>
  <c r="R368" i="4"/>
  <c r="AC368" i="4"/>
  <c r="AD368" i="4" s="1"/>
  <c r="O415" i="4"/>
  <c r="AC429" i="4"/>
  <c r="AD429" i="4" s="1"/>
  <c r="W118" i="5"/>
  <c r="X118" i="5" s="1"/>
  <c r="U118" i="5"/>
  <c r="O153" i="4"/>
  <c r="C197" i="4"/>
  <c r="H197" i="4"/>
  <c r="I197" i="4" s="1"/>
  <c r="N227" i="4"/>
  <c r="O227" i="4" s="1"/>
  <c r="O230" i="4"/>
  <c r="O238" i="4"/>
  <c r="O255" i="4"/>
  <c r="N263" i="4"/>
  <c r="O263" i="4" s="1"/>
  <c r="O266" i="4"/>
  <c r="AC284" i="4"/>
  <c r="AD284" i="4" s="1"/>
  <c r="R284" i="4"/>
  <c r="O331" i="4"/>
  <c r="O333" i="4"/>
  <c r="R343" i="4"/>
  <c r="W343" i="4"/>
  <c r="X343" i="4" s="1"/>
  <c r="O370" i="4"/>
  <c r="O372" i="4"/>
  <c r="O385" i="4"/>
  <c r="O390" i="4"/>
  <c r="O402" i="4"/>
  <c r="C429" i="4"/>
  <c r="N429" i="4"/>
  <c r="O429" i="4" s="1"/>
  <c r="O441" i="4"/>
  <c r="W141" i="5"/>
  <c r="X141" i="5" s="1"/>
  <c r="O299" i="4"/>
  <c r="O307" i="4"/>
  <c r="O312" i="4"/>
  <c r="O330" i="4"/>
  <c r="O355" i="4"/>
  <c r="O373" i="4"/>
  <c r="O375" i="4"/>
  <c r="C428" i="4"/>
  <c r="H428" i="4"/>
  <c r="I428" i="4" s="1"/>
  <c r="AC262" i="5"/>
  <c r="AD262" i="5" s="1"/>
  <c r="O314" i="4"/>
  <c r="W342" i="4"/>
  <c r="X342" i="4" s="1"/>
  <c r="F343" i="4"/>
  <c r="O357" i="4"/>
  <c r="O380" i="4"/>
  <c r="R396" i="4"/>
  <c r="I402" i="4"/>
  <c r="AC403" i="4"/>
  <c r="AD403" i="4" s="1"/>
  <c r="O408" i="4"/>
  <c r="I421" i="4"/>
  <c r="O439" i="4"/>
  <c r="AD423" i="4"/>
  <c r="AD407" i="4"/>
  <c r="AD379" i="4"/>
  <c r="AD364" i="4"/>
  <c r="AD347" i="4"/>
  <c r="AD338" i="4"/>
  <c r="AD321" i="4"/>
  <c r="W29" i="5"/>
  <c r="X29" i="5" s="1"/>
  <c r="R88" i="5"/>
  <c r="W122" i="5"/>
  <c r="X122" i="5" s="1"/>
  <c r="AC122" i="5"/>
  <c r="AD122" i="5" s="1"/>
  <c r="W149" i="5"/>
  <c r="X149" i="5" s="1"/>
  <c r="W193" i="5"/>
  <c r="X193" i="5" s="1"/>
  <c r="N209" i="5"/>
  <c r="O209" i="5" s="1"/>
  <c r="H18" i="6"/>
  <c r="I18" i="6" s="1"/>
  <c r="N18" i="6"/>
  <c r="O18" i="6" s="1"/>
  <c r="C18" i="6"/>
  <c r="H170" i="5"/>
  <c r="I170" i="5" s="1"/>
  <c r="C170" i="5"/>
  <c r="R171" i="5"/>
  <c r="W171" i="5"/>
  <c r="X171" i="5" s="1"/>
  <c r="C197" i="5"/>
  <c r="H197" i="5"/>
  <c r="I197" i="5" s="1"/>
  <c r="AA124" i="5"/>
  <c r="E198" i="5"/>
  <c r="F172" i="5"/>
  <c r="H218" i="5"/>
  <c r="I218" i="5" s="1"/>
  <c r="C218" i="5"/>
  <c r="W227" i="5"/>
  <c r="X227" i="5" s="1"/>
  <c r="U227" i="5"/>
  <c r="H88" i="5"/>
  <c r="I88" i="5" s="1"/>
  <c r="C209" i="5"/>
  <c r="H124" i="5"/>
  <c r="I124" i="5" s="1"/>
  <c r="C124" i="5"/>
  <c r="W148" i="5"/>
  <c r="X148" i="5" s="1"/>
  <c r="R148" i="5"/>
  <c r="N149" i="5"/>
  <c r="O149" i="5" s="1"/>
  <c r="K198" i="5"/>
  <c r="L172" i="5"/>
  <c r="N182" i="5"/>
  <c r="O182" i="5" s="1"/>
  <c r="AA218" i="5"/>
  <c r="O315" i="4"/>
  <c r="O317" i="4"/>
  <c r="O339" i="4"/>
  <c r="H342" i="4"/>
  <c r="I342" i="4" s="1"/>
  <c r="N342" i="4"/>
  <c r="O342" i="4" s="1"/>
  <c r="N343" i="4"/>
  <c r="O343" i="4" s="1"/>
  <c r="H344" i="4"/>
  <c r="I344" i="4" s="1"/>
  <c r="C344" i="4"/>
  <c r="O360" i="4"/>
  <c r="H393" i="4"/>
  <c r="I393" i="4" s="1"/>
  <c r="AC396" i="4"/>
  <c r="AD396" i="4" s="1"/>
  <c r="N428" i="4"/>
  <c r="O428" i="4" s="1"/>
  <c r="I438" i="4"/>
  <c r="I434" i="4"/>
  <c r="I418" i="4"/>
  <c r="I392" i="4"/>
  <c r="I374" i="4"/>
  <c r="I332" i="4"/>
  <c r="I316" i="4"/>
  <c r="N29" i="5"/>
  <c r="O29" i="5" s="1"/>
  <c r="H62" i="5"/>
  <c r="I62" i="5" s="1"/>
  <c r="C62" i="5"/>
  <c r="AC88" i="5"/>
  <c r="AD88" i="5" s="1"/>
  <c r="R141" i="5"/>
  <c r="AC141" i="5"/>
  <c r="AD141" i="5" s="1"/>
  <c r="H158" i="5"/>
  <c r="I158" i="5" s="1"/>
  <c r="N158" i="5"/>
  <c r="O158" i="5" s="1"/>
  <c r="AC193" i="5"/>
  <c r="AD193" i="5" s="1"/>
  <c r="U196" i="5"/>
  <c r="H267" i="5"/>
  <c r="I267" i="5" s="1"/>
  <c r="N267" i="5"/>
  <c r="O267" i="5" s="1"/>
  <c r="C267" i="5"/>
  <c r="H396" i="4"/>
  <c r="I396" i="4" s="1"/>
  <c r="N141" i="5"/>
  <c r="O141" i="5" s="1"/>
  <c r="H182" i="5"/>
  <c r="I182" i="5" s="1"/>
  <c r="W209" i="5"/>
  <c r="X209" i="5" s="1"/>
  <c r="H262" i="5"/>
  <c r="I262" i="5" s="1"/>
  <c r="F262" i="5"/>
  <c r="AC236" i="5"/>
  <c r="AD236" i="5" s="1"/>
  <c r="N227" i="5"/>
  <c r="O227" i="5" s="1"/>
  <c r="W263" i="5"/>
  <c r="X263" i="5" s="1"/>
  <c r="H393" i="5"/>
  <c r="I393" i="5" s="1"/>
  <c r="N393" i="5"/>
  <c r="O393" i="5" s="1"/>
  <c r="C393" i="5"/>
  <c r="O318" i="4"/>
  <c r="O334" i="4"/>
  <c r="O361" i="4"/>
  <c r="O376" i="4"/>
  <c r="O420" i="4"/>
  <c r="O436" i="4"/>
  <c r="W40" i="5"/>
  <c r="X40" i="5" s="1"/>
  <c r="AC62" i="5"/>
  <c r="AD62" i="5" s="1"/>
  <c r="H122" i="5"/>
  <c r="I122" i="5" s="1"/>
  <c r="AC124" i="5"/>
  <c r="AD124" i="5" s="1"/>
  <c r="N166" i="5"/>
  <c r="O166" i="5" s="1"/>
  <c r="AC227" i="5"/>
  <c r="AD227" i="5" s="1"/>
  <c r="W262" i="5"/>
  <c r="X262" i="5" s="1"/>
  <c r="R262" i="5"/>
  <c r="H273" i="5"/>
  <c r="I273" i="5" s="1"/>
  <c r="C273" i="5"/>
  <c r="N263" i="5"/>
  <c r="O263" i="5" s="1"/>
  <c r="AC267" i="5"/>
  <c r="AD267" i="5" s="1"/>
  <c r="AC295" i="5"/>
  <c r="AD295" i="5" s="1"/>
  <c r="I440" i="5"/>
  <c r="I437" i="5"/>
  <c r="I421" i="5"/>
  <c r="I394" i="5"/>
  <c r="I434" i="5"/>
  <c r="I418" i="5"/>
  <c r="I415" i="5"/>
  <c r="I392" i="5"/>
  <c r="I389" i="5"/>
  <c r="I377" i="5"/>
  <c r="I373" i="5"/>
  <c r="I369" i="5"/>
  <c r="I366" i="5"/>
  <c r="I362" i="5"/>
  <c r="I354" i="5"/>
  <c r="I350" i="5"/>
  <c r="I340" i="5"/>
  <c r="I335" i="5"/>
  <c r="I331" i="5"/>
  <c r="I323" i="5"/>
  <c r="I319" i="5"/>
  <c r="I315" i="5"/>
  <c r="I311" i="5"/>
  <c r="I307" i="5"/>
  <c r="I303" i="5"/>
  <c r="I299" i="5"/>
  <c r="I291" i="5"/>
  <c r="I425" i="5"/>
  <c r="I409" i="5"/>
  <c r="I397" i="5"/>
  <c r="I381" i="5"/>
  <c r="I413" i="5"/>
  <c r="I401" i="5"/>
  <c r="I386" i="5"/>
  <c r="W62" i="6"/>
  <c r="X62" i="6" s="1"/>
  <c r="R62" i="6"/>
  <c r="AC62" i="6"/>
  <c r="AD62" i="6" s="1"/>
  <c r="H171" i="6"/>
  <c r="I171" i="6" s="1"/>
  <c r="N171" i="6"/>
  <c r="O171" i="6" s="1"/>
  <c r="C171" i="6"/>
  <c r="N196" i="6"/>
  <c r="O196" i="6" s="1"/>
  <c r="H196" i="6"/>
  <c r="I196" i="6" s="1"/>
  <c r="W273" i="5"/>
  <c r="X273" i="5" s="1"/>
  <c r="N284" i="5"/>
  <c r="O284" i="5" s="1"/>
  <c r="F344" i="5"/>
  <c r="F368" i="5"/>
  <c r="AA393" i="5"/>
  <c r="AC18" i="6"/>
  <c r="AD18" i="6" s="1"/>
  <c r="W18" i="6"/>
  <c r="X18" i="6" s="1"/>
  <c r="C196" i="6"/>
  <c r="AC263" i="5"/>
  <c r="AD263" i="5" s="1"/>
  <c r="R273" i="5"/>
  <c r="AC284" i="5"/>
  <c r="AD284" i="5" s="1"/>
  <c r="R396" i="5"/>
  <c r="R18" i="6"/>
  <c r="R342" i="5"/>
  <c r="W343" i="6"/>
  <c r="X343" i="6" s="1"/>
  <c r="AC343" i="6"/>
  <c r="AD343" i="6" s="1"/>
  <c r="R343" i="6"/>
  <c r="X434" i="4"/>
  <c r="H442" i="4"/>
  <c r="I442" i="4" s="1"/>
  <c r="N73" i="5"/>
  <c r="O73" i="5" s="1"/>
  <c r="T172" i="5"/>
  <c r="W172" i="5" s="1"/>
  <c r="X172" i="5" s="1"/>
  <c r="W218" i="5"/>
  <c r="X218" i="5" s="1"/>
  <c r="I308" i="5"/>
  <c r="I318" i="5"/>
  <c r="I324" i="5"/>
  <c r="I342" i="5"/>
  <c r="I367" i="5"/>
  <c r="I390" i="5"/>
  <c r="F396" i="5"/>
  <c r="I426" i="5"/>
  <c r="I428" i="5"/>
  <c r="I438" i="5"/>
  <c r="H62" i="6"/>
  <c r="I62" i="6" s="1"/>
  <c r="N62" i="6"/>
  <c r="O62" i="6" s="1"/>
  <c r="C62" i="6"/>
  <c r="N428" i="5"/>
  <c r="O428" i="5" s="1"/>
  <c r="N441" i="5"/>
  <c r="O441" i="5" s="1"/>
  <c r="W324" i="6"/>
  <c r="X324" i="6" s="1"/>
  <c r="AC324" i="6"/>
  <c r="AD324" i="6" s="1"/>
  <c r="H118" i="7"/>
  <c r="I118" i="7" s="1"/>
  <c r="C118" i="7"/>
  <c r="N118" i="7"/>
  <c r="O118" i="7" s="1"/>
  <c r="AC324" i="5"/>
  <c r="AD324" i="5" s="1"/>
  <c r="N343" i="5"/>
  <c r="O343" i="5" s="1"/>
  <c r="N358" i="5"/>
  <c r="O358" i="5" s="1"/>
  <c r="N403" i="5"/>
  <c r="O403" i="5" s="1"/>
  <c r="AA403" i="5"/>
  <c r="AC428" i="5"/>
  <c r="AD428" i="5" s="1"/>
  <c r="L429" i="5"/>
  <c r="C441" i="5"/>
  <c r="L29" i="6"/>
  <c r="U40" i="6"/>
  <c r="N61" i="6"/>
  <c r="O61" i="6" s="1"/>
  <c r="L73" i="6"/>
  <c r="U122" i="6"/>
  <c r="R170" i="6"/>
  <c r="K198" i="6"/>
  <c r="L172" i="6"/>
  <c r="E404" i="6"/>
  <c r="F345" i="6"/>
  <c r="W193" i="6"/>
  <c r="X193" i="6" s="1"/>
  <c r="AC193" i="6"/>
  <c r="AD193" i="6" s="1"/>
  <c r="H197" i="6"/>
  <c r="I197" i="6" s="1"/>
  <c r="C197" i="6"/>
  <c r="N197" i="6"/>
  <c r="O197" i="6" s="1"/>
  <c r="H295" i="6"/>
  <c r="I295" i="6" s="1"/>
  <c r="N295" i="6"/>
  <c r="O295" i="6" s="1"/>
  <c r="C295" i="6"/>
  <c r="R324" i="6"/>
  <c r="AC73" i="7"/>
  <c r="AD73" i="7" s="1"/>
  <c r="AA73" i="7"/>
  <c r="R324" i="5"/>
  <c r="C343" i="5"/>
  <c r="C358" i="5"/>
  <c r="O379" i="5"/>
  <c r="R393" i="5"/>
  <c r="C403" i="5"/>
  <c r="O407" i="5"/>
  <c r="O423" i="5"/>
  <c r="R428" i="5"/>
  <c r="O439" i="5"/>
  <c r="AC441" i="5"/>
  <c r="AD441" i="5" s="1"/>
  <c r="U61" i="6"/>
  <c r="AC88" i="6"/>
  <c r="AD88" i="6" s="1"/>
  <c r="N170" i="6"/>
  <c r="O170" i="6" s="1"/>
  <c r="F172" i="6"/>
  <c r="R193" i="6"/>
  <c r="H209" i="6"/>
  <c r="I209" i="6" s="1"/>
  <c r="C209" i="6"/>
  <c r="N209" i="6"/>
  <c r="O209" i="6" s="1"/>
  <c r="X394" i="5"/>
  <c r="W403" i="5"/>
  <c r="X403" i="5" s="1"/>
  <c r="X421" i="5"/>
  <c r="F428" i="5"/>
  <c r="H429" i="5"/>
  <c r="I429" i="5" s="1"/>
  <c r="X437" i="5"/>
  <c r="AC73" i="6"/>
  <c r="AD73" i="6" s="1"/>
  <c r="AA166" i="6"/>
  <c r="T172" i="6"/>
  <c r="X383" i="5"/>
  <c r="O386" i="5"/>
  <c r="O390" i="5"/>
  <c r="X399" i="5"/>
  <c r="O401" i="5"/>
  <c r="X408" i="5"/>
  <c r="X411" i="5"/>
  <c r="O413" i="5"/>
  <c r="O416" i="5"/>
  <c r="O419" i="5"/>
  <c r="X424" i="5"/>
  <c r="X427" i="5"/>
  <c r="AC429" i="5"/>
  <c r="AD429" i="5" s="1"/>
  <c r="O432" i="5"/>
  <c r="O435" i="5"/>
  <c r="X440" i="5"/>
  <c r="AC29" i="6"/>
  <c r="AD29" i="6" s="1"/>
  <c r="Z172" i="6"/>
  <c r="AA124" i="6"/>
  <c r="R171" i="6"/>
  <c r="W171" i="6"/>
  <c r="X171" i="6" s="1"/>
  <c r="W196" i="6"/>
  <c r="X196" i="6" s="1"/>
  <c r="AC196" i="6"/>
  <c r="AD196" i="6" s="1"/>
  <c r="F198" i="6"/>
  <c r="O328" i="5"/>
  <c r="O332" i="5"/>
  <c r="O337" i="5"/>
  <c r="O341" i="5"/>
  <c r="O351" i="5"/>
  <c r="O355" i="5"/>
  <c r="O367" i="5"/>
  <c r="X391" i="5"/>
  <c r="X417" i="5"/>
  <c r="X433" i="5"/>
  <c r="W442" i="5"/>
  <c r="X442" i="5" s="1"/>
  <c r="C29" i="6"/>
  <c r="H73" i="6"/>
  <c r="I73" i="6" s="1"/>
  <c r="C73" i="6"/>
  <c r="W149" i="6"/>
  <c r="X149" i="6" s="1"/>
  <c r="AC149" i="6"/>
  <c r="AD149" i="6" s="1"/>
  <c r="AC170" i="6"/>
  <c r="AD170" i="6" s="1"/>
  <c r="F193" i="6"/>
  <c r="R196" i="6"/>
  <c r="L218" i="6"/>
  <c r="W284" i="6"/>
  <c r="X284" i="6" s="1"/>
  <c r="R284" i="6"/>
  <c r="N324" i="6"/>
  <c r="O324" i="6" s="1"/>
  <c r="H324" i="6"/>
  <c r="I324" i="6" s="1"/>
  <c r="H428" i="6"/>
  <c r="I428" i="6" s="1"/>
  <c r="C428" i="6"/>
  <c r="N428" i="6"/>
  <c r="O428" i="6" s="1"/>
  <c r="W429" i="6"/>
  <c r="X429" i="6" s="1"/>
  <c r="AC429" i="6"/>
  <c r="AD429" i="6" s="1"/>
  <c r="H209" i="7"/>
  <c r="I209" i="7" s="1"/>
  <c r="N209" i="7"/>
  <c r="O209" i="7" s="1"/>
  <c r="C209" i="7"/>
  <c r="L141" i="6"/>
  <c r="U148" i="6"/>
  <c r="AC218" i="6"/>
  <c r="AD218" i="6" s="1"/>
  <c r="R227" i="6"/>
  <c r="N236" i="6"/>
  <c r="O236" i="6" s="1"/>
  <c r="H343" i="6"/>
  <c r="I343" i="6" s="1"/>
  <c r="N343" i="6"/>
  <c r="O343" i="6" s="1"/>
  <c r="N358" i="6"/>
  <c r="O358" i="6" s="1"/>
  <c r="W368" i="6"/>
  <c r="X368" i="6" s="1"/>
  <c r="U368" i="6"/>
  <c r="R429" i="6"/>
  <c r="B172" i="6"/>
  <c r="N158" i="6"/>
  <c r="O158" i="6" s="1"/>
  <c r="H218" i="6"/>
  <c r="I218" i="6" s="1"/>
  <c r="C218" i="6"/>
  <c r="AC262" i="6"/>
  <c r="AD262" i="6" s="1"/>
  <c r="N273" i="6"/>
  <c r="O273" i="6" s="1"/>
  <c r="W273" i="6"/>
  <c r="X273" i="6" s="1"/>
  <c r="R273" i="6"/>
  <c r="AC325" i="6"/>
  <c r="AD325" i="6" s="1"/>
  <c r="N396" i="6"/>
  <c r="O396" i="6" s="1"/>
  <c r="AC40" i="6"/>
  <c r="AD40" i="6" s="1"/>
  <c r="AC61" i="6"/>
  <c r="AD61" i="6" s="1"/>
  <c r="W124" i="6"/>
  <c r="X124" i="6" s="1"/>
  <c r="Q172" i="6"/>
  <c r="H262" i="6"/>
  <c r="I262" i="6" s="1"/>
  <c r="C262" i="6"/>
  <c r="R358" i="6"/>
  <c r="W358" i="6"/>
  <c r="X358" i="6" s="1"/>
  <c r="W118" i="6"/>
  <c r="X118" i="6" s="1"/>
  <c r="N122" i="6"/>
  <c r="O122" i="6" s="1"/>
  <c r="R124" i="6"/>
  <c r="H141" i="6"/>
  <c r="I141" i="6" s="1"/>
  <c r="W158" i="6"/>
  <c r="X158" i="6" s="1"/>
  <c r="AC197" i="6"/>
  <c r="AD197" i="6" s="1"/>
  <c r="AC284" i="6"/>
  <c r="AD284" i="6" s="1"/>
  <c r="R295" i="6"/>
  <c r="C325" i="6"/>
  <c r="R344" i="6"/>
  <c r="H18" i="7"/>
  <c r="I18" i="7" s="1"/>
  <c r="C18" i="7"/>
  <c r="N18" i="7"/>
  <c r="O18" i="7" s="1"/>
  <c r="R40" i="7"/>
  <c r="W40" i="7"/>
  <c r="X40" i="7" s="1"/>
  <c r="AC40" i="7"/>
  <c r="AD40" i="7" s="1"/>
  <c r="H218" i="7"/>
  <c r="I218" i="7" s="1"/>
  <c r="C218" i="7"/>
  <c r="N218" i="7"/>
  <c r="O218" i="7" s="1"/>
  <c r="H267" i="6"/>
  <c r="I267" i="6" s="1"/>
  <c r="AC267" i="6"/>
  <c r="AD267" i="6" s="1"/>
  <c r="N368" i="6"/>
  <c r="O368" i="6" s="1"/>
  <c r="AA29" i="7"/>
  <c r="AC29" i="7"/>
  <c r="AD29" i="7" s="1"/>
  <c r="H40" i="7"/>
  <c r="I40" i="7" s="1"/>
  <c r="C40" i="7"/>
  <c r="R62" i="7"/>
  <c r="W62" i="7"/>
  <c r="X62" i="7" s="1"/>
  <c r="B198" i="7"/>
  <c r="N172" i="7"/>
  <c r="O172" i="7" s="1"/>
  <c r="H172" i="7"/>
  <c r="I172" i="7" s="1"/>
  <c r="C172" i="7"/>
  <c r="L148" i="7"/>
  <c r="N148" i="7"/>
  <c r="O148" i="7" s="1"/>
  <c r="C267" i="6"/>
  <c r="I286" i="6"/>
  <c r="I302" i="6"/>
  <c r="I310" i="6"/>
  <c r="I318" i="6"/>
  <c r="F344" i="6"/>
  <c r="H358" i="6"/>
  <c r="I358" i="6" s="1"/>
  <c r="I364" i="6"/>
  <c r="I366" i="6"/>
  <c r="I379" i="6"/>
  <c r="I381" i="6"/>
  <c r="I427" i="6"/>
  <c r="I433" i="6"/>
  <c r="AC441" i="6"/>
  <c r="AD441" i="6" s="1"/>
  <c r="W442" i="6"/>
  <c r="X442" i="6" s="1"/>
  <c r="R442" i="6"/>
  <c r="N342" i="6"/>
  <c r="O342" i="6" s="1"/>
  <c r="N393" i="6"/>
  <c r="O393" i="6" s="1"/>
  <c r="AC428" i="6"/>
  <c r="AD428" i="6" s="1"/>
  <c r="I439" i="6"/>
  <c r="I436" i="6"/>
  <c r="I432" i="6"/>
  <c r="I424" i="6"/>
  <c r="I420" i="6"/>
  <c r="I416" i="6"/>
  <c r="I412" i="6"/>
  <c r="I408" i="6"/>
  <c r="I400" i="6"/>
  <c r="I390" i="6"/>
  <c r="I385" i="6"/>
  <c r="I380" i="6"/>
  <c r="I376" i="6"/>
  <c r="I372" i="6"/>
  <c r="I365" i="6"/>
  <c r="I361" i="6"/>
  <c r="I357" i="6"/>
  <c r="I353" i="6"/>
  <c r="I349" i="6"/>
  <c r="I339" i="6"/>
  <c r="I334" i="6"/>
  <c r="I330" i="6"/>
  <c r="I270" i="6"/>
  <c r="I266" i="6"/>
  <c r="R18" i="7"/>
  <c r="W18" i="7"/>
  <c r="X18" i="7" s="1"/>
  <c r="N40" i="7"/>
  <c r="O40" i="7" s="1"/>
  <c r="H62" i="7"/>
  <c r="I62" i="7" s="1"/>
  <c r="C62" i="7"/>
  <c r="Q198" i="7"/>
  <c r="R441" i="6"/>
  <c r="N29" i="7"/>
  <c r="O29" i="7" s="1"/>
  <c r="C61" i="7"/>
  <c r="N73" i="7"/>
  <c r="O73" i="7" s="1"/>
  <c r="AA118" i="7"/>
  <c r="H262" i="7"/>
  <c r="I262" i="7" s="1"/>
  <c r="F262" i="7"/>
  <c r="F158" i="7"/>
  <c r="H158" i="7"/>
  <c r="I158" i="7" s="1"/>
  <c r="T172" i="7"/>
  <c r="W172" i="7" s="1"/>
  <c r="X172" i="7" s="1"/>
  <c r="W209" i="7"/>
  <c r="X209" i="7" s="1"/>
  <c r="R209" i="7"/>
  <c r="AC209" i="7"/>
  <c r="AD209" i="7" s="1"/>
  <c r="AC368" i="6"/>
  <c r="AD368" i="6" s="1"/>
  <c r="AC393" i="6"/>
  <c r="AD393" i="6" s="1"/>
  <c r="AC396" i="6"/>
  <c r="AD396" i="6" s="1"/>
  <c r="AC403" i="6"/>
  <c r="AD403" i="6" s="1"/>
  <c r="N429" i="6"/>
  <c r="O429" i="6" s="1"/>
  <c r="H442" i="6"/>
  <c r="I442" i="6" s="1"/>
  <c r="W61" i="7"/>
  <c r="X61" i="7" s="1"/>
  <c r="I438" i="6"/>
  <c r="I441" i="6"/>
  <c r="H182" i="7"/>
  <c r="I182" i="7" s="1"/>
  <c r="C182" i="7"/>
  <c r="N122" i="7"/>
  <c r="O122" i="7" s="1"/>
  <c r="H166" i="7"/>
  <c r="I166" i="7" s="1"/>
  <c r="C166" i="7"/>
  <c r="W236" i="7"/>
  <c r="X236" i="7" s="1"/>
  <c r="R236" i="7"/>
  <c r="Z172" i="7"/>
  <c r="AC172" i="7" s="1"/>
  <c r="AD172" i="7" s="1"/>
  <c r="AA124" i="7"/>
  <c r="H148" i="7"/>
  <c r="I148" i="7" s="1"/>
  <c r="C148" i="7"/>
  <c r="W118" i="7"/>
  <c r="X118" i="7" s="1"/>
  <c r="K198" i="7"/>
  <c r="L172" i="7"/>
  <c r="AA148" i="7"/>
  <c r="L149" i="7"/>
  <c r="R158" i="7"/>
  <c r="AC158" i="7"/>
  <c r="AD158" i="7" s="1"/>
  <c r="W158" i="7"/>
  <c r="X158" i="7" s="1"/>
  <c r="AA166" i="7"/>
  <c r="E345" i="7"/>
  <c r="F198" i="7"/>
  <c r="L193" i="7"/>
  <c r="H197" i="7"/>
  <c r="I197" i="7" s="1"/>
  <c r="C197" i="7"/>
  <c r="H236" i="7"/>
  <c r="I236" i="7" s="1"/>
  <c r="N236" i="7"/>
  <c r="O236" i="7" s="1"/>
  <c r="C236" i="7"/>
  <c r="L124" i="7"/>
  <c r="F172" i="7"/>
  <c r="W197" i="7"/>
  <c r="X197" i="7" s="1"/>
  <c r="R197" i="7"/>
  <c r="N124" i="7"/>
  <c r="O124" i="7" s="1"/>
  <c r="L141" i="7"/>
  <c r="R148" i="7"/>
  <c r="AC149" i="7"/>
  <c r="AD149" i="7" s="1"/>
  <c r="AC170" i="7"/>
  <c r="AD170" i="7" s="1"/>
  <c r="R182" i="7"/>
  <c r="N227" i="7"/>
  <c r="O227" i="7" s="1"/>
  <c r="AC124" i="7"/>
  <c r="AD124" i="7" s="1"/>
  <c r="N171" i="7"/>
  <c r="O171" i="7" s="1"/>
  <c r="AC193" i="7"/>
  <c r="AD193" i="7" s="1"/>
  <c r="W166" i="7"/>
  <c r="X166" i="7" s="1"/>
  <c r="H441" i="7"/>
  <c r="I441" i="7" s="1"/>
  <c r="N441" i="7"/>
  <c r="O441" i="7" s="1"/>
  <c r="C441" i="7"/>
  <c r="N263" i="7"/>
  <c r="O263" i="7" s="1"/>
  <c r="W325" i="7"/>
  <c r="X325" i="7" s="1"/>
  <c r="R325" i="7"/>
  <c r="W262" i="7"/>
  <c r="X262" i="7" s="1"/>
  <c r="R262" i="7"/>
  <c r="C263" i="7"/>
  <c r="W273" i="7"/>
  <c r="X273" i="7" s="1"/>
  <c r="H284" i="7"/>
  <c r="I284" i="7" s="1"/>
  <c r="H295" i="7"/>
  <c r="I295" i="7" s="1"/>
  <c r="W324" i="7"/>
  <c r="X324" i="7" s="1"/>
  <c r="AC343" i="7"/>
  <c r="AD343" i="7" s="1"/>
  <c r="H344" i="7"/>
  <c r="I344" i="7" s="1"/>
  <c r="N358" i="7"/>
  <c r="O358" i="7" s="1"/>
  <c r="N262" i="7"/>
  <c r="O262" i="7" s="1"/>
  <c r="H267" i="7"/>
  <c r="I267" i="7" s="1"/>
  <c r="N273" i="7"/>
  <c r="O273" i="7" s="1"/>
  <c r="W284" i="7"/>
  <c r="X284" i="7" s="1"/>
  <c r="N342" i="7"/>
  <c r="O342" i="7" s="1"/>
  <c r="W343" i="7"/>
  <c r="X343" i="7" s="1"/>
  <c r="U343" i="7"/>
  <c r="H324" i="7"/>
  <c r="I324" i="7" s="1"/>
  <c r="AC358" i="7"/>
  <c r="AD358" i="7" s="1"/>
  <c r="N344" i="7"/>
  <c r="O344" i="7" s="1"/>
  <c r="N428" i="7"/>
  <c r="O428" i="7" s="1"/>
  <c r="R429" i="7"/>
  <c r="AC441" i="7"/>
  <c r="AD441" i="7" s="1"/>
  <c r="W342" i="7"/>
  <c r="X342" i="7" s="1"/>
  <c r="W344" i="7"/>
  <c r="X344" i="7" s="1"/>
  <c r="W368" i="7"/>
  <c r="X368" i="7" s="1"/>
  <c r="W393" i="7"/>
  <c r="X393" i="7" s="1"/>
  <c r="W396" i="7"/>
  <c r="X396" i="7" s="1"/>
  <c r="W403" i="7"/>
  <c r="X403" i="7" s="1"/>
  <c r="H429" i="7"/>
  <c r="I429" i="7" s="1"/>
  <c r="W442" i="7"/>
  <c r="X442" i="7" s="1"/>
  <c r="N368" i="7"/>
  <c r="O368" i="7" s="1"/>
  <c r="N393" i="7"/>
  <c r="O393" i="7" s="1"/>
  <c r="N396" i="7"/>
  <c r="O396" i="7" s="1"/>
  <c r="N403" i="7"/>
  <c r="O403" i="7" s="1"/>
  <c r="AC428" i="7"/>
  <c r="AD428" i="7" s="1"/>
  <c r="N442" i="7"/>
  <c r="O442" i="7" s="1"/>
  <c r="U358" i="7"/>
  <c r="U441" i="7"/>
  <c r="AC342" i="7"/>
  <c r="AD342" i="7" s="1"/>
  <c r="AC344" i="7"/>
  <c r="AD344" i="7" s="1"/>
  <c r="AC368" i="7"/>
  <c r="AD368" i="7" s="1"/>
  <c r="AC393" i="7"/>
  <c r="AD393" i="7" s="1"/>
  <c r="AC396" i="7"/>
  <c r="AD396" i="7" s="1"/>
  <c r="AC403" i="7"/>
  <c r="AD403" i="7" s="1"/>
  <c r="N429" i="7"/>
  <c r="O429" i="7" s="1"/>
  <c r="AC442" i="7"/>
  <c r="AD442" i="7" s="1"/>
  <c r="R345" i="4" l="1"/>
  <c r="Q404" i="4"/>
  <c r="AA172" i="2"/>
  <c r="Z198" i="2"/>
  <c r="AC172" i="2"/>
  <c r="AD172" i="2" s="1"/>
  <c r="L198" i="6"/>
  <c r="K345" i="6"/>
  <c r="B198" i="3"/>
  <c r="H172" i="3"/>
  <c r="I172" i="3" s="1"/>
  <c r="C172" i="3"/>
  <c r="N172" i="3"/>
  <c r="O172" i="3" s="1"/>
  <c r="L198" i="2"/>
  <c r="K345" i="2"/>
  <c r="F172" i="1"/>
  <c r="E198" i="1"/>
  <c r="Z345" i="3"/>
  <c r="AA198" i="3"/>
  <c r="N172" i="1"/>
  <c r="O172" i="1" s="1"/>
  <c r="H172" i="1"/>
  <c r="I172" i="1" s="1"/>
  <c r="C172" i="1"/>
  <c r="B198" i="1"/>
  <c r="Q345" i="2"/>
  <c r="W198" i="2"/>
  <c r="X198" i="2" s="1"/>
  <c r="R198" i="2"/>
  <c r="K345" i="1"/>
  <c r="L198" i="1"/>
  <c r="E345" i="5"/>
  <c r="F198" i="5"/>
  <c r="Q345" i="5"/>
  <c r="AC198" i="5"/>
  <c r="AD198" i="5" s="1"/>
  <c r="R198" i="5"/>
  <c r="U172" i="4"/>
  <c r="T198" i="4"/>
  <c r="L198" i="4"/>
  <c r="K345" i="4"/>
  <c r="K345" i="3"/>
  <c r="L198" i="3"/>
  <c r="AC172" i="3"/>
  <c r="AD172" i="3" s="1"/>
  <c r="W172" i="3"/>
  <c r="X172" i="3" s="1"/>
  <c r="Q198" i="3"/>
  <c r="R172" i="3"/>
  <c r="U345" i="1"/>
  <c r="T404" i="1"/>
  <c r="K345" i="7"/>
  <c r="L198" i="7"/>
  <c r="B345" i="5"/>
  <c r="H198" i="5"/>
  <c r="I198" i="5" s="1"/>
  <c r="N198" i="5"/>
  <c r="O198" i="5" s="1"/>
  <c r="C198" i="5"/>
  <c r="W172" i="4"/>
  <c r="X172" i="4" s="1"/>
  <c r="B345" i="2"/>
  <c r="C198" i="2"/>
  <c r="N198" i="2"/>
  <c r="O198" i="2" s="1"/>
  <c r="H198" i="2"/>
  <c r="I198" i="2" s="1"/>
  <c r="T345" i="2"/>
  <c r="U198" i="2"/>
  <c r="E404" i="7"/>
  <c r="F345" i="7"/>
  <c r="B198" i="6"/>
  <c r="C172" i="6"/>
  <c r="N172" i="6"/>
  <c r="O172" i="6" s="1"/>
  <c r="H172" i="6"/>
  <c r="I172" i="6" s="1"/>
  <c r="B345" i="7"/>
  <c r="H198" i="7"/>
  <c r="I198" i="7" s="1"/>
  <c r="C198" i="7"/>
  <c r="N198" i="7"/>
  <c r="O198" i="7" s="1"/>
  <c r="Z198" i="6"/>
  <c r="AA172" i="6"/>
  <c r="T198" i="5"/>
  <c r="W198" i="5" s="1"/>
  <c r="X198" i="5" s="1"/>
  <c r="U172" i="5"/>
  <c r="Z345" i="5"/>
  <c r="AA198" i="5"/>
  <c r="Z345" i="4"/>
  <c r="AA198" i="4"/>
  <c r="F172" i="3"/>
  <c r="E198" i="3"/>
  <c r="U172" i="7"/>
  <c r="T198" i="7"/>
  <c r="R172" i="6"/>
  <c r="Q198" i="6"/>
  <c r="AC172" i="6"/>
  <c r="AD172" i="6" s="1"/>
  <c r="W172" i="6"/>
  <c r="X172" i="6" s="1"/>
  <c r="K345" i="5"/>
  <c r="L198" i="5"/>
  <c r="U172" i="3"/>
  <c r="T198" i="3"/>
  <c r="Z198" i="7"/>
  <c r="AA172" i="7"/>
  <c r="Q345" i="7"/>
  <c r="AC198" i="7"/>
  <c r="AD198" i="7" s="1"/>
  <c r="W198" i="7"/>
  <c r="X198" i="7" s="1"/>
  <c r="R198" i="7"/>
  <c r="T198" i="6"/>
  <c r="U172" i="6"/>
  <c r="E443" i="6"/>
  <c r="F443" i="6" s="1"/>
  <c r="F404" i="6"/>
  <c r="E345" i="4"/>
  <c r="F198" i="4"/>
  <c r="B198" i="4"/>
  <c r="C172" i="4"/>
  <c r="H172" i="4"/>
  <c r="I172" i="4" s="1"/>
  <c r="N172" i="4"/>
  <c r="O172" i="4" s="1"/>
  <c r="AC198" i="4"/>
  <c r="AD198" i="4" s="1"/>
  <c r="E345" i="2"/>
  <c r="F198" i="2"/>
  <c r="W172" i="1"/>
  <c r="X172" i="1" s="1"/>
  <c r="Q198" i="1"/>
  <c r="AC172" i="1"/>
  <c r="AD172" i="1" s="1"/>
  <c r="R172" i="1"/>
  <c r="AA345" i="1"/>
  <c r="Z404" i="1"/>
  <c r="L345" i="7" l="1"/>
  <c r="K404" i="7"/>
  <c r="K404" i="3"/>
  <c r="L345" i="3"/>
  <c r="Q404" i="5"/>
  <c r="R345" i="5"/>
  <c r="AC345" i="5"/>
  <c r="AD345" i="5" s="1"/>
  <c r="Q404" i="2"/>
  <c r="R345" i="2"/>
  <c r="W345" i="2"/>
  <c r="X345" i="2" s="1"/>
  <c r="AA198" i="6"/>
  <c r="Z345" i="6"/>
  <c r="N198" i="6"/>
  <c r="O198" i="6" s="1"/>
  <c r="B345" i="6"/>
  <c r="C198" i="6"/>
  <c r="H198" i="6"/>
  <c r="I198" i="6" s="1"/>
  <c r="C345" i="2"/>
  <c r="H345" i="2"/>
  <c r="I345" i="2" s="1"/>
  <c r="N345" i="2"/>
  <c r="O345" i="2" s="1"/>
  <c r="B404" i="2"/>
  <c r="U404" i="1"/>
  <c r="T443" i="1"/>
  <c r="U443" i="1" s="1"/>
  <c r="L345" i="4"/>
  <c r="K404" i="4"/>
  <c r="H198" i="1"/>
  <c r="I198" i="1" s="1"/>
  <c r="N198" i="1"/>
  <c r="O198" i="1" s="1"/>
  <c r="C198" i="1"/>
  <c r="B345" i="1"/>
  <c r="K404" i="2"/>
  <c r="L345" i="2"/>
  <c r="E404" i="5"/>
  <c r="F345" i="5"/>
  <c r="Z345" i="2"/>
  <c r="AA198" i="2"/>
  <c r="K404" i="5"/>
  <c r="L345" i="5"/>
  <c r="Q404" i="7"/>
  <c r="AC345" i="7"/>
  <c r="AD345" i="7" s="1"/>
  <c r="R345" i="7"/>
  <c r="F404" i="7"/>
  <c r="E443" i="7"/>
  <c r="F443" i="7" s="1"/>
  <c r="U198" i="4"/>
  <c r="T345" i="4"/>
  <c r="W198" i="4"/>
  <c r="X198" i="4" s="1"/>
  <c r="E404" i="4"/>
  <c r="F345" i="4"/>
  <c r="F198" i="3"/>
  <c r="E345" i="3"/>
  <c r="Z404" i="4"/>
  <c r="AA345" i="4"/>
  <c r="E404" i="2"/>
  <c r="F345" i="2"/>
  <c r="W198" i="6"/>
  <c r="X198" i="6" s="1"/>
  <c r="Q345" i="6"/>
  <c r="AC198" i="6"/>
  <c r="AD198" i="6" s="1"/>
  <c r="R198" i="6"/>
  <c r="R198" i="3"/>
  <c r="AC198" i="3"/>
  <c r="AD198" i="3" s="1"/>
  <c r="W198" i="3"/>
  <c r="X198" i="3" s="1"/>
  <c r="Q345" i="3"/>
  <c r="K404" i="1"/>
  <c r="L345" i="1"/>
  <c r="AA404" i="1"/>
  <c r="Z443" i="1"/>
  <c r="AA443" i="1" s="1"/>
  <c r="Z345" i="7"/>
  <c r="AA198" i="7"/>
  <c r="Z404" i="5"/>
  <c r="AA345" i="5"/>
  <c r="N345" i="7"/>
  <c r="O345" i="7" s="1"/>
  <c r="B404" i="7"/>
  <c r="C345" i="7"/>
  <c r="H345" i="7"/>
  <c r="I345" i="7" s="1"/>
  <c r="T404" i="2"/>
  <c r="U345" i="2"/>
  <c r="AC198" i="2"/>
  <c r="AD198" i="2" s="1"/>
  <c r="R404" i="4"/>
  <c r="Q443" i="4"/>
  <c r="W198" i="1"/>
  <c r="X198" i="1" s="1"/>
  <c r="AC198" i="1"/>
  <c r="AD198" i="1" s="1"/>
  <c r="Q345" i="1"/>
  <c r="R198" i="1"/>
  <c r="B345" i="4"/>
  <c r="N198" i="4"/>
  <c r="O198" i="4" s="1"/>
  <c r="H198" i="4"/>
  <c r="I198" i="4" s="1"/>
  <c r="C198" i="4"/>
  <c r="T345" i="3"/>
  <c r="U198" i="3"/>
  <c r="T345" i="7"/>
  <c r="W345" i="7" s="1"/>
  <c r="X345" i="7" s="1"/>
  <c r="U198" i="7"/>
  <c r="H345" i="5"/>
  <c r="I345" i="5" s="1"/>
  <c r="B404" i="5"/>
  <c r="C345" i="5"/>
  <c r="N345" i="5"/>
  <c r="O345" i="5" s="1"/>
  <c r="Z404" i="3"/>
  <c r="AA345" i="3"/>
  <c r="B345" i="3"/>
  <c r="N198" i="3"/>
  <c r="O198" i="3" s="1"/>
  <c r="C198" i="3"/>
  <c r="H198" i="3"/>
  <c r="I198" i="3" s="1"/>
  <c r="AC345" i="4"/>
  <c r="AD345" i="4" s="1"/>
  <c r="T345" i="6"/>
  <c r="U198" i="6"/>
  <c r="T345" i="5"/>
  <c r="W345" i="5" s="1"/>
  <c r="X345" i="5" s="1"/>
  <c r="U198" i="5"/>
  <c r="F198" i="1"/>
  <c r="E345" i="1"/>
  <c r="K404" i="6"/>
  <c r="L345" i="6"/>
  <c r="K443" i="1" l="1"/>
  <c r="L443" i="1" s="1"/>
  <c r="L404" i="1"/>
  <c r="E443" i="4"/>
  <c r="F443" i="4" s="1"/>
  <c r="F404" i="4"/>
  <c r="R404" i="7"/>
  <c r="Q443" i="7"/>
  <c r="H345" i="6"/>
  <c r="I345" i="6" s="1"/>
  <c r="B404" i="6"/>
  <c r="C345" i="6"/>
  <c r="N345" i="6"/>
  <c r="O345" i="6" s="1"/>
  <c r="R345" i="3"/>
  <c r="Q404" i="3"/>
  <c r="AC345" i="3"/>
  <c r="AD345" i="3" s="1"/>
  <c r="W345" i="3"/>
  <c r="X345" i="3" s="1"/>
  <c r="K443" i="2"/>
  <c r="L443" i="2" s="1"/>
  <c r="L404" i="2"/>
  <c r="H404" i="7"/>
  <c r="I404" i="7" s="1"/>
  <c r="B443" i="7"/>
  <c r="C404" i="7"/>
  <c r="N404" i="7"/>
  <c r="O404" i="7" s="1"/>
  <c r="L404" i="6"/>
  <c r="K443" i="6"/>
  <c r="L443" i="6" s="1"/>
  <c r="E443" i="2"/>
  <c r="F443" i="2" s="1"/>
  <c r="F404" i="2"/>
  <c r="U345" i="4"/>
  <c r="T404" i="4"/>
  <c r="W345" i="4"/>
  <c r="X345" i="4" s="1"/>
  <c r="H345" i="1"/>
  <c r="I345" i="1" s="1"/>
  <c r="N345" i="1"/>
  <c r="O345" i="1" s="1"/>
  <c r="B404" i="1"/>
  <c r="C345" i="1"/>
  <c r="C404" i="2"/>
  <c r="H404" i="2"/>
  <c r="I404" i="2" s="1"/>
  <c r="B443" i="2"/>
  <c r="N404" i="2"/>
  <c r="O404" i="2" s="1"/>
  <c r="Z404" i="6"/>
  <c r="AA345" i="6"/>
  <c r="B404" i="4"/>
  <c r="N345" i="4"/>
  <c r="O345" i="4" s="1"/>
  <c r="C345" i="4"/>
  <c r="H345" i="4"/>
  <c r="I345" i="4" s="1"/>
  <c r="U345" i="7"/>
  <c r="T404" i="7"/>
  <c r="W345" i="1"/>
  <c r="X345" i="1" s="1"/>
  <c r="R345" i="1"/>
  <c r="Q404" i="1"/>
  <c r="AC345" i="1"/>
  <c r="AD345" i="1" s="1"/>
  <c r="K443" i="5"/>
  <c r="L443" i="5" s="1"/>
  <c r="L404" i="5"/>
  <c r="Q443" i="5"/>
  <c r="AC404" i="5"/>
  <c r="AD404" i="5" s="1"/>
  <c r="R404" i="5"/>
  <c r="W404" i="5"/>
  <c r="X404" i="5" s="1"/>
  <c r="T443" i="2"/>
  <c r="U443" i="2" s="1"/>
  <c r="U404" i="2"/>
  <c r="AA345" i="7"/>
  <c r="Z404" i="7"/>
  <c r="AC404" i="7" s="1"/>
  <c r="AD404" i="7" s="1"/>
  <c r="Z443" i="4"/>
  <c r="AA443" i="4" s="1"/>
  <c r="AA404" i="4"/>
  <c r="W345" i="6"/>
  <c r="X345" i="6" s="1"/>
  <c r="R345" i="6"/>
  <c r="Q404" i="6"/>
  <c r="AC345" i="6"/>
  <c r="AD345" i="6" s="1"/>
  <c r="E443" i="5"/>
  <c r="F443" i="5" s="1"/>
  <c r="F404" i="5"/>
  <c r="C404" i="5"/>
  <c r="N404" i="5"/>
  <c r="O404" i="5" s="1"/>
  <c r="H404" i="5"/>
  <c r="I404" i="5" s="1"/>
  <c r="B443" i="5"/>
  <c r="R443" i="4"/>
  <c r="E404" i="1"/>
  <c r="F345" i="1"/>
  <c r="Z443" i="5"/>
  <c r="AA443" i="5" s="1"/>
  <c r="AA404" i="5"/>
  <c r="N345" i="3"/>
  <c r="O345" i="3" s="1"/>
  <c r="C345" i="3"/>
  <c r="B404" i="3"/>
  <c r="H345" i="3"/>
  <c r="I345" i="3" s="1"/>
  <c r="Z443" i="3"/>
  <c r="AA443" i="3" s="1"/>
  <c r="AA404" i="3"/>
  <c r="AA345" i="2"/>
  <c r="Z404" i="2"/>
  <c r="AC404" i="2" s="1"/>
  <c r="AD404" i="2" s="1"/>
  <c r="L404" i="3"/>
  <c r="K443" i="3"/>
  <c r="L443" i="3" s="1"/>
  <c r="T404" i="5"/>
  <c r="U345" i="5"/>
  <c r="T404" i="3"/>
  <c r="U345" i="3"/>
  <c r="F345" i="3"/>
  <c r="E404" i="3"/>
  <c r="U345" i="6"/>
  <c r="T404" i="6"/>
  <c r="AC404" i="4"/>
  <c r="AD404" i="4" s="1"/>
  <c r="K443" i="4"/>
  <c r="L443" i="4" s="1"/>
  <c r="L404" i="4"/>
  <c r="AC345" i="2"/>
  <c r="AD345" i="2" s="1"/>
  <c r="L404" i="7"/>
  <c r="K443" i="7"/>
  <c r="L443" i="7" s="1"/>
  <c r="Q443" i="2"/>
  <c r="W404" i="2"/>
  <c r="X404" i="2" s="1"/>
  <c r="R404" i="2"/>
  <c r="F404" i="1" l="1"/>
  <c r="E443" i="1"/>
  <c r="F443" i="1" s="1"/>
  <c r="T443" i="5"/>
  <c r="U443" i="5" s="1"/>
  <c r="U404" i="5"/>
  <c r="U404" i="6"/>
  <c r="T443" i="6"/>
  <c r="U443" i="6" s="1"/>
  <c r="W404" i="6"/>
  <c r="X404" i="6" s="1"/>
  <c r="R404" i="6"/>
  <c r="AC404" i="6"/>
  <c r="AD404" i="6" s="1"/>
  <c r="Q443" i="6"/>
  <c r="W404" i="1"/>
  <c r="X404" i="1" s="1"/>
  <c r="R404" i="1"/>
  <c r="AC404" i="1"/>
  <c r="AD404" i="1" s="1"/>
  <c r="Q443" i="1"/>
  <c r="B443" i="4"/>
  <c r="N404" i="4"/>
  <c r="O404" i="4" s="1"/>
  <c r="C404" i="4"/>
  <c r="H404" i="4"/>
  <c r="I404" i="4" s="1"/>
  <c r="H404" i="1"/>
  <c r="I404" i="1" s="1"/>
  <c r="C404" i="1"/>
  <c r="B443" i="1"/>
  <c r="N404" i="1"/>
  <c r="O404" i="1" s="1"/>
  <c r="R443" i="7"/>
  <c r="W443" i="2"/>
  <c r="X443" i="2" s="1"/>
  <c r="R443" i="2"/>
  <c r="N443" i="5"/>
  <c r="O443" i="5" s="1"/>
  <c r="H443" i="5"/>
  <c r="I443" i="5" s="1"/>
  <c r="C443" i="5"/>
  <c r="AA404" i="2"/>
  <c r="Z443" i="2"/>
  <c r="AA443" i="2" s="1"/>
  <c r="Z443" i="6"/>
  <c r="AA443" i="6" s="1"/>
  <c r="AA404" i="6"/>
  <c r="R404" i="3"/>
  <c r="AC404" i="3"/>
  <c r="AD404" i="3" s="1"/>
  <c r="Q443" i="3"/>
  <c r="W404" i="3"/>
  <c r="X404" i="3" s="1"/>
  <c r="U404" i="7"/>
  <c r="T443" i="7"/>
  <c r="U443" i="7" s="1"/>
  <c r="W404" i="7"/>
  <c r="X404" i="7" s="1"/>
  <c r="AC443" i="5"/>
  <c r="AD443" i="5" s="1"/>
  <c r="W443" i="5"/>
  <c r="X443" i="5" s="1"/>
  <c r="R443" i="5"/>
  <c r="C443" i="2"/>
  <c r="H443" i="2"/>
  <c r="I443" i="2" s="1"/>
  <c r="N443" i="2"/>
  <c r="O443" i="2" s="1"/>
  <c r="T443" i="4"/>
  <c r="U404" i="4"/>
  <c r="W404" i="4"/>
  <c r="X404" i="4" s="1"/>
  <c r="H443" i="7"/>
  <c r="I443" i="7" s="1"/>
  <c r="C443" i="7"/>
  <c r="N443" i="7"/>
  <c r="O443" i="7" s="1"/>
  <c r="Z443" i="7"/>
  <c r="AA443" i="7" s="1"/>
  <c r="AA404" i="7"/>
  <c r="T443" i="3"/>
  <c r="U443" i="3" s="1"/>
  <c r="U404" i="3"/>
  <c r="AC443" i="4"/>
  <c r="AD443" i="4" s="1"/>
  <c r="H404" i="6"/>
  <c r="I404" i="6" s="1"/>
  <c r="C404" i="6"/>
  <c r="B443" i="6"/>
  <c r="N404" i="6"/>
  <c r="O404" i="6" s="1"/>
  <c r="F404" i="3"/>
  <c r="E443" i="3"/>
  <c r="F443" i="3" s="1"/>
  <c r="H404" i="3"/>
  <c r="I404" i="3" s="1"/>
  <c r="N404" i="3"/>
  <c r="O404" i="3" s="1"/>
  <c r="B443" i="3"/>
  <c r="C404" i="3"/>
  <c r="W443" i="7" l="1"/>
  <c r="X443" i="7" s="1"/>
  <c r="N443" i="4"/>
  <c r="O443" i="4" s="1"/>
  <c r="H443" i="4"/>
  <c r="I443" i="4" s="1"/>
  <c r="C443" i="4"/>
  <c r="C443" i="6"/>
  <c r="H443" i="6"/>
  <c r="I443" i="6" s="1"/>
  <c r="N443" i="6"/>
  <c r="O443" i="6" s="1"/>
  <c r="R443" i="3"/>
  <c r="AC443" i="3"/>
  <c r="AD443" i="3" s="1"/>
  <c r="W443" i="3"/>
  <c r="X443" i="3" s="1"/>
  <c r="W443" i="1"/>
  <c r="X443" i="1" s="1"/>
  <c r="AC443" i="1"/>
  <c r="AD443" i="1" s="1"/>
  <c r="R443" i="1"/>
  <c r="H443" i="1"/>
  <c r="I443" i="1" s="1"/>
  <c r="N443" i="1"/>
  <c r="O443" i="1" s="1"/>
  <c r="C443" i="1"/>
  <c r="H443" i="3"/>
  <c r="I443" i="3" s="1"/>
  <c r="N443" i="3"/>
  <c r="O443" i="3" s="1"/>
  <c r="C443" i="3"/>
  <c r="AC443" i="2"/>
  <c r="AD443" i="2" s="1"/>
  <c r="AC443" i="6"/>
  <c r="AD443" i="6" s="1"/>
  <c r="W443" i="6"/>
  <c r="X443" i="6" s="1"/>
  <c r="R443" i="6"/>
  <c r="U443" i="4"/>
  <c r="W443" i="4"/>
  <c r="X443" i="4" s="1"/>
  <c r="AC443" i="7"/>
  <c r="AD443" i="7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<sst xmlns="http://schemas.openxmlformats.org/spreadsheetml/2006/main" count="3934" uniqueCount="417">
  <si>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</si>
  <si>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11/23/2025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</si>
  <si>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</si>
  <si>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</si>
  <si>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</si>
  <si>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</si>
  <si>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</si>
  <si>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</si>
  <si>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</si>
  <si>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</si>
  <si>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</si>
  <si>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</si>
  <si>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</si>
  <si>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</si>
  <si>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</si>
  <si>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</si>
  <si>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</si>
  <si>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</si>
  <si>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</si>
  <si>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</si>
  <si>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</si>
  <si>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</si>
  <si>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</si>
  <si>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</si>
  <si>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</si>
  <si>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</si>
  <si>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</si>
  <si>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</si>
  <si>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</si>
  <si>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</si>
  <si>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</si>
  <si>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</si>
  <si>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</si>
  <si>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</si>
  <si>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</si>
  <si>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</si>
  <si>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</si>
  <si>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</si>
  <si>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</si>
  <si>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</si>
  <si>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</si>
  <si>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</si>
  <si>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</si>
  <si>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</si>
  <si>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</si>
  <si>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</si>
  <si>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</si>
  <si>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</si>
  <si>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</si>
  <si>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</si>
  <si>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</si>
  <si>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</si>
  <si>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</si>
  <si>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</si>
  <si>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</si>
  <si>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</si>
  <si>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</si>
  <si>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</si>
  <si>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</si>
  <si>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</si>
  <si>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</si>
  <si>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</si>
  <si>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</si>
  <si>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</si>
  <si>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</si>
  <si>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</si>
  <si>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</si>
  <si>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</si>
  <si>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</si>
  <si>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</si>
  <si>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</si>
  <si>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</si>
  <si>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</si>
  <si>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</si>
  <si>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</si>
  <si>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</si>
  <si>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</si>
  <si>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</si>
  <si>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</si>
  <si>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</si>
  <si>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</si>
  <si>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</si>
  <si>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</si>
  <si>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</si>
  <si>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</si>
  <si>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</si>
  <si>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</si>
  <si>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</si>
  <si>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</si>
  <si>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</si>
  <si>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</si>
  <si>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</si>
  <si>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</si>
  <si>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</si>
  <si>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</si>
  <si>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</si>
  <si>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</si>
  <si>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</si>
  <si>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</si>
  <si>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</si>
  <si>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</si>
  <si>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</si>
  <si>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</si>
  <si>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</si>
  <si>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</si>
  <si>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</si>
  <si>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</si>
  <si>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</si>
  <si>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</si>
  <si>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</si>
  <si>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</si>
  <si>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</si>
  <si>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</si>
  <si>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</si>
  <si>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</si>
  <si>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</si>
  <si>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</si>
  <si>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</si>
  <si>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</si>
  <si>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</si>
  <si>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</si>
  <si>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</si>
  <si>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</si>
  <si>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</si>
  <si>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</si>
  <si>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</si>
  <si>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</si>
  <si>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</si>
  <si>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</si>
  <si>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</si>
  <si>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</si>
  <si>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</si>
  <si>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</si>
  <si>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</si>
  <si>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</si>
  <si>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</si>
  <si>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</si>
  <si>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</si>
  <si>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</si>
  <si>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</si>
  <si>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</si>
  <si>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</si>
  <si>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</si>
  <si>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</si>
  <si>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</si>
  <si>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</si>
  <si>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</si>
  <si>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</si>
  <si>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</si>
  <si>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</si>
  <si>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</si>
  <si>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</si>
  <si>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</si>
  <si>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</si>
  <si>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</si>
  <si>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</si>
  <si>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</si>
  <si>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</si>
  <si>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</si>
  <si>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</si>
  <si>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</si>
  <si>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</si>
  <si>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</si>
  <si>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</si>
  <si>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</si>
  <si>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</si>
  <si>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</si>
  <si>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</si>
  <si>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</si>
  <si>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</si>
  <si>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</si>
  <si>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</si>
  <si>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</si>
  <si>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</si>
  <si>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</si>
  <si>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</si>
  <si>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</si>
  <si>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</si>
  <si>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</si>
  <si>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</si>
  <si>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</si>
  <si>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</si>
  <si>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</si>
  <si>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</si>
  <si>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</si>
  <si>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</si>
  <si>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</si>
  <si>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</si>
  <si>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</si>
  <si>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</si>
  <si>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</si>
  <si>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</si>
  <si>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</si>
  <si>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</si>
  <si>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</si>
  <si>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</si>
  <si>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</si>
  <si>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</si>
  <si>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</si>
  <si>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</si>
  <si>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</si>
  <si>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</si>
  <si>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</si>
  <si>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</si>
  <si>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</si>
  <si>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</si>
  <si>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</si>
  <si>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</si>
  <si>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</si>
  <si>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</si>
  <si>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</si>
  <si>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</si>
  <si>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</si>
  <si>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</si>
  <si>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</si>
  <si>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</si>
  <si>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</si>
  <si>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</si>
  <si>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</si>
  <si>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</si>
  <si>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</si>
  <si>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</si>
  <si>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</si>
  <si>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</si>
  <si>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</si>
  <si>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</si>
  <si>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</si>
  <si>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</si>
  <si>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</si>
  <si>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</si>
  <si>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</si>
  <si>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</si>
  <si>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</si>
  <si>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</si>
  <si>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</si>
  <si>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</si>
  <si>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</si>
  <si>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</si>
  <si>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</si>
  <si>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</si>
  <si>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</si>
  <si>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</si>
  <si>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</si>
  <si>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</si>
  <si>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</si>
  <si>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</si>
  <si>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</si>
  <si>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</si>
  <si>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</si>
  <si>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</si>
  <si>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</si>
  <si>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</si>
  <si>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</si>
  <si>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</si>
  <si>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</si>
  <si>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</si>
  <si>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</si>
  <si>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</si>
  <si>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</si>
  <si>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</si>
  <si>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</si>
  <si>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</si>
  <si>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</si>
  <si>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</si>
  <si>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</si>
  <si>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</si>
  <si>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</si>
  <si>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</si>
  <si>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</si>
  <si>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</si>
  <si>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</si>
  <si>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</si>
  <si>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</si>
  <si>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</si>
  <si>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</si>
  <si>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</si>
  <si>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</si>
  <si>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</si>
  <si>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</si>
  <si>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</si>
  <si>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</si>
  <si>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</si>
  <si>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</si>
  <si>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</si>
  <si>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</si>
  <si>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</si>
  <si>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</si>
  <si>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</si>
  <si>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</si>
  <si>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</si>
  <si>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</si>
  <si>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</si>
  <si>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</si>
  <si>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</si>
  <si>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</si>
  <si>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</si>
  <si>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</si>
  <si>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</si>
  <si>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</si>
  <si>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</si>
  <si>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</si>
  <si>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</si>
  <si>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</si>
  <si>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</si>
  <si>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</si>
  <si>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</si>
  <si>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</si>
  <si>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</si>
  <si>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</si>
  <si>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</si>
  <si>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</si>
  <si>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</si>
  <si>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</si>
  <si>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</si>
  <si>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</si>
  <si>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</si>
  <si>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</si>
  <si>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</si>
  <si>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</si>
  <si>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</si>
  <si>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</si>
  <si>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</si>
  <si>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</si>
  <si>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</si>
  <si>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</si>
  <si>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</si>
  <si>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</si>
  <si>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</si>
  <si>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</si>
  <si>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</si>
  <si>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</si>
  <si>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</si>
  <si>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</si>
  <si>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</si>
  <si>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</si>
  <si>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</si>
  <si>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</si>
  <si>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</si>
  <si>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</si>
  <si>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</si>
  <si>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</si>
  <si>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</si>
  <si>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</si>
  <si>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</si>
  <si>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</si>
  <si>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</si>
  <si>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</si>
  <si>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</si>
  <si>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</si>
  <si>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</si>
  <si>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</si>
  <si>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</si>
  <si>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</si>
  <si>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</si>
  <si>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</si>
  <si>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</si>
  <si>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</si>
  <si>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</si>
  <si>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</si>
  <si>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</si>
  <si>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</si>
  <si>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</si>
  <si>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</si>
  <si>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</si>
  <si>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</si>
  <si>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</si>
  <si>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</si>
  <si>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</si>
  <si>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</si>
  <si>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</si>
  <si>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</si>
  <si>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</si>
  <si>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</si>
  <si>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</si>
  <si>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</si>
  <si>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</si>
  <si>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</si>
  <si>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</si>
  <si>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</si>
  <si>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</si>
  <si>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</si>
  <si>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</si>
  <si>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</si>
  <si>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</si>
  <si>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</si>
  <si>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</si>
  <si>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</si>
  <si>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</si>
  <si>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</si>
  <si>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</si>
  <si>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</si>
  <si>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</si>
  <si>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</si>
  <si>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</si>
  <si>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</si>
  <si>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</si>
  <si>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</si>
  <si>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</si>
  <si>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</si>
  <si>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</si>
  <si>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</si>
  <si>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</si>
  <si>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</si>
  <si>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</si>
  <si>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</si>
  <si>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</si>
  <si>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</si>
  <si>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</si>
  <si>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</si>
  <si>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</si>
  <si>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07:03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</si>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</sst>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287771.02</v>
      </c>
      <c r="F10" s="8">
        <f>IFERROR(E10/E444, "NA")</f>
        <v>0.43807747981009942</v>
      </c>
      <c r="G10" s="9"/>
      <c r="H10" s="10">
        <f t="shared" ref="H10:H19" si="0">IFERROR(B10-E10, "NA")</f>
        <v>-287771.02</v>
      </c>
      <c r="I10" s="8">
        <f>IFERROR(H10/H444, "NA")</f>
        <v>-5.5420567569155024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3175086.91</v>
      </c>
      <c r="U10" s="8">
        <f>IFERROR(T10/T444, "NA")</f>
        <v>0.45558743255415363</v>
      </c>
      <c r="V10" s="9"/>
      <c r="W10" s="10">
        <f t="shared" ref="W10:W19" si="2">IFERROR(Q10-T10, "NA")</f>
        <v>-3175086.91</v>
      </c>
      <c r="X10" s="8">
        <f>IFERROR(W10/W444, "NA")</f>
        <v>9.6735423002980649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204740.56</v>
      </c>
      <c r="C11" s="8">
        <f>IFERROR(B11/B444, "NA")</f>
        <v>0.2888469559862013</v>
      </c>
      <c r="D11" s="9"/>
      <c r="E11" s="7">
        <v>0</v>
      </c>
      <c r="F11" s="8">
        <f>IFERROR(E11/E444, "NA")</f>
        <v>0</v>
      </c>
      <c r="G11" s="9"/>
      <c r="H11" s="10">
        <f t="shared" si="0"/>
        <v>204740.56</v>
      </c>
      <c r="I11" s="8">
        <f>IFERROR(H11/H444, "NA")</f>
        <v>3.9430092855168799</v>
      </c>
      <c r="J11" s="9"/>
      <c r="K11" s="7">
        <v>226918.7</v>
      </c>
      <c r="L11" s="8">
        <f>IFERROR(K11/K444, "NA")</f>
        <v>0.38555427967447359</v>
      </c>
      <c r="M11" s="9"/>
      <c r="N11" s="10">
        <f t="shared" si="1"/>
        <v>-22178.140000000014</v>
      </c>
      <c r="O11" s="8">
        <f>IFERROR(N11/N444, "NA")</f>
        <v>-0.18440550262945388</v>
      </c>
      <c r="P11" s="9"/>
      <c r="Q11" s="7">
        <v>2667941.5700000003</v>
      </c>
      <c r="R11" s="8">
        <f>IFERROR(Q11/Q444, "NA")</f>
        <v>0.40173844071325798</v>
      </c>
      <c r="S11" s="9"/>
      <c r="T11" s="7">
        <v>0</v>
      </c>
      <c r="U11" s="8">
        <f>IFERROR(T11/T444, "NA")</f>
        <v>0</v>
      </c>
      <c r="V11" s="9"/>
      <c r="W11" s="10">
        <f t="shared" si="2"/>
        <v>2667941.5700000003</v>
      </c>
      <c r="X11" s="8">
        <f>IFERROR(W11/W444, "NA")</f>
        <v>-8.1284217924348514</v>
      </c>
      <c r="Y11" s="9"/>
      <c r="Z11" s="7">
        <v>2637638.83</v>
      </c>
      <c r="AA11" s="8">
        <f>IFERROR(Z11/Z444, "NA")</f>
        <v>0.4251833283938094</v>
      </c>
      <c r="AB11" s="9"/>
      <c r="AC11" s="10">
        <f t="shared" si="3"/>
        <v>30302.740000000224</v>
      </c>
      <c r="AD11" s="8">
        <f>IFERROR(AC11/AC444, "NA")</f>
        <v>6.9269984383660235E-2</v>
      </c>
    </row>
    <row r="12" spans="1:30" ht="16.5" customHeight="1" x14ac:dyDescent="0.45">
      <c r="A12" s="12" t="s">
        <v>14</v>
      </c>
      <c r="B12" s="7">
        <v>21224.9</v>
      </c>
      <c r="C12" s="8">
        <f>IFERROR(B12/B444, "NA")</f>
        <v>2.9943982550948989E-2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21224.9</v>
      </c>
      <c r="I12" s="8">
        <f>IFERROR(H12/H444, "NA")</f>
        <v>0.40876110617342865</v>
      </c>
      <c r="J12" s="9"/>
      <c r="K12" s="7">
        <v>21107</v>
      </c>
      <c r="L12" s="8">
        <f>IFERROR(K12/K444, "NA")</f>
        <v>3.5862598283390099E-2</v>
      </c>
      <c r="M12" s="9"/>
      <c r="N12" s="10">
        <f t="shared" si="1"/>
        <v>117.90000000000146</v>
      </c>
      <c r="O12" s="8">
        <f>IFERROR(N12/N444, "NA")</f>
        <v>9.8030803124215409E-4</v>
      </c>
      <c r="P12" s="9"/>
      <c r="Q12" s="7">
        <v>280424.54000000004</v>
      </c>
      <c r="R12" s="8">
        <f>IFERROR(Q12/Q444, "NA")</f>
        <v>4.2226306117091106E-2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280424.54000000004</v>
      </c>
      <c r="X12" s="8">
        <f>IFERROR(W12/W444, "NA")</f>
        <v>-0.85436988864397012</v>
      </c>
      <c r="Y12" s="9"/>
      <c r="Z12" s="7">
        <v>266401.59999999998</v>
      </c>
      <c r="AA12" s="8">
        <f>IFERROR(Z12/Z444, "NA")</f>
        <v>4.2943528768658687E-2</v>
      </c>
      <c r="AB12" s="9"/>
      <c r="AC12" s="10">
        <f t="shared" si="3"/>
        <v>14022.940000000061</v>
      </c>
      <c r="AD12" s="8">
        <f>IFERROR(AC12/AC444, "NA")</f>
        <v>3.2055478640314425E-2</v>
      </c>
    </row>
    <row r="13" spans="1:30" ht="16.5" customHeight="1" x14ac:dyDescent="0.45">
      <c r="A13" s="12" t="s">
        <v>15</v>
      </c>
      <c r="B13" s="7">
        <v>919</v>
      </c>
      <c r="C13" s="8">
        <f>IFERROR(B13/B444, "NA")</f>
        <v>1.296520594411381E-3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919</v>
      </c>
      <c r="I13" s="8">
        <f>IFERROR(H13/H444, "NA")</f>
        <v>1.7698620797901563E-2</v>
      </c>
      <c r="J13" s="9"/>
      <c r="K13" s="7">
        <v>684</v>
      </c>
      <c r="L13" s="8">
        <f>IFERROR(K13/K444, "NA")</f>
        <v>1.1621745025744458E-3</v>
      </c>
      <c r="M13" s="9"/>
      <c r="N13" s="10">
        <f t="shared" si="1"/>
        <v>235</v>
      </c>
      <c r="O13" s="8">
        <f>IFERROR(N13/N444, "NA")</f>
        <v>1.9539642692273399E-3</v>
      </c>
      <c r="P13" s="9"/>
      <c r="Q13" s="7">
        <v>12458</v>
      </c>
      <c r="R13" s="8">
        <f>IFERROR(Q13/Q444, "NA")</f>
        <v>1.8759247019063342E-3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12458</v>
      </c>
      <c r="X13" s="8">
        <f>IFERROR(W13/W444, "NA")</f>
        <v>-3.7955808263879391E-2</v>
      </c>
      <c r="Y13" s="9"/>
      <c r="Z13" s="7">
        <v>10917.76</v>
      </c>
      <c r="AA13" s="8">
        <f>IFERROR(Z13/Z444, "NA")</f>
        <v>1.7599261440220746E-3</v>
      </c>
      <c r="AB13" s="9"/>
      <c r="AC13" s="10">
        <f t="shared" si="3"/>
        <v>1540.2399999999998</v>
      </c>
      <c r="AD13" s="8">
        <f>IFERROR(AC13/AC444, "NA")</f>
        <v>3.5208829547126114E-3</v>
      </c>
    </row>
    <row r="14" spans="1:30" ht="16.5" customHeight="1" x14ac:dyDescent="0.45">
      <c r="A14" s="12" t="s">
        <v>16</v>
      </c>
      <c r="B14" s="7">
        <v>250</v>
      </c>
      <c r="C14" s="8">
        <f>IFERROR(B14/B444, "NA")</f>
        <v>3.5269874711952692E-4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250</v>
      </c>
      <c r="I14" s="8">
        <f>IFERROR(H14/H444, "NA")</f>
        <v>4.8146411310940052E-3</v>
      </c>
      <c r="J14" s="9"/>
      <c r="K14" s="7">
        <v>1550</v>
      </c>
      <c r="L14" s="8">
        <f>IFERROR(K14/K444, "NA")</f>
        <v>2.6335825716233786E-3</v>
      </c>
      <c r="M14" s="9"/>
      <c r="N14" s="10">
        <f t="shared" si="1"/>
        <v>-1300</v>
      </c>
      <c r="O14" s="8">
        <f>IFERROR(N14/N444, "NA")</f>
        <v>-1.0809164042534221E-2</v>
      </c>
      <c r="P14" s="9"/>
      <c r="Q14" s="7">
        <v>13940</v>
      </c>
      <c r="R14" s="8">
        <f>IFERROR(Q14/Q444, "NA")</f>
        <v>2.0990841503109891E-3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13940</v>
      </c>
      <c r="X14" s="8">
        <f>IFERROR(W14/W444, "NA")</f>
        <v>-4.247102000308868E-2</v>
      </c>
      <c r="Y14" s="9"/>
      <c r="Z14" s="7">
        <v>30526.989999999998</v>
      </c>
      <c r="AA14" s="8">
        <f>IFERROR(Z14/Z444, "NA")</f>
        <v>4.9209039033007163E-3</v>
      </c>
      <c r="AB14" s="9"/>
      <c r="AC14" s="10">
        <f t="shared" si="3"/>
        <v>-16586.989999999998</v>
      </c>
      <c r="AD14" s="8">
        <f>IFERROR(AC14/AC444, "NA")</f>
        <v>-3.7916721005160581E-2</v>
      </c>
    </row>
    <row r="15" spans="1:30" ht="16.5" customHeight="1" x14ac:dyDescent="0.45">
      <c r="A15" s="12" t="s">
        <v>17</v>
      </c>
      <c r="B15" s="7">
        <v>186</v>
      </c>
      <c r="C15" s="8">
        <f>IFERROR(B15/B444, "NA")</f>
        <v>2.6240786785692802E-4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186</v>
      </c>
      <c r="I15" s="8">
        <f>IFERROR(H15/H444, "NA")</f>
        <v>3.5820930015339398E-3</v>
      </c>
      <c r="J15" s="9"/>
      <c r="K15" s="7">
        <v>219</v>
      </c>
      <c r="L15" s="8">
        <f>IFERROR(K15/K444, "NA")</f>
        <v>3.7209973108743221E-4</v>
      </c>
      <c r="M15" s="9"/>
      <c r="N15" s="10">
        <f t="shared" si="1"/>
        <v>-33</v>
      </c>
      <c r="O15" s="8">
        <f>IFERROR(N15/N444, "NA")</f>
        <v>-2.743864718489456E-4</v>
      </c>
      <c r="P15" s="9"/>
      <c r="Q15" s="7">
        <v>2875</v>
      </c>
      <c r="R15" s="8">
        <f>IFERROR(Q15/Q444, "NA")</f>
        <v>4.3291728351105405E-4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2875</v>
      </c>
      <c r="X15" s="8">
        <f>IFERROR(W15/W444, "NA")</f>
        <v>-8.7592670379397376E-3</v>
      </c>
      <c r="Y15" s="9"/>
      <c r="Z15" s="7">
        <v>3501.5</v>
      </c>
      <c r="AA15" s="8">
        <f>IFERROR(Z15/Z444, "NA")</f>
        <v>5.6443642224167725E-4</v>
      </c>
      <c r="AB15" s="9"/>
      <c r="AC15" s="10">
        <f t="shared" si="3"/>
        <v>-626.5</v>
      </c>
      <c r="AD15" s="8">
        <f>IFERROR(AC15/AC444, "NA")</f>
        <v>-1.4321360120029679E-3</v>
      </c>
    </row>
    <row r="16" spans="1:30" ht="16.5" customHeight="1" x14ac:dyDescent="0.45">
      <c r="A16" s="12" t="s">
        <v>18</v>
      </c>
      <c r="B16" s="7">
        <v>0.5</v>
      </c>
      <c r="C16" s="8">
        <f>IFERROR(B16/B444, "NA")</f>
        <v>7.0539749423905384E-7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0.5</v>
      </c>
      <c r="I16" s="8">
        <f>IFERROR(H16/H444, "NA")</f>
        <v>9.6292822621880105E-6</v>
      </c>
      <c r="J16" s="9"/>
      <c r="K16" s="7">
        <v>1.1000000000000001</v>
      </c>
      <c r="L16" s="8">
        <f>IFERROR(K16/K444, "NA")</f>
        <v>1.8689940830875593E-6</v>
      </c>
      <c r="M16" s="9"/>
      <c r="N16" s="10">
        <f t="shared" si="1"/>
        <v>-0.60000000000000009</v>
      </c>
      <c r="O16" s="8">
        <f>IFERROR(N16/N444, "NA")</f>
        <v>-4.9888449427081028E-6</v>
      </c>
      <c r="P16" s="9"/>
      <c r="Q16" s="7">
        <v>14.469999999999999</v>
      </c>
      <c r="R16" s="8">
        <f>IFERROR(Q16/Q444, "NA")</f>
        <v>2.1788915104017222E-6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14.469999999999999</v>
      </c>
      <c r="X16" s="8">
        <f>IFERROR(W16/W444, "NA")</f>
        <v>-4.4085771839648004E-5</v>
      </c>
      <c r="Y16" s="9"/>
      <c r="Z16" s="7">
        <v>2.1</v>
      </c>
      <c r="AA16" s="8">
        <f>IFERROR(Z16/Z444, "NA")</f>
        <v>3.3851677472726613E-7</v>
      </c>
      <c r="AB16" s="9"/>
      <c r="AC16" s="10">
        <f t="shared" si="3"/>
        <v>12.37</v>
      </c>
      <c r="AD16" s="8">
        <f>IFERROR(AC16/AC444, "NA")</f>
        <v>2.8276971218638009E-5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227320.95999999999</v>
      </c>
      <c r="C18" s="15">
        <f>IFERROR(B18/B444, "NA")</f>
        <v>0.32070327114403235</v>
      </c>
      <c r="D18" s="2"/>
      <c r="E18" s="14">
        <f>IFERROR(E10+E11+E12+E13+E14+E15+E16+E17, "NA")</f>
        <v>287771.02</v>
      </c>
      <c r="F18" s="15">
        <f>IFERROR(E18/E444, "NA")</f>
        <v>0.43807747981009942</v>
      </c>
      <c r="G18" s="2"/>
      <c r="H18" s="14">
        <f t="shared" si="0"/>
        <v>-60450.060000000027</v>
      </c>
      <c r="I18" s="15">
        <f>IFERROR(H18/H444, "NA")</f>
        <v>-1.1641813810124024</v>
      </c>
      <c r="J18" s="2"/>
      <c r="K18" s="14">
        <f>IFERROR(K10+K11+K12+K13+K14+K15+K16+K17, "NA")</f>
        <v>250479.80000000002</v>
      </c>
      <c r="L18" s="15">
        <f>IFERROR(K18/K444, "NA")</f>
        <v>0.42558660375723201</v>
      </c>
      <c r="M18" s="2"/>
      <c r="N18" s="14">
        <f t="shared" si="1"/>
        <v>-23158.840000000026</v>
      </c>
      <c r="O18" s="15">
        <f>IFERROR(N18/N444, "NA")</f>
        <v>-0.19255976968831037</v>
      </c>
      <c r="P18" s="2"/>
      <c r="Q18" s="14">
        <f>IFERROR(Q10+Q11+Q12+Q13+Q14+Q15+Q16+Q17, "NA")</f>
        <v>2977653.5800000005</v>
      </c>
      <c r="R18" s="15">
        <f>IFERROR(Q18/Q444, "NA")</f>
        <v>0.44837485185758791</v>
      </c>
      <c r="S18" s="2"/>
      <c r="T18" s="14">
        <f>IFERROR(T10+T11+T12+T13+T14+T15+T16+T17, "NA")</f>
        <v>3175086.91</v>
      </c>
      <c r="U18" s="15">
        <f>IFERROR(T18/T444, "NA")</f>
        <v>0.45558743255415363</v>
      </c>
      <c r="V18" s="2"/>
      <c r="W18" s="14">
        <f t="shared" si="2"/>
        <v>-197433.32999999961</v>
      </c>
      <c r="X18" s="15">
        <f>IFERROR(W18/W444, "NA")</f>
        <v>0.60152043814249578</v>
      </c>
      <c r="Y18" s="2"/>
      <c r="Z18" s="14">
        <f>IFERROR(Z10+Z11+Z12+Z13+Z14+Z15+Z16+Z17, "NA")</f>
        <v>2948988.7800000003</v>
      </c>
      <c r="AA18" s="15">
        <f>IFERROR(Z18/Z444, "NA")</f>
        <v>0.47537246214880735</v>
      </c>
      <c r="AB18" s="2"/>
      <c r="AC18" s="14">
        <f t="shared" si="3"/>
        <v>28664.800000000279</v>
      </c>
      <c r="AD18" s="15">
        <f>IFERROR(AC18/AC444, "NA")</f>
        <v>6.5525765932742341E-2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52393.85</v>
      </c>
      <c r="F21" s="8">
        <f>IFERROR(E21/E444, "NA")</f>
        <v>7.975982350671855E-2</v>
      </c>
      <c r="G21" s="9"/>
      <c r="H21" s="10">
        <f t="shared" ref="H21:H29" si="4">IFERROR(B21-E21, "NA")</f>
        <v>-52393.85</v>
      </c>
      <c r="I21" s="8">
        <f>IFERROR(H21/H444, "NA")</f>
        <v>-1.0090303409054786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572348.55000000005</v>
      </c>
      <c r="U21" s="8">
        <f>IFERROR(T21/T444, "NA")</f>
        <v>8.2125250052003343E-2</v>
      </c>
      <c r="V21" s="9"/>
      <c r="W21" s="10">
        <f t="shared" ref="W21:W29" si="6">IFERROR(Q21-T21, "NA")</f>
        <v>-572348.55000000005</v>
      </c>
      <c r="X21" s="8">
        <f>IFERROR(W21/W444, "NA")</f>
        <v>1.7437752306878624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32828.61</v>
      </c>
      <c r="C22" s="8">
        <f>IFERROR(B22/B444, "NA")</f>
        <v>4.6314438466702294E-2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32828.61</v>
      </c>
      <c r="I22" s="8">
        <f>IFERROR(H22/H444, "NA")</f>
        <v>0.63223190393057593</v>
      </c>
      <c r="J22" s="9"/>
      <c r="K22" s="7">
        <v>36614.399999999994</v>
      </c>
      <c r="L22" s="8">
        <f>IFERROR(K22/K444, "NA")</f>
        <v>6.2210997232546465E-2</v>
      </c>
      <c r="M22" s="9"/>
      <c r="N22" s="10">
        <f t="shared" si="5"/>
        <v>-3785.7899999999936</v>
      </c>
      <c r="O22" s="8">
        <f>IFERROR(N22/N444, "NA")</f>
        <v>-3.147786549275812E-2</v>
      </c>
      <c r="P22" s="9"/>
      <c r="Q22" s="7">
        <v>419427.33999999997</v>
      </c>
      <c r="R22" s="8">
        <f>IFERROR(Q22/Q444, "NA")</f>
        <v>6.3157337274110339E-2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419427.33999999997</v>
      </c>
      <c r="X22" s="8">
        <f>IFERROR(W22/W444, "NA")</f>
        <v>-1.2778699388079107</v>
      </c>
      <c r="Y22" s="9"/>
      <c r="Z22" s="7">
        <v>413317.04000000004</v>
      </c>
      <c r="AA22" s="8">
        <f>IFERROR(Z22/Z444, "NA")</f>
        <v>6.6626072057438313E-2</v>
      </c>
      <c r="AB22" s="9"/>
      <c r="AC22" s="10">
        <f t="shared" si="7"/>
        <v>6110.2999999999302</v>
      </c>
      <c r="AD22" s="8">
        <f>IFERROR(AC22/AC444, "NA")</f>
        <v>1.3967726534942753E-2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4090.5400000000004</v>
      </c>
      <c r="C24" s="8">
        <f>IFERROR(B24/B444, "NA")</f>
        <v>5.7709133321692391E-3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4090.5400000000004</v>
      </c>
      <c r="I24" s="8">
        <f>IFERROR(H24/H444, "NA")</f>
        <v>7.8777928529541102E-2</v>
      </c>
      <c r="J24" s="9"/>
      <c r="K24" s="7">
        <v>5604.9800000000005</v>
      </c>
      <c r="L24" s="8">
        <f>IFERROR(K24/K444, "NA")</f>
        <v>9.5233404143855536E-3</v>
      </c>
      <c r="M24" s="9"/>
      <c r="N24" s="10">
        <f t="shared" si="5"/>
        <v>-1514.44</v>
      </c>
      <c r="O24" s="8">
        <f>IFERROR(N24/N444, "NA")</f>
        <v>-1.2592177225058097E-2</v>
      </c>
      <c r="P24" s="9"/>
      <c r="Q24" s="7">
        <v>54350.83</v>
      </c>
      <c r="R24" s="8">
        <f>IFERROR(Q24/Q444, "NA")</f>
        <v>8.1841438887551663E-3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54350.83</v>
      </c>
      <c r="X24" s="8">
        <f>IFERROR(W24/W444, "NA")</f>
        <v>-0.16559075954910132</v>
      </c>
      <c r="Y24" s="9"/>
      <c r="Z24" s="7">
        <v>33490.32</v>
      </c>
      <c r="AA24" s="8">
        <f>IFERROR(Z24/Z444, "NA")</f>
        <v>5.3985881480876447E-3</v>
      </c>
      <c r="AB24" s="9"/>
      <c r="AC24" s="10">
        <f t="shared" si="7"/>
        <v>20860.510000000002</v>
      </c>
      <c r="AD24" s="8">
        <f>IFERROR(AC24/AC444, "NA")</f>
        <v>4.7685694492814103E-2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1557.48</v>
      </c>
      <c r="C26" s="8">
        <f>IFERROR(B26/B444, "NA")</f>
        <v>2.1972849786548831E-3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1557.48</v>
      </c>
      <c r="I26" s="8">
        <f>IFERROR(H26/H444, "NA")</f>
        <v>2.9994829075425167E-2</v>
      </c>
      <c r="J26" s="9"/>
      <c r="K26" s="7">
        <v>1304.9100000000001</v>
      </c>
      <c r="L26" s="8">
        <f>IFERROR(K26/K444, "NA")</f>
        <v>2.2171536990561701E-3</v>
      </c>
      <c r="M26" s="9"/>
      <c r="N26" s="10">
        <f t="shared" si="5"/>
        <v>252.56999999999994</v>
      </c>
      <c r="O26" s="8">
        <f>IFERROR(N26/N444, "NA")</f>
        <v>2.1000542786329748E-3</v>
      </c>
      <c r="P26" s="9"/>
      <c r="Q26" s="7">
        <v>22093.26</v>
      </c>
      <c r="R26" s="8">
        <f>IFERROR(Q26/Q444, "NA")</f>
        <v>3.3268014271664102E-3</v>
      </c>
      <c r="S26" s="9"/>
      <c r="T26" s="7">
        <v>0</v>
      </c>
      <c r="U26" s="8">
        <f>IFERROR(T26/T444, "NA")</f>
        <v>0</v>
      </c>
      <c r="V26" s="9"/>
      <c r="W26" s="10">
        <f t="shared" si="6"/>
        <v>22093.26</v>
      </c>
      <c r="X26" s="8">
        <f>IFERROR(W26/W444, "NA")</f>
        <v>-6.7311570114306954E-2</v>
      </c>
      <c r="Y26" s="9"/>
      <c r="Z26" s="7">
        <v>19315.91</v>
      </c>
      <c r="AA26" s="8">
        <f>IFERROR(Z26/Z444, "NA")</f>
        <v>3.1136950257724507E-3</v>
      </c>
      <c r="AB26" s="9"/>
      <c r="AC26" s="10">
        <f t="shared" si="7"/>
        <v>2777.3499999999985</v>
      </c>
      <c r="AD26" s="8">
        <f>IFERROR(AC26/AC444, "NA")</f>
        <v>6.348831529028637E-3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4664.1000000000004</v>
      </c>
      <c r="AA27" s="8">
        <f>IFERROR(Z27/Z444, "NA")</f>
        <v>7.5184575666925808E-4</v>
      </c>
      <c r="AB27" s="9"/>
      <c r="AC27" s="10">
        <f t="shared" si="7"/>
        <v>-4664.1000000000004</v>
      </c>
      <c r="AD27" s="8">
        <f>IFERROR(AC27/AC444, "NA")</f>
        <v>-1.0661812567570698E-2</v>
      </c>
    </row>
    <row r="28" spans="1:30" ht="16.5" customHeight="1" x14ac:dyDescent="0.45">
      <c r="A28" s="12" t="s">
        <v>29</v>
      </c>
      <c r="B28" s="7">
        <v>4210.97</v>
      </c>
      <c r="C28" s="8">
        <f>IFERROR(B28/B444, "NA")</f>
        <v>5.9408153726316576E-3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4210.97</v>
      </c>
      <c r="I28" s="8">
        <f>IFERROR(H28/H444, "NA")</f>
        <v>8.109723745521169E-2</v>
      </c>
      <c r="J28" s="9"/>
      <c r="K28" s="7">
        <v>3923.45</v>
      </c>
      <c r="L28" s="8">
        <f>IFERROR(K28/K444, "NA")</f>
        <v>6.6662771229908033E-3</v>
      </c>
      <c r="M28" s="9"/>
      <c r="N28" s="10">
        <f t="shared" si="5"/>
        <v>287.52000000000044</v>
      </c>
      <c r="O28" s="8">
        <f>IFERROR(N28/N444, "NA")</f>
        <v>2.3906544965457263E-3</v>
      </c>
      <c r="P28" s="9"/>
      <c r="Q28" s="7">
        <v>47559.28</v>
      </c>
      <c r="R28" s="8">
        <f>IFERROR(Q28/Q444, "NA")</f>
        <v>7.1614728011622966E-3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47559.28</v>
      </c>
      <c r="X28" s="8">
        <f>IFERROR(W28/W444, "NA")</f>
        <v>-0.14489893344422491</v>
      </c>
      <c r="Y28" s="9"/>
      <c r="Z28" s="7">
        <v>45462.03</v>
      </c>
      <c r="AA28" s="8">
        <f>IFERROR(Z28/Z444, "NA")</f>
        <v>7.3284094134067682E-3</v>
      </c>
      <c r="AB28" s="9"/>
      <c r="AC28" s="10">
        <f t="shared" si="7"/>
        <v>2097.25</v>
      </c>
      <c r="AD28" s="8">
        <f>IFERROR(AC28/AC444, "NA")</f>
        <v>4.7941695948495204E-3</v>
      </c>
    </row>
    <row r="29" spans="1:30" ht="16.5" customHeight="1" x14ac:dyDescent="0.45">
      <c r="A29" s="13" t="s">
        <v>30</v>
      </c>
      <c r="B29" s="14">
        <f>IFERROR(B21+B22+B23+B24+B25+B26+B27+B28, "NA")</f>
        <v>42687.600000000006</v>
      </c>
      <c r="C29" s="15">
        <f>IFERROR(B29/B444, "NA")</f>
        <v>6.0223452150158077E-2</v>
      </c>
      <c r="D29" s="2"/>
      <c r="E29" s="14">
        <f>IFERROR(E21+E22+E23+E24+E25+E26+E27+E28, "NA")</f>
        <v>52393.85</v>
      </c>
      <c r="F29" s="15">
        <f>IFERROR(E29/E444, "NA")</f>
        <v>7.975982350671855E-2</v>
      </c>
      <c r="G29" s="2"/>
      <c r="H29" s="14">
        <f t="shared" si="4"/>
        <v>-9706.2499999999927</v>
      </c>
      <c r="I29" s="15">
        <f>IFERROR(H29/H444, "NA")</f>
        <v>-0.1869284419147246</v>
      </c>
      <c r="J29" s="2"/>
      <c r="K29" s="14">
        <f>IFERROR(K21+K22+K23+K24+K25+K26+K27+K28, "NA")</f>
        <v>47447.74</v>
      </c>
      <c r="L29" s="15">
        <f>IFERROR(K29/K444, "NA")</f>
        <v>8.0617768468979001E-2</v>
      </c>
      <c r="M29" s="2"/>
      <c r="N29" s="14">
        <f t="shared" si="5"/>
        <v>-4760.1399999999921</v>
      </c>
      <c r="O29" s="15">
        <f>IFERROR(N29/N444, "NA")</f>
        <v>-3.9579333942637511E-2</v>
      </c>
      <c r="P29" s="2"/>
      <c r="Q29" s="14">
        <f>IFERROR(Q21+Q22+Q23+Q24+Q25+Q26+Q27+Q28, "NA")</f>
        <v>543430.71</v>
      </c>
      <c r="R29" s="15">
        <f>IFERROR(Q29/Q444, "NA")</f>
        <v>8.182975539119422E-2</v>
      </c>
      <c r="S29" s="2"/>
      <c r="T29" s="14">
        <f>IFERROR(T21+T22+T23+T24+T25+T26+T27+T28, "NA")</f>
        <v>572348.55000000005</v>
      </c>
      <c r="U29" s="15">
        <f>IFERROR(T29/T444, "NA")</f>
        <v>8.2125250052003343E-2</v>
      </c>
      <c r="V29" s="2"/>
      <c r="W29" s="14">
        <f t="shared" si="6"/>
        <v>-28917.840000000084</v>
      </c>
      <c r="X29" s="15">
        <f>IFERROR(W29/W444, "NA")</f>
        <v>8.8104028772318613E-2</v>
      </c>
      <c r="Y29" s="2"/>
      <c r="Z29" s="14">
        <f>IFERROR(Z21+Z22+Z23+Z24+Z25+Z26+Z27+Z28, "NA")</f>
        <v>516249.4</v>
      </c>
      <c r="AA29" s="15">
        <f>IFERROR(Z29/Z444, "NA")</f>
        <v>8.3218610401374432E-2</v>
      </c>
      <c r="AB29" s="2"/>
      <c r="AC29" s="14">
        <f t="shared" si="7"/>
        <v>27181.309999999939</v>
      </c>
      <c r="AD29" s="15">
        <f>IFERROR(AC29/AC444, "NA")</f>
        <v>6.2134609584064332E-2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147426.23999999999</v>
      </c>
      <c r="F31" s="8">
        <f>IFERROR(E31/E444, "NA")</f>
        <v>0.22442883816820355</v>
      </c>
      <c r="G31" s="9"/>
      <c r="H31" s="10">
        <f t="shared" ref="H31:H40" si="8">IFERROR(B31-E31, "NA")</f>
        <v>-147426.23999999999</v>
      </c>
      <c r="I31" s="8">
        <f>IFERROR(H31/H444, "NA")</f>
        <v>-2.8392177556261449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1525467.15</v>
      </c>
      <c r="U31" s="8">
        <f>IFERROR(T31/T444, "NA")</f>
        <v>0.21888650043730673</v>
      </c>
      <c r="V31" s="9"/>
      <c r="W31" s="10">
        <f t="shared" ref="W31:W40" si="10">IFERROR(Q31-T31, "NA")</f>
        <v>-1525467.15</v>
      </c>
      <c r="X31" s="8">
        <f>IFERROR(W31/W444, "NA")</f>
        <v>4.6476431737234343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52820.850000000006</v>
      </c>
      <c r="C33" s="8">
        <f>IFERROR(B33/B444, "NA")</f>
        <v>7.4519390467153862E-2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52820.850000000006</v>
      </c>
      <c r="I33" s="8">
        <f>IFERROR(H33/H444, "NA")</f>
        <v>1.0172537479573873</v>
      </c>
      <c r="J33" s="9"/>
      <c r="K33" s="7">
        <v>60461.829999999994</v>
      </c>
      <c r="L33" s="8">
        <f>IFERROR(K33/K444, "NA")</f>
        <v>0.1027298204751326</v>
      </c>
      <c r="M33" s="9"/>
      <c r="N33" s="10">
        <f t="shared" si="9"/>
        <v>-7640.9799999999886</v>
      </c>
      <c r="O33" s="8">
        <f>IFERROR(N33/N444, "NA")</f>
        <v>-6.3532774050556157E-2</v>
      </c>
      <c r="P33" s="9"/>
      <c r="Q33" s="7">
        <v>573604.98</v>
      </c>
      <c r="R33" s="8">
        <f>IFERROR(Q33/Q444, "NA")</f>
        <v>8.6373394695656511E-2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573604.98</v>
      </c>
      <c r="X33" s="8">
        <f>IFERROR(W33/W444, "NA")</f>
        <v>-1.7476031979520288</v>
      </c>
      <c r="Y33" s="9"/>
      <c r="Z33" s="7">
        <v>489957.63</v>
      </c>
      <c r="AA33" s="8">
        <f>IFERROR(Z33/Z444, "NA")</f>
        <v>7.8980417457435809E-2</v>
      </c>
      <c r="AB33" s="9"/>
      <c r="AC33" s="10">
        <f t="shared" si="11"/>
        <v>83647.349999999977</v>
      </c>
      <c r="AD33" s="8">
        <f>IFERROR(AC33/AC444, "NA")</f>
        <v>0.19121210254368146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4180.3</v>
      </c>
      <c r="C35" s="8">
        <f>IFERROR(B35/B444, "NA")</f>
        <v>5.8975462903350338E-3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4180.3</v>
      </c>
      <c r="I35" s="8">
        <f>IFERROR(H35/H444, "NA")</f>
        <v>8.0506577281249089E-2</v>
      </c>
      <c r="J35" s="9"/>
      <c r="K35" s="7">
        <v>6839.27</v>
      </c>
      <c r="L35" s="8">
        <f>IFERROR(K35/K444, "NA")</f>
        <v>1.1620504693307502E-2</v>
      </c>
      <c r="M35" s="9"/>
      <c r="N35" s="10">
        <f t="shared" si="9"/>
        <v>-2658.9700000000003</v>
      </c>
      <c r="O35" s="8">
        <f>IFERROR(N35/N444, "NA")</f>
        <v>-2.2108648395520937E-2</v>
      </c>
      <c r="P35" s="9"/>
      <c r="Q35" s="7">
        <v>63049.25</v>
      </c>
      <c r="R35" s="8">
        <f>IFERROR(Q35/Q444, "NA")</f>
        <v>9.4939513173597639E-3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63049.25</v>
      </c>
      <c r="X35" s="8">
        <f>IFERROR(W35/W444, "NA")</f>
        <v>-0.19209224949280768</v>
      </c>
      <c r="Y35" s="9"/>
      <c r="Z35" s="7">
        <v>30769.64</v>
      </c>
      <c r="AA35" s="8">
        <f>IFERROR(Z35/Z444, "NA")</f>
        <v>4.9600187106281319E-3</v>
      </c>
      <c r="AB35" s="9"/>
      <c r="AC35" s="10">
        <f t="shared" si="11"/>
        <v>32279.61</v>
      </c>
      <c r="AD35" s="8">
        <f>IFERROR(AC35/AC444, "NA")</f>
        <v>7.3788973558517351E-2</v>
      </c>
    </row>
    <row r="36" spans="1:30" ht="16.5" customHeight="1" x14ac:dyDescent="0.45">
      <c r="A36" s="12" t="s">
        <v>36</v>
      </c>
      <c r="B36" s="7">
        <v>72294.070000000007</v>
      </c>
      <c r="C36" s="8">
        <f>IFERROR(B36/B444, "NA")</f>
        <v>0.10199211165268553</v>
      </c>
      <c r="D36" s="9"/>
      <c r="E36" s="7">
        <v>0</v>
      </c>
      <c r="F36" s="8">
        <f>IFERROR(E36/E444, "NA")</f>
        <v>0</v>
      </c>
      <c r="G36" s="9"/>
      <c r="H36" s="10">
        <f t="shared" si="8"/>
        <v>72294.070000000007</v>
      </c>
      <c r="I36" s="8">
        <f>IFERROR(H36/H444, "NA")</f>
        <v>1.3922800118247569</v>
      </c>
      <c r="J36" s="9"/>
      <c r="K36" s="7">
        <v>63196.630000000005</v>
      </c>
      <c r="L36" s="8">
        <f>IFERROR(K36/K444, "NA")</f>
        <v>0.10737647958279431</v>
      </c>
      <c r="M36" s="9"/>
      <c r="N36" s="10">
        <f t="shared" si="9"/>
        <v>9097.4400000000023</v>
      </c>
      <c r="O36" s="8">
        <f>IFERROR(N36/N444, "NA")</f>
        <v>7.5642862559317348E-2</v>
      </c>
      <c r="P36" s="9"/>
      <c r="Q36" s="7">
        <v>658968.05000000005</v>
      </c>
      <c r="R36" s="8">
        <f>IFERROR(Q36/Q444, "NA")</f>
        <v>9.9227359348374414E-2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658968.05000000005</v>
      </c>
      <c r="X36" s="8">
        <f>IFERROR(W36/W444, "NA")</f>
        <v>-2.0076789980592786</v>
      </c>
      <c r="Y36" s="9"/>
      <c r="Z36" s="7">
        <v>694745.04</v>
      </c>
      <c r="AA36" s="8">
        <f>IFERROR(Z36/Z444, "NA")</f>
        <v>0.11199183342788833</v>
      </c>
      <c r="AB36" s="9"/>
      <c r="AC36" s="10">
        <f t="shared" si="11"/>
        <v>-35776.989999999991</v>
      </c>
      <c r="AD36" s="8">
        <f>IFERROR(AC36/AC444, "NA")</f>
        <v>-8.1783744261883562E-2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4824.24</v>
      </c>
      <c r="C39" s="8">
        <f>IFERROR(B39/B444, "NA")</f>
        <v>6.8060136152156264E-3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4824.24</v>
      </c>
      <c r="I39" s="8">
        <f>IFERROR(H39/H444, "NA")</f>
        <v>9.2907937321075773E-2</v>
      </c>
      <c r="J39" s="9"/>
      <c r="K39" s="7">
        <v>5551.65</v>
      </c>
      <c r="L39" s="8">
        <f>IFERROR(K39/K444, "NA")</f>
        <v>9.4327281830664071E-3</v>
      </c>
      <c r="M39" s="9"/>
      <c r="N39" s="10">
        <f t="shared" si="9"/>
        <v>-727.40999999999985</v>
      </c>
      <c r="O39" s="8">
        <f>IFERROR(N39/N444, "NA")</f>
        <v>-6.0482261662921661E-3</v>
      </c>
      <c r="P39" s="9"/>
      <c r="Q39" s="7">
        <v>60313.24</v>
      </c>
      <c r="R39" s="8">
        <f>IFERROR(Q39/Q444, "NA")</f>
        <v>9.0819631375826937E-3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60313.24</v>
      </c>
      <c r="X39" s="8">
        <f>IFERROR(W39/W444, "NA")</f>
        <v>-0.18375644350725165</v>
      </c>
      <c r="Y39" s="9"/>
      <c r="Z39" s="7">
        <v>64577.329999999994</v>
      </c>
      <c r="AA39" s="8">
        <f>IFERROR(Z39/Z444, "NA")</f>
        <v>1.0409766415284915E-2</v>
      </c>
      <c r="AB39" s="9"/>
      <c r="AC39" s="10">
        <f t="shared" si="11"/>
        <v>-4264.0899999999965</v>
      </c>
      <c r="AD39" s="8">
        <f>IFERROR(AC39/AC444, "NA")</f>
        <v>-9.7474171547034805E-3</v>
      </c>
    </row>
    <row r="40" spans="1:30" ht="16.5" customHeight="1" x14ac:dyDescent="0.45">
      <c r="A40" s="13" t="s">
        <v>40</v>
      </c>
      <c r="B40" s="14">
        <f>IFERROR(B31+B32+B33+B34+B35+B36+B37+B38+B39, "NA")</f>
        <v>134119.46000000002</v>
      </c>
      <c r="C40" s="15">
        <f>IFERROR(B40/B444, "NA")</f>
        <v>0.18921506202539007</v>
      </c>
      <c r="D40" s="2"/>
      <c r="E40" s="14">
        <f>IFERROR(E31+E32+E33+E34+E35+E36+E37+E38+E39, "NA")</f>
        <v>147426.23999999999</v>
      </c>
      <c r="F40" s="15">
        <f>IFERROR(E40/E444, "NA")</f>
        <v>0.22442883816820355</v>
      </c>
      <c r="G40" s="2"/>
      <c r="H40" s="14">
        <f t="shared" si="8"/>
        <v>-13306.77999999997</v>
      </c>
      <c r="I40" s="15">
        <f>IFERROR(H40/H444, "NA")</f>
        <v>-0.25626948124167576</v>
      </c>
      <c r="J40" s="2"/>
      <c r="K40" s="14">
        <f>IFERROR(K31+K32+K33+K34+K35+K36+K37+K38+K39, "NA")</f>
        <v>136049.38</v>
      </c>
      <c r="L40" s="15">
        <f>IFERROR(K40/K444, "NA")</f>
        <v>0.23115953293430083</v>
      </c>
      <c r="M40" s="2"/>
      <c r="N40" s="14">
        <f t="shared" si="9"/>
        <v>-1929.9199999999837</v>
      </c>
      <c r="O40" s="15">
        <f>IFERROR(N40/N444, "NA")</f>
        <v>-1.6046786053051897E-2</v>
      </c>
      <c r="P40" s="2"/>
      <c r="Q40" s="14">
        <f>IFERROR(Q31+Q32+Q33+Q34+Q35+Q36+Q37+Q38+Q39, "NA")</f>
        <v>1355935.52</v>
      </c>
      <c r="R40" s="15">
        <f>IFERROR(Q40/Q444, "NA")</f>
        <v>0.2041766684989734</v>
      </c>
      <c r="S40" s="2"/>
      <c r="T40" s="14">
        <f>IFERROR(T31+T32+T33+T34+T35+T36+T37+T38+T39, "NA")</f>
        <v>1525467.15</v>
      </c>
      <c r="U40" s="15">
        <f>IFERROR(T40/T444, "NA")</f>
        <v>0.21888650043730673</v>
      </c>
      <c r="V40" s="2"/>
      <c r="W40" s="14">
        <f t="shared" si="10"/>
        <v>-169531.62999999989</v>
      </c>
      <c r="X40" s="15">
        <f>IFERROR(W40/W444, "NA")</f>
        <v>0.51651228471206767</v>
      </c>
      <c r="Y40" s="2"/>
      <c r="Z40" s="14">
        <f>IFERROR(Z31+Z32+Z33+Z34+Z35+Z36+Z37+Z38+Z39, "NA")</f>
        <v>1280049.6400000001</v>
      </c>
      <c r="AA40" s="15">
        <f>IFERROR(Z40/Z444, "NA")</f>
        <v>0.20634203601123721</v>
      </c>
      <c r="AB40" s="2"/>
      <c r="AC40" s="14">
        <f t="shared" si="11"/>
        <v>75885.879999999888</v>
      </c>
      <c r="AD40" s="15">
        <f>IFERROR(AC40/AC444, "NA")</f>
        <v>0.17346991468561151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27936.870000000003</v>
      </c>
      <c r="C43" s="8">
        <f>IFERROR(B43/B444, "NA")</f>
        <v>3.9413196189764396E-2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27936.870000000003</v>
      </c>
      <c r="I43" s="8">
        <f>IFERROR(H43/H444, "NA")</f>
        <v>0.53802401350410478</v>
      </c>
      <c r="J43" s="9"/>
      <c r="K43" s="7">
        <v>60728.56</v>
      </c>
      <c r="L43" s="8">
        <f>IFERROR(K43/K444, "NA")</f>
        <v>0.10318301755857075</v>
      </c>
      <c r="M43" s="9"/>
      <c r="N43" s="10">
        <f>IFERROR(B43-K43, "NA")</f>
        <v>-32791.689999999995</v>
      </c>
      <c r="O43" s="8">
        <f>IFERROR(N43/N444, "NA")</f>
        <v>-0.27265442803225304</v>
      </c>
      <c r="P43" s="9"/>
      <c r="Q43" s="7">
        <v>344374.62</v>
      </c>
      <c r="R43" s="8">
        <f>IFERROR(Q43/Q444, "NA")</f>
        <v>5.1855904348017914E-2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344374.62</v>
      </c>
      <c r="X43" s="8">
        <f>IFERROR(W43/W444, "NA")</f>
        <v>-1.0492066983196602</v>
      </c>
      <c r="Y43" s="9"/>
      <c r="Z43" s="7">
        <v>161239.66</v>
      </c>
      <c r="AA43" s="8">
        <f>IFERROR(Z43/Z444, "NA")</f>
        <v>2.5991585553009993E-2</v>
      </c>
      <c r="AB43" s="9"/>
      <c r="AC43" s="10">
        <f>IFERROR(Q43-Z43, "NA")</f>
        <v>183134.96</v>
      </c>
      <c r="AD43" s="8">
        <f>IFERROR(AC43/AC444, "NA")</f>
        <v>0.41863395255023628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181175.30000000002</v>
      </c>
      <c r="F46" s="8">
        <f>IFERROR(E46/E444, "NA")</f>
        <v>0.27580546098018732</v>
      </c>
      <c r="G46" s="9"/>
      <c r="H46" s="10">
        <f t="shared" ref="H46:H62" si="12">IFERROR(B46-E46, "NA")</f>
        <v>-181175.30000000002</v>
      </c>
      <c r="I46" s="8">
        <f>IFERROR(H46/H444, "NA")</f>
        <v>-3.4891762052731834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1830587.37</v>
      </c>
      <c r="U46" s="8">
        <f>IFERROR(T46/T444, "NA")</f>
        <v>0.2626676445730301</v>
      </c>
      <c r="V46" s="9"/>
      <c r="W46" s="10">
        <f t="shared" ref="W46:W62" si="14">IFERROR(Q46-T46, "NA")</f>
        <v>-1830587.37</v>
      </c>
      <c r="X46" s="8">
        <f>IFERROR(W46/W444, "NA")</f>
        <v>5.5772534296034078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323.02</v>
      </c>
      <c r="C47" s="8">
        <f>IFERROR(B47/B444, "NA")</f>
        <v>4.5571499717819833E-4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323.02</v>
      </c>
      <c r="I47" s="8">
        <f>IFERROR(H47/H444, "NA")</f>
        <v>6.2209015126639417E-3</v>
      </c>
      <c r="J47" s="9"/>
      <c r="K47" s="7">
        <v>0</v>
      </c>
      <c r="L47" s="8">
        <f>IFERROR(K47/K444, "NA")</f>
        <v>0</v>
      </c>
      <c r="M47" s="9"/>
      <c r="N47" s="10">
        <f t="shared" si="13"/>
        <v>323.02</v>
      </c>
      <c r="O47" s="8">
        <f>IFERROR(N47/N444, "NA")</f>
        <v>2.6858278223226184E-3</v>
      </c>
      <c r="P47" s="9"/>
      <c r="Q47" s="7">
        <v>9038.98</v>
      </c>
      <c r="R47" s="8">
        <f>IFERROR(Q47/Q444, "NA")</f>
        <v>1.3610889277602598E-3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9038.98</v>
      </c>
      <c r="X47" s="8">
        <f>IFERROR(W47/W444, "NA")</f>
        <v>-2.7539074633250966E-2</v>
      </c>
      <c r="Y47" s="9"/>
      <c r="Z47" s="7">
        <v>4473.6000000000004</v>
      </c>
      <c r="AA47" s="8">
        <f>IFERROR(Z47/Z444, "NA")</f>
        <v>7.2113744924757041E-4</v>
      </c>
      <c r="AB47" s="9"/>
      <c r="AC47" s="10">
        <f t="shared" si="15"/>
        <v>4565.3799999999992</v>
      </c>
      <c r="AD47" s="8">
        <f>IFERROR(AC47/AC444, "NA")</f>
        <v>1.0436145421353725E-2</v>
      </c>
    </row>
    <row r="48" spans="1:30" ht="16.5" customHeight="1" x14ac:dyDescent="0.45">
      <c r="A48" s="17" t="s">
        <v>46</v>
      </c>
      <c r="B48" s="7">
        <v>97347.75</v>
      </c>
      <c r="C48" s="8">
        <f>IFERROR(B48/B444, "NA")</f>
        <v>0.13733771783961971</v>
      </c>
      <c r="D48" s="9"/>
      <c r="E48" s="7">
        <v>0</v>
      </c>
      <c r="F48" s="8">
        <f>IFERROR(E48/E444, "NA")</f>
        <v>0</v>
      </c>
      <c r="G48" s="9"/>
      <c r="H48" s="10">
        <f t="shared" si="12"/>
        <v>97347.75</v>
      </c>
      <c r="I48" s="8">
        <f>IFERROR(H48/H444, "NA")</f>
        <v>1.8747779246778258</v>
      </c>
      <c r="J48" s="9"/>
      <c r="K48" s="7">
        <v>86176.5</v>
      </c>
      <c r="L48" s="8">
        <f>IFERROR(K48/K444, "NA")</f>
        <v>0.14642124418290459</v>
      </c>
      <c r="M48" s="9"/>
      <c r="N48" s="10">
        <f t="shared" si="13"/>
        <v>11171.25</v>
      </c>
      <c r="O48" s="8">
        <f>IFERROR(N48/N444, "NA")</f>
        <v>9.2886056777046477E-2</v>
      </c>
      <c r="P48" s="9"/>
      <c r="Q48" s="7">
        <v>912134.48</v>
      </c>
      <c r="R48" s="8">
        <f>IFERROR(Q48/Q444, "NA")</f>
        <v>0.13734914131421491</v>
      </c>
      <c r="S48" s="9"/>
      <c r="T48" s="7">
        <v>0</v>
      </c>
      <c r="U48" s="8">
        <f>IFERROR(T48/T444, "NA")</f>
        <v>0</v>
      </c>
      <c r="V48" s="9"/>
      <c r="W48" s="10">
        <f t="shared" si="14"/>
        <v>912134.48</v>
      </c>
      <c r="X48" s="8">
        <f>IFERROR(W48/W444, "NA")</f>
        <v>-2.7790015599416709</v>
      </c>
      <c r="Y48" s="9"/>
      <c r="Z48" s="7">
        <v>1158277.1200000001</v>
      </c>
      <c r="AA48" s="8">
        <f>IFERROR(Z48/Z444, "NA")</f>
        <v>0.18671249281085078</v>
      </c>
      <c r="AB48" s="9"/>
      <c r="AC48" s="10">
        <f t="shared" si="15"/>
        <v>-246142.64000000013</v>
      </c>
      <c r="AD48" s="8">
        <f>IFERROR(AC48/AC444, "NA")</f>
        <v>-0.56266518568792079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44852.29</v>
      </c>
      <c r="R49" s="8">
        <f>IFERROR(Q49/Q444, "NA")</f>
        <v>6.7538544508000051E-3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44852.29</v>
      </c>
      <c r="X49" s="8">
        <f>IFERROR(W49/W444, "NA")</f>
        <v>-0.13665154273847449</v>
      </c>
      <c r="Y49" s="9"/>
      <c r="Z49" s="7">
        <v>4310.2700000000004</v>
      </c>
      <c r="AA49" s="8">
        <f>IFERROR(Z49/Z444, "NA")</f>
        <v>6.9480890409699691E-4</v>
      </c>
      <c r="AB49" s="9"/>
      <c r="AC49" s="10">
        <f t="shared" si="15"/>
        <v>40542.020000000004</v>
      </c>
      <c r="AD49" s="8">
        <f>IFERROR(AC49/AC444, "NA")</f>
        <v>9.2676275884029644E-2</v>
      </c>
    </row>
    <row r="50" spans="1:30" ht="16.5" customHeight="1" x14ac:dyDescent="0.45">
      <c r="A50" s="17" t="s">
        <v>48</v>
      </c>
      <c r="B50" s="7">
        <v>3665.75</v>
      </c>
      <c r="C50" s="8">
        <f>IFERROR(B50/B444, "NA")</f>
        <v>5.1716217290136233E-3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3665.75</v>
      </c>
      <c r="I50" s="8">
        <f>IFERROR(H50/H444, "NA")</f>
        <v>7.0597082905231395E-2</v>
      </c>
      <c r="J50" s="9"/>
      <c r="K50" s="7">
        <v>1522</v>
      </c>
      <c r="L50" s="8">
        <f>IFERROR(K50/K444, "NA")</f>
        <v>2.5860081767811499E-3</v>
      </c>
      <c r="M50" s="9"/>
      <c r="N50" s="10">
        <f t="shared" si="13"/>
        <v>2143.75</v>
      </c>
      <c r="O50" s="8">
        <f>IFERROR(N50/N444, "NA")</f>
        <v>1.782472724321749E-2</v>
      </c>
      <c r="P50" s="9"/>
      <c r="Q50" s="7">
        <v>30250.82</v>
      </c>
      <c r="R50" s="8">
        <f>IFERROR(Q50/Q444, "NA")</f>
        <v>4.5551661976980396E-3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30250.82</v>
      </c>
      <c r="X50" s="8">
        <f>IFERROR(W50/W444, "NA")</f>
        <v>-9.2165221042312409E-2</v>
      </c>
      <c r="Y50" s="9"/>
      <c r="Z50" s="7">
        <v>27439.59</v>
      </c>
      <c r="AA50" s="8">
        <f>IFERROR(Z50/Z444, "NA")</f>
        <v>4.4232197650659732E-3</v>
      </c>
      <c r="AB50" s="9"/>
      <c r="AC50" s="10">
        <f t="shared" si="15"/>
        <v>2811.2299999999996</v>
      </c>
      <c r="AD50" s="8">
        <f>IFERROR(AC50/AC444, "NA")</f>
        <v>6.4262788843146091E-3</v>
      </c>
    </row>
    <row r="51" spans="1:30" ht="16.5" customHeight="1" x14ac:dyDescent="0.45">
      <c r="A51" s="17" t="s">
        <v>49</v>
      </c>
      <c r="B51" s="7">
        <v>2799.92</v>
      </c>
      <c r="C51" s="8">
        <f>IFERROR(B51/B444, "NA")</f>
        <v>3.950113104139623E-3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2799.92</v>
      </c>
      <c r="I51" s="8">
        <f>IFERROR(H51/H444, "NA")</f>
        <v>5.392243998309091E-2</v>
      </c>
      <c r="J51" s="9"/>
      <c r="K51" s="7">
        <v>4742.82</v>
      </c>
      <c r="L51" s="8">
        <f>IFERROR(K51/K444, "NA")</f>
        <v>8.0584568337721246E-3</v>
      </c>
      <c r="M51" s="9"/>
      <c r="N51" s="10">
        <f t="shared" si="13"/>
        <v>-1942.8999999999996</v>
      </c>
      <c r="O51" s="8">
        <f>IFERROR(N51/N444, "NA")</f>
        <v>-1.6154711398645948E-2</v>
      </c>
      <c r="P51" s="9"/>
      <c r="Q51" s="7">
        <v>32305.74</v>
      </c>
      <c r="R51" s="8">
        <f>IFERROR(Q51/Q444, "NA")</f>
        <v>4.8645958965615301E-3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32305.74</v>
      </c>
      <c r="X51" s="8">
        <f>IFERROR(W51/W444, "NA")</f>
        <v>-9.8425949049826544E-2</v>
      </c>
      <c r="Y51" s="9"/>
      <c r="Z51" s="7">
        <v>71394.399999999994</v>
      </c>
      <c r="AA51" s="8">
        <f>IFERROR(Z51/Z444, "NA")</f>
        <v>1.1508667629327774E-2</v>
      </c>
      <c r="AB51" s="9"/>
      <c r="AC51" s="10">
        <f t="shared" si="15"/>
        <v>-39088.659999999989</v>
      </c>
      <c r="AD51" s="8">
        <f>IFERROR(AC51/AC444, "NA")</f>
        <v>-8.9353994647948784E-2</v>
      </c>
    </row>
    <row r="52" spans="1:30" ht="16.5" customHeight="1" x14ac:dyDescent="0.45">
      <c r="A52" s="17" t="s">
        <v>50</v>
      </c>
      <c r="B52" s="7">
        <v>146500</v>
      </c>
      <c r="C52" s="8">
        <f>IFERROR(B52/B444, "NA")</f>
        <v>0.20668146581204278</v>
      </c>
      <c r="D52" s="9"/>
      <c r="E52" s="7">
        <v>0</v>
      </c>
      <c r="F52" s="8">
        <f>IFERROR(E52/E444, "NA")</f>
        <v>0</v>
      </c>
      <c r="G52" s="9"/>
      <c r="H52" s="10">
        <f t="shared" si="12"/>
        <v>146500</v>
      </c>
      <c r="I52" s="8">
        <f>IFERROR(H52/H444, "NA")</f>
        <v>2.821379702821087</v>
      </c>
      <c r="J52" s="9"/>
      <c r="K52" s="7">
        <v>0</v>
      </c>
      <c r="L52" s="8">
        <f>IFERROR(K52/K444, "NA")</f>
        <v>0</v>
      </c>
      <c r="M52" s="9"/>
      <c r="N52" s="10">
        <f t="shared" si="13"/>
        <v>146500</v>
      </c>
      <c r="O52" s="8">
        <f>IFERROR(N52/N444, "NA")</f>
        <v>1.2181096401778948</v>
      </c>
      <c r="P52" s="9"/>
      <c r="Q52" s="7">
        <v>146500</v>
      </c>
      <c r="R52" s="8">
        <f>IFERROR(Q52/Q444, "NA")</f>
        <v>2.2059958968476318E-2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146500</v>
      </c>
      <c r="X52" s="8">
        <f>IFERROR(W52/W444, "NA")</f>
        <v>-0.44634178123762491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146500</v>
      </c>
      <c r="AD52" s="8">
        <f>IFERROR(AC52/AC444, "NA")</f>
        <v>0.33488894773892225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11074.8</v>
      </c>
      <c r="R53" s="8">
        <f>IFERROR(Q53/Q444, "NA")</f>
        <v>1.6676425500619899E-3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11074.8</v>
      </c>
      <c r="X53" s="8">
        <f>IFERROR(W53/W444, "NA")</f>
        <v>-3.3741610640617391E-2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11074.8</v>
      </c>
      <c r="AD53" s="8">
        <f>IFERROR(AC53/AC444, "NA")</f>
        <v>2.5316232890232191E-2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77.75</v>
      </c>
      <c r="R54" s="8">
        <f>IFERROR(Q54/Q444, "NA")</f>
        <v>1.1707589145385897E-5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-2.3688104772167466E-4</v>
      </c>
      <c r="Y54" s="9"/>
      <c r="Z54" s="7">
        <v>1377.7</v>
      </c>
      <c r="AA54" s="8">
        <f>IFERROR(Z54/Z444, "NA")</f>
        <v>2.2208312406750216E-4</v>
      </c>
      <c r="AB54" s="9"/>
      <c r="AC54" s="10">
        <f t="shared" si="15"/>
        <v>-1299.95</v>
      </c>
      <c r="AD54" s="8">
        <f>IFERROR(AC54/AC444, "NA")</f>
        <v>-2.971596502479263E-3</v>
      </c>
    </row>
    <row r="55" spans="1:30" ht="16.5" customHeight="1" x14ac:dyDescent="0.45">
      <c r="A55" s="17" t="s">
        <v>53</v>
      </c>
      <c r="B55" s="7">
        <v>2380.5600000000004</v>
      </c>
      <c r="C55" s="8">
        <f>IFERROR(B55/B444, "NA")</f>
        <v>3.3584821177714448E-3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2380.5600000000004</v>
      </c>
      <c r="I55" s="8">
        <f>IFERROR(H55/H444, "NA")</f>
        <v>4.5846168364148586E-2</v>
      </c>
      <c r="J55" s="9"/>
      <c r="K55" s="7">
        <v>662.59</v>
      </c>
      <c r="L55" s="8">
        <f>IFERROR(K55/K444, "NA")</f>
        <v>1.1257970813754418E-3</v>
      </c>
      <c r="M55" s="9"/>
      <c r="N55" s="10">
        <f t="shared" si="13"/>
        <v>1717.9700000000003</v>
      </c>
      <c r="O55" s="8">
        <f>IFERROR(N55/N444, "NA")</f>
        <v>1.4284476577040399E-2</v>
      </c>
      <c r="P55" s="9"/>
      <c r="Q55" s="7">
        <v>9146.44</v>
      </c>
      <c r="R55" s="8">
        <f>IFERROR(Q55/Q444, "NA")</f>
        <v>1.3772702464684679E-3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9146.44</v>
      </c>
      <c r="X55" s="8">
        <f>IFERROR(W55/W444, "NA")</f>
        <v>-2.7866473184867319E-2</v>
      </c>
      <c r="Y55" s="9"/>
      <c r="Z55" s="7">
        <v>8047.03</v>
      </c>
      <c r="AA55" s="8">
        <f>IFERROR(Z55/Z444, "NA")</f>
        <v>1.2971688770159772E-3</v>
      </c>
      <c r="AB55" s="9"/>
      <c r="AC55" s="10">
        <f t="shared" si="15"/>
        <v>1099.4100000000008</v>
      </c>
      <c r="AD55" s="8">
        <f>IFERROR(AC55/AC444, "NA")</f>
        <v>2.5131758227552817E-3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155.60000000000002</v>
      </c>
      <c r="R56" s="8">
        <f>IFERROR(Q56/Q444, "NA")</f>
        <v>2.3430236283241746E-5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-4.7406676560119077E-4</v>
      </c>
      <c r="Y56" s="9"/>
      <c r="Z56" s="7">
        <v>3622.37</v>
      </c>
      <c r="AA56" s="8">
        <f>IFERROR(Z56/Z444, "NA")</f>
        <v>5.8392048060419374E-4</v>
      </c>
      <c r="AB56" s="9"/>
      <c r="AC56" s="10">
        <f t="shared" si="15"/>
        <v>-3466.77</v>
      </c>
      <c r="AD56" s="8">
        <f>IFERROR(AC56/AC444, "NA")</f>
        <v>-7.9247983437055539E-3</v>
      </c>
    </row>
    <row r="57" spans="1:30" ht="16.5" customHeight="1" x14ac:dyDescent="0.45">
      <c r="A57" s="17" t="s">
        <v>55</v>
      </c>
      <c r="B57" s="7">
        <v>1923.7</v>
      </c>
      <c r="C57" s="8">
        <f>IFERROR(B57/B444, "NA")</f>
        <v>2.713946319335336E-3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1923.7</v>
      </c>
      <c r="I57" s="8">
        <f>IFERROR(H57/H444, "NA")</f>
        <v>3.7047700575542152E-2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1923.7</v>
      </c>
      <c r="O57" s="8">
        <f>IFERROR(N57/N444, "NA")</f>
        <v>1.5995068360479293E-2</v>
      </c>
      <c r="P57" s="9"/>
      <c r="Q57" s="7">
        <v>12386.21</v>
      </c>
      <c r="R57" s="8">
        <f>IFERROR(Q57/Q444, "NA")</f>
        <v>1.8651145691121573E-3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12386.21</v>
      </c>
      <c r="X57" s="8">
        <f>IFERROR(W57/W444, "NA")</f>
        <v>-3.773708555756506E-2</v>
      </c>
      <c r="Y57" s="9"/>
      <c r="Z57" s="7">
        <v>14356.41</v>
      </c>
      <c r="AA57" s="8">
        <f>IFERROR(Z57/Z444, "NA")</f>
        <v>2.3142312427915572E-3</v>
      </c>
      <c r="AB57" s="9"/>
      <c r="AC57" s="10">
        <f t="shared" si="15"/>
        <v>-1970.2000000000007</v>
      </c>
      <c r="AD57" s="8">
        <f>IFERROR(AC57/AC444, "NA")</f>
        <v>-4.5037420125271319E-3</v>
      </c>
    </row>
    <row r="58" spans="1:30" ht="16.5" customHeight="1" x14ac:dyDescent="0.45">
      <c r="A58" s="17" t="s">
        <v>56</v>
      </c>
      <c r="B58" s="7">
        <v>345.42</v>
      </c>
      <c r="C58" s="8">
        <f>IFERROR(B58/B444, "NA")</f>
        <v>4.87316804920108E-4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345.42</v>
      </c>
      <c r="I58" s="8">
        <f>IFERROR(H58/H444, "NA")</f>
        <v>6.6522933580099655E-3</v>
      </c>
      <c r="J58" s="9"/>
      <c r="K58" s="7">
        <v>0</v>
      </c>
      <c r="L58" s="8">
        <f>IFERROR(K58/K444, "NA")</f>
        <v>0</v>
      </c>
      <c r="M58" s="9"/>
      <c r="N58" s="10">
        <f t="shared" si="13"/>
        <v>345.42</v>
      </c>
      <c r="O58" s="8">
        <f>IFERROR(N58/N444, "NA")</f>
        <v>2.8720780335170543E-3</v>
      </c>
      <c r="P58" s="9"/>
      <c r="Q58" s="7">
        <v>2904.13</v>
      </c>
      <c r="R58" s="8">
        <f>IFERROR(Q58/Q444, "NA")</f>
        <v>4.3730367671755037E-4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2904.13</v>
      </c>
      <c r="X58" s="8">
        <f>IFERROR(W58/W444, "NA")</f>
        <v>-8.8480174549189338E-3</v>
      </c>
      <c r="Y58" s="9"/>
      <c r="Z58" s="7">
        <v>5464.25</v>
      </c>
      <c r="AA58" s="8">
        <f>IFERROR(Z58/Z444, "NA")</f>
        <v>8.808287077635542E-4</v>
      </c>
      <c r="AB58" s="9"/>
      <c r="AC58" s="10">
        <f t="shared" si="15"/>
        <v>-2560.12</v>
      </c>
      <c r="AD58" s="8">
        <f>IFERROR(AC58/AC444, "NA")</f>
        <v>-5.8522586545076425E-3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7.7169412356076661E-4</v>
      </c>
      <c r="AB59" s="9"/>
      <c r="AC59" s="10">
        <f t="shared" si="15"/>
        <v>-4787.2299999999996</v>
      </c>
      <c r="AD59" s="8">
        <f>IFERROR(AC59/AC444, "NA")</f>
        <v>-1.0943279298868264E-2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1.9349520323885371E-6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-3.9150115282617609E-5</v>
      </c>
      <c r="Y60" s="9"/>
      <c r="Z60" s="7">
        <v>319.54000000000002</v>
      </c>
      <c r="AA60" s="8">
        <f>IFERROR(Z60/Z444, "NA")</f>
        <v>5.1509357236357437E-5</v>
      </c>
      <c r="AB60" s="9"/>
      <c r="AC60" s="10">
        <f t="shared" si="15"/>
        <v>-306.69</v>
      </c>
      <c r="AD60" s="8">
        <f>IFERROR(AC60/AC444, "NA")</f>
        <v>-7.010722961232087E-4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255286.12000000002</v>
      </c>
      <c r="C61" s="15">
        <f>IFERROR(B61/B444, "NA")</f>
        <v>0.36015637872402084</v>
      </c>
      <c r="D61" s="2"/>
      <c r="E61" s="14">
        <f>IFERROR(E46+E47+E48+E49+E50+E51+E52+E53+E54+E55+E56+E57+E58+E59+E60, "NA")</f>
        <v>181175.30000000002</v>
      </c>
      <c r="F61" s="15">
        <f>IFERROR(E61/E444, "NA")</f>
        <v>0.27580546098018732</v>
      </c>
      <c r="G61" s="2"/>
      <c r="H61" s="14">
        <f t="shared" si="12"/>
        <v>74110.820000000007</v>
      </c>
      <c r="I61" s="15">
        <f>IFERROR(H61/H444, "NA")</f>
        <v>1.427268008924417</v>
      </c>
      <c r="J61" s="2"/>
      <c r="K61" s="14">
        <f>IFERROR(K46+K47+K48+K49+K50+K51+K52+K53+K54+K55+K56+K57+K58+K59+K60, "NA")</f>
        <v>93103.91</v>
      </c>
      <c r="L61" s="15">
        <f>IFERROR(K61/K444, "NA")</f>
        <v>0.1581915062748333</v>
      </c>
      <c r="M61" s="2"/>
      <c r="N61" s="14">
        <f t="shared" si="13"/>
        <v>162182.21000000002</v>
      </c>
      <c r="O61" s="15">
        <f>IFERROR(N61/N444, "NA")</f>
        <v>1.3485031635928724</v>
      </c>
      <c r="P61" s="2"/>
      <c r="Q61" s="14">
        <f>IFERROR(Q46+Q47+Q48+Q49+Q50+Q51+Q52+Q53+Q54+Q55+Q56+Q57+Q58+Q59+Q60, "NA")</f>
        <v>1210840.0900000001</v>
      </c>
      <c r="R61" s="15">
        <f>IFERROR(Q61/Q444, "NA")</f>
        <v>0.18232820957533225</v>
      </c>
      <c r="S61" s="2"/>
      <c r="T61" s="14">
        <f>IFERROR(T46+T47+T48+T49+T50+T51+T52+T53+T54+T55+T56+T57+T58+T59+T60, "NA")</f>
        <v>1830587.37</v>
      </c>
      <c r="U61" s="15">
        <f>IFERROR(T61/T444, "NA")</f>
        <v>0.2626676445730301</v>
      </c>
      <c r="V61" s="2"/>
      <c r="W61" s="14">
        <f t="shared" si="14"/>
        <v>-619747.28</v>
      </c>
      <c r="X61" s="15">
        <f>IFERROR(W61/W444, "NA")</f>
        <v>1.8881850161936731</v>
      </c>
      <c r="Y61" s="2"/>
      <c r="Z61" s="14">
        <f>IFERROR(Z46+Z47+Z48+Z49+Z50+Z51+Z52+Z53+Z54+Z55+Z56+Z57+Z58+Z59+Z60, "NA")</f>
        <v>1303869.5100000002</v>
      </c>
      <c r="AA61" s="15">
        <f>IFERROR(Z61/Z444, "NA")</f>
        <v>0.21018176247162901</v>
      </c>
      <c r="AB61" s="2"/>
      <c r="AC61" s="14">
        <f t="shared" si="15"/>
        <v>-93029.420000000158</v>
      </c>
      <c r="AD61" s="15">
        <f>IFERROR(AC61/AC444, "NA")</f>
        <v>-0.21265887080247306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283222.99</v>
      </c>
      <c r="C62" s="15">
        <f>IFERROR(B62/B444, "NA")</f>
        <v>0.3995695749137852</v>
      </c>
      <c r="D62" s="2"/>
      <c r="E62" s="14">
        <f>IFERROR(E42+E43+E44+E46+E47+E48+E49+E50+E51+E52+E53+E54+E55+E56+E57+E58+E59+E60, "NA")</f>
        <v>181175.30000000002</v>
      </c>
      <c r="F62" s="15">
        <f>IFERROR(E62/E444, "NA")</f>
        <v>0.27580546098018732</v>
      </c>
      <c r="G62" s="2"/>
      <c r="H62" s="14">
        <f t="shared" si="12"/>
        <v>102047.68999999997</v>
      </c>
      <c r="I62" s="15">
        <f>IFERROR(H62/H444, "NA")</f>
        <v>1.9652920224285211</v>
      </c>
      <c r="J62" s="2"/>
      <c r="K62" s="14">
        <f>IFERROR(K42+K43+K44+K46+K47+K48+K49+K50+K51+K52+K53+K54+K55+K56+K57+K58+K59+K60, "NA")</f>
        <v>153832.47</v>
      </c>
      <c r="L62" s="15">
        <f>IFERROR(K62/K444, "NA")</f>
        <v>0.26137452383340404</v>
      </c>
      <c r="M62" s="2"/>
      <c r="N62" s="14">
        <f t="shared" si="13"/>
        <v>129390.51999999999</v>
      </c>
      <c r="O62" s="15">
        <f>IFERROR(N62/N444, "NA")</f>
        <v>1.0758487355606192</v>
      </c>
      <c r="P62" s="2"/>
      <c r="Q62" s="14">
        <f>IFERROR(Q42+Q43+Q44+Q46+Q47+Q48+Q49+Q50+Q51+Q52+Q53+Q54+Q55+Q56+Q57+Q58+Q59+Q60, "NA")</f>
        <v>1555214.7100000002</v>
      </c>
      <c r="R62" s="15">
        <f>IFERROR(Q62/Q444, "NA")</f>
        <v>0.23418411392335017</v>
      </c>
      <c r="S62" s="2"/>
      <c r="T62" s="14">
        <f>IFERROR(T42+T43+T44+T46+T47+T48+T49+T50+T51+T52+T53+T54+T55+T56+T57+T58+T59+T60, "NA")</f>
        <v>1830587.37</v>
      </c>
      <c r="U62" s="15">
        <f>IFERROR(T62/T444, "NA")</f>
        <v>0.2626676445730301</v>
      </c>
      <c r="V62" s="2"/>
      <c r="W62" s="14">
        <f t="shared" si="14"/>
        <v>-275372.65999999992</v>
      </c>
      <c r="X62" s="15">
        <f>IFERROR(W62/W444, "NA")</f>
        <v>0.83897831787401245</v>
      </c>
      <c r="Y62" s="2"/>
      <c r="Z62" s="14">
        <f>IFERROR(Z42+Z43+Z44+Z46+Z47+Z48+Z49+Z50+Z51+Z52+Z53+Z54+Z55+Z56+Z57+Z58+Z59+Z60, "NA")</f>
        <v>1465109.1700000002</v>
      </c>
      <c r="AA62" s="15">
        <f>IFERROR(Z62/Z444, "NA")</f>
        <v>0.23617334802463899</v>
      </c>
      <c r="AB62" s="2"/>
      <c r="AC62" s="14">
        <f t="shared" si="15"/>
        <v>90105.540000000037</v>
      </c>
      <c r="AD62" s="15">
        <f>IFERROR(AC62/AC444, "NA")</f>
        <v>0.20597508174776369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13871.23</v>
      </c>
      <c r="C65" s="8">
        <f>IFERROR(B65/B444, "NA")</f>
        <v>1.956946176802718E-2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13871.23</v>
      </c>
      <c r="I65" s="8">
        <f>IFERROR(H65/H444, "NA")</f>
        <v>0.26713997798746036</v>
      </c>
      <c r="J65" s="9"/>
      <c r="K65" s="7">
        <v>824.18</v>
      </c>
      <c r="L65" s="8">
        <f>IFERROR(K65/K444, "NA")</f>
        <v>1.400352312181004E-3</v>
      </c>
      <c r="M65" s="9"/>
      <c r="N65" s="10">
        <f t="shared" si="17"/>
        <v>13047.05</v>
      </c>
      <c r="O65" s="8">
        <f>IFERROR(N65/N444, "NA")</f>
        <v>0.10848284901626623</v>
      </c>
      <c r="P65" s="9"/>
      <c r="Q65" s="7">
        <v>135018.09999999998</v>
      </c>
      <c r="R65" s="8">
        <f>IFERROR(Q65/Q444, "NA")</f>
        <v>2.0331015331069159E-2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135018.09999999998</v>
      </c>
      <c r="X65" s="8">
        <f>IFERROR(W65/W444, "NA")</f>
        <v>-0.41135985838443517</v>
      </c>
      <c r="Y65" s="9"/>
      <c r="Z65" s="7">
        <v>7072.25</v>
      </c>
      <c r="AA65" s="8">
        <f>IFERROR(Z65/Z444, "NA")</f>
        <v>1.1400358381261466E-3</v>
      </c>
      <c r="AB65" s="9"/>
      <c r="AC65" s="10">
        <f t="shared" si="19"/>
        <v>127945.84999999998</v>
      </c>
      <c r="AD65" s="8">
        <f>IFERROR(AC65/AC444, "NA")</f>
        <v>0.29247543395264147</v>
      </c>
    </row>
    <row r="66" spans="1:30" ht="16.5" customHeight="1" x14ac:dyDescent="0.45">
      <c r="A66" s="12" t="s">
        <v>63</v>
      </c>
      <c r="B66" s="7">
        <v>10654.91</v>
      </c>
      <c r="C66" s="8">
        <f>IFERROR(B66/B444, "NA")</f>
        <v>1.5031893630685274E-2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10654.91</v>
      </c>
      <c r="I66" s="8">
        <f>IFERROR(H66/H444, "NA")</f>
        <v>0.2051982717364193</v>
      </c>
      <c r="J66" s="9"/>
      <c r="K66" s="7">
        <v>11433.349999999999</v>
      </c>
      <c r="L66" s="8">
        <f>IFERROR(K66/K444, "NA")</f>
        <v>1.9426239545335584E-2</v>
      </c>
      <c r="M66" s="9"/>
      <c r="N66" s="10">
        <f t="shared" si="17"/>
        <v>-778.43999999999869</v>
      </c>
      <c r="O66" s="8">
        <f>IFERROR(N66/N444, "NA")</f>
        <v>-6.4725274286694806E-3</v>
      </c>
      <c r="P66" s="9"/>
      <c r="Q66" s="7">
        <v>202530.07</v>
      </c>
      <c r="R66" s="8">
        <f>IFERROR(Q66/Q444, "NA")</f>
        <v>3.0496962689983868E-2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202530.07</v>
      </c>
      <c r="X66" s="8">
        <f>IFERROR(W66/W444, "NA")</f>
        <v>-0.61704868394526191</v>
      </c>
      <c r="Y66" s="9"/>
      <c r="Z66" s="7">
        <v>145186.35</v>
      </c>
      <c r="AA66" s="8">
        <f>IFERROR(Z66/Z444, "NA")</f>
        <v>2.3403816636392388E-2</v>
      </c>
      <c r="AB66" s="9"/>
      <c r="AC66" s="10">
        <f t="shared" si="19"/>
        <v>57343.72</v>
      </c>
      <c r="AD66" s="8">
        <f>IFERROR(AC66/AC444, "NA")</f>
        <v>0.13108380921662383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1.4881437508239546E-3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-3.0109790024069199E-2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2.2591288384073951E-2</v>
      </c>
    </row>
    <row r="68" spans="1:30" ht="16.5" customHeight="1" x14ac:dyDescent="0.45">
      <c r="A68" s="12" t="s">
        <v>65</v>
      </c>
      <c r="B68" s="7">
        <v>1862.2</v>
      </c>
      <c r="C68" s="8">
        <f>IFERROR(B68/B444, "NA")</f>
        <v>2.6271824275439322E-3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1862.2</v>
      </c>
      <c r="I68" s="8">
        <f>IFERROR(H68/H444, "NA")</f>
        <v>3.586329885729303E-2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1862.2</v>
      </c>
      <c r="O68" s="8">
        <f>IFERROR(N68/N444, "NA")</f>
        <v>1.5483711753851713E-2</v>
      </c>
      <c r="P68" s="9"/>
      <c r="Q68" s="7">
        <v>43845.919999999998</v>
      </c>
      <c r="R68" s="8">
        <f>IFERROR(Q68/Q444, "NA")</f>
        <v>6.6023153319801717E-3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43845.919999999998</v>
      </c>
      <c r="X68" s="8">
        <f>IFERROR(W68/W444, "NA")</f>
        <v>-0.13358543367100617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43845.919999999998</v>
      </c>
      <c r="AD68" s="8">
        <f>IFERROR(AC68/AC444, "NA")</f>
        <v>0.10022876458324209</v>
      </c>
    </row>
    <row r="69" spans="1:30" ht="16.5" customHeight="1" x14ac:dyDescent="0.45">
      <c r="A69" s="12" t="s">
        <v>66</v>
      </c>
      <c r="B69" s="7">
        <v>4128</v>
      </c>
      <c r="C69" s="8">
        <f>IFERROR(B69/B444, "NA")</f>
        <v>5.8237617124376282E-3</v>
      </c>
      <c r="D69" s="9"/>
      <c r="E69" s="7">
        <v>0</v>
      </c>
      <c r="F69" s="8">
        <f>IFERROR(E69/E444, "NA")</f>
        <v>0</v>
      </c>
      <c r="G69" s="9"/>
      <c r="H69" s="10">
        <f t="shared" si="16"/>
        <v>4128</v>
      </c>
      <c r="I69" s="8">
        <f>IFERROR(H69/H444, "NA")</f>
        <v>7.9499354356624211E-2</v>
      </c>
      <c r="J69" s="9"/>
      <c r="K69" s="7">
        <v>0</v>
      </c>
      <c r="L69" s="8">
        <f>IFERROR(K69/K444, "NA")</f>
        <v>0</v>
      </c>
      <c r="M69" s="9"/>
      <c r="N69" s="10">
        <f t="shared" si="17"/>
        <v>4128</v>
      </c>
      <c r="O69" s="8">
        <f>IFERROR(N69/N444, "NA")</f>
        <v>3.4323253205831739E-2</v>
      </c>
      <c r="P69" s="9"/>
      <c r="Q69" s="7">
        <v>14193</v>
      </c>
      <c r="R69" s="8">
        <f>IFERROR(Q69/Q444, "NA")</f>
        <v>2.1371808712599616E-3</v>
      </c>
      <c r="S69" s="9"/>
      <c r="T69" s="7">
        <v>0</v>
      </c>
      <c r="U69" s="8">
        <f>IFERROR(T69/T444, "NA")</f>
        <v>0</v>
      </c>
      <c r="V69" s="9"/>
      <c r="W69" s="10">
        <f t="shared" si="18"/>
        <v>14193</v>
      </c>
      <c r="X69" s="8">
        <f>IFERROR(W69/W444, "NA")</f>
        <v>-4.3241835502427377E-2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14193</v>
      </c>
      <c r="AD69" s="8">
        <f>IFERROR(AC69/AC444, "NA")</f>
        <v>3.2444224131457498E-2</v>
      </c>
    </row>
    <row r="70" spans="1:30" ht="16.5" customHeight="1" x14ac:dyDescent="0.45">
      <c r="A70" s="12" t="s">
        <v>67</v>
      </c>
      <c r="B70" s="7">
        <v>2213.5</v>
      </c>
      <c r="C70" s="8">
        <f>IFERROR(B70/B444, "NA")</f>
        <v>3.1227947069962913E-3</v>
      </c>
      <c r="D70" s="9"/>
      <c r="E70" s="7">
        <v>0</v>
      </c>
      <c r="F70" s="8">
        <f>IFERROR(E70/E444, "NA")</f>
        <v>0</v>
      </c>
      <c r="G70" s="9"/>
      <c r="H70" s="10">
        <f t="shared" si="16"/>
        <v>2213.5</v>
      </c>
      <c r="I70" s="8">
        <f>IFERROR(H70/H444, "NA")</f>
        <v>4.2628832574706323E-2</v>
      </c>
      <c r="J70" s="9"/>
      <c r="K70" s="7">
        <v>0</v>
      </c>
      <c r="L70" s="8">
        <f>IFERROR(K70/K444, "NA")</f>
        <v>0</v>
      </c>
      <c r="M70" s="9"/>
      <c r="N70" s="10">
        <f t="shared" si="17"/>
        <v>2213.5</v>
      </c>
      <c r="O70" s="8">
        <f>IFERROR(N70/N444, "NA")</f>
        <v>1.8404680467807306E-2</v>
      </c>
      <c r="P70" s="9"/>
      <c r="Q70" s="7">
        <v>15693.04</v>
      </c>
      <c r="R70" s="8">
        <f>IFERROR(Q70/Q444, "NA")</f>
        <v>2.3630567815061954E-3</v>
      </c>
      <c r="S70" s="9"/>
      <c r="T70" s="7">
        <v>0</v>
      </c>
      <c r="U70" s="8">
        <f>IFERROR(T70/T444, "NA")</f>
        <v>0</v>
      </c>
      <c r="V70" s="9"/>
      <c r="W70" s="10">
        <f t="shared" si="18"/>
        <v>15693.04</v>
      </c>
      <c r="X70" s="8">
        <f>IFERROR(W70/W444, "NA")</f>
        <v>-4.7812009738111248E-2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15693.04</v>
      </c>
      <c r="AD70" s="8">
        <f>IFERROR(AC70/AC444, "NA")</f>
        <v>3.5873212644538001E-2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32729.84</v>
      </c>
      <c r="C73" s="15">
        <f>IFERROR(B73/B444, "NA")</f>
        <v>4.6175094245690308E-2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32729.84</v>
      </c>
      <c r="I73" s="15">
        <f>IFERROR(H73/H444, "NA")</f>
        <v>0.63032973551250326</v>
      </c>
      <c r="J73" s="2"/>
      <c r="K73" s="14">
        <f>IFERROR(K64+K65+K66+K67+K68+K69+K70+K71+K72, "NA")</f>
        <v>12257.529999999999</v>
      </c>
      <c r="L73" s="15">
        <f>IFERROR(K73/K444, "NA")</f>
        <v>2.0826591857516587E-2</v>
      </c>
      <c r="M73" s="2"/>
      <c r="N73" s="14">
        <f t="shared" si="17"/>
        <v>20472.310000000001</v>
      </c>
      <c r="O73" s="15">
        <f>IFERROR(N73/N444, "NA")</f>
        <v>0.17022196701508752</v>
      </c>
      <c r="P73" s="2"/>
      <c r="Q73" s="14">
        <f>IFERROR(Q64+Q65+Q66+Q67+Q68+Q69+Q70+Q71+Q72, "NA")</f>
        <v>421162.87999999995</v>
      </c>
      <c r="R73" s="15">
        <f>IFERROR(Q73/Q444, "NA")</f>
        <v>6.34186747566233E-2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421162.87999999995</v>
      </c>
      <c r="X73" s="15">
        <f>IFERROR(W73/W444, "NA")</f>
        <v>-1.2831576112653109</v>
      </c>
      <c r="Y73" s="2"/>
      <c r="Z73" s="14">
        <f>IFERROR(Z64+Z65+Z66+Z67+Z68+Z69+Z70+Z71+Z72, "NA")</f>
        <v>152258.6</v>
      </c>
      <c r="AA73" s="15">
        <f>IFERROR(Z73/Z444, "NA")</f>
        <v>2.4543852474518534E-2</v>
      </c>
      <c r="AB73" s="2"/>
      <c r="AC73" s="14">
        <f t="shared" si="19"/>
        <v>268904.27999999991</v>
      </c>
      <c r="AD73" s="15">
        <f>IFERROR(AC73/AC444, "NA")</f>
        <v>0.61469673291257676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12465.46</v>
      </c>
      <c r="F75" s="8">
        <f>IFERROR(E75/E444, "NA")</f>
        <v>1.8976328128779616E-2</v>
      </c>
      <c r="G75" s="9"/>
      <c r="H75" s="10">
        <f t="shared" ref="H75:H92" si="20">IFERROR(B75-E75, "NA")</f>
        <v>-12465.46</v>
      </c>
      <c r="I75" s="8">
        <f>IFERROR(H75/H444, "NA")</f>
        <v>-0.24006686573602828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125751.45</v>
      </c>
      <c r="U75" s="8">
        <f>IFERROR(T75/T444, "NA")</f>
        <v>1.8043846316465717E-2</v>
      </c>
      <c r="V75" s="9"/>
      <c r="W75" s="10">
        <f t="shared" ref="W75:W92" si="22">IFERROR(Q75-T75, "NA")</f>
        <v>-125751.45</v>
      </c>
      <c r="X75" s="8">
        <f>IFERROR(W75/W444, "NA")</f>
        <v>0.38312714120282682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2672.8199999999997</v>
      </c>
      <c r="C77" s="8">
        <f>IFERROR(B77/B444, "NA")</f>
        <v>3.7708010611040552E-3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2672.8199999999997</v>
      </c>
      <c r="I77" s="8">
        <f>IFERROR(H77/H444, "NA")</f>
        <v>5.1474676432042711E-2</v>
      </c>
      <c r="J77" s="9"/>
      <c r="K77" s="7">
        <v>3283.54</v>
      </c>
      <c r="L77" s="8">
        <f>IFERROR(K77/K444, "NA")</f>
        <v>5.5790153014375673E-3</v>
      </c>
      <c r="M77" s="9"/>
      <c r="N77" s="10">
        <f t="shared" si="21"/>
        <v>-610.72000000000025</v>
      </c>
      <c r="O77" s="8">
        <f>IFERROR(N77/N444, "NA")</f>
        <v>-5.0779789723511557E-3</v>
      </c>
      <c r="P77" s="9"/>
      <c r="Q77" s="7">
        <v>28769.359999999997</v>
      </c>
      <c r="R77" s="8">
        <f>IFERROR(Q77/Q444, "NA")</f>
        <v>4.3320880624527222E-3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28769.359999999997</v>
      </c>
      <c r="X77" s="8">
        <f>IFERROR(W77/W444, "NA")</f>
        <v>-8.765165452195546E-2</v>
      </c>
      <c r="Y77" s="9"/>
      <c r="Z77" s="7">
        <v>10909</v>
      </c>
      <c r="AA77" s="8">
        <f>IFERROR(Z77/Z444, "NA")</f>
        <v>1.7585140454760696E-3</v>
      </c>
      <c r="AB77" s="9"/>
      <c r="AC77" s="10">
        <f t="shared" si="23"/>
        <v>17860.359999999997</v>
      </c>
      <c r="AD77" s="8">
        <f>IFERROR(AC77/AC444, "NA")</f>
        <v>4.082755745145622E-2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475</v>
      </c>
      <c r="R78" s="8">
        <f>IFERROR(Q78/Q444, "NA")</f>
        <v>7.1525464232261103E-5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-1.4471832497465655E-3</v>
      </c>
      <c r="Y78" s="9"/>
      <c r="Z78" s="7">
        <v>300</v>
      </c>
      <c r="AA78" s="8">
        <f>IFERROR(Z78/Z444, "NA")</f>
        <v>4.8359539246752302E-5</v>
      </c>
      <c r="AB78" s="9"/>
      <c r="AC78" s="10">
        <f t="shared" si="23"/>
        <v>175</v>
      </c>
      <c r="AD78" s="8">
        <f>IFERROR(AC78/AC444, "NA")</f>
        <v>4.0003799217959999E-4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1.2654831046648628E-5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1.7274932378365292E-4</v>
      </c>
      <c r="J79" s="9"/>
      <c r="K79" s="7">
        <v>100</v>
      </c>
      <c r="L79" s="8">
        <f>IFERROR(K79/K444, "NA")</f>
        <v>1.6990855300795993E-4</v>
      </c>
      <c r="M79" s="9"/>
      <c r="N79" s="10">
        <f t="shared" si="21"/>
        <v>-91.03</v>
      </c>
      <c r="O79" s="8">
        <f>IFERROR(N79/N444, "NA")</f>
        <v>-7.5689092522453086E-4</v>
      </c>
      <c r="P79" s="9"/>
      <c r="Q79" s="7">
        <v>43.98</v>
      </c>
      <c r="R79" s="8">
        <f>IFERROR(Q79/Q444, "NA")</f>
        <v>6.6225050882838801E-6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43.98</v>
      </c>
      <c r="X79" s="8">
        <f>IFERROR(W79/W444, "NA")</f>
        <v>-1.3399393541863987E-4</v>
      </c>
      <c r="Y79" s="9"/>
      <c r="Z79" s="7">
        <v>372.09000000000003</v>
      </c>
      <c r="AA79" s="8">
        <f>IFERROR(Z79/Z444, "NA")</f>
        <v>5.9980336527746884E-5</v>
      </c>
      <c r="AB79" s="9"/>
      <c r="AC79" s="10">
        <f t="shared" si="23"/>
        <v>-328.11</v>
      </c>
      <c r="AD79" s="8">
        <f>IFERROR(AC79/AC444, "NA")</f>
        <v>-7.5003694636599169E-4</v>
      </c>
    </row>
    <row r="80" spans="1:30" ht="16.5" customHeight="1" x14ac:dyDescent="0.45">
      <c r="A80" s="12" t="s">
        <v>76</v>
      </c>
      <c r="B80" s="7">
        <v>9329.2000000000007</v>
      </c>
      <c r="C80" s="8">
        <f>IFERROR(B80/B444, "NA")</f>
        <v>1.3161588606509964E-2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9329.2000000000007</v>
      </c>
      <c r="I80" s="8">
        <f>IFERROR(H80/H444, "NA")</f>
        <v>0.17966700016080878</v>
      </c>
      <c r="J80" s="9"/>
      <c r="K80" s="7">
        <v>8173.5500000000011</v>
      </c>
      <c r="L80" s="8">
        <f>IFERROR(K80/K444, "NA")</f>
        <v>1.388756053438211E-2</v>
      </c>
      <c r="M80" s="9"/>
      <c r="N80" s="10">
        <f t="shared" si="21"/>
        <v>1155.6499999999996</v>
      </c>
      <c r="O80" s="8">
        <f>IFERROR(N80/N444, "NA")</f>
        <v>9.6089310967343612E-3</v>
      </c>
      <c r="P80" s="9"/>
      <c r="Q80" s="7">
        <v>85242.19</v>
      </c>
      <c r="R80" s="8">
        <f>IFERROR(Q80/Q444, "NA")</f>
        <v>1.2835762551420221E-2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85242.19</v>
      </c>
      <c r="X80" s="8">
        <f>IFERROR(W80/W444, "NA")</f>
        <v>-0.2597075148204509</v>
      </c>
      <c r="Y80" s="9"/>
      <c r="Z80" s="7">
        <v>100984.58</v>
      </c>
      <c r="AA80" s="8">
        <f>IFERROR(Z80/Z444, "NA")</f>
        <v>1.627855919942266E-2</v>
      </c>
      <c r="AB80" s="9"/>
      <c r="AC80" s="10">
        <f t="shared" si="23"/>
        <v>-15742.39</v>
      </c>
      <c r="AD80" s="8">
        <f>IFERROR(AC80/AC444, "NA")</f>
        <v>-3.598602335833264E-2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4.2477138251989982E-5</v>
      </c>
      <c r="M82" s="9"/>
      <c r="N82" s="10">
        <f t="shared" si="21"/>
        <v>-25</v>
      </c>
      <c r="O82" s="8">
        <f>IFERROR(N82/N444, "NA")</f>
        <v>-2.0786853927950424E-4</v>
      </c>
      <c r="P82" s="9"/>
      <c r="Q82" s="7">
        <v>50</v>
      </c>
      <c r="R82" s="8">
        <f>IFERROR(Q82/Q444, "NA")</f>
        <v>7.5289962349748527E-6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-1.5233507892069111E-4</v>
      </c>
      <c r="Y82" s="9"/>
      <c r="Z82" s="7">
        <v>150</v>
      </c>
      <c r="AA82" s="8">
        <f>IFERROR(Z82/Z444, "NA")</f>
        <v>2.4179769623376151E-5</v>
      </c>
      <c r="AB82" s="9"/>
      <c r="AC82" s="10">
        <f t="shared" si="23"/>
        <v>-100</v>
      </c>
      <c r="AD82" s="8">
        <f>IFERROR(AC82/AC444, "NA")</f>
        <v>-2.2859313838834283E-4</v>
      </c>
    </row>
    <row r="83" spans="1:30" ht="16.5" customHeight="1" x14ac:dyDescent="0.45">
      <c r="A83" s="12" t="s">
        <v>79</v>
      </c>
      <c r="B83" s="7">
        <v>185.41</v>
      </c>
      <c r="C83" s="8">
        <f>IFERROR(B83/B444, "NA")</f>
        <v>2.6157549881372595E-4</v>
      </c>
      <c r="D83" s="9"/>
      <c r="E83" s="7">
        <v>0</v>
      </c>
      <c r="F83" s="8">
        <f>IFERROR(E83/E444, "NA")</f>
        <v>0</v>
      </c>
      <c r="G83" s="9"/>
      <c r="H83" s="10">
        <f t="shared" si="20"/>
        <v>185.41</v>
      </c>
      <c r="I83" s="8">
        <f>IFERROR(H83/H444, "NA")</f>
        <v>3.5707304484645578E-3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185.41</v>
      </c>
      <c r="O83" s="8">
        <f>IFERROR(N83/N444, "NA")</f>
        <v>1.5416362347125154E-3</v>
      </c>
      <c r="P83" s="9"/>
      <c r="Q83" s="7">
        <v>512.19000000000005</v>
      </c>
      <c r="R83" s="8">
        <f>IFERROR(Q83/Q444, "NA")</f>
        <v>7.7125531631835401E-5</v>
      </c>
      <c r="S83" s="9"/>
      <c r="T83" s="7">
        <v>0</v>
      </c>
      <c r="U83" s="8">
        <f>IFERROR(T83/T444, "NA")</f>
        <v>0</v>
      </c>
      <c r="V83" s="9"/>
      <c r="W83" s="10">
        <f t="shared" si="22"/>
        <v>512.19000000000005</v>
      </c>
      <c r="X83" s="8">
        <f>IFERROR(W83/W444, "NA")</f>
        <v>-1.5604900814477757E-3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512.19000000000005</v>
      </c>
      <c r="AD83" s="8">
        <f>IFERROR(AC83/AC444, "NA")</f>
        <v>1.1708311955112532E-3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325.98</v>
      </c>
      <c r="AA85" s="8">
        <f>IFERROR(Z85/Z444, "NA")</f>
        <v>5.2547475345521053E-5</v>
      </c>
      <c r="AB85" s="9"/>
      <c r="AC85" s="10">
        <f t="shared" si="23"/>
        <v>-325.98</v>
      </c>
      <c r="AD85" s="8">
        <f>IFERROR(AC85/AC444, "NA")</f>
        <v>-7.4516791251832005E-4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175</v>
      </c>
      <c r="R86" s="8">
        <f>IFERROR(Q86/Q444, "NA")</f>
        <v>2.6351486822411985E-5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175</v>
      </c>
      <c r="X86" s="8">
        <f>IFERROR(W86/W444, "NA")</f>
        <v>-5.3317277622241886E-4</v>
      </c>
      <c r="Y86" s="9"/>
      <c r="Z86" s="7">
        <v>820</v>
      </c>
      <c r="AA86" s="8">
        <f>IFERROR(Z86/Z444, "NA")</f>
        <v>1.3218274060778962E-4</v>
      </c>
      <c r="AB86" s="9"/>
      <c r="AC86" s="10">
        <f t="shared" si="23"/>
        <v>-645</v>
      </c>
      <c r="AD86" s="8">
        <f>IFERROR(AC86/AC444, "NA")</f>
        <v>-1.4744257426048113E-3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1.4881512798201895E-4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-3.0109942359148119E-3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2.2591402680643144E-3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12196.4</v>
      </c>
      <c r="C88" s="15">
        <f>IFERROR(B88/B444, "NA")</f>
        <v>1.7206619997474391E-2</v>
      </c>
      <c r="D88" s="2"/>
      <c r="E88" s="14">
        <f>IFERROR(E75+E76+E77+E78+E79+E80+E81+E82+E83+E84+E85+E86+E87, "NA")</f>
        <v>12465.46</v>
      </c>
      <c r="F88" s="15">
        <f>IFERROR(E88/E444, "NA")</f>
        <v>1.8976328128779616E-2</v>
      </c>
      <c r="G88" s="2"/>
      <c r="H88" s="14">
        <f t="shared" si="20"/>
        <v>-269.05999999999949</v>
      </c>
      <c r="I88" s="15">
        <f>IFERROR(H88/H444, "NA")</f>
        <v>-5.1817093709286026E-3</v>
      </c>
      <c r="J88" s="2"/>
      <c r="K88" s="14">
        <f>IFERROR(K75+K76+K77+K78+K79+K80+K81+K82+K83+K84+K85+K86+K87, "NA")</f>
        <v>11582.09</v>
      </c>
      <c r="L88" s="15">
        <f>IFERROR(K88/K444, "NA")</f>
        <v>1.9678961527079625E-2</v>
      </c>
      <c r="M88" s="2"/>
      <c r="N88" s="14">
        <f t="shared" si="21"/>
        <v>614.30999999999949</v>
      </c>
      <c r="O88" s="15">
        <f>IFERROR(N88/N444, "NA")</f>
        <v>5.1078288945916863E-3</v>
      </c>
      <c r="P88" s="2"/>
      <c r="Q88" s="14">
        <f>IFERROR(Q75+Q76+Q77+Q78+Q79+Q80+Q81+Q82+Q83+Q84+Q85+Q86+Q87, "NA")</f>
        <v>116256</v>
      </c>
      <c r="R88" s="15">
        <f>IFERROR(Q88/Q444, "NA")</f>
        <v>1.7505819725864728E-2</v>
      </c>
      <c r="S88" s="2"/>
      <c r="T88" s="14">
        <f>IFERROR(T75+T76+T77+T78+T79+T80+T81+T82+T83+T84+T85+T86+T87, "NA")</f>
        <v>125751.45</v>
      </c>
      <c r="U88" s="15">
        <f>IFERROR(T88/T444, "NA")</f>
        <v>1.8043846316465717E-2</v>
      </c>
      <c r="V88" s="2"/>
      <c r="W88" s="14">
        <f t="shared" si="22"/>
        <v>-9495.4499999999971</v>
      </c>
      <c r="X88" s="15">
        <f>IFERROR(W88/W444, "NA")</f>
        <v>2.8929802502749517E-2</v>
      </c>
      <c r="Y88" s="2"/>
      <c r="Z88" s="14">
        <f>IFERROR(Z75+Z76+Z77+Z78+Z79+Z80+Z81+Z82+Z83+Z84+Z85+Z86+Z87, "NA")</f>
        <v>113861.65</v>
      </c>
      <c r="AA88" s="15">
        <f>IFERROR(Z88/Z444, "NA")</f>
        <v>1.8354323106249914E-2</v>
      </c>
      <c r="AB88" s="2"/>
      <c r="AC88" s="14">
        <f t="shared" si="23"/>
        <v>2394.3500000000058</v>
      </c>
      <c r="AD88" s="15">
        <f>IFERROR(AC88/AC444, "NA")</f>
        <v>5.4733198090012999E-3</v>
      </c>
    </row>
    <row r="89" spans="1:30" ht="16.5" customHeight="1" x14ac:dyDescent="0.45">
      <c r="A89" s="6" t="s">
        <v>85</v>
      </c>
      <c r="B89" s="7">
        <v>-27.9</v>
      </c>
      <c r="C89" s="8">
        <f>IFERROR(B89/B444, "NA")</f>
        <v>-3.9361180178539201E-5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-27.9</v>
      </c>
      <c r="I89" s="8">
        <f>IFERROR(H89/H444, "NA")</f>
        <v>-5.3731395023009099E-4</v>
      </c>
      <c r="J89" s="9"/>
      <c r="K89" s="7">
        <v>-251.14999999999998</v>
      </c>
      <c r="L89" s="8">
        <f>IFERROR(K89/K444, "NA")</f>
        <v>-4.2672533087949132E-4</v>
      </c>
      <c r="M89" s="9"/>
      <c r="N89" s="10">
        <f t="shared" si="21"/>
        <v>223.24999999999997</v>
      </c>
      <c r="O89" s="8">
        <f>IFERROR(N89/N444, "NA")</f>
        <v>1.8562660557659726E-3</v>
      </c>
      <c r="P89" s="9"/>
      <c r="Q89" s="7">
        <v>-538.04</v>
      </c>
      <c r="R89" s="8">
        <f>IFERROR(Q89/Q444, "NA")</f>
        <v>-8.1018022685317386E-5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-538.04</v>
      </c>
      <c r="X89" s="8">
        <f>IFERROR(W89/W444, "NA")</f>
        <v>1.6392473172497726E-3</v>
      </c>
      <c r="Y89" s="9"/>
      <c r="Z89" s="7">
        <v>-323.03999999999985</v>
      </c>
      <c r="AA89" s="8">
        <f>IFERROR(Z89/Z444, "NA")</f>
        <v>-5.2073551860902856E-5</v>
      </c>
      <c r="AB89" s="9"/>
      <c r="AC89" s="10">
        <f t="shared" si="23"/>
        <v>-215.00000000000011</v>
      </c>
      <c r="AD89" s="8">
        <f>IFERROR(AC89/AC444, "NA")</f>
        <v>-4.9147524753493732E-4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-24336.609999999997</v>
      </c>
      <c r="F94" s="8">
        <f>IFERROR(E94/E444, "NA")</f>
        <v>-3.7047930593988448E-2</v>
      </c>
      <c r="G94" s="9"/>
      <c r="H94" s="10">
        <f t="shared" ref="H94:H124" si="24">IFERROR(B94-E94, "NA")</f>
        <v>24336.609999999997</v>
      </c>
      <c r="I94" s="8">
        <f>IFERROR(H94/H444, "NA")</f>
        <v>0.46868817398957463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-260026.12</v>
      </c>
      <c r="U94" s="8">
        <f>IFERROR(T94/T444, "NA")</f>
        <v>-3.7310673932959601E-2</v>
      </c>
      <c r="V94" s="9"/>
      <c r="W94" s="10">
        <f t="shared" ref="W94:W124" si="26">IFERROR(Q94-T94, "NA")</f>
        <v>260026.12</v>
      </c>
      <c r="X94" s="8">
        <f>IFERROR(W94/W444, "NA")</f>
        <v>-0.79222199023282192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-7023.11</v>
      </c>
      <c r="C96" s="8">
        <f>IFERROR(B96/B444, "NA")</f>
        <v>-9.9081683915304818E-3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-7023.11</v>
      </c>
      <c r="I96" s="8">
        <f>IFERROR(H96/H444, "NA")</f>
        <v>-0.13525501709679047</v>
      </c>
      <c r="J96" s="9"/>
      <c r="K96" s="7">
        <v>-2536.0299999999997</v>
      </c>
      <c r="L96" s="8">
        <f>IFERROR(K96/K444, "NA")</f>
        <v>-4.3089318768477656E-3</v>
      </c>
      <c r="M96" s="9"/>
      <c r="N96" s="10">
        <f t="shared" si="25"/>
        <v>-4487.08</v>
      </c>
      <c r="O96" s="8">
        <f>IFERROR(N96/N444, "NA")</f>
        <v>-3.730891060921112E-2</v>
      </c>
      <c r="P96" s="9"/>
      <c r="Q96" s="7">
        <v>-86591.090000000011</v>
      </c>
      <c r="R96" s="8">
        <f>IFERROR(Q96/Q444, "NA")</f>
        <v>-1.3038879811847374E-2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-86591.090000000011</v>
      </c>
      <c r="X96" s="8">
        <f>IFERROR(W96/W444, "NA")</f>
        <v>0.26381721057957336</v>
      </c>
      <c r="Y96" s="9"/>
      <c r="Z96" s="7">
        <v>-26270.98</v>
      </c>
      <c r="AA96" s="8">
        <f>IFERROR(Z96/Z444, "NA")</f>
        <v>-4.2348416278688156E-3</v>
      </c>
      <c r="AB96" s="9"/>
      <c r="AC96" s="10">
        <f t="shared" si="27"/>
        <v>-60320.110000000015</v>
      </c>
      <c r="AD96" s="8">
        <f>IFERROR(AC96/AC444, "NA")</f>
        <v>-0.13788763252830066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-8913.16</v>
      </c>
      <c r="C98" s="8">
        <f>IFERROR(B98/B444, "NA")</f>
        <v>-1.257464145950353E-2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-8913.16</v>
      </c>
      <c r="I98" s="8">
        <f>IFERROR(H98/H444, "NA")</f>
        <v>-0.17165466697608736</v>
      </c>
      <c r="J98" s="9"/>
      <c r="K98" s="7">
        <v>-10585.71</v>
      </c>
      <c r="L98" s="8">
        <f>IFERROR(K98/K444, "NA")</f>
        <v>-1.7986026686618913E-2</v>
      </c>
      <c r="M98" s="9"/>
      <c r="N98" s="10">
        <f t="shared" si="25"/>
        <v>1672.5499999999993</v>
      </c>
      <c r="O98" s="8">
        <f>IFERROR(N98/N444, "NA")</f>
        <v>1.3906821014877387E-2</v>
      </c>
      <c r="P98" s="9"/>
      <c r="Q98" s="7">
        <v>-123625.5</v>
      </c>
      <c r="R98" s="8">
        <f>IFERROR(Q98/Q444, "NA")</f>
        <v>-1.8615518480937673E-2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-123625.5</v>
      </c>
      <c r="X98" s="8">
        <f>IFERROR(W98/W444, "NA")</f>
        <v>0.37665000598219794</v>
      </c>
      <c r="Y98" s="9"/>
      <c r="Z98" s="7">
        <v>-128335.67999999999</v>
      </c>
      <c r="AA98" s="8">
        <f>IFERROR(Z98/Z444, "NA")</f>
        <v>-2.0687514512395481E-2</v>
      </c>
      <c r="AB98" s="9"/>
      <c r="AC98" s="10">
        <f t="shared" si="27"/>
        <v>4710.179999999993</v>
      </c>
      <c r="AD98" s="8">
        <f>IFERROR(AC98/AC444, "NA")</f>
        <v>1.0767148285740031E-2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-99.33</v>
      </c>
      <c r="C100" s="8">
        <f>IFERROR(B100/B444, "NA")</f>
        <v>-1.4013426620553045E-4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-99.33</v>
      </c>
      <c r="I100" s="8">
        <f>IFERROR(H100/H444, "NA")</f>
        <v>-1.9129532142062701E-3</v>
      </c>
      <c r="J100" s="9"/>
      <c r="K100" s="7">
        <v>-427.21000000000004</v>
      </c>
      <c r="L100" s="8">
        <f>IFERROR(K100/K444, "NA")</f>
        <v>-7.258663293053056E-4</v>
      </c>
      <c r="M100" s="9"/>
      <c r="N100" s="10">
        <f t="shared" si="25"/>
        <v>327.88000000000005</v>
      </c>
      <c r="O100" s="8">
        <f>IFERROR(N100/N444, "NA")</f>
        <v>2.7262374663585545E-3</v>
      </c>
      <c r="P100" s="9"/>
      <c r="Q100" s="7">
        <v>-19070.66</v>
      </c>
      <c r="R100" s="8">
        <f>IFERROR(Q100/Q444, "NA")</f>
        <v>-2.8716585467697107E-3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-19070.66</v>
      </c>
      <c r="X100" s="8">
        <f>IFERROR(W100/W444, "NA")</f>
        <v>5.810260992339334E-2</v>
      </c>
      <c r="Y100" s="9"/>
      <c r="Z100" s="7">
        <v>-25159.010000000002</v>
      </c>
      <c r="AA100" s="8">
        <f>IFERROR(Z100/Z444, "NA")</f>
        <v>-4.0555937716814459E-3</v>
      </c>
      <c r="AB100" s="9"/>
      <c r="AC100" s="10">
        <f t="shared" si="27"/>
        <v>6088.3500000000022</v>
      </c>
      <c r="AD100" s="8">
        <f>IFERROR(AC100/AC444, "NA")</f>
        <v>1.3917550341066676E-2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-4527.54</v>
      </c>
      <c r="C102" s="8">
        <f>IFERROR(B102/B444, "NA")</f>
        <v>-6.3874307421341713E-3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-4527.54</v>
      </c>
      <c r="I102" s="8">
        <f>IFERROR(H102/H444, "NA")</f>
        <v>-8.7193921226693408E-2</v>
      </c>
      <c r="J102" s="9"/>
      <c r="K102" s="7">
        <v>-4006.55</v>
      </c>
      <c r="L102" s="8">
        <f>IFERROR(K102/K444, "NA")</f>
        <v>-6.8074711305404186E-3</v>
      </c>
      <c r="M102" s="9"/>
      <c r="N102" s="10">
        <f t="shared" si="25"/>
        <v>-520.98999999999978</v>
      </c>
      <c r="O102" s="8">
        <f>IFERROR(N102/N444, "NA")</f>
        <v>-4.3318972111691546E-3</v>
      </c>
      <c r="P102" s="9"/>
      <c r="Q102" s="7">
        <v>-55980.039999999994</v>
      </c>
      <c r="R102" s="8">
        <f>IFERROR(Q102/Q444, "NA")</f>
        <v>-8.4294702078748316E-3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-55980.039999999994</v>
      </c>
      <c r="X102" s="8">
        <f>IFERROR(W102/W444, "NA")</f>
        <v>0.17055447622766887</v>
      </c>
      <c r="Y102" s="9"/>
      <c r="Z102" s="7">
        <v>-24334</v>
      </c>
      <c r="AA102" s="8">
        <f>IFERROR(Z102/Z444, "NA")</f>
        <v>-3.9226034267682347E-3</v>
      </c>
      <c r="AB102" s="9"/>
      <c r="AC102" s="10">
        <f t="shared" si="27"/>
        <v>-31646.039999999994</v>
      </c>
      <c r="AD102" s="8">
        <f>IFERROR(AC102/AC444, "NA")</f>
        <v>-7.2340676011630314E-2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-2396.98</v>
      </c>
      <c r="C104" s="8">
        <f>IFERROR(B104/B444, "NA")</f>
        <v>-3.3816473714822545E-3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-2396.98</v>
      </c>
      <c r="I104" s="8">
        <f>IFERROR(H104/H444, "NA")</f>
        <v>-4.6162393993638834E-2</v>
      </c>
      <c r="J104" s="9"/>
      <c r="K104" s="7">
        <v>-4351.16</v>
      </c>
      <c r="L104" s="8">
        <f>IFERROR(K104/K444, "NA")</f>
        <v>-7.3929929950611491E-3</v>
      </c>
      <c r="M104" s="9"/>
      <c r="N104" s="10">
        <f t="shared" si="25"/>
        <v>1954.1799999999998</v>
      </c>
      <c r="O104" s="8">
        <f>IFERROR(N104/N444, "NA")</f>
        <v>1.6248501683568863E-2</v>
      </c>
      <c r="P104" s="9"/>
      <c r="Q104" s="7">
        <v>-37622.199999999997</v>
      </c>
      <c r="R104" s="8">
        <f>IFERROR(Q104/Q444, "NA")</f>
        <v>-5.6651480430294178E-3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-37622.199999999997</v>
      </c>
      <c r="X104" s="8">
        <f>IFERROR(W104/W444, "NA")</f>
        <v>0.11462361612340048</v>
      </c>
      <c r="Y104" s="9"/>
      <c r="Z104" s="7">
        <v>-38559.86</v>
      </c>
      <c r="AA104" s="8">
        <f>IFERROR(Z104/Z444, "NA")</f>
        <v>-6.2157902100642478E-3</v>
      </c>
      <c r="AB104" s="9"/>
      <c r="AC104" s="10">
        <f t="shared" si="27"/>
        <v>937.66000000000349</v>
      </c>
      <c r="AD104" s="8">
        <f>IFERROR(AC104/AC444, "NA")</f>
        <v>2.1434264214121434E-3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-469.02000000000004</v>
      </c>
      <c r="C106" s="8">
        <f>IFERROR(B106/B444, "NA")</f>
        <v>-6.6169106549600213E-4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-469.02000000000004</v>
      </c>
      <c r="I106" s="8">
        <f>IFERROR(H106/H444, "NA")</f>
        <v>-9.0326519332228419E-3</v>
      </c>
      <c r="J106" s="9"/>
      <c r="K106" s="7">
        <v>-939.31000000000006</v>
      </c>
      <c r="L106" s="8">
        <f>IFERROR(K106/K444, "NA")</f>
        <v>-1.5959680292590684E-3</v>
      </c>
      <c r="M106" s="9"/>
      <c r="N106" s="10">
        <f t="shared" si="25"/>
        <v>470.29</v>
      </c>
      <c r="O106" s="8">
        <f>IFERROR(N106/N444, "NA")</f>
        <v>3.9103398135103221E-3</v>
      </c>
      <c r="P106" s="9"/>
      <c r="Q106" s="7">
        <v>-5234.37</v>
      </c>
      <c r="R106" s="8">
        <f>IFERROR(Q106/Q444, "NA")</f>
        <v>-7.8819104044930638E-4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-5234.37</v>
      </c>
      <c r="X106" s="8">
        <f>IFERROR(W106/W444, "NA")</f>
        <v>1.5947563341001957E-2</v>
      </c>
      <c r="Y106" s="9"/>
      <c r="Z106" s="7">
        <v>-29692.29</v>
      </c>
      <c r="AA106" s="8">
        <f>IFERROR(Z106/Z444, "NA")</f>
        <v>-4.7863515452698365E-3</v>
      </c>
      <c r="AB106" s="9"/>
      <c r="AC106" s="10">
        <f t="shared" si="27"/>
        <v>24457.920000000002</v>
      </c>
      <c r="AD106" s="8">
        <f>IFERROR(AC106/AC444, "NA")</f>
        <v>5.5909126912510189E-2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-297.77999999999997</v>
      </c>
      <c r="AA108" s="8">
        <f>IFERROR(Z108/Z444, "NA")</f>
        <v>-4.800167865632633E-5</v>
      </c>
      <c r="AB108" s="9"/>
      <c r="AC108" s="10">
        <f t="shared" si="27"/>
        <v>297.77999999999997</v>
      </c>
      <c r="AD108" s="8">
        <f>IFERROR(AC108/AC444, "NA")</f>
        <v>6.8070464749280728E-4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-1.8618422609999638E-6</v>
      </c>
      <c r="AB111" s="9"/>
      <c r="AC111" s="10">
        <f t="shared" si="27"/>
        <v>11.55</v>
      </c>
      <c r="AD111" s="8">
        <f>IFERROR(AC111/AC444, "NA")</f>
        <v>2.6402507483853601E-5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-23429.14</v>
      </c>
      <c r="C118" s="15">
        <f>IFERROR(B118/B444, "NA")</f>
        <v>-3.3053713296351969E-2</v>
      </c>
      <c r="D118" s="2"/>
      <c r="E118" s="14">
        <f>IFERROR(E94+E95+E96+E97+E98+E99+E100+E101+E102+E103+E104+E105+E106+E107+E108+E109+E110+E111+E112+E113+E114+E115+E116+E117, "NA")</f>
        <v>-24336.609999999997</v>
      </c>
      <c r="F118" s="15">
        <f>IFERROR(E118/E444, "NA")</f>
        <v>-3.7047930593988448E-2</v>
      </c>
      <c r="G118" s="2"/>
      <c r="H118" s="14">
        <f t="shared" si="24"/>
        <v>907.46999999999753</v>
      </c>
      <c r="I118" s="15">
        <f>IFERROR(H118/H444, "NA")</f>
        <v>1.747656954893546E-2</v>
      </c>
      <c r="J118" s="2"/>
      <c r="K118" s="14">
        <f>IFERROR(K94+K95+K96+K97+K98+K99+K100+K101+K102+K103+K104+K105+K106+K107+K108+K109+K110+K111+K112+K113+K114+K115+K116+K117, "NA")</f>
        <v>-22845.969999999998</v>
      </c>
      <c r="L118" s="15">
        <f>IFERROR(K118/K444, "NA")</f>
        <v>-3.8817257047632614E-2</v>
      </c>
      <c r="M118" s="2"/>
      <c r="N118" s="14">
        <f t="shared" si="25"/>
        <v>-583.17000000000189</v>
      </c>
      <c r="O118" s="15">
        <f>IFERROR(N118/N444, "NA")</f>
        <v>-4.8489078420651558E-3</v>
      </c>
      <c r="P118" s="2"/>
      <c r="Q118" s="14">
        <f>IFERROR(Q94+Q95+Q96+Q97+Q98+Q99+Q100+Q101+Q102+Q103+Q104+Q105+Q106+Q107+Q108+Q109+Q110+Q111+Q112+Q113+Q114+Q115+Q116+Q117, "NA")</f>
        <v>-328123.86000000004</v>
      </c>
      <c r="R118" s="15">
        <f>IFERROR(Q118/Q444, "NA")</f>
        <v>-4.9408866130908322E-2</v>
      </c>
      <c r="S118" s="2"/>
      <c r="T118" s="14">
        <f>IFERROR(T94+T95+T96+T97+T98+T99+T100+T101+T102+T103+T104+T105+T106+T107+T108+T109+T110+T111+T112+T113+T114+T115+T116+T117, "NA")</f>
        <v>-260026.12</v>
      </c>
      <c r="U118" s="15">
        <f>IFERROR(T118/T444, "NA")</f>
        <v>-3.7310673932959601E-2</v>
      </c>
      <c r="V118" s="2"/>
      <c r="W118" s="14">
        <f t="shared" si="26"/>
        <v>-68097.740000000049</v>
      </c>
      <c r="X118" s="15">
        <f>IFERROR(W118/W444, "NA")</f>
        <v>0.20747349194441422</v>
      </c>
      <c r="Y118" s="2"/>
      <c r="Z118" s="14">
        <f>IFERROR(Z94+Z95+Z96+Z97+Z98+Z99+Z100+Z101+Z102+Z103+Z104+Z105+Z106+Z107+Z108+Z109+Z110+Z111+Z112+Z113+Z114+Z115+Z116+Z117, "NA")</f>
        <v>-272661.15000000002</v>
      </c>
      <c r="AA118" s="15">
        <f>IFERROR(Z118/Z444, "NA")</f>
        <v>-4.3952558614965394E-2</v>
      </c>
      <c r="AB118" s="2"/>
      <c r="AC118" s="14">
        <f t="shared" si="27"/>
        <v>-55462.710000000021</v>
      </c>
      <c r="AD118" s="15">
        <f>IFERROR(AC118/AC444, "NA")</f>
        <v>-0.1267839494242253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708820.20999999985</v>
      </c>
      <c r="C122" s="15">
        <f>IFERROR(B122/B444, "NA")</f>
        <v>0.99999999999999967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656895.26</v>
      </c>
      <c r="F122" s="15">
        <f>IFERROR(E122/E444, "NA")</f>
        <v>1</v>
      </c>
      <c r="G122" s="2"/>
      <c r="H122" s="14">
        <f t="shared" si="24"/>
        <v>51924.949999999837</v>
      </c>
      <c r="I122" s="15">
        <f>IFERROR(H122/H444, "NA")</f>
        <v>0.99999999999999556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588551.8899999999</v>
      </c>
      <c r="L122" s="15">
        <f>IFERROR(K122/K444, "NA")</f>
        <v>0.99999999999999978</v>
      </c>
      <c r="M122" s="2"/>
      <c r="N122" s="14">
        <f t="shared" si="25"/>
        <v>120268.31999999995</v>
      </c>
      <c r="O122" s="15">
        <f>IFERROR(N122/N444, "NA")</f>
        <v>0.999999999999999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6640991.5000000019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6969215.3099999996</v>
      </c>
      <c r="U122" s="15">
        <f>IFERROR(T122/T444, "NA")</f>
        <v>0.99999999999999989</v>
      </c>
      <c r="V122" s="2"/>
      <c r="W122" s="14">
        <f t="shared" si="26"/>
        <v>-328223.80999999773</v>
      </c>
      <c r="X122" s="15">
        <f>IFERROR(W122/W444, "NA")</f>
        <v>0.99999999999999145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6203533.0500000007</v>
      </c>
      <c r="AA122" s="15">
        <f>IFERROR(Z122/Z444, "NA")</f>
        <v>1.0000000000000002</v>
      </c>
      <c r="AB122" s="2"/>
      <c r="AC122" s="14">
        <f t="shared" si="27"/>
        <v>437458.45000000112</v>
      </c>
      <c r="AD122" s="15">
        <f>IFERROR(AC122/AC444, "NA")</f>
        <v>1.0000000000000022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708820.20999999985</v>
      </c>
      <c r="C124" s="15">
        <f>IFERROR(B124/B444, "NA")</f>
        <v>0.99999999999999967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656895.26</v>
      </c>
      <c r="F124" s="15">
        <f>IFERROR(E124/E444, "NA")</f>
        <v>1</v>
      </c>
      <c r="G124" s="2"/>
      <c r="H124" s="14">
        <f t="shared" si="24"/>
        <v>51924.949999999837</v>
      </c>
      <c r="I124" s="15">
        <f>IFERROR(H124/H444, "NA")</f>
        <v>0.99999999999999556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588551.8899999999</v>
      </c>
      <c r="L124" s="15">
        <f>IFERROR(K124/K444, "NA")</f>
        <v>0.99999999999999978</v>
      </c>
      <c r="M124" s="2"/>
      <c r="N124" s="14">
        <f t="shared" si="25"/>
        <v>120268.31999999995</v>
      </c>
      <c r="O124" s="15">
        <f>IFERROR(N124/N444, "NA")</f>
        <v>0.999999999999999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6640991.5000000019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6969215.3099999996</v>
      </c>
      <c r="U124" s="15">
        <f>IFERROR(T124/T444, "NA")</f>
        <v>0.99999999999999989</v>
      </c>
      <c r="V124" s="2"/>
      <c r="W124" s="14">
        <f t="shared" si="26"/>
        <v>-328223.80999999773</v>
      </c>
      <c r="X124" s="15">
        <f>IFERROR(W124/W444, "NA")</f>
        <v>0.99999999999999145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6203533.0500000007</v>
      </c>
      <c r="AA124" s="15">
        <f>IFERROR(Z124/Z444, "NA")</f>
        <v>1.0000000000000002</v>
      </c>
      <c r="AB124" s="2"/>
      <c r="AC124" s="14">
        <f t="shared" si="27"/>
        <v>437458.45000000112</v>
      </c>
      <c r="AD124" s="15">
        <f>IFERROR(AC124/AC444, "NA")</f>
        <v>1.0000000000000022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144083.57</v>
      </c>
      <c r="F129" s="8">
        <f>IFERROR(E129/E444, "NA")</f>
        <v>0.2193402491593561</v>
      </c>
      <c r="G129" s="9"/>
      <c r="H129" s="10">
        <f t="shared" ref="H129:H141" si="28">IFERROR(-(B129-E129), "NA")</f>
        <v>144083.57</v>
      </c>
      <c r="I129" s="8">
        <f>IFERROR(H129/H444, "NA")</f>
        <v>2.7748427297474492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1588327.8699999999</v>
      </c>
      <c r="U129" s="8">
        <f>IFERROR(T129/T444, "NA")</f>
        <v>0.2279062705554436</v>
      </c>
      <c r="V129" s="9"/>
      <c r="W129" s="10">
        <f t="shared" ref="W129:W141" si="30">IFERROR(-(Q129-T129), "NA")</f>
        <v>1588327.8699999999</v>
      </c>
      <c r="X129" s="8">
        <f>IFERROR(W129/W444, "NA")</f>
        <v>-4.8391610285676636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34294.18</v>
      </c>
      <c r="C130" s="8">
        <f>IFERROR(B130/B444, "NA")</f>
        <v>4.8382057277966149E-2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-34294.18</v>
      </c>
      <c r="I130" s="8">
        <f>IFERROR(H130/H444, "NA")</f>
        <v>-0.66045667834056565</v>
      </c>
      <c r="J130" s="9"/>
      <c r="K130" s="7">
        <v>32707.190000000002</v>
      </c>
      <c r="L130" s="8">
        <f>IFERROR(K130/K444, "NA")</f>
        <v>5.5572313258564168E-2</v>
      </c>
      <c r="M130" s="9"/>
      <c r="N130" s="10">
        <f t="shared" si="29"/>
        <v>-1586.989999999998</v>
      </c>
      <c r="O130" s="8">
        <f>IFERROR(N130/N444, "NA")</f>
        <v>-1.31954117260472E-2</v>
      </c>
      <c r="P130" s="9"/>
      <c r="Q130" s="7">
        <v>344947.58999999997</v>
      </c>
      <c r="R130" s="8">
        <f>IFERROR(Q130/Q444, "NA")</f>
        <v>5.194218212747298E-2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-344947.58999999997</v>
      </c>
      <c r="X130" s="8">
        <f>IFERROR(W130/W444, "NA")</f>
        <v>1.0509523669230438</v>
      </c>
      <c r="Y130" s="9"/>
      <c r="Z130" s="7">
        <v>389514.84</v>
      </c>
      <c r="AA130" s="8">
        <f>IFERROR(Z130/Z444, "NA")</f>
        <v>6.2789193973908142E-2</v>
      </c>
      <c r="AB130" s="9"/>
      <c r="AC130" s="10">
        <f t="shared" si="31"/>
        <v>44567.250000000058</v>
      </c>
      <c r="AD130" s="8">
        <f>IFERROR(AC130/AC444, "NA")</f>
        <v>0.10187767546837886</v>
      </c>
    </row>
    <row r="131" spans="1:30" ht="16.5" customHeight="1" x14ac:dyDescent="0.45">
      <c r="A131" s="12" t="s">
        <v>123</v>
      </c>
      <c r="B131" s="7">
        <v>17375.91</v>
      </c>
      <c r="C131" s="8">
        <f>IFERROR(B131/B444, "NA")</f>
        <v>2.4513846748246637E-2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-17375.91</v>
      </c>
      <c r="I131" s="8">
        <f>IFERROR(H131/H444, "NA")</f>
        <v>-0.33463508390475055</v>
      </c>
      <c r="J131" s="9"/>
      <c r="K131" s="7">
        <v>16418.48</v>
      </c>
      <c r="L131" s="8">
        <f>IFERROR(K131/K444, "NA")</f>
        <v>2.7896401793901297E-2</v>
      </c>
      <c r="M131" s="9"/>
      <c r="N131" s="10">
        <f t="shared" si="29"/>
        <v>-957.43000000000029</v>
      </c>
      <c r="O131" s="8">
        <f>IFERROR(N131/N444, "NA")</f>
        <v>-7.9607830224950327E-3</v>
      </c>
      <c r="P131" s="9"/>
      <c r="Q131" s="7">
        <v>191119.36000000002</v>
      </c>
      <c r="R131" s="8">
        <f>IFERROR(Q131/Q444, "NA")</f>
        <v>2.8778738837416072E-2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-191119.36000000002</v>
      </c>
      <c r="X131" s="8">
        <f>IFERROR(W131/W444, "NA")</f>
        <v>0.58228365577743957</v>
      </c>
      <c r="Y131" s="9"/>
      <c r="Z131" s="7">
        <v>191063.44</v>
      </c>
      <c r="AA131" s="8">
        <f>IFERROR(Z131/Z444, "NA")</f>
        <v>3.079913308433168E-2</v>
      </c>
      <c r="AB131" s="9"/>
      <c r="AC131" s="10">
        <f t="shared" si="31"/>
        <v>-55.920000000012806</v>
      </c>
      <c r="AD131" s="8">
        <f>IFERROR(AC131/AC444, "NA")</f>
        <v>-1.2782928298679059E-4</v>
      </c>
    </row>
    <row r="132" spans="1:30" ht="16.5" customHeight="1" x14ac:dyDescent="0.45">
      <c r="A132" s="12" t="s">
        <v>124</v>
      </c>
      <c r="B132" s="7">
        <v>23078.3</v>
      </c>
      <c r="C132" s="8">
        <f>IFERROR(B132/B444, "NA")</f>
        <v>3.2558749982594309E-2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-23078.3</v>
      </c>
      <c r="I132" s="8">
        <f>IFERROR(H132/H444, "NA")</f>
        <v>-0.44445492966290712</v>
      </c>
      <c r="J132" s="9"/>
      <c r="K132" s="7">
        <v>21465.599999999999</v>
      </c>
      <c r="L132" s="8">
        <f>IFERROR(K132/K444, "NA")</f>
        <v>3.6471890354476642E-2</v>
      </c>
      <c r="M132" s="9"/>
      <c r="N132" s="10">
        <f t="shared" si="29"/>
        <v>-1612.7000000000007</v>
      </c>
      <c r="O132" s="8">
        <f>IFERROR(N132/N444, "NA")</f>
        <v>-1.3409183731842265E-2</v>
      </c>
      <c r="P132" s="9"/>
      <c r="Q132" s="7">
        <v>296151.19999999995</v>
      </c>
      <c r="R132" s="8">
        <f>IFERROR(Q132/Q444, "NA")</f>
        <v>4.4594425395665688E-2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-296151.19999999995</v>
      </c>
      <c r="X132" s="8">
        <f>IFERROR(W132/W444, "NA")</f>
        <v>0.9022843284891473</v>
      </c>
      <c r="Y132" s="9"/>
      <c r="Z132" s="7">
        <v>223222.94</v>
      </c>
      <c r="AA132" s="8">
        <f>IFERROR(Z132/Z444, "NA")</f>
        <v>3.5983195092351448E-2</v>
      </c>
      <c r="AB132" s="9"/>
      <c r="AC132" s="10">
        <f t="shared" si="31"/>
        <v>-72928.259999999951</v>
      </c>
      <c r="AD132" s="8">
        <f>IFERROR(AC132/AC444, "NA")</f>
        <v>-0.16670899830601035</v>
      </c>
    </row>
    <row r="133" spans="1:30" ht="16.5" customHeight="1" x14ac:dyDescent="0.45">
      <c r="A133" s="12" t="s">
        <v>125</v>
      </c>
      <c r="B133" s="7">
        <v>13564.359999999999</v>
      </c>
      <c r="C133" s="8">
        <f>IFERROR(B133/B444, "NA")</f>
        <v>1.9136531109912903E-2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-13564.359999999999</v>
      </c>
      <c r="I133" s="8">
        <f>IFERROR(H133/H444, "NA")</f>
        <v>-0.26123010229186511</v>
      </c>
      <c r="J133" s="9"/>
      <c r="K133" s="7">
        <v>13016.6</v>
      </c>
      <c r="L133" s="8">
        <f>IFERROR(K133/K444, "NA")</f>
        <v>2.2116316710834111E-2</v>
      </c>
      <c r="M133" s="9"/>
      <c r="N133" s="10">
        <f t="shared" si="29"/>
        <v>-547.7599999999984</v>
      </c>
      <c r="O133" s="8">
        <f>IFERROR(N133/N444, "NA")</f>
        <v>-4.5544828430296369E-3</v>
      </c>
      <c r="P133" s="9"/>
      <c r="Q133" s="7">
        <v>154962.88</v>
      </c>
      <c r="R133" s="8">
        <f>IFERROR(Q133/Q444, "NA")</f>
        <v>2.33342988016172E-2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-154962.88</v>
      </c>
      <c r="X133" s="8">
        <f>IFERROR(W133/W444, "NA")</f>
        <v>0.47212565109155169</v>
      </c>
      <c r="Y133" s="9"/>
      <c r="Z133" s="7">
        <v>131680.99</v>
      </c>
      <c r="AA133" s="8">
        <f>IFERROR(Z133/Z444, "NA")</f>
        <v>2.1226773346520657E-2</v>
      </c>
      <c r="AB133" s="9"/>
      <c r="AC133" s="10">
        <f t="shared" si="31"/>
        <v>-23281.890000000014</v>
      </c>
      <c r="AD133" s="8">
        <f>IFERROR(AC133/AC444, "NA")</f>
        <v>-5.3220803027121788E-2</v>
      </c>
    </row>
    <row r="134" spans="1:30" ht="16.5" customHeight="1" x14ac:dyDescent="0.45">
      <c r="A134" s="12" t="s">
        <v>126</v>
      </c>
      <c r="B134" s="7">
        <v>5391.7</v>
      </c>
      <c r="C134" s="8">
        <f>IFERROR(B134/B444, "NA")</f>
        <v>7.6065833393774134E-3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-5391.7</v>
      </c>
      <c r="I134" s="8">
        <f>IFERROR(H134/H444, "NA")</f>
        <v>-0.10383640234607819</v>
      </c>
      <c r="J134" s="9"/>
      <c r="K134" s="7">
        <v>5761.17</v>
      </c>
      <c r="L134" s="8">
        <f>IFERROR(K134/K444, "NA")</f>
        <v>9.7887205833286847E-3</v>
      </c>
      <c r="M134" s="9"/>
      <c r="N134" s="10">
        <f t="shared" si="29"/>
        <v>369.47000000000025</v>
      </c>
      <c r="O134" s="8">
        <f>IFERROR(N134/N444, "NA")</f>
        <v>3.0720475683039396E-3</v>
      </c>
      <c r="P134" s="9"/>
      <c r="Q134" s="7">
        <v>60190.61</v>
      </c>
      <c r="R134" s="8">
        <f>IFERROR(Q134/Q444, "NA")</f>
        <v>9.0634975214167954E-3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-60190.61</v>
      </c>
      <c r="X134" s="8">
        <f>IFERROR(W134/W444, "NA")</f>
        <v>0.18338282649269078</v>
      </c>
      <c r="Y134" s="9"/>
      <c r="Z134" s="7">
        <v>64145.14</v>
      </c>
      <c r="AA134" s="8">
        <f>IFERROR(Z134/Z444, "NA")</f>
        <v>1.0340098051061402E-2</v>
      </c>
      <c r="AB134" s="9"/>
      <c r="AC134" s="10">
        <f t="shared" si="31"/>
        <v>3954.5299999999988</v>
      </c>
      <c r="AD134" s="8">
        <f>IFERROR(AC134/AC444, "NA")</f>
        <v>9.0397842355085314E-3</v>
      </c>
    </row>
    <row r="135" spans="1:30" ht="16.5" customHeight="1" x14ac:dyDescent="0.45">
      <c r="A135" s="12" t="s">
        <v>127</v>
      </c>
      <c r="B135" s="7">
        <v>5095.93</v>
      </c>
      <c r="C135" s="8">
        <f>IFERROR(B135/B444, "NA")</f>
        <v>7.1893125056352435E-3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-5095.93</v>
      </c>
      <c r="I135" s="8">
        <f>IFERROR(H135/H444, "NA")</f>
        <v>-9.8140296716703504E-2</v>
      </c>
      <c r="J135" s="9"/>
      <c r="K135" s="7">
        <v>6331.51</v>
      </c>
      <c r="L135" s="8">
        <f>IFERROR(K135/K444, "NA")</f>
        <v>1.0757777024554284E-2</v>
      </c>
      <c r="M135" s="9"/>
      <c r="N135" s="10">
        <f t="shared" si="29"/>
        <v>1235.58</v>
      </c>
      <c r="O135" s="8">
        <f>IFERROR(N135/N444, "NA")</f>
        <v>1.0273528390518793E-2</v>
      </c>
      <c r="P135" s="9"/>
      <c r="Q135" s="7">
        <v>55114.350000000006</v>
      </c>
      <c r="R135" s="8">
        <f>IFERROR(Q135/Q444, "NA")</f>
        <v>8.2991146728617262E-3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-55114.350000000006</v>
      </c>
      <c r="X135" s="8">
        <f>IFERROR(W135/W444, "NA")</f>
        <v>0.16791697713825185</v>
      </c>
      <c r="Y135" s="9"/>
      <c r="Z135" s="7">
        <v>53663.95</v>
      </c>
      <c r="AA135" s="8">
        <f>IFERROR(Z135/Z444, "NA")</f>
        <v>8.6505463205358429E-3</v>
      </c>
      <c r="AB135" s="9"/>
      <c r="AC135" s="10">
        <f t="shared" si="31"/>
        <v>-1450.4000000000087</v>
      </c>
      <c r="AD135" s="8">
        <f>IFERROR(AC135/AC444, "NA")</f>
        <v>-3.3155148791845445E-3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5101.1299999999992</v>
      </c>
      <c r="L136" s="8">
        <f>IFERROR(K136/K444, "NA")</f>
        <v>8.667256170054944E-3</v>
      </c>
      <c r="M136" s="9"/>
      <c r="N136" s="10">
        <f t="shared" si="29"/>
        <v>5101.1299999999992</v>
      </c>
      <c r="O136" s="8">
        <f>IFERROR(N136/N444, "NA")</f>
        <v>4.2414577670994297E-2</v>
      </c>
      <c r="P136" s="9"/>
      <c r="Q136" s="7">
        <v>25124.32</v>
      </c>
      <c r="R136" s="8">
        <f>IFERROR(Q136/Q444, "NA")</f>
        <v>3.7832182137260677E-3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-25124.32</v>
      </c>
      <c r="X136" s="8">
        <f>IFERROR(W136/W444, "NA")</f>
        <v>7.6546305400573958E-2</v>
      </c>
      <c r="Y136" s="9"/>
      <c r="Z136" s="7">
        <v>52512.439999999995</v>
      </c>
      <c r="AA136" s="8">
        <f>IFERROR(Z136/Z444, "NA")</f>
        <v>8.46492467707575E-3</v>
      </c>
      <c r="AB136" s="9"/>
      <c r="AC136" s="10">
        <f t="shared" si="31"/>
        <v>27388.119999999995</v>
      </c>
      <c r="AD136" s="8">
        <f>IFERROR(AC136/AC444, "NA")</f>
        <v>6.2607363053565387E-2</v>
      </c>
    </row>
    <row r="137" spans="1:30" ht="16.5" customHeight="1" x14ac:dyDescent="0.45">
      <c r="A137" s="12" t="s">
        <v>129</v>
      </c>
      <c r="B137" s="7">
        <v>2550.8500000000004</v>
      </c>
      <c r="C137" s="8">
        <f>IFERROR(B137/B444, "NA")</f>
        <v>3.5987263963593815E-3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-2550.8500000000004</v>
      </c>
      <c r="I137" s="8">
        <f>IFERROR(H137/H444, "NA")</f>
        <v>-4.9125709317004579E-2</v>
      </c>
      <c r="J137" s="9"/>
      <c r="K137" s="7">
        <v>3343.7000000000003</v>
      </c>
      <c r="L137" s="8">
        <f>IFERROR(K137/K444, "NA")</f>
        <v>5.6812322869271561E-3</v>
      </c>
      <c r="M137" s="9"/>
      <c r="N137" s="10">
        <f t="shared" si="29"/>
        <v>792.84999999999991</v>
      </c>
      <c r="O137" s="8">
        <f>IFERROR(N137/N444, "NA")</f>
        <v>6.5923428547101969E-3</v>
      </c>
      <c r="P137" s="9"/>
      <c r="Q137" s="7">
        <v>34178.75</v>
      </c>
      <c r="R137" s="8">
        <f>IFERROR(Q137/Q444, "NA")</f>
        <v>5.1466336013229353E-3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-34178.75</v>
      </c>
      <c r="X137" s="8">
        <f>IFERROR(W137/W444, "NA")</f>
        <v>0.10413245157321142</v>
      </c>
      <c r="Y137" s="9"/>
      <c r="Z137" s="7">
        <v>31559.79</v>
      </c>
      <c r="AA137" s="8">
        <f>IFERROR(Z137/Z444, "NA")</f>
        <v>5.08738967708087E-3</v>
      </c>
      <c r="AB137" s="9"/>
      <c r="AC137" s="10">
        <f t="shared" si="31"/>
        <v>-2618.9599999999991</v>
      </c>
      <c r="AD137" s="8">
        <f>IFERROR(AC137/AC444, "NA")</f>
        <v>-5.9867628571353415E-3</v>
      </c>
    </row>
    <row r="138" spans="1:30" ht="16.5" customHeight="1" x14ac:dyDescent="0.45">
      <c r="A138" s="12" t="s">
        <v>130</v>
      </c>
      <c r="B138" s="7">
        <v>49996.35</v>
      </c>
      <c r="C138" s="8">
        <f>IFERROR(B138/B444, "NA")</f>
        <v>7.0534600022197441E-2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-49996.35</v>
      </c>
      <c r="I138" s="8">
        <f>IFERROR(H138/H444, "NA")</f>
        <v>-0.96285793245828699</v>
      </c>
      <c r="J138" s="9"/>
      <c r="K138" s="7">
        <v>27902.23</v>
      </c>
      <c r="L138" s="8">
        <f>IFERROR(K138/K444, "NA")</f>
        <v>4.7408275249952898E-2</v>
      </c>
      <c r="M138" s="9"/>
      <c r="N138" s="10">
        <f t="shared" si="29"/>
        <v>-22094.12</v>
      </c>
      <c r="O138" s="8">
        <f>IFERROR(N138/N444, "NA")</f>
        <v>-0.1837068980426432</v>
      </c>
      <c r="P138" s="9"/>
      <c r="Q138" s="7">
        <v>398234.08999999997</v>
      </c>
      <c r="R138" s="8">
        <f>IFERROR(Q138/Q444, "NA")</f>
        <v>5.9966059284972728E-2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-398234.08999999997</v>
      </c>
      <c r="X138" s="8">
        <f>IFERROR(W138/W444, "NA")</f>
        <v>1.2133004305811919</v>
      </c>
      <c r="Y138" s="9"/>
      <c r="Z138" s="7">
        <v>302803.37</v>
      </c>
      <c r="AA138" s="8">
        <f>IFERROR(Z138/Z444, "NA")</f>
        <v>4.8811438185212858E-2</v>
      </c>
      <c r="AB138" s="9"/>
      <c r="AC138" s="10">
        <f t="shared" si="31"/>
        <v>-95430.719999999972</v>
      </c>
      <c r="AD138" s="8">
        <f>IFERROR(AC138/AC444, "NA")</f>
        <v>-0.21814807783459192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10.25</v>
      </c>
      <c r="L140" s="8">
        <f>IFERROR(K140/K444, "NA")</f>
        <v>1.7415626683315893E-5</v>
      </c>
      <c r="M140" s="9"/>
      <c r="N140" s="10">
        <f t="shared" si="29"/>
        <v>10.25</v>
      </c>
      <c r="O140" s="8">
        <f>IFERROR(N140/N444, "NA")</f>
        <v>8.5226101104596741E-5</v>
      </c>
      <c r="P140" s="9"/>
      <c r="Q140" s="7">
        <v>107.2</v>
      </c>
      <c r="R140" s="8">
        <f>IFERROR(Q140/Q444, "NA")</f>
        <v>1.6142167927786086E-5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3.2660640920596171E-4</v>
      </c>
      <c r="Y140" s="9"/>
      <c r="Z140" s="7">
        <v>373.87</v>
      </c>
      <c r="AA140" s="8">
        <f>IFERROR(Z140/Z444, "NA")</f>
        <v>6.0267269793944276E-5</v>
      </c>
      <c r="AB140" s="9"/>
      <c r="AC140" s="10">
        <f t="shared" si="31"/>
        <v>266.67</v>
      </c>
      <c r="AD140" s="8">
        <f>IFERROR(AC140/AC444, "NA")</f>
        <v>6.0958932214019387E-4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151347.58000000002</v>
      </c>
      <c r="C141" s="15">
        <f>IFERROR(B141/B444, "NA")</f>
        <v>0.2135204073822895</v>
      </c>
      <c r="D141" s="2"/>
      <c r="E141" s="14">
        <f>IFERROR(E129+E130+E131+E132+E133+E134+E135+E136+E137+E138+E139+E140, "NA")</f>
        <v>144083.57</v>
      </c>
      <c r="F141" s="15">
        <f>IFERROR(E141/E444, "NA")</f>
        <v>0.2193402491593561</v>
      </c>
      <c r="G141" s="2"/>
      <c r="H141" s="14">
        <f t="shared" si="28"/>
        <v>-7264.0100000000093</v>
      </c>
      <c r="I141" s="15">
        <f>IFERROR(H141/H444, "NA")</f>
        <v>-0.13989440529071284</v>
      </c>
      <c r="J141" s="2"/>
      <c r="K141" s="14">
        <f>IFERROR(K129+K130+K131+K132+K133+K134+K135+K136+K137+K138+K139+K140, "NA")</f>
        <v>132057.85999999999</v>
      </c>
      <c r="L141" s="15">
        <f>IFERROR(K141/K444, "NA")</f>
        <v>0.22437759905927748</v>
      </c>
      <c r="M141" s="2"/>
      <c r="N141" s="14">
        <f t="shared" si="29"/>
        <v>-19289.72000000003</v>
      </c>
      <c r="O141" s="15">
        <f>IFERROR(N141/N444, "NA")</f>
        <v>-0.16038903678042579</v>
      </c>
      <c r="P141" s="2"/>
      <c r="Q141" s="14">
        <f>IFERROR(Q129+Q130+Q131+Q132+Q133+Q134+Q135+Q136+Q137+Q138+Q139+Q140, "NA")</f>
        <v>1560130.3499999999</v>
      </c>
      <c r="R141" s="15">
        <f>IFERROR(Q141/Q444, "NA")</f>
        <v>0.23492431062439997</v>
      </c>
      <c r="S141" s="2"/>
      <c r="T141" s="14">
        <f>IFERROR(T129+T130+T131+T132+T133+T134+T135+T136+T137+T138+T139+T140, "NA")</f>
        <v>1588327.8699999999</v>
      </c>
      <c r="U141" s="15">
        <f>IFERROR(T141/T444, "NA")</f>
        <v>0.2279062705554436</v>
      </c>
      <c r="V141" s="2"/>
      <c r="W141" s="14">
        <f t="shared" si="30"/>
        <v>28197.520000000019</v>
      </c>
      <c r="X141" s="15">
        <f>IFERROR(W141/W444, "NA")</f>
        <v>-8.5909428691355372E-2</v>
      </c>
      <c r="Y141" s="2"/>
      <c r="Z141" s="14">
        <f>IFERROR(Z129+Z130+Z131+Z132+Z133+Z134+Z135+Z136+Z137+Z138+Z139+Z140, "NA")</f>
        <v>1440540.77</v>
      </c>
      <c r="AA141" s="15">
        <f>IFERROR(Z141/Z444, "NA")</f>
        <v>0.23221295967787262</v>
      </c>
      <c r="AB141" s="2"/>
      <c r="AC141" s="14">
        <f t="shared" si="31"/>
        <v>-119589.57999999984</v>
      </c>
      <c r="AD141" s="15">
        <f>IFERROR(AC141/AC444, "NA")</f>
        <v>-0.27337357410743762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8065.3099999999995</v>
      </c>
      <c r="C144" s="8">
        <f>IFERROR(B144/B444, "NA")</f>
        <v>1.1378498928522366E-2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-8065.3099999999995</v>
      </c>
      <c r="I144" s="8">
        <f>IFERROR(H144/H444, "NA")</f>
        <v>-0.15532629304409515</v>
      </c>
      <c r="J144" s="9"/>
      <c r="K144" s="7">
        <v>6128.2300000000005</v>
      </c>
      <c r="L144" s="8">
        <f>IFERROR(K144/K444, "NA")</f>
        <v>1.0412386917999703E-2</v>
      </c>
      <c r="M144" s="9"/>
      <c r="N144" s="10">
        <f t="shared" si="33"/>
        <v>-1937.079999999999</v>
      </c>
      <c r="O144" s="8">
        <f>IFERROR(N144/N444, "NA")</f>
        <v>-1.6106319602701674E-2</v>
      </c>
      <c r="P144" s="9"/>
      <c r="Q144" s="7">
        <v>84875.109999999986</v>
      </c>
      <c r="R144" s="8">
        <f>IFERROR(Q144/Q444, "NA")</f>
        <v>1.2780487672661527E-2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-84875.109999999986</v>
      </c>
      <c r="X144" s="8">
        <f>IFERROR(W144/W444, "NA")</f>
        <v>0.25858913160504671</v>
      </c>
      <c r="Y144" s="9"/>
      <c r="Z144" s="7">
        <v>64643.459999999992</v>
      </c>
      <c r="AA144" s="8">
        <f>IFERROR(Z144/Z444, "NA")</f>
        <v>1.0420426469719541E-2</v>
      </c>
      <c r="AB144" s="9"/>
      <c r="AC144" s="10">
        <f t="shared" si="35"/>
        <v>-20231.649999999994</v>
      </c>
      <c r="AD144" s="8">
        <f>IFERROR(AC144/AC444, "NA")</f>
        <v>-4.6248163682745154E-2</v>
      </c>
    </row>
    <row r="145" spans="1:30" ht="16.5" customHeight="1" x14ac:dyDescent="0.45">
      <c r="A145" s="12" t="s">
        <v>136</v>
      </c>
      <c r="B145" s="7">
        <v>233.25000000000003</v>
      </c>
      <c r="C145" s="8">
        <f>IFERROR(B145/B444, "NA")</f>
        <v>3.2906793106251864E-4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-233.25000000000003</v>
      </c>
      <c r="I145" s="8">
        <f>IFERROR(H145/H444, "NA")</f>
        <v>-4.4920601753107078E-3</v>
      </c>
      <c r="J145" s="9"/>
      <c r="K145" s="7">
        <v>1028.95</v>
      </c>
      <c r="L145" s="8">
        <f>IFERROR(K145/K444, "NA")</f>
        <v>1.7482740561754037E-3</v>
      </c>
      <c r="M145" s="9"/>
      <c r="N145" s="10">
        <f t="shared" si="33"/>
        <v>795.7</v>
      </c>
      <c r="O145" s="8">
        <f>IFERROR(N145/N444, "NA")</f>
        <v>6.616039868188062E-3</v>
      </c>
      <c r="P145" s="9"/>
      <c r="Q145" s="7">
        <v>4499.88</v>
      </c>
      <c r="R145" s="8">
        <f>IFERROR(Q145/Q444, "NA")</f>
        <v>6.7759159155677282E-4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-4499.88</v>
      </c>
      <c r="X145" s="8">
        <f>IFERROR(W145/W444, "NA")</f>
        <v>1.370979149867279E-2</v>
      </c>
      <c r="Y145" s="9"/>
      <c r="Z145" s="7">
        <v>5498.38</v>
      </c>
      <c r="AA145" s="8">
        <f>IFERROR(Z145/Z444, "NA")</f>
        <v>8.863304113451931E-4</v>
      </c>
      <c r="AB145" s="9"/>
      <c r="AC145" s="10">
        <f t="shared" si="35"/>
        <v>998.5</v>
      </c>
      <c r="AD145" s="8">
        <f>IFERROR(AC145/AC444, "NA")</f>
        <v>2.2825024868076034E-3</v>
      </c>
    </row>
    <row r="146" spans="1:30" ht="16.5" customHeight="1" x14ac:dyDescent="0.45">
      <c r="A146" s="12" t="s">
        <v>137</v>
      </c>
      <c r="B146" s="7">
        <v>212.74999999999997</v>
      </c>
      <c r="C146" s="8">
        <f>IFERROR(B146/B444, "NA")</f>
        <v>3.0014663379871739E-4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-212.74999999999997</v>
      </c>
      <c r="I146" s="8">
        <f>IFERROR(H146/H444, "NA")</f>
        <v>-4.0972596025609974E-3</v>
      </c>
      <c r="J146" s="9"/>
      <c r="K146" s="7">
        <v>1609.5300000000002</v>
      </c>
      <c r="L146" s="8">
        <f>IFERROR(K146/K444, "NA")</f>
        <v>2.7347291332290176E-3</v>
      </c>
      <c r="M146" s="9"/>
      <c r="N146" s="10">
        <f t="shared" si="33"/>
        <v>1396.7800000000002</v>
      </c>
      <c r="O146" s="8">
        <f>IFERROR(N146/N444, "NA")</f>
        <v>1.1613864731793039E-2</v>
      </c>
      <c r="P146" s="9"/>
      <c r="Q146" s="7">
        <v>5296.71</v>
      </c>
      <c r="R146" s="8">
        <f>IFERROR(Q146/Q444, "NA")</f>
        <v>7.975781929550731E-4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-5296.71</v>
      </c>
      <c r="X146" s="8">
        <f>IFERROR(W146/W444, "NA")</f>
        <v>1.6137494717400277E-2</v>
      </c>
      <c r="Y146" s="9"/>
      <c r="Z146" s="7">
        <v>18157.38</v>
      </c>
      <c r="AA146" s="8">
        <f>IFERROR(Z146/Z444, "NA")</f>
        <v>2.9269417690939844E-3</v>
      </c>
      <c r="AB146" s="9"/>
      <c r="AC146" s="10">
        <f t="shared" si="35"/>
        <v>12860.670000000002</v>
      </c>
      <c r="AD146" s="8">
        <f>IFERROR(AC146/AC444, "NA")</f>
        <v>2.9398609170768097E-2</v>
      </c>
    </row>
    <row r="147" spans="1:30" ht="16.5" customHeight="1" x14ac:dyDescent="0.45">
      <c r="A147" s="12" t="s">
        <v>138</v>
      </c>
      <c r="B147" s="7">
        <v>84.31</v>
      </c>
      <c r="C147" s="8">
        <f>IFERROR(B147/B444, "NA")</f>
        <v>1.1894412547858926E-4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-84.31</v>
      </c>
      <c r="I147" s="8">
        <f>IFERROR(H147/H444, "NA")</f>
        <v>-1.6236895750501423E-3</v>
      </c>
      <c r="J147" s="9"/>
      <c r="K147" s="7">
        <v>96.62</v>
      </c>
      <c r="L147" s="8">
        <f>IFERROR(K147/K444, "NA")</f>
        <v>1.6416564391629089E-4</v>
      </c>
      <c r="M147" s="9"/>
      <c r="N147" s="10">
        <f t="shared" si="33"/>
        <v>12.310000000000002</v>
      </c>
      <c r="O147" s="8">
        <f>IFERROR(N147/N444, "NA")</f>
        <v>1.0235446874122791E-4</v>
      </c>
      <c r="P147" s="9"/>
      <c r="Q147" s="7">
        <v>1262.8499999999999</v>
      </c>
      <c r="R147" s="8">
        <f>IFERROR(Q147/Q444, "NA")</f>
        <v>1.9015985790675984E-4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-1262.8499999999999</v>
      </c>
      <c r="X147" s="8">
        <f>IFERROR(W147/W444, "NA")</f>
        <v>3.8475270882998946E-3</v>
      </c>
      <c r="Y147" s="9"/>
      <c r="Z147" s="7">
        <v>991.76</v>
      </c>
      <c r="AA147" s="8">
        <f>IFERROR(Z147/Z444, "NA")</f>
        <v>1.5987018881119687E-4</v>
      </c>
      <c r="AB147" s="9"/>
      <c r="AC147" s="10">
        <f t="shared" si="35"/>
        <v>-271.08999999999992</v>
      </c>
      <c r="AD147" s="8">
        <f>IFERROR(AC147/AC444, "NA")</f>
        <v>-6.1969313885695842E-4</v>
      </c>
    </row>
    <row r="148" spans="1:30" ht="16.5" customHeight="1" x14ac:dyDescent="0.45">
      <c r="A148" s="13" t="s">
        <v>139</v>
      </c>
      <c r="B148" s="14">
        <f>IFERROR(B143+B144+B145+B146+B147, "NA")</f>
        <v>8595.619999999999</v>
      </c>
      <c r="C148" s="15">
        <f>IFERROR(B148/B444, "NA")</f>
        <v>1.2126657618862191E-2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-8595.619999999999</v>
      </c>
      <c r="I148" s="15">
        <f>IFERROR(H148/H444, "NA")</f>
        <v>-0.165539302397017</v>
      </c>
      <c r="J148" s="2"/>
      <c r="K148" s="14">
        <f>IFERROR(K143+K144+K145+K146+K147, "NA")</f>
        <v>8863.3300000000017</v>
      </c>
      <c r="L148" s="15">
        <f>IFERROR(K148/K444, "NA")</f>
        <v>1.5059555751320418E-2</v>
      </c>
      <c r="M148" s="2"/>
      <c r="N148" s="14">
        <f t="shared" si="33"/>
        <v>267.71000000000276</v>
      </c>
      <c r="O148" s="15">
        <f>IFERROR(N148/N444, "NA")</f>
        <v>2.2259394660206662E-3</v>
      </c>
      <c r="P148" s="2"/>
      <c r="Q148" s="14">
        <f>IFERROR(Q143+Q144+Q145+Q146+Q147, "NA")</f>
        <v>95934.55</v>
      </c>
      <c r="R148" s="15">
        <f>IFERROR(Q148/Q444, "NA")</f>
        <v>1.4445817315080135E-2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-95934.55</v>
      </c>
      <c r="X148" s="15">
        <f>IFERROR(W148/W444, "NA")</f>
        <v>0.29228394490941972</v>
      </c>
      <c r="Y148" s="2"/>
      <c r="Z148" s="14">
        <f>IFERROR(Z143+Z144+Z145+Z146+Z147, "NA")</f>
        <v>89290.98</v>
      </c>
      <c r="AA148" s="15">
        <f>IFERROR(Z148/Z444, "NA")</f>
        <v>1.4393568838969915E-2</v>
      </c>
      <c r="AB148" s="2"/>
      <c r="AC148" s="14">
        <f t="shared" si="35"/>
        <v>-6643.570000000007</v>
      </c>
      <c r="AD148" s="15">
        <f>IFERROR(AC148/AC444, "NA")</f>
        <v>-1.5186745164026445E-2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159943.20000000001</v>
      </c>
      <c r="C149" s="15">
        <f>IFERROR(B149/B444, "NA")</f>
        <v>0.2256470650011517</v>
      </c>
      <c r="D149" s="2"/>
      <c r="E149" s="14">
        <f>IFERROR(E127+E129+E130+E131+E132+E133+E134+E135+E136+E137+E138+E139+E140+E143+E144+E145+E146+E147, "NA")</f>
        <v>144083.57</v>
      </c>
      <c r="F149" s="15">
        <f>IFERROR(E149/E444, "NA")</f>
        <v>0.2193402491593561</v>
      </c>
      <c r="G149" s="2"/>
      <c r="H149" s="14">
        <f t="shared" si="32"/>
        <v>-15859.630000000005</v>
      </c>
      <c r="I149" s="15">
        <f>IFERROR(H149/H444, "NA")</f>
        <v>-0.30543370768772976</v>
      </c>
      <c r="J149" s="2"/>
      <c r="K149" s="14">
        <f>IFERROR(K127+K129+K130+K131+K132+K133+K134+K135+K136+K137+K138+K139+K140+K143+K144+K145+K146+K147, "NA")</f>
        <v>140921.19</v>
      </c>
      <c r="L149" s="15">
        <f>IFERROR(K149/K444, "NA")</f>
        <v>0.23943715481059794</v>
      </c>
      <c r="M149" s="2"/>
      <c r="N149" s="14">
        <f t="shared" si="33"/>
        <v>-19022.010000000009</v>
      </c>
      <c r="O149" s="15">
        <f>IFERROR(N149/N444, "NA")</f>
        <v>-0.15816309731440498</v>
      </c>
      <c r="P149" s="2"/>
      <c r="Q149" s="14">
        <f>IFERROR(Q127+Q129+Q130+Q131+Q132+Q133+Q134+Q135+Q136+Q137+Q138+Q139+Q140+Q143+Q144+Q145+Q146+Q147, "NA")</f>
        <v>1656064.9</v>
      </c>
      <c r="R149" s="15">
        <f>IFERROR(Q149/Q444, "NA")</f>
        <v>0.2493701279394801</v>
      </c>
      <c r="S149" s="2"/>
      <c r="T149" s="14">
        <f>IFERROR(T127+T129+T130+T131+T132+T133+T134+T135+T136+T137+T138+T139+T140+T143+T144+T145+T146+T147, "NA")</f>
        <v>1588327.8699999999</v>
      </c>
      <c r="U149" s="15">
        <f>IFERROR(T149/T444, "NA")</f>
        <v>0.2279062705554436</v>
      </c>
      <c r="V149" s="2"/>
      <c r="W149" s="14">
        <f t="shared" si="34"/>
        <v>-67737.030000000028</v>
      </c>
      <c r="X149" s="15">
        <f>IFERROR(W149/W444, "NA")</f>
        <v>0.20637451621806449</v>
      </c>
      <c r="Y149" s="2"/>
      <c r="Z149" s="14">
        <f>IFERROR(Z127+Z129+Z130+Z131+Z132+Z133+Z134+Z135+Z136+Z137+Z138+Z139+Z140+Z143+Z144+Z145+Z146+Z147, "NA")</f>
        <v>1529831.7499999998</v>
      </c>
      <c r="AA149" s="15">
        <f>IFERROR(Z149/Z444, "NA")</f>
        <v>0.24660652851684248</v>
      </c>
      <c r="AB149" s="2"/>
      <c r="AC149" s="14">
        <f t="shared" si="35"/>
        <v>-126233.15000000014</v>
      </c>
      <c r="AD149" s="15">
        <f>IFERROR(AC149/AC444, "NA")</f>
        <v>-0.28856031927146469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10916.14</v>
      </c>
      <c r="F153" s="8">
        <f>IFERROR(E153/E444, "NA")</f>
        <v>1.6617778609028171E-2</v>
      </c>
      <c r="G153" s="9"/>
      <c r="H153" s="10">
        <f t="shared" ref="H153:H158" si="36">IFERROR(-(B153-E153), "NA")</f>
        <v>10916.14</v>
      </c>
      <c r="I153" s="8">
        <f>IFERROR(H153/H444, "NA")</f>
        <v>0.21022918654712205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119992.31999999999</v>
      </c>
      <c r="U153" s="8">
        <f>IFERROR(T153/T444, "NA")</f>
        <v>1.7217479251620364E-2</v>
      </c>
      <c r="V153" s="9"/>
      <c r="W153" s="10">
        <f t="shared" ref="W153:W158" si="38">IFERROR(-(Q153-T153), "NA")</f>
        <v>119992.31999999999</v>
      </c>
      <c r="X153" s="8">
        <f>IFERROR(W153/W444, "NA")</f>
        <v>-0.36558079074153638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16961.22</v>
      </c>
      <c r="C154" s="8">
        <f>IFERROR(B154/B444, "NA")</f>
        <v>2.3928804174474651E-2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-16961.22</v>
      </c>
      <c r="I154" s="8">
        <f>IFERROR(H154/H444, "NA")</f>
        <v>-0.32664874978213709</v>
      </c>
      <c r="J154" s="9"/>
      <c r="K154" s="7">
        <v>17020.89</v>
      </c>
      <c r="L154" s="8">
        <f>IFERROR(K154/K444, "NA")</f>
        <v>2.8919947908076549E-2</v>
      </c>
      <c r="M154" s="9"/>
      <c r="N154" s="10">
        <f t="shared" si="37"/>
        <v>59.669999999998254</v>
      </c>
      <c r="O154" s="8">
        <f>IFERROR(N154/N444, "NA")</f>
        <v>4.9614062955230618E-4</v>
      </c>
      <c r="P154" s="9"/>
      <c r="Q154" s="7">
        <v>205999.46</v>
      </c>
      <c r="R154" s="8">
        <f>IFERROR(Q154/Q444, "NA")</f>
        <v>3.1019383174937055E-2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-205999.46</v>
      </c>
      <c r="X154" s="8">
        <f>IFERROR(W154/W444, "NA")</f>
        <v>0.62761887993439491</v>
      </c>
      <c r="Y154" s="9"/>
      <c r="Z154" s="7">
        <v>199148.71</v>
      </c>
      <c r="AA154" s="8">
        <f>IFERROR(Z154/Z444, "NA")</f>
        <v>3.2102466190616977E-2</v>
      </c>
      <c r="AB154" s="9"/>
      <c r="AC154" s="10">
        <f t="shared" si="39"/>
        <v>-6850.75</v>
      </c>
      <c r="AD154" s="8">
        <f>IFERROR(AC154/AC444, "NA")</f>
        <v>-1.5660344428139399E-2</v>
      </c>
    </row>
    <row r="155" spans="1:30" ht="16.5" customHeight="1" x14ac:dyDescent="0.45">
      <c r="A155" s="12" t="s">
        <v>144</v>
      </c>
      <c r="B155" s="7">
        <v>11304.93</v>
      </c>
      <c r="C155" s="8">
        <f>IFERROR(B155/B444, "NA")</f>
        <v>1.5948938589095813E-2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-11304.93</v>
      </c>
      <c r="I155" s="8">
        <f>IFERROR(H155/H444, "NA")</f>
        <v>-0.2177167238485542</v>
      </c>
      <c r="J155" s="9"/>
      <c r="K155" s="7">
        <v>6349.5</v>
      </c>
      <c r="L155" s="8">
        <f>IFERROR(K155/K444, "NA")</f>
        <v>1.0788343573240416E-2</v>
      </c>
      <c r="M155" s="9"/>
      <c r="N155" s="10">
        <f t="shared" si="37"/>
        <v>-4955.43</v>
      </c>
      <c r="O155" s="8">
        <f>IFERROR(N155/N444, "NA")</f>
        <v>-4.1203119824073355E-2</v>
      </c>
      <c r="P155" s="9"/>
      <c r="Q155" s="7">
        <v>78077.659999999989</v>
      </c>
      <c r="R155" s="8">
        <f>IFERROR(Q155/Q444, "NA")</f>
        <v>1.1756928163512932E-2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-78077.659999999989</v>
      </c>
      <c r="X155" s="8">
        <f>IFERROR(W155/W444, "NA")</f>
        <v>0.2378793299608577</v>
      </c>
      <c r="Y155" s="9"/>
      <c r="Z155" s="7">
        <v>73824.680000000008</v>
      </c>
      <c r="AA155" s="8">
        <f>IFERROR(Z155/Z444, "NA")</f>
        <v>1.1900425032796433E-2</v>
      </c>
      <c r="AB155" s="9"/>
      <c r="AC155" s="10">
        <f t="shared" si="39"/>
        <v>-4252.9799999999814</v>
      </c>
      <c r="AD155" s="8">
        <f>IFERROR(AC155/AC444, "NA")</f>
        <v>-9.7220204570285015E-3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240.39999999999998</v>
      </c>
      <c r="L156" s="8">
        <f>IFERROR(K156/K444, "NA")</f>
        <v>4.0846016143113563E-4</v>
      </c>
      <c r="M156" s="9"/>
      <c r="N156" s="10">
        <f t="shared" si="37"/>
        <v>240.39999999999998</v>
      </c>
      <c r="O156" s="8">
        <f>IFERROR(N156/N444, "NA")</f>
        <v>1.9988638737117128E-3</v>
      </c>
      <c r="P156" s="9"/>
      <c r="Q156" s="7">
        <v>245.48</v>
      </c>
      <c r="R156" s="8">
        <f>IFERROR(Q156/Q444, "NA")</f>
        <v>3.6964359915232533E-5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-245.48</v>
      </c>
      <c r="X156" s="8">
        <f>IFERROR(W156/W444, "NA")</f>
        <v>7.4790430346902495E-4</v>
      </c>
      <c r="Y156" s="9"/>
      <c r="Z156" s="7">
        <v>642.19000000000005</v>
      </c>
      <c r="AA156" s="8">
        <f>IFERROR(Z156/Z444, "NA")</f>
        <v>1.0352004169623954E-4</v>
      </c>
      <c r="AB156" s="9"/>
      <c r="AC156" s="10">
        <f t="shared" si="39"/>
        <v>396.71000000000004</v>
      </c>
      <c r="AD156" s="8">
        <f>IFERROR(AC156/AC444, "NA")</f>
        <v>9.0685183930039499E-4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28266.15</v>
      </c>
      <c r="C158" s="15">
        <f>IFERROR(B158/B444, "NA")</f>
        <v>3.9877742763570465E-2</v>
      </c>
      <c r="D158" s="2"/>
      <c r="E158" s="14">
        <f>IFERROR(E153+E154+E155+E156+E157, "NA")</f>
        <v>10916.14</v>
      </c>
      <c r="F158" s="15">
        <f>IFERROR(E158/E444, "NA")</f>
        <v>1.6617778609028171E-2</v>
      </c>
      <c r="G158" s="2"/>
      <c r="H158" s="14">
        <f t="shared" si="36"/>
        <v>-17350.010000000002</v>
      </c>
      <c r="I158" s="15">
        <f>IFERROR(H158/H444, "NA")</f>
        <v>-0.33413628708356924</v>
      </c>
      <c r="J158" s="2"/>
      <c r="K158" s="14">
        <f>IFERROR(K153+K154+K155+K156+K157, "NA")</f>
        <v>23610.79</v>
      </c>
      <c r="L158" s="15">
        <f>IFERROR(K158/K444, "NA")</f>
        <v>4.0116751642748104E-2</v>
      </c>
      <c r="M158" s="2"/>
      <c r="N158" s="14">
        <f t="shared" si="37"/>
        <v>-4655.3600000000006</v>
      </c>
      <c r="O158" s="15">
        <f>IFERROR(N158/N444, "NA")</f>
        <v>-3.8708115320809318E-2</v>
      </c>
      <c r="P158" s="2"/>
      <c r="Q158" s="14">
        <f>IFERROR(Q153+Q154+Q155+Q156+Q157, "NA")</f>
        <v>284322.59999999998</v>
      </c>
      <c r="R158" s="15">
        <f>IFERROR(Q158/Q444, "NA")</f>
        <v>4.2813275698365218E-2</v>
      </c>
      <c r="S158" s="2"/>
      <c r="T158" s="14">
        <f>IFERROR(T153+T154+T155+T156+T157, "NA")</f>
        <v>119992.31999999999</v>
      </c>
      <c r="U158" s="15">
        <f>IFERROR(T158/T444, "NA")</f>
        <v>1.7217479251620364E-2</v>
      </c>
      <c r="V158" s="2"/>
      <c r="W158" s="14">
        <f t="shared" si="38"/>
        <v>-164330.27999999997</v>
      </c>
      <c r="X158" s="15">
        <f>IFERROR(W158/W444, "NA")</f>
        <v>0.50066532345718529</v>
      </c>
      <c r="Y158" s="2"/>
      <c r="Z158" s="14">
        <f>IFERROR(Z153+Z154+Z155+Z156+Z157, "NA")</f>
        <v>273615.58</v>
      </c>
      <c r="AA158" s="15">
        <f>IFERROR(Z158/Z444, "NA")</f>
        <v>4.4106411265109648E-2</v>
      </c>
      <c r="AB158" s="2"/>
      <c r="AC158" s="14">
        <f t="shared" si="39"/>
        <v>-10707.01999999996</v>
      </c>
      <c r="AD158" s="15">
        <f>IFERROR(AC158/AC444, "NA")</f>
        <v>-2.4475513045867456E-2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2099.36</v>
      </c>
      <c r="C161" s="8">
        <f>IFERROR(B161/B444, "NA")</f>
        <v>2.9617665670114003E-3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-2099.36</v>
      </c>
      <c r="I161" s="8">
        <f>IFERROR(H161/H444, "NA")</f>
        <v>-4.0430660019894045E-2</v>
      </c>
      <c r="J161" s="9"/>
      <c r="K161" s="7">
        <v>1347.21</v>
      </c>
      <c r="L161" s="8">
        <f>IFERROR(K161/K444, "NA")</f>
        <v>2.2890250169785372E-3</v>
      </c>
      <c r="M161" s="9"/>
      <c r="N161" s="10">
        <f t="shared" si="41"/>
        <v>-752.15000000000009</v>
      </c>
      <c r="O161" s="8">
        <f>IFERROR(N161/N444, "NA")</f>
        <v>-6.2539328727631658E-3</v>
      </c>
      <c r="P161" s="9"/>
      <c r="Q161" s="7">
        <v>17185.46</v>
      </c>
      <c r="R161" s="8">
        <f>IFERROR(Q161/Q444, "NA")</f>
        <v>2.5877852727262183E-3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-17185.46</v>
      </c>
      <c r="X161" s="8">
        <f>IFERROR(W161/W444, "NA")</f>
        <v>5.2358968107767599E-2</v>
      </c>
      <c r="Y161" s="9"/>
      <c r="Z161" s="7">
        <v>17705.09</v>
      </c>
      <c r="AA161" s="8">
        <f>IFERROR(Z161/Z444, "NA")</f>
        <v>2.8540333157409392E-3</v>
      </c>
      <c r="AB161" s="9"/>
      <c r="AC161" s="10">
        <f t="shared" si="43"/>
        <v>519.63000000000102</v>
      </c>
      <c r="AD161" s="8">
        <f>IFERROR(AC161/AC444, "NA")</f>
        <v>1.1878385250073482E-3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4.3845982250388758E-7</v>
      </c>
      <c r="AB162" s="9"/>
      <c r="AC162" s="10">
        <f t="shared" si="43"/>
        <v>2.72</v>
      </c>
      <c r="AD162" s="8">
        <f>IFERROR(AC162/AC444, "NA")</f>
        <v>6.217733364162926E-6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2099.36</v>
      </c>
      <c r="C166" s="15">
        <f>IFERROR(B166/B444, "NA")</f>
        <v>2.9617665670114003E-3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-2099.36</v>
      </c>
      <c r="I166" s="15">
        <f>IFERROR(H166/H444, "NA")</f>
        <v>-4.0430660019894045E-2</v>
      </c>
      <c r="J166" s="2"/>
      <c r="K166" s="14">
        <f>IFERROR(K160+K161+K162+K163+K164+K165, "NA")</f>
        <v>1347.21</v>
      </c>
      <c r="L166" s="15">
        <f>IFERROR(K166/K444, "NA")</f>
        <v>2.2890250169785372E-3</v>
      </c>
      <c r="M166" s="2"/>
      <c r="N166" s="14">
        <f t="shared" si="41"/>
        <v>-752.15000000000009</v>
      </c>
      <c r="O166" s="15">
        <f>IFERROR(N166/N444, "NA")</f>
        <v>-6.2539328727631658E-3</v>
      </c>
      <c r="P166" s="2"/>
      <c r="Q166" s="14">
        <f>IFERROR(Q160+Q161+Q162+Q163+Q164+Q165, "NA")</f>
        <v>17185.46</v>
      </c>
      <c r="R166" s="15">
        <f>IFERROR(Q166/Q444, "NA")</f>
        <v>2.5877852727262183E-3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-17185.46</v>
      </c>
      <c r="X166" s="15">
        <f>IFERROR(W166/W444, "NA")</f>
        <v>5.2358968107767599E-2</v>
      </c>
      <c r="Y166" s="2"/>
      <c r="Z166" s="14">
        <f>IFERROR(Z160+Z161+Z162+Z163+Z164+Z165, "NA")</f>
        <v>17707.810000000001</v>
      </c>
      <c r="AA166" s="15">
        <f>IFERROR(Z166/Z444, "NA")</f>
        <v>2.8544717755634432E-3</v>
      </c>
      <c r="AB166" s="2"/>
      <c r="AC166" s="14">
        <f t="shared" si="43"/>
        <v>522.35000000000218</v>
      </c>
      <c r="AD166" s="15">
        <f>IFERROR(AC166/AC444, "NA")</f>
        <v>1.1940562583715138E-3</v>
      </c>
    </row>
    <row r="167" spans="1:30" ht="16.5" customHeight="1" x14ac:dyDescent="0.45">
      <c r="A167" s="6" t="s">
        <v>155</v>
      </c>
      <c r="B167" s="7">
        <v>941.12</v>
      </c>
      <c r="C167" s="8">
        <f>IFERROR(B167/B444, "NA")</f>
        <v>1.3277273795565168E-3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-941.12</v>
      </c>
      <c r="I167" s="8">
        <f>IFERROR(H167/H444, "NA")</f>
        <v>-1.8124620245180762E-2</v>
      </c>
      <c r="J167" s="9"/>
      <c r="K167" s="7">
        <v>658.6400000000001</v>
      </c>
      <c r="L167" s="8">
        <f>IFERROR(K167/K444, "NA")</f>
        <v>1.1190856935316274E-3</v>
      </c>
      <c r="M167" s="9"/>
      <c r="N167" s="10">
        <f t="shared" si="41"/>
        <v>-282.4799999999999</v>
      </c>
      <c r="O167" s="8">
        <f>IFERROR(N167/N444, "NA")</f>
        <v>-2.3487481990269736E-3</v>
      </c>
      <c r="P167" s="9"/>
      <c r="Q167" s="7">
        <v>9262.6099999999988</v>
      </c>
      <c r="R167" s="8">
        <f>IFERROR(Q167/Q444, "NA")</f>
        <v>1.3947631163208083E-3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-9262.6099999999988</v>
      </c>
      <c r="X167" s="8">
        <f>IFERROR(W167/W444, "NA")</f>
        <v>2.8220408507231648E-2</v>
      </c>
      <c r="Y167" s="9"/>
      <c r="Z167" s="7">
        <v>9510.57</v>
      </c>
      <c r="AA167" s="8">
        <f>IFERROR(Z167/Z444, "NA")</f>
        <v>1.5330892772466168E-3</v>
      </c>
      <c r="AB167" s="9"/>
      <c r="AC167" s="10">
        <f t="shared" si="43"/>
        <v>247.96000000000095</v>
      </c>
      <c r="AD167" s="8">
        <f>IFERROR(AC167/AC444, "NA")</f>
        <v>5.6681954594773709E-4</v>
      </c>
    </row>
    <row r="168" spans="1:30" ht="16.5" customHeight="1" x14ac:dyDescent="0.45">
      <c r="A168" s="6" t="s">
        <v>156</v>
      </c>
      <c r="B168" s="7">
        <v>261.38</v>
      </c>
      <c r="C168" s="8">
        <f>IFERROR(B168/B444, "NA")</f>
        <v>3.6875359408840779E-4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-261.38</v>
      </c>
      <c r="I168" s="8">
        <f>IFERROR(H168/H444, "NA")</f>
        <v>-5.0338035953814038E-3</v>
      </c>
      <c r="J168" s="9"/>
      <c r="K168" s="7">
        <v>229</v>
      </c>
      <c r="L168" s="8">
        <f>IFERROR(K168/K444, "NA")</f>
        <v>3.8909058638822821E-4</v>
      </c>
      <c r="M168" s="9"/>
      <c r="N168" s="10">
        <f t="shared" si="41"/>
        <v>-32.379999999999995</v>
      </c>
      <c r="O168" s="8">
        <f>IFERROR(N168/N444, "NA")</f>
        <v>-2.6923133207481387E-4</v>
      </c>
      <c r="P168" s="9"/>
      <c r="Q168" s="7">
        <v>2939.3599999999997</v>
      </c>
      <c r="R168" s="8">
        <f>IFERROR(Q168/Q444, "NA")</f>
        <v>4.4260860746471361E-4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-2939.3599999999997</v>
      </c>
      <c r="X168" s="8">
        <f>IFERROR(W168/W444, "NA")</f>
        <v>8.9553527515264502E-3</v>
      </c>
      <c r="Y168" s="9"/>
      <c r="Z168" s="7">
        <v>2679.39</v>
      </c>
      <c r="AA168" s="8">
        <f>IFERROR(Z168/Z444, "NA")</f>
        <v>4.3191355287451881E-4</v>
      </c>
      <c r="AB168" s="9"/>
      <c r="AC168" s="10">
        <f t="shared" si="43"/>
        <v>-259.9699999999998</v>
      </c>
      <c r="AD168" s="8">
        <f>IFERROR(AC168/AC444, "NA")</f>
        <v>-5.9427358186817439E-4</v>
      </c>
    </row>
    <row r="169" spans="1:30" ht="16.5" customHeight="1" x14ac:dyDescent="0.45">
      <c r="A169" s="6" t="s">
        <v>157</v>
      </c>
      <c r="B169" s="7">
        <v>-5846.5499999999993</v>
      </c>
      <c r="C169" s="8">
        <f>IFERROR(B169/B444, "NA")</f>
        <v>-8.2482834398866795E-3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5846.5499999999993</v>
      </c>
      <c r="I169" s="8">
        <f>IFERROR(H169/H444, "NA")</f>
        <v>0.11259616041999061</v>
      </c>
      <c r="J169" s="9"/>
      <c r="K169" s="7">
        <v>-12726.63</v>
      </c>
      <c r="L169" s="8">
        <f>IFERROR(K169/K444, "NA")</f>
        <v>-2.1623632879676929E-2</v>
      </c>
      <c r="M169" s="9"/>
      <c r="N169" s="10">
        <f t="shared" si="41"/>
        <v>-6880.08</v>
      </c>
      <c r="O169" s="8">
        <f>IFERROR(N169/N444, "NA")</f>
        <v>-5.7206087189045261E-2</v>
      </c>
      <c r="P169" s="9"/>
      <c r="Q169" s="7">
        <v>-98554.579999999987</v>
      </c>
      <c r="R169" s="8">
        <f>IFERROR(Q169/Q444, "NA")</f>
        <v>-1.4840341235190556E-2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98554.579999999987</v>
      </c>
      <c r="X169" s="8">
        <f>IFERROR(W169/W444, "NA")</f>
        <v>-0.30026639444591124</v>
      </c>
      <c r="Y169" s="9"/>
      <c r="Z169" s="7">
        <v>-144252.91</v>
      </c>
      <c r="AA169" s="8">
        <f>IFERROR(Z169/Z444, "NA")</f>
        <v>-2.325334754201076E-2</v>
      </c>
      <c r="AB169" s="9"/>
      <c r="AC169" s="10">
        <f t="shared" si="43"/>
        <v>-45698.330000000016</v>
      </c>
      <c r="AD169" s="8">
        <f>IFERROR(AC169/AC444, "NA")</f>
        <v>-0.10446324673806164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25721.460000000003</v>
      </c>
      <c r="C170" s="15">
        <f>IFERROR(B170/B444, "NA")</f>
        <v>3.6287706864340109E-2</v>
      </c>
      <c r="D170" s="2"/>
      <c r="E170" s="14">
        <f>IFERROR(E151+E153+E154+E155+E156+E157+E160+E161+E162+E163+E164+E165+E167+E168+E169, "NA")</f>
        <v>10916.14</v>
      </c>
      <c r="F170" s="15">
        <f>IFERROR(E170/E444, "NA")</f>
        <v>1.6617778609028171E-2</v>
      </c>
      <c r="G170" s="2"/>
      <c r="H170" s="14">
        <f t="shared" si="40"/>
        <v>-14805.320000000003</v>
      </c>
      <c r="I170" s="15">
        <f>IFERROR(H170/H444, "NA")</f>
        <v>-0.28512921052403484</v>
      </c>
      <c r="J170" s="2"/>
      <c r="K170" s="14">
        <f>IFERROR(K151+K153+K154+K155+K156+K157+K160+K161+K162+K163+K164+K165+K167+K168+K169, "NA")</f>
        <v>13119.01</v>
      </c>
      <c r="L170" s="15">
        <f>IFERROR(K170/K444, "NA")</f>
        <v>2.2290320059969563E-2</v>
      </c>
      <c r="M170" s="2"/>
      <c r="N170" s="14">
        <f t="shared" si="41"/>
        <v>-12602.450000000003</v>
      </c>
      <c r="O170" s="15">
        <f>IFERROR(N170/N444, "NA")</f>
        <v>-0.10478611491371956</v>
      </c>
      <c r="P170" s="2"/>
      <c r="Q170" s="14">
        <f>IFERROR(Q151+Q153+Q154+Q155+Q156+Q157+Q160+Q161+Q162+Q163+Q164+Q165+Q167+Q168+Q169, "NA")</f>
        <v>215155.44999999998</v>
      </c>
      <c r="R170" s="15">
        <f>IFERROR(Q170/Q444, "NA")</f>
        <v>3.2398091459686404E-2</v>
      </c>
      <c r="S170" s="2"/>
      <c r="T170" s="14">
        <f>IFERROR(T151+T153+T154+T155+T156+T157+T160+T161+T162+T163+T164+T165+T167+T168+T169, "NA")</f>
        <v>119992.31999999999</v>
      </c>
      <c r="U170" s="15">
        <f>IFERROR(T170/T444, "NA")</f>
        <v>1.7217479251620364E-2</v>
      </c>
      <c r="V170" s="2"/>
      <c r="W170" s="14">
        <f t="shared" si="42"/>
        <v>-95163.12999999999</v>
      </c>
      <c r="X170" s="15">
        <f>IFERROR(W170/W444, "NA")</f>
        <v>0.28993365837779972</v>
      </c>
      <c r="Y170" s="2"/>
      <c r="Z170" s="14">
        <f>IFERROR(Z151+Z153+Z154+Z155+Z156+Z157+Z160+Z161+Z162+Z163+Z164+Z165+Z167+Z168+Z169, "NA")</f>
        <v>159260.44000000003</v>
      </c>
      <c r="AA170" s="15">
        <f>IFERROR(Z170/Z444, "NA")</f>
        <v>2.5672538328783471E-2</v>
      </c>
      <c r="AB170" s="2"/>
      <c r="AC170" s="14">
        <f t="shared" si="43"/>
        <v>-55895.009999999951</v>
      </c>
      <c r="AD170" s="15">
        <f>IFERROR(AC170/AC444, "NA")</f>
        <v>-0.12777215756147794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185664.66</v>
      </c>
      <c r="C171" s="15">
        <f>IFERROR(B171/B444, "NA")</f>
        <v>0.2619347718654918</v>
      </c>
      <c r="D171" s="2"/>
      <c r="E171" s="14">
        <f>IFERROR(E127+E129+E130+E131+E132+E133+E134+E135+E136+E137+E138+E139+E140+E143+E144+E145+E146+E147+E151+E153+E154+E155+E156+E157+E160+E161+E162+E163+E164+E165+E167+E168+E169, "NA")</f>
        <v>154999.71000000002</v>
      </c>
      <c r="F171" s="15">
        <f>IFERROR(E171/E444, "NA")</f>
        <v>0.23595802776838429</v>
      </c>
      <c r="G171" s="2"/>
      <c r="H171" s="14">
        <f t="shared" si="40"/>
        <v>-30664.949999999983</v>
      </c>
      <c r="I171" s="15">
        <f>IFERROR(H171/H444, "NA")</f>
        <v>-0.5905629182117641</v>
      </c>
      <c r="J171" s="2"/>
      <c r="K171" s="14">
        <f>IFERROR(K127+K129+K130+K131+K132+K133+K134+K135+K136+K137+K138+K139+K140+K143+K144+K145+K146+K147+K151+K153+K154+K155+K156+K157+K160+K161+K162+K163+K164+K165+K167+K168+K169, "NA")</f>
        <v>154040.20000000001</v>
      </c>
      <c r="L171" s="15">
        <f>IFERROR(K171/K444, "NA")</f>
        <v>0.26172747487056752</v>
      </c>
      <c r="M171" s="2"/>
      <c r="N171" s="14">
        <f t="shared" si="41"/>
        <v>-31624.459999999992</v>
      </c>
      <c r="O171" s="15">
        <f>IFERROR(N171/N444, "NA")</f>
        <v>-0.2629492122281244</v>
      </c>
      <c r="P171" s="2"/>
      <c r="Q171" s="14">
        <f>IFERROR(Q127+Q129+Q130+Q131+Q132+Q133+Q134+Q135+Q136+Q137+Q138+Q139+Q140+Q143+Q144+Q145+Q146+Q147+Q151+Q153+Q154+Q155+Q156+Q157+Q160+Q161+Q162+Q163+Q164+Q165+Q167+Q168+Q169, "NA")</f>
        <v>1871220.3499999999</v>
      </c>
      <c r="R171" s="15">
        <f>IFERROR(Q171/Q444, "NA")</f>
        <v>0.28176821939916652</v>
      </c>
      <c r="S171" s="2"/>
      <c r="T171" s="14">
        <f>IFERROR(T127+T129+T130+T131+T132+T133+T134+T135+T136+T137+T138+T139+T140+T143+T144+T145+T146+T147+T151+T153+T154+T155+T156+T157+T160+T161+T162+T163+T164+T165+T167+T168+T169, "NA")</f>
        <v>1708320.19</v>
      </c>
      <c r="U171" s="15">
        <f>IFERROR(T171/T444, "NA")</f>
        <v>0.24512374980706397</v>
      </c>
      <c r="V171" s="2"/>
      <c r="W171" s="14">
        <f t="shared" si="42"/>
        <v>-162900.15999999992</v>
      </c>
      <c r="X171" s="15">
        <f>IFERROR(W171/W444, "NA")</f>
        <v>0.4963081745958639</v>
      </c>
      <c r="Y171" s="2"/>
      <c r="Z171" s="14">
        <f>IFERROR(Z127+Z129+Z130+Z131+Z132+Z133+Z134+Z135+Z136+Z137+Z138+Z139+Z140+Z143+Z144+Z145+Z146+Z147+Z151+Z153+Z154+Z155+Z156+Z157+Z160+Z161+Z162+Z163+Z164+Z165+Z167+Z168+Z169, "NA")</f>
        <v>1689092.1899999997</v>
      </c>
      <c r="AA171" s="15">
        <f>IFERROR(Z171/Z444, "NA")</f>
        <v>0.27227906684562592</v>
      </c>
      <c r="AB171" s="2"/>
      <c r="AC171" s="14">
        <f t="shared" si="43"/>
        <v>-182128.16000000015</v>
      </c>
      <c r="AD171" s="15">
        <f>IFERROR(AC171/AC444, "NA")</f>
        <v>-0.41633247683294283</v>
      </c>
    </row>
    <row r="172" spans="1:30" ht="16.5" customHeight="1" x14ac:dyDescent="0.45">
      <c r="A172" s="22" t="s">
        <v>160</v>
      </c>
      <c r="B172" s="23">
        <f>IFERROR(B124-B171, "NA")</f>
        <v>523155.54999999981</v>
      </c>
      <c r="C172" s="24">
        <f>IFERROR(B172/B444, "NA")</f>
        <v>0.73806522813450781</v>
      </c>
      <c r="D172" s="25"/>
      <c r="E172" s="23">
        <f>IFERROR(E124-E171, "NA")</f>
        <v>501895.55</v>
      </c>
      <c r="F172" s="24">
        <f>IFERROR(E172/E444, "NA")</f>
        <v>0.76404197223161574</v>
      </c>
      <c r="G172" s="25"/>
      <c r="H172" s="23">
        <f>IFERROR(B172-E172, "NA")</f>
        <v>21259.999999999825</v>
      </c>
      <c r="I172" s="24">
        <f>IFERROR(H172/H444, "NA")</f>
        <v>0.40943708178823085</v>
      </c>
      <c r="J172" s="25"/>
      <c r="K172" s="23">
        <f>IFERROR(K124-K171, "NA")</f>
        <v>434511.68999999989</v>
      </c>
      <c r="L172" s="24">
        <f>IFERROR(K172/K444, "NA")</f>
        <v>0.73827252512943231</v>
      </c>
      <c r="M172" s="25"/>
      <c r="N172" s="23">
        <f>IFERROR(B172-K172, "NA")</f>
        <v>88643.859999999928</v>
      </c>
      <c r="O172" s="24">
        <f>IFERROR(N172/N444, "NA")</f>
        <v>0.73705078777187438</v>
      </c>
      <c r="P172" s="25"/>
      <c r="Q172" s="23">
        <f>IFERROR(Q124-Q171, "NA")</f>
        <v>4769771.1500000022</v>
      </c>
      <c r="R172" s="24">
        <f>IFERROR(Q172/Q444, "NA")</f>
        <v>0.71823178060083381</v>
      </c>
      <c r="S172" s="25"/>
      <c r="T172" s="23">
        <f>IFERROR(T124-T171, "NA")</f>
        <v>5260895.1199999992</v>
      </c>
      <c r="U172" s="24">
        <f>IFERROR(T172/T444, "NA")</f>
        <v>0.7548762501929358</v>
      </c>
      <c r="V172" s="25"/>
      <c r="W172" s="23">
        <f>IFERROR(Q172-T172, "NA")</f>
        <v>-491123.96999999695</v>
      </c>
      <c r="X172" s="24">
        <f>IFERROR(W172/W444, "NA")</f>
        <v>1.4963081745958533</v>
      </c>
      <c r="Y172" s="25"/>
      <c r="Z172" s="23">
        <f>IFERROR(Z124-Z171, "NA")</f>
        <v>4514440.8600000013</v>
      </c>
      <c r="AA172" s="24">
        <f>IFERROR(Z172/Z444, "NA")</f>
        <v>0.72772093315437425</v>
      </c>
      <c r="AB172" s="25"/>
      <c r="AC172" s="23">
        <f>IFERROR(Q172-Z172, "NA")</f>
        <v>255330.29000000097</v>
      </c>
      <c r="AD172" s="24">
        <f>IFERROR(AC172/AC444, "NA")</f>
        <v>0.58366752316705928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31832.32</v>
      </c>
      <c r="C178" s="8">
        <f>IFERROR(B178/B444, "NA")</f>
        <v>4.4908877527631438E-2</v>
      </c>
      <c r="D178" s="9"/>
      <c r="E178" s="7">
        <v>32038.460000000003</v>
      </c>
      <c r="F178" s="8">
        <f>IFERROR(E178/E444, "NA")</f>
        <v>4.8772554699207299E-2</v>
      </c>
      <c r="G178" s="9"/>
      <c r="H178" s="10">
        <f t="shared" si="44"/>
        <v>206.14000000000306</v>
      </c>
      <c r="I178" s="8">
        <f>IFERROR(H178/H444, "NA")</f>
        <v>3.9699604910549318E-3</v>
      </c>
      <c r="J178" s="9"/>
      <c r="K178" s="7">
        <v>26134.63</v>
      </c>
      <c r="L178" s="8">
        <f>IFERROR(K178/K444, "NA")</f>
        <v>4.4404971666984198E-2</v>
      </c>
      <c r="M178" s="9"/>
      <c r="N178" s="10">
        <f t="shared" si="45"/>
        <v>-5697.6899999999987</v>
      </c>
      <c r="O178" s="8">
        <f>IFERROR(N178/N444, "NA")</f>
        <v>-4.7374819902697533E-2</v>
      </c>
      <c r="P178" s="9"/>
      <c r="Q178" s="7">
        <v>369654.88</v>
      </c>
      <c r="R178" s="8">
        <f>IFERROR(Q178/Q444, "NA")</f>
        <v>5.566260399520162E-2</v>
      </c>
      <c r="S178" s="9"/>
      <c r="T178" s="7">
        <v>376451.89</v>
      </c>
      <c r="U178" s="8">
        <f>IFERROR(T178/T444, "NA")</f>
        <v>5.4016395426876258E-2</v>
      </c>
      <c r="V178" s="9"/>
      <c r="W178" s="10">
        <f t="shared" si="46"/>
        <v>6797.0100000000093</v>
      </c>
      <c r="X178" s="8">
        <f>IFERROR(W178/W444, "NA")</f>
        <v>-2.0708461095494561E-2</v>
      </c>
      <c r="Y178" s="9"/>
      <c r="Z178" s="7">
        <v>305221.40000000002</v>
      </c>
      <c r="AA178" s="8">
        <f>IFERROR(Z178/Z444, "NA")</f>
        <v>4.920122090749561E-2</v>
      </c>
      <c r="AB178" s="9"/>
      <c r="AC178" s="10">
        <f t="shared" si="47"/>
        <v>-64433.479999999981</v>
      </c>
      <c r="AD178" s="8">
        <f>IFERROR(AC178/AC444, "NA")</f>
        <v>-0.14729051410482516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112787.03</v>
      </c>
      <c r="C180" s="8">
        <f>IFERROR(B180/B444, "NA")</f>
        <v>0.15911937668932999</v>
      </c>
      <c r="D180" s="9"/>
      <c r="E180" s="7">
        <v>120485.19</v>
      </c>
      <c r="F180" s="8">
        <f>IFERROR(E180/E444, "NA")</f>
        <v>0.18341613547340865</v>
      </c>
      <c r="G180" s="9"/>
      <c r="H180" s="10">
        <f t="shared" si="44"/>
        <v>7698.1600000000035</v>
      </c>
      <c r="I180" s="8">
        <f>IFERROR(H180/H444, "NA")</f>
        <v>0.14825551107897059</v>
      </c>
      <c r="J180" s="9"/>
      <c r="K180" s="7">
        <v>108737.54000000001</v>
      </c>
      <c r="L180" s="8">
        <f>IFERROR(K180/K444, "NA")</f>
        <v>0.18475438079045164</v>
      </c>
      <c r="M180" s="9"/>
      <c r="N180" s="10">
        <f t="shared" si="45"/>
        <v>-4049.4899999999907</v>
      </c>
      <c r="O180" s="8">
        <f>IFERROR(N180/N444, "NA")</f>
        <v>-3.3670462845078311E-2</v>
      </c>
      <c r="P180" s="9"/>
      <c r="Q180" s="7">
        <v>1228112.8600000001</v>
      </c>
      <c r="R180" s="8">
        <f>IFERROR(Q180/Q444, "NA")</f>
        <v>0.18492914198128399</v>
      </c>
      <c r="S180" s="9"/>
      <c r="T180" s="7">
        <v>1293524.19</v>
      </c>
      <c r="U180" s="8">
        <f>IFERROR(T180/T444, "NA")</f>
        <v>0.18560542793733831</v>
      </c>
      <c r="V180" s="9"/>
      <c r="W180" s="10">
        <f t="shared" si="46"/>
        <v>65411.329999999842</v>
      </c>
      <c r="X180" s="8">
        <f>IFERROR(W180/W444, "NA")</f>
        <v>-0.19928880235714691</v>
      </c>
      <c r="Y180" s="9"/>
      <c r="Z180" s="7">
        <v>1212752.55</v>
      </c>
      <c r="AA180" s="8">
        <f>IFERROR(Z180/Z444, "NA")</f>
        <v>0.19549384846107978</v>
      </c>
      <c r="AB180" s="9"/>
      <c r="AC180" s="10">
        <f t="shared" si="47"/>
        <v>-15360.310000000056</v>
      </c>
      <c r="AD180" s="8">
        <f>IFERROR(AC180/AC444, "NA")</f>
        <v>-3.5112614695178589E-2</v>
      </c>
    </row>
    <row r="181" spans="1:30" ht="16.5" customHeight="1" x14ac:dyDescent="0.45">
      <c r="A181" s="12" t="s">
        <v>166</v>
      </c>
      <c r="B181" s="7">
        <v>9591.2999999999993</v>
      </c>
      <c r="C181" s="8">
        <f>IFERROR(B181/B444, "NA")</f>
        <v>1.3531357972990073E-2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-9591.2999999999993</v>
      </c>
      <c r="I181" s="8">
        <f>IFERROR(H181/H444, "NA")</f>
        <v>-0.18471466992264771</v>
      </c>
      <c r="J181" s="9"/>
      <c r="K181" s="7">
        <v>1160.29</v>
      </c>
      <c r="L181" s="8">
        <f>IFERROR(K181/K444, "NA")</f>
        <v>1.971431949696058E-3</v>
      </c>
      <c r="M181" s="9"/>
      <c r="N181" s="10">
        <f t="shared" si="45"/>
        <v>-8431.0099999999984</v>
      </c>
      <c r="O181" s="8">
        <f>IFERROR(N181/N444, "NA")</f>
        <v>-7.0101669334035707E-2</v>
      </c>
      <c r="P181" s="9"/>
      <c r="Q181" s="7">
        <v>27457.56</v>
      </c>
      <c r="R181" s="8">
        <f>IFERROR(Q181/Q444, "NA")</f>
        <v>4.1345573172319227E-3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-27457.56</v>
      </c>
      <c r="X181" s="8">
        <f>IFERROR(W181/W444, "NA")</f>
        <v>8.3654991391392222E-2</v>
      </c>
      <c r="Y181" s="9"/>
      <c r="Z181" s="7">
        <v>13689.39</v>
      </c>
      <c r="AA181" s="8">
        <f>IFERROR(Z181/Z444, "NA")</f>
        <v>2.2067086432303283E-3</v>
      </c>
      <c r="AB181" s="9"/>
      <c r="AC181" s="10">
        <f t="shared" si="47"/>
        <v>-13768.170000000002</v>
      </c>
      <c r="AD181" s="8">
        <f>IFERROR(AC181/AC444, "NA")</f>
        <v>-3.1473091901642304E-2</v>
      </c>
    </row>
    <row r="182" spans="1:30" ht="16.5" customHeight="1" x14ac:dyDescent="0.45">
      <c r="A182" s="13" t="s">
        <v>167</v>
      </c>
      <c r="B182" s="14">
        <f>IFERROR(B177+B178+B179+B180+B181, "NA")</f>
        <v>154210.65</v>
      </c>
      <c r="C182" s="15">
        <f>IFERROR(B182/B444, "NA")</f>
        <v>0.21755961218995148</v>
      </c>
      <c r="D182" s="2"/>
      <c r="E182" s="14">
        <f>IFERROR(E177+E178+E179+E180+E181, "NA")</f>
        <v>152523.65</v>
      </c>
      <c r="F182" s="15">
        <f>IFERROR(E182/E444, "NA")</f>
        <v>0.23218869017261595</v>
      </c>
      <c r="G182" s="2"/>
      <c r="H182" s="14">
        <f t="shared" si="44"/>
        <v>-1687</v>
      </c>
      <c r="I182" s="15">
        <f>IFERROR(H182/H444, "NA")</f>
        <v>-3.2489198352622345E-2</v>
      </c>
      <c r="J182" s="2"/>
      <c r="K182" s="14">
        <f>IFERROR(K177+K178+K179+K180+K181, "NA")</f>
        <v>136032.46000000002</v>
      </c>
      <c r="L182" s="15">
        <f>IFERROR(K182/K444, "NA")</f>
        <v>0.23113078440713192</v>
      </c>
      <c r="M182" s="2"/>
      <c r="N182" s="14">
        <f t="shared" si="45"/>
        <v>-18178.189999999973</v>
      </c>
      <c r="O182" s="15">
        <f>IFERROR(N182/N444, "NA")</f>
        <v>-0.15114695208181142</v>
      </c>
      <c r="P182" s="2"/>
      <c r="Q182" s="14">
        <f>IFERROR(Q177+Q178+Q179+Q180+Q181, "NA")</f>
        <v>1625225.3000000003</v>
      </c>
      <c r="R182" s="15">
        <f>IFERROR(Q182/Q444, "NA")</f>
        <v>0.24472630329371756</v>
      </c>
      <c r="S182" s="2"/>
      <c r="T182" s="14">
        <f>IFERROR(T177+T178+T179+T180+T181, "NA")</f>
        <v>1669976.08</v>
      </c>
      <c r="U182" s="15">
        <f>IFERROR(T182/T444, "NA")</f>
        <v>0.23962182336421459</v>
      </c>
      <c r="V182" s="2"/>
      <c r="W182" s="14">
        <f t="shared" si="46"/>
        <v>44750.779999999795</v>
      </c>
      <c r="X182" s="15">
        <f>IFERROR(W182/W444, "NA")</f>
        <v>-0.13634227206124908</v>
      </c>
      <c r="Y182" s="2"/>
      <c r="Z182" s="14">
        <f>IFERROR(Z177+Z178+Z179+Z180+Z181, "NA")</f>
        <v>1531663.34</v>
      </c>
      <c r="AA182" s="15">
        <f>IFERROR(Z182/Z444, "NA")</f>
        <v>0.24690177801180574</v>
      </c>
      <c r="AB182" s="2"/>
      <c r="AC182" s="14">
        <f t="shared" si="47"/>
        <v>-93561.960000000196</v>
      </c>
      <c r="AD182" s="15">
        <f>IFERROR(AC182/AC444, "NA")</f>
        <v>-0.21387622070164641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-3400</v>
      </c>
      <c r="C184" s="8">
        <f>IFERROR(B184/B444, "NA")</f>
        <v>-4.7967029608255666E-3</v>
      </c>
      <c r="D184" s="9"/>
      <c r="E184" s="7">
        <v>2950</v>
      </c>
      <c r="F184" s="8">
        <f>IFERROR(E184/E444, "NA")</f>
        <v>4.4908224790661455E-3</v>
      </c>
      <c r="G184" s="9"/>
      <c r="H184" s="10">
        <f t="shared" si="44"/>
        <v>6350</v>
      </c>
      <c r="I184" s="8">
        <f>IFERROR(H184/H444, "NA")</f>
        <v>0.12229188472978773</v>
      </c>
      <c r="J184" s="9"/>
      <c r="K184" s="7">
        <v>1750</v>
      </c>
      <c r="L184" s="8">
        <f>IFERROR(K184/K444, "NA")</f>
        <v>2.9733996776392987E-3</v>
      </c>
      <c r="M184" s="9"/>
      <c r="N184" s="10">
        <f t="shared" si="45"/>
        <v>5150</v>
      </c>
      <c r="O184" s="8">
        <f>IFERROR(N184/N444, "NA")</f>
        <v>4.2820919091577876E-2</v>
      </c>
      <c r="P184" s="9"/>
      <c r="Q184" s="7">
        <v>13550</v>
      </c>
      <c r="R184" s="8">
        <f>IFERROR(Q184/Q444, "NA")</f>
        <v>2.040357979678185E-3</v>
      </c>
      <c r="S184" s="9"/>
      <c r="T184" s="7">
        <v>32450</v>
      </c>
      <c r="U184" s="8">
        <f>IFERROR(T184/T444, "NA")</f>
        <v>4.6561913438716816E-3</v>
      </c>
      <c r="V184" s="9"/>
      <c r="W184" s="10">
        <f t="shared" si="46"/>
        <v>18900</v>
      </c>
      <c r="X184" s="8">
        <f>IFERROR(W184/W444, "NA")</f>
        <v>-5.7582659832021238E-2</v>
      </c>
      <c r="Y184" s="9"/>
      <c r="Z184" s="7">
        <v>16000</v>
      </c>
      <c r="AA184" s="8">
        <f>IFERROR(Z184/Z444, "NA")</f>
        <v>2.579175426493456E-3</v>
      </c>
      <c r="AB184" s="9"/>
      <c r="AC184" s="10">
        <f t="shared" si="47"/>
        <v>2450</v>
      </c>
      <c r="AD184" s="8">
        <f>IFERROR(AC184/AC444, "NA")</f>
        <v>5.6005318905143998E-3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14376.560000000001</v>
      </c>
      <c r="C186" s="8">
        <f>IFERROR(B186/B444, "NA")</f>
        <v>2.0282378799554825E-2</v>
      </c>
      <c r="D186" s="9"/>
      <c r="E186" s="7">
        <v>14003.01</v>
      </c>
      <c r="F186" s="8">
        <f>IFERROR(E186/E444, "NA")</f>
        <v>2.1316960027995938E-2</v>
      </c>
      <c r="G186" s="9"/>
      <c r="H186" s="10">
        <f t="shared" ref="H186:H197" si="48">IFERROR(-(B186-E186), "NA")</f>
        <v>-373.55000000000109</v>
      </c>
      <c r="I186" s="8">
        <f>IFERROR(H186/H444, "NA")</f>
        <v>-7.1940367780806832E-3</v>
      </c>
      <c r="J186" s="9"/>
      <c r="K186" s="7">
        <v>13630.84</v>
      </c>
      <c r="L186" s="8">
        <f>IFERROR(K186/K444, "NA")</f>
        <v>2.3159963006830205E-2</v>
      </c>
      <c r="M186" s="9"/>
      <c r="N186" s="10">
        <f t="shared" ref="N186:N197" si="49">IFERROR(-(B186-K186), "NA")</f>
        <v>-745.72000000000116</v>
      </c>
      <c r="O186" s="8">
        <f>IFERROR(N186/N444, "NA")</f>
        <v>-6.2004690844604856E-3</v>
      </c>
      <c r="P186" s="9"/>
      <c r="Q186" s="7">
        <v>159054.14000000001</v>
      </c>
      <c r="R186" s="8">
        <f>IFERROR(Q186/Q444, "NA")</f>
        <v>2.3950360424343266E-2</v>
      </c>
      <c r="S186" s="9"/>
      <c r="T186" s="7">
        <v>178006.28999999998</v>
      </c>
      <c r="U186" s="8">
        <f>IFERROR(T186/T444, "NA")</f>
        <v>2.5541798047849375E-2</v>
      </c>
      <c r="V186" s="9"/>
      <c r="W186" s="10">
        <f t="shared" ref="W186:W197" si="50">IFERROR(-(Q186-T186), "NA")</f>
        <v>18952.149999999965</v>
      </c>
      <c r="X186" s="8">
        <f>IFERROR(W186/W444, "NA")</f>
        <v>-5.7741545319335411E-2</v>
      </c>
      <c r="Y186" s="9"/>
      <c r="Z186" s="7">
        <v>157473.63</v>
      </c>
      <c r="AA186" s="8">
        <f>IFERROR(Z186/Z444, "NA")</f>
        <v>2.5384507301045169E-2</v>
      </c>
      <c r="AB186" s="9"/>
      <c r="AC186" s="10">
        <f t="shared" ref="AC186:AC197" si="51">IFERROR(-(Q186-Z186), "NA")</f>
        <v>-1580.5100000000093</v>
      </c>
      <c r="AD186" s="8">
        <f>IFERROR(AC186/AC444, "NA")</f>
        <v>-3.6129374115416186E-3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1.1283892490908872E-8</v>
      </c>
      <c r="AB187" s="9"/>
      <c r="AC187" s="10">
        <f t="shared" si="51"/>
        <v>7.0000000000000007E-2</v>
      </c>
      <c r="AD187" s="8">
        <f>IFERROR(AC187/AC444, "NA")</f>
        <v>1.6001519687183999E-7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14376.560000000001</v>
      </c>
      <c r="C193" s="15">
        <f>IFERROR(B193/B444, "NA")</f>
        <v>2.0282378799554825E-2</v>
      </c>
      <c r="D193" s="2"/>
      <c r="E193" s="14">
        <f>IFERROR(E186+E187+E188+E189+E190+E191+E192, "NA")</f>
        <v>14003.01</v>
      </c>
      <c r="F193" s="15">
        <f>IFERROR(E193/E444, "NA")</f>
        <v>2.1316960027995938E-2</v>
      </c>
      <c r="G193" s="2"/>
      <c r="H193" s="14">
        <f t="shared" si="48"/>
        <v>-373.55000000000109</v>
      </c>
      <c r="I193" s="15">
        <f>IFERROR(H193/H444, "NA")</f>
        <v>-7.1940367780806832E-3</v>
      </c>
      <c r="J193" s="2"/>
      <c r="K193" s="14">
        <f>IFERROR(K186+K187+K188+K189+K190+K191+K192, "NA")</f>
        <v>13630.84</v>
      </c>
      <c r="L193" s="15">
        <f>IFERROR(K193/K444, "NA")</f>
        <v>2.3159963006830205E-2</v>
      </c>
      <c r="M193" s="2"/>
      <c r="N193" s="14">
        <f t="shared" si="49"/>
        <v>-745.72000000000116</v>
      </c>
      <c r="O193" s="15">
        <f>IFERROR(N193/N444, "NA")</f>
        <v>-6.2004690844604856E-3</v>
      </c>
      <c r="P193" s="2"/>
      <c r="Q193" s="14">
        <f>IFERROR(Q186+Q187+Q188+Q189+Q190+Q191+Q192, "NA")</f>
        <v>159054.14000000001</v>
      </c>
      <c r="R193" s="15">
        <f>IFERROR(Q193/Q444, "NA")</f>
        <v>2.3950360424343266E-2</v>
      </c>
      <c r="S193" s="2"/>
      <c r="T193" s="14">
        <f>IFERROR(T186+T187+T188+T189+T190+T191+T192, "NA")</f>
        <v>178006.28999999998</v>
      </c>
      <c r="U193" s="15">
        <f>IFERROR(T193/T444, "NA")</f>
        <v>2.5541798047849375E-2</v>
      </c>
      <c r="V193" s="2"/>
      <c r="W193" s="14">
        <f t="shared" si="50"/>
        <v>18952.149999999965</v>
      </c>
      <c r="X193" s="15">
        <f>IFERROR(W193/W444, "NA")</f>
        <v>-5.7741545319335411E-2</v>
      </c>
      <c r="Y193" s="2"/>
      <c r="Z193" s="14">
        <f>IFERROR(Z186+Z187+Z188+Z189+Z190+Z191+Z192, "NA")</f>
        <v>157473.70000000001</v>
      </c>
      <c r="AA193" s="15">
        <f>IFERROR(Z193/Z444, "NA")</f>
        <v>2.5384518584937663E-2</v>
      </c>
      <c r="AB193" s="2"/>
      <c r="AC193" s="14">
        <f t="shared" si="51"/>
        <v>-1580.4400000000023</v>
      </c>
      <c r="AD193" s="15">
        <f>IFERROR(AC193/AC444, "NA")</f>
        <v>-3.6127773963447311E-3</v>
      </c>
    </row>
    <row r="194" spans="1:30" ht="16.5" customHeight="1" x14ac:dyDescent="0.45">
      <c r="A194" s="6" t="s">
        <v>178</v>
      </c>
      <c r="B194" s="7">
        <v>1261.3600000000001</v>
      </c>
      <c r="C194" s="8">
        <f>IFERROR(B194/B444, "NA")</f>
        <v>1.7795203666667462E-3</v>
      </c>
      <c r="D194" s="9"/>
      <c r="E194" s="7">
        <v>1243.8</v>
      </c>
      <c r="F194" s="8">
        <f>IFERROR(E194/E444, "NA")</f>
        <v>1.8934525421906681E-3</v>
      </c>
      <c r="G194" s="9"/>
      <c r="H194" s="10">
        <f t="shared" si="48"/>
        <v>-17.560000000000173</v>
      </c>
      <c r="I194" s="8">
        <f>IFERROR(H194/H444, "NA")</f>
        <v>-3.3818039304804625E-4</v>
      </c>
      <c r="J194" s="9"/>
      <c r="K194" s="7">
        <v>1235.92</v>
      </c>
      <c r="L194" s="8">
        <f>IFERROR(K194/K444, "NA")</f>
        <v>2.0999337883359785E-3</v>
      </c>
      <c r="M194" s="9"/>
      <c r="N194" s="10">
        <f t="shared" si="49"/>
        <v>-25.440000000000055</v>
      </c>
      <c r="O194" s="8">
        <f>IFERROR(N194/N444, "NA")</f>
        <v>-2.1152702557082398E-4</v>
      </c>
      <c r="P194" s="9"/>
      <c r="Q194" s="7">
        <v>14186.64</v>
      </c>
      <c r="R194" s="8">
        <f>IFERROR(Q194/Q444, "NA")</f>
        <v>2.1362231829388728E-3</v>
      </c>
      <c r="S194" s="9"/>
      <c r="T194" s="7">
        <v>13619.45</v>
      </c>
      <c r="U194" s="8">
        <f>IFERROR(T194/T444, "NA")</f>
        <v>1.9542300523356913E-3</v>
      </c>
      <c r="V194" s="9"/>
      <c r="W194" s="10">
        <f t="shared" si="50"/>
        <v>-567.18999999999869</v>
      </c>
      <c r="X194" s="8">
        <f>IFERROR(W194/W444, "NA")</f>
        <v>1.7280586682605317E-3</v>
      </c>
      <c r="Y194" s="9"/>
      <c r="Z194" s="7">
        <v>12698.47</v>
      </c>
      <c r="AA194" s="8">
        <f>IFERROR(Z194/Z444, "NA")</f>
        <v>2.0469738611290224E-3</v>
      </c>
      <c r="AB194" s="9"/>
      <c r="AC194" s="10">
        <f t="shared" si="51"/>
        <v>-1488.17</v>
      </c>
      <c r="AD194" s="8">
        <f>IFERROR(AC194/AC444, "NA")</f>
        <v>-3.4018545075538017E-3</v>
      </c>
    </row>
    <row r="195" spans="1:30" ht="16.5" customHeight="1" x14ac:dyDescent="0.45">
      <c r="A195" s="6" t="s">
        <v>179</v>
      </c>
      <c r="B195" s="7">
        <v>8.5699999999999932</v>
      </c>
      <c r="C195" s="8">
        <f>IFERROR(B195/B444, "NA")</f>
        <v>1.2090513051257373E-5</v>
      </c>
      <c r="D195" s="9"/>
      <c r="E195" s="7">
        <v>556.96</v>
      </c>
      <c r="F195" s="8">
        <f>IFERROR(E195/E444, "NA")</f>
        <v>8.4786728404768824E-4</v>
      </c>
      <c r="G195" s="9"/>
      <c r="H195" s="10">
        <f t="shared" si="48"/>
        <v>548.3900000000001</v>
      </c>
      <c r="I195" s="8">
        <f>IFERROR(H195/H444, "NA")</f>
        <v>1.0561204199522568E-2</v>
      </c>
      <c r="J195" s="9"/>
      <c r="K195" s="7">
        <v>1147.7</v>
      </c>
      <c r="L195" s="8">
        <f>IFERROR(K195/K444, "NA")</f>
        <v>1.9500404628723562E-3</v>
      </c>
      <c r="M195" s="9"/>
      <c r="N195" s="10">
        <f t="shared" si="49"/>
        <v>1139.1300000000001</v>
      </c>
      <c r="O195" s="8">
        <f>IFERROR(N195/N444, "NA")</f>
        <v>9.4715715659784688E-3</v>
      </c>
      <c r="P195" s="9"/>
      <c r="Q195" s="7">
        <v>12975.220000000001</v>
      </c>
      <c r="R195" s="8">
        <f>IFERROR(Q195/Q444, "NA")</f>
        <v>1.9538076505594085E-3</v>
      </c>
      <c r="S195" s="9"/>
      <c r="T195" s="7">
        <v>6543.18</v>
      </c>
      <c r="U195" s="8">
        <f>IFERROR(T195/T444, "NA")</f>
        <v>9.3886897002755962E-4</v>
      </c>
      <c r="V195" s="9"/>
      <c r="W195" s="10">
        <f t="shared" si="50"/>
        <v>-6432.0400000000009</v>
      </c>
      <c r="X195" s="8">
        <f>IFERROR(W195/W444, "NA")</f>
        <v>1.9596506420420844E-2</v>
      </c>
      <c r="Y195" s="9"/>
      <c r="Z195" s="7">
        <v>12237.460000000001</v>
      </c>
      <c r="AA195" s="8">
        <f>IFERROR(Z195/Z444, "NA")</f>
        <v>1.9726597571685382E-3</v>
      </c>
      <c r="AB195" s="9"/>
      <c r="AC195" s="10">
        <f t="shared" si="51"/>
        <v>-737.76000000000022</v>
      </c>
      <c r="AD195" s="8">
        <f>IFERROR(AC195/AC444, "NA")</f>
        <v>-1.6864687377738385E-3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166457.13999999998</v>
      </c>
      <c r="C196" s="15">
        <f>IFERROR(B196/B444, "NA")</f>
        <v>0.23483689890839873</v>
      </c>
      <c r="D196" s="2"/>
      <c r="E196" s="14">
        <f>IFERROR(E175+E177+E178+E179+E180+E181+E183+E184+E186+E187+E188+E189+E190+E191+E192+E194+E195, "NA")</f>
        <v>171277.41999999998</v>
      </c>
      <c r="F196" s="15">
        <f>IFERROR(E196/E444, "NA")</f>
        <v>0.26073779250591639</v>
      </c>
      <c r="G196" s="2"/>
      <c r="H196" s="14">
        <f t="shared" si="48"/>
        <v>4820.2799999999988</v>
      </c>
      <c r="I196" s="15">
        <f>IFERROR(H196/H444, "NA")</f>
        <v>9.2831673405559229E-2</v>
      </c>
      <c r="J196" s="2"/>
      <c r="K196" s="14">
        <f>IFERROR(K175+K177+K178+K179+K180+K181+K183+K184+K186+K187+K188+K189+K190+K191+K192+K194+K195, "NA")</f>
        <v>153796.92000000004</v>
      </c>
      <c r="L196" s="15">
        <f>IFERROR(K196/K444, "NA")</f>
        <v>0.26131412134280979</v>
      </c>
      <c r="M196" s="2"/>
      <c r="N196" s="14">
        <f t="shared" si="49"/>
        <v>-12660.219999999943</v>
      </c>
      <c r="O196" s="15">
        <f>IFERROR(N196/N444, "NA")</f>
        <v>-0.10526645753428614</v>
      </c>
      <c r="P196" s="2"/>
      <c r="Q196" s="14">
        <f>IFERROR(Q175+Q177+Q178+Q179+Q180+Q181+Q183+Q184+Q186+Q187+Q188+Q189+Q190+Q191+Q192+Q194+Q195, "NA")</f>
        <v>1824991.3000000003</v>
      </c>
      <c r="R196" s="15">
        <f>IFERROR(Q196/Q444, "NA")</f>
        <v>0.27480705253123727</v>
      </c>
      <c r="S196" s="2"/>
      <c r="T196" s="14">
        <f>IFERROR(T175+T177+T178+T179+T180+T181+T183+T184+T186+T187+T188+T189+T190+T191+T192+T194+T195, "NA")</f>
        <v>1900595</v>
      </c>
      <c r="U196" s="15">
        <f>IFERROR(T196/T444, "NA")</f>
        <v>0.27271291177829887</v>
      </c>
      <c r="V196" s="2"/>
      <c r="W196" s="14">
        <f t="shared" si="50"/>
        <v>75603.699999999721</v>
      </c>
      <c r="X196" s="15">
        <f>IFERROR(W196/W444, "NA")</f>
        <v>-0.23034191212392421</v>
      </c>
      <c r="Y196" s="2"/>
      <c r="Z196" s="14">
        <f>IFERROR(Z175+Z177+Z178+Z179+Z180+Z181+Z183+Z184+Z186+Z187+Z188+Z189+Z190+Z191+Z192+Z194+Z195, "NA")</f>
        <v>1730072.9700000002</v>
      </c>
      <c r="AA196" s="15">
        <f>IFERROR(Z196/Z444, "NA")</f>
        <v>0.2788851056415344</v>
      </c>
      <c r="AB196" s="2"/>
      <c r="AC196" s="14">
        <f t="shared" si="51"/>
        <v>-94918.330000000075</v>
      </c>
      <c r="AD196" s="15">
        <f>IFERROR(AC196/AC444, "NA")</f>
        <v>-0.2169767894528041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166457.13999999998</v>
      </c>
      <c r="C197" s="15">
        <f>IFERROR(B197/B444, "NA")</f>
        <v>0.23483689890839873</v>
      </c>
      <c r="D197" s="2"/>
      <c r="E197" s="14">
        <f>IFERROR(E175+E177+E178+E179+E180+E181+E183+E184+E186+E187+E188+E189+E190+E191+E192+E194+E195, "NA")</f>
        <v>171277.41999999998</v>
      </c>
      <c r="F197" s="15">
        <f>IFERROR(E197/E444, "NA")</f>
        <v>0.26073779250591639</v>
      </c>
      <c r="G197" s="2"/>
      <c r="H197" s="14">
        <f t="shared" si="48"/>
        <v>4820.2799999999988</v>
      </c>
      <c r="I197" s="15">
        <f>IFERROR(H197/H444, "NA")</f>
        <v>9.2831673405559229E-2</v>
      </c>
      <c r="J197" s="2"/>
      <c r="K197" s="14">
        <f>IFERROR(K175+K177+K178+K179+K180+K181+K183+K184+K186+K187+K188+K189+K190+K191+K192+K194+K195, "NA")</f>
        <v>153796.92000000004</v>
      </c>
      <c r="L197" s="15">
        <f>IFERROR(K197/K444, "NA")</f>
        <v>0.26131412134280979</v>
      </c>
      <c r="M197" s="2"/>
      <c r="N197" s="14">
        <f t="shared" si="49"/>
        <v>-12660.219999999943</v>
      </c>
      <c r="O197" s="15">
        <f>IFERROR(N197/N444, "NA")</f>
        <v>-0.10526645753428614</v>
      </c>
      <c r="P197" s="2"/>
      <c r="Q197" s="14">
        <f>IFERROR(Q175+Q177+Q178+Q179+Q180+Q181+Q183+Q184+Q186+Q187+Q188+Q189+Q190+Q191+Q192+Q194+Q195, "NA")</f>
        <v>1824991.3000000003</v>
      </c>
      <c r="R197" s="15">
        <f>IFERROR(Q197/Q444, "NA")</f>
        <v>0.27480705253123727</v>
      </c>
      <c r="S197" s="2"/>
      <c r="T197" s="14">
        <f>IFERROR(T175+T177+T178+T179+T180+T181+T183+T184+T186+T187+T188+T189+T190+T191+T192+T194+T195, "NA")</f>
        <v>1900595</v>
      </c>
      <c r="U197" s="15">
        <f>IFERROR(T197/T444, "NA")</f>
        <v>0.27271291177829887</v>
      </c>
      <c r="V197" s="2"/>
      <c r="W197" s="14">
        <f t="shared" si="50"/>
        <v>75603.699999999721</v>
      </c>
      <c r="X197" s="15">
        <f>IFERROR(W197/W444, "NA")</f>
        <v>-0.23034191212392421</v>
      </c>
      <c r="Y197" s="2"/>
      <c r="Z197" s="14">
        <f>IFERROR(Z175+Z177+Z178+Z179+Z180+Z181+Z183+Z184+Z186+Z187+Z188+Z189+Z190+Z191+Z192+Z194+Z195, "NA")</f>
        <v>1730072.9700000002</v>
      </c>
      <c r="AA197" s="15">
        <f>IFERROR(Z197/Z444, "NA")</f>
        <v>0.2788851056415344</v>
      </c>
      <c r="AB197" s="2"/>
      <c r="AC197" s="14">
        <f t="shared" si="51"/>
        <v>-94918.330000000075</v>
      </c>
      <c r="AD197" s="15">
        <f>IFERROR(AC197/AC444, "NA")</f>
        <v>-0.2169767894528041</v>
      </c>
    </row>
    <row r="198" spans="1:30" ht="16.5" customHeight="1" x14ac:dyDescent="0.45">
      <c r="A198" s="22" t="s">
        <v>181</v>
      </c>
      <c r="B198" s="23">
        <f>IFERROR(B172-B197, "NA")</f>
        <v>356698.4099999998</v>
      </c>
      <c r="C198" s="24">
        <f>IFERROR(B198/B444, "NA")</f>
        <v>0.50322832922610905</v>
      </c>
      <c r="D198" s="25"/>
      <c r="E198" s="23">
        <f>IFERROR(E172-E197, "NA")</f>
        <v>330618.13</v>
      </c>
      <c r="F198" s="24">
        <f>IFERROR(E198/E444, "NA")</f>
        <v>0.5033041797256993</v>
      </c>
      <c r="G198" s="25"/>
      <c r="H198" s="23">
        <f>IFERROR(B198-E198, "NA")</f>
        <v>26080.279999999795</v>
      </c>
      <c r="I198" s="24">
        <f>IFERROR(H198/H444, "NA")</f>
        <v>0.50226875519378955</v>
      </c>
      <c r="J198" s="25"/>
      <c r="K198" s="23">
        <f>IFERROR(K172-K197, "NA")</f>
        <v>280714.76999999984</v>
      </c>
      <c r="L198" s="24">
        <f>IFERROR(K198/K444, "NA")</f>
        <v>0.47695840378662252</v>
      </c>
      <c r="M198" s="25"/>
      <c r="N198" s="23">
        <f>IFERROR(B198-K198, "NA")</f>
        <v>75983.639999999956</v>
      </c>
      <c r="O198" s="24">
        <f>IFERROR(N198/N444, "NA")</f>
        <v>0.63178433023758807</v>
      </c>
      <c r="P198" s="25"/>
      <c r="Q198" s="23">
        <f>IFERROR(Q172-Q197, "NA")</f>
        <v>2944779.850000002</v>
      </c>
      <c r="R198" s="24">
        <f>IFERROR(Q198/Q444, "NA")</f>
        <v>0.44342472806959654</v>
      </c>
      <c r="S198" s="25"/>
      <c r="T198" s="23">
        <f>IFERROR(T172-T197, "NA")</f>
        <v>3360300.1199999992</v>
      </c>
      <c r="U198" s="24">
        <f>IFERROR(T198/T444, "NA")</f>
        <v>0.48216333841463693</v>
      </c>
      <c r="V198" s="25"/>
      <c r="W198" s="23">
        <f>IFERROR(Q198-T198, "NA")</f>
        <v>-415520.26999999722</v>
      </c>
      <c r="X198" s="24">
        <f>IFERROR(W198/W444, "NA")</f>
        <v>1.265966262471929</v>
      </c>
      <c r="Y198" s="25"/>
      <c r="Z198" s="23">
        <f>IFERROR(Z172-Z197, "NA")</f>
        <v>2784367.8900000011</v>
      </c>
      <c r="AA198" s="24">
        <f>IFERROR(Z198/Z444, "NA")</f>
        <v>0.44883582751283985</v>
      </c>
      <c r="AB198" s="25"/>
      <c r="AC198" s="23">
        <f>IFERROR(Q198-Z198, "NA")</f>
        <v>160411.96000000089</v>
      </c>
      <c r="AD198" s="24">
        <f>IFERROR(AC198/AC444, "NA")</f>
        <v>0.3666907337142552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12480.98</v>
      </c>
      <c r="F201" s="8">
        <f>IFERROR(E201/E444, "NA")</f>
        <v>1.8999954421957618E-2</v>
      </c>
      <c r="G201" s="9"/>
      <c r="H201" s="10">
        <f t="shared" ref="H201:H209" si="52">IFERROR(-(B201-E201), "NA")</f>
        <v>12480.98</v>
      </c>
      <c r="I201" s="8">
        <f>IFERROR(H201/H444, "NA")</f>
        <v>0.24036575865744661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135282.63999999998</v>
      </c>
      <c r="U201" s="8">
        <f>IFERROR(T201/T444, "NA")</f>
        <v>1.9411459394271458E-2</v>
      </c>
      <c r="V201" s="9"/>
      <c r="W201" s="10">
        <f t="shared" ref="W201:W209" si="54">IFERROR(-(Q201-T201), "NA")</f>
        <v>135282.63999999998</v>
      </c>
      <c r="X201" s="8">
        <f>IFERROR(W201/W444, "NA")</f>
        <v>-0.41216583281998881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5757.3099999999995</v>
      </c>
      <c r="C202" s="8">
        <f>IFERROR(B202/B444, "NA")</f>
        <v>8.1223840951148932E-3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-5757.3099999999995</v>
      </c>
      <c r="I202" s="8">
        <f>IFERROR(H202/H444, "NA")</f>
        <v>-0.1108775261218353</v>
      </c>
      <c r="J202" s="9"/>
      <c r="K202" s="7">
        <v>5542.63</v>
      </c>
      <c r="L202" s="8">
        <f>IFERROR(K202/K444, "NA")</f>
        <v>9.4174024315850889E-3</v>
      </c>
      <c r="M202" s="9"/>
      <c r="N202" s="10">
        <f t="shared" si="53"/>
        <v>-214.67999999999938</v>
      </c>
      <c r="O202" s="8">
        <f>IFERROR(N202/N444, "NA")</f>
        <v>-1.7850087205009536E-3</v>
      </c>
      <c r="P202" s="9"/>
      <c r="Q202" s="7">
        <v>66102.38</v>
      </c>
      <c r="R202" s="8">
        <f>IFERROR(Q202/Q444, "NA")</f>
        <v>9.9536914028575414E-3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-66102.38</v>
      </c>
      <c r="X202" s="8">
        <f>IFERROR(W202/W444, "NA")</f>
        <v>0.20139422548291028</v>
      </c>
      <c r="Y202" s="9"/>
      <c r="Z202" s="7">
        <v>55708.670000000006</v>
      </c>
      <c r="AA202" s="8">
        <f>IFERROR(Z202/Z444, "NA")</f>
        <v>8.9801520441645764E-3</v>
      </c>
      <c r="AB202" s="9"/>
      <c r="AC202" s="10">
        <f t="shared" si="55"/>
        <v>-10393.709999999999</v>
      </c>
      <c r="AD202" s="8">
        <f>IFERROR(AC202/AC444, "NA")</f>
        <v>-2.3759307883983026E-2</v>
      </c>
    </row>
    <row r="203" spans="1:30" ht="16.5" customHeight="1" x14ac:dyDescent="0.45">
      <c r="A203" s="6" t="s">
        <v>185</v>
      </c>
      <c r="B203" s="7">
        <v>3356.33</v>
      </c>
      <c r="C203" s="8">
        <f>IFERROR(B203/B444, "NA")</f>
        <v>4.7350935436787272E-3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-3356.33</v>
      </c>
      <c r="I203" s="8">
        <f>IFERROR(H203/H444, "NA")</f>
        <v>-6.4638097870098971E-2</v>
      </c>
      <c r="J203" s="9"/>
      <c r="K203" s="7">
        <v>4071.0800000000004</v>
      </c>
      <c r="L203" s="8">
        <f>IFERROR(K203/K444, "NA")</f>
        <v>6.9171131197964556E-3</v>
      </c>
      <c r="M203" s="9"/>
      <c r="N203" s="10">
        <f t="shared" si="53"/>
        <v>714.75000000000045</v>
      </c>
      <c r="O203" s="8">
        <f>IFERROR(N203/N444, "NA")</f>
        <v>5.9429615380010301E-3</v>
      </c>
      <c r="P203" s="9"/>
      <c r="Q203" s="7">
        <v>52038.720000000001</v>
      </c>
      <c r="R203" s="8">
        <f>IFERROR(Q203/Q444, "NA")</f>
        <v>7.8359865390582109E-3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-52038.720000000001</v>
      </c>
      <c r="X203" s="8">
        <f>IFERROR(W203/W444, "NA")</f>
        <v>0.15854645036263493</v>
      </c>
      <c r="Y203" s="9"/>
      <c r="Z203" s="7">
        <v>40945.009999999995</v>
      </c>
      <c r="AA203" s="8">
        <f>IFERROR(Z203/Z444, "NA")</f>
        <v>6.6002727268455507E-3</v>
      </c>
      <c r="AB203" s="9"/>
      <c r="AC203" s="10">
        <f t="shared" si="55"/>
        <v>-11093.710000000006</v>
      </c>
      <c r="AD203" s="8">
        <f>IFERROR(AC203/AC444, "NA")</f>
        <v>-2.5359459852701442E-2</v>
      </c>
    </row>
    <row r="204" spans="1:30" ht="16.5" customHeight="1" x14ac:dyDescent="0.45">
      <c r="A204" s="6" t="s">
        <v>186</v>
      </c>
      <c r="B204" s="7">
        <v>1805.5</v>
      </c>
      <c r="C204" s="8">
        <f>IFERROR(B204/B444, "NA")</f>
        <v>2.5471903516972234E-3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-1805.5</v>
      </c>
      <c r="I204" s="8">
        <f>IFERROR(H204/H444, "NA")</f>
        <v>-3.4771338248760907E-2</v>
      </c>
      <c r="J204" s="9"/>
      <c r="K204" s="7">
        <v>1175.5</v>
      </c>
      <c r="L204" s="8">
        <f>IFERROR(K204/K444, "NA")</f>
        <v>1.9972750406085688E-3</v>
      </c>
      <c r="M204" s="9"/>
      <c r="N204" s="10">
        <f t="shared" si="53"/>
        <v>-630</v>
      </c>
      <c r="O204" s="8">
        <f>IFERROR(N204/N444, "NA")</f>
        <v>-5.2382871898435067E-3</v>
      </c>
      <c r="P204" s="9"/>
      <c r="Q204" s="7">
        <v>14099.42</v>
      </c>
      <c r="R204" s="8">
        <f>IFERROR(Q204/Q444, "NA")</f>
        <v>2.1230896019065826E-3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-14099.42</v>
      </c>
      <c r="X204" s="8">
        <f>IFERROR(W204/W444, "NA")</f>
        <v>4.2956725168719408E-2</v>
      </c>
      <c r="Y204" s="9"/>
      <c r="Z204" s="7">
        <v>8456.99</v>
      </c>
      <c r="AA204" s="8">
        <f>IFERROR(Z204/Z444, "NA")</f>
        <v>1.3632537993813058E-3</v>
      </c>
      <c r="AB204" s="9"/>
      <c r="AC204" s="10">
        <f t="shared" si="55"/>
        <v>-5642.43</v>
      </c>
      <c r="AD204" s="8">
        <f>IFERROR(AC204/AC444, "NA")</f>
        <v>-1.2898207818365374E-2</v>
      </c>
    </row>
    <row r="205" spans="1:30" ht="16.5" customHeight="1" x14ac:dyDescent="0.45">
      <c r="A205" s="6" t="s">
        <v>187</v>
      </c>
      <c r="B205" s="7">
        <v>1710.1200000000001</v>
      </c>
      <c r="C205" s="8">
        <f>IFERROR(B205/B444, "NA")</f>
        <v>2.4126287256961815E-3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-1710.1200000000001</v>
      </c>
      <c r="I205" s="8">
        <f>IFERROR(H205/H444, "NA")</f>
        <v>-3.2934456364425921E-2</v>
      </c>
      <c r="J205" s="9"/>
      <c r="K205" s="7">
        <v>1931.9799999999998</v>
      </c>
      <c r="L205" s="8">
        <f>IFERROR(K205/K444, "NA")</f>
        <v>3.2825992624031836E-3</v>
      </c>
      <c r="M205" s="9"/>
      <c r="N205" s="10">
        <f t="shared" si="53"/>
        <v>221.85999999999967</v>
      </c>
      <c r="O205" s="8">
        <f>IFERROR(N205/N444, "NA")</f>
        <v>1.8447085649820297E-3</v>
      </c>
      <c r="P205" s="9"/>
      <c r="Q205" s="7">
        <v>23028.199999999997</v>
      </c>
      <c r="R205" s="8">
        <f>IFERROR(Q205/Q444, "NA")</f>
        <v>3.4675846219649575E-3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-23028.199999999997</v>
      </c>
      <c r="X205" s="8">
        <f>IFERROR(W205/W444, "NA")</f>
        <v>7.016005328802917E-2</v>
      </c>
      <c r="Y205" s="9"/>
      <c r="Z205" s="7">
        <v>21806.18</v>
      </c>
      <c r="AA205" s="8">
        <f>IFERROR(Z205/Z444, "NA")</f>
        <v>3.5151227251058173E-3</v>
      </c>
      <c r="AB205" s="9"/>
      <c r="AC205" s="10">
        <f t="shared" si="55"/>
        <v>-1222.0199999999968</v>
      </c>
      <c r="AD205" s="8">
        <f>IFERROR(AC205/AC444, "NA")</f>
        <v>-2.7934538697332199E-3</v>
      </c>
    </row>
    <row r="206" spans="1:30" ht="16.5" customHeight="1" x14ac:dyDescent="0.45">
      <c r="A206" s="6" t="s">
        <v>188</v>
      </c>
      <c r="B206" s="7">
        <v>701.98</v>
      </c>
      <c r="C206" s="8">
        <f>IFERROR(B206/B444, "NA")</f>
        <v>9.9034986601186201E-4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-701.98</v>
      </c>
      <c r="I206" s="8">
        <f>IFERROR(H206/H444, "NA")</f>
        <v>-1.351912712482148E-2</v>
      </c>
      <c r="J206" s="9"/>
      <c r="K206" s="7">
        <v>233.68</v>
      </c>
      <c r="L206" s="8">
        <f>IFERROR(K206/K444, "NA")</f>
        <v>3.9704230666900075E-4</v>
      </c>
      <c r="M206" s="9"/>
      <c r="N206" s="10">
        <f t="shared" si="53"/>
        <v>-468.3</v>
      </c>
      <c r="O206" s="8">
        <f>IFERROR(N206/N444, "NA")</f>
        <v>-3.8937934777836737E-3</v>
      </c>
      <c r="P206" s="9"/>
      <c r="Q206" s="7">
        <v>5409.7800000000007</v>
      </c>
      <c r="R206" s="8">
        <f>IFERROR(Q206/Q444, "NA")</f>
        <v>8.146042650408453E-4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-5409.7800000000007</v>
      </c>
      <c r="X206" s="8">
        <f>IFERROR(W206/W444, "NA")</f>
        <v>1.6481985264871529E-2</v>
      </c>
      <c r="Y206" s="9"/>
      <c r="Z206" s="7">
        <v>3060.0699999999997</v>
      </c>
      <c r="AA206" s="8">
        <f>IFERROR(Z206/Z444, "NA")</f>
        <v>4.9327858420936436E-4</v>
      </c>
      <c r="AB206" s="9"/>
      <c r="AC206" s="10">
        <f t="shared" si="55"/>
        <v>-2349.7100000000009</v>
      </c>
      <c r="AD206" s="8">
        <f>IFERROR(AC206/AC444, "NA")</f>
        <v>-5.371275832024733E-3</v>
      </c>
    </row>
    <row r="207" spans="1:30" ht="16.5" customHeight="1" x14ac:dyDescent="0.45">
      <c r="A207" s="6" t="s">
        <v>189</v>
      </c>
      <c r="B207" s="7">
        <v>676.79000000000008</v>
      </c>
      <c r="C207" s="8">
        <f>IFERROR(B207/B444, "NA")</f>
        <v>9.5481194025209858E-4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-676.79000000000008</v>
      </c>
      <c r="I207" s="8">
        <f>IFERROR(H207/H444, "NA")</f>
        <v>-1.3034003884452449E-2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-676.79000000000008</v>
      </c>
      <c r="O207" s="8">
        <f>IFERROR(N207/N444, "NA")</f>
        <v>-5.6273339479590281E-3</v>
      </c>
      <c r="P207" s="9"/>
      <c r="Q207" s="7">
        <v>5214.8499999999995</v>
      </c>
      <c r="R207" s="8">
        <f>IFERROR(Q207/Q444, "NA")</f>
        <v>7.8525172031917209E-4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-5214.8499999999995</v>
      </c>
      <c r="X207" s="8">
        <f>IFERROR(W207/W444, "NA")</f>
        <v>1.5888091726191319E-2</v>
      </c>
      <c r="Y207" s="9"/>
      <c r="Z207" s="7">
        <v>2861.06</v>
      </c>
      <c r="AA207" s="8">
        <f>IFERROR(Z207/Z444, "NA")</f>
        <v>4.6119847785771044E-4</v>
      </c>
      <c r="AB207" s="9"/>
      <c r="AC207" s="10">
        <f t="shared" si="55"/>
        <v>-2353.7899999999995</v>
      </c>
      <c r="AD207" s="8">
        <f>IFERROR(AC207/AC444, "NA")</f>
        <v>-5.3806024320709736E-3</v>
      </c>
    </row>
    <row r="208" spans="1:30" ht="16.5" customHeight="1" x14ac:dyDescent="0.45">
      <c r="A208" s="6" t="s">
        <v>190</v>
      </c>
      <c r="B208" s="7">
        <v>1208.4100000000001</v>
      </c>
      <c r="C208" s="8">
        <f>IFERROR(B208/B444, "NA")</f>
        <v>1.7048187720268304E-3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-1208.4100000000001</v>
      </c>
      <c r="I208" s="8">
        <f>IFERROR(H208/H444, "NA")</f>
        <v>-2.3272241956901227E-2</v>
      </c>
      <c r="J208" s="9"/>
      <c r="K208" s="7">
        <v>971.24</v>
      </c>
      <c r="L208" s="8">
        <f>IFERROR(K208/K444, "NA")</f>
        <v>1.6502198302345099E-3</v>
      </c>
      <c r="M208" s="9"/>
      <c r="N208" s="10">
        <f t="shared" si="53"/>
        <v>-237.17000000000007</v>
      </c>
      <c r="O208" s="8">
        <f>IFERROR(N208/N444, "NA")</f>
        <v>-1.9720072584368015E-3</v>
      </c>
      <c r="P208" s="9"/>
      <c r="Q208" s="7">
        <v>9804.66</v>
      </c>
      <c r="R208" s="8">
        <f>IFERROR(Q208/Q444, "NA")</f>
        <v>1.4763849645041708E-3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-9804.66</v>
      </c>
      <c r="X208" s="8">
        <f>IFERROR(W208/W444, "NA")</f>
        <v>2.9871873097810864E-2</v>
      </c>
      <c r="Y208" s="9"/>
      <c r="Z208" s="7">
        <v>8723.119999999999</v>
      </c>
      <c r="AA208" s="8">
        <f>IFERROR(Z208/Z444, "NA")</f>
        <v>1.4061535466470996E-3</v>
      </c>
      <c r="AB208" s="9"/>
      <c r="AC208" s="10">
        <f t="shared" si="55"/>
        <v>-1081.5400000000009</v>
      </c>
      <c r="AD208" s="8">
        <f>IFERROR(AC208/AC444, "NA")</f>
        <v>-2.4723262289252854E-3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15216.44</v>
      </c>
      <c r="C209" s="15">
        <f>IFERROR(B209/B444, "NA")</f>
        <v>2.1467277294477817E-2</v>
      </c>
      <c r="D209" s="2"/>
      <c r="E209" s="14">
        <f>IFERROR(E201+E202+E203+E204+E205+E206+E207+E208, "NA")</f>
        <v>12480.98</v>
      </c>
      <c r="F209" s="15">
        <f>IFERROR(E209/E444, "NA")</f>
        <v>1.8999954421957618E-2</v>
      </c>
      <c r="G209" s="2"/>
      <c r="H209" s="14">
        <f t="shared" si="52"/>
        <v>-2735.4600000000009</v>
      </c>
      <c r="I209" s="15">
        <f>IFERROR(H209/H444, "NA")</f>
        <v>-5.2681032913849644E-2</v>
      </c>
      <c r="J209" s="2"/>
      <c r="K209" s="14">
        <f>IFERROR(K201+K202+K203+K204+K205+K206+K207+K208, "NA")</f>
        <v>13926.11</v>
      </c>
      <c r="L209" s="15">
        <f>IFERROR(K209/K444, "NA")</f>
        <v>2.3661651991296807E-2</v>
      </c>
      <c r="M209" s="2"/>
      <c r="N209" s="14">
        <f t="shared" si="53"/>
        <v>-1290.33</v>
      </c>
      <c r="O209" s="15">
        <f>IFERROR(N209/N444, "NA")</f>
        <v>-1.0728760491540907E-2</v>
      </c>
      <c r="P209" s="2"/>
      <c r="Q209" s="14">
        <f>IFERROR(Q201+Q202+Q203+Q204+Q205+Q206+Q207+Q208, "NA")</f>
        <v>175698.01000000004</v>
      </c>
      <c r="R209" s="15">
        <f>IFERROR(Q209/Q444, "NA")</f>
        <v>2.6456593115651485E-2</v>
      </c>
      <c r="S209" s="2"/>
      <c r="T209" s="14">
        <f>IFERROR(T201+T202+T203+T204+T205+T206+T207+T208, "NA")</f>
        <v>135282.63999999998</v>
      </c>
      <c r="U209" s="15">
        <f>IFERROR(T209/T444, "NA")</f>
        <v>1.9411459394271458E-2</v>
      </c>
      <c r="V209" s="2"/>
      <c r="W209" s="14">
        <f t="shared" si="54"/>
        <v>-40415.370000000054</v>
      </c>
      <c r="X209" s="15">
        <f>IFERROR(W209/W444, "NA")</f>
        <v>0.1231335715711788</v>
      </c>
      <c r="Y209" s="2"/>
      <c r="Z209" s="14">
        <f>IFERROR(Z201+Z202+Z203+Z204+Z205+Z206+Z207+Z208, "NA")</f>
        <v>141561.1</v>
      </c>
      <c r="AA209" s="15">
        <f>IFERROR(Z209/Z444, "NA")</f>
        <v>2.2819431904211426E-2</v>
      </c>
      <c r="AB209" s="2"/>
      <c r="AC209" s="14">
        <f t="shared" si="55"/>
        <v>-34136.910000000033</v>
      </c>
      <c r="AD209" s="15">
        <f>IFERROR(AC209/AC444, "NA")</f>
        <v>-7.8034633917804117E-2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21712.54</v>
      </c>
      <c r="F213" s="8">
        <f>IFERROR(E213/E444, "NA")</f>
        <v>3.3053275494787406E-2</v>
      </c>
      <c r="G213" s="9"/>
      <c r="H213" s="10">
        <f t="shared" ref="H213:H227" si="56">IFERROR(-(B213-E213), "NA")</f>
        <v>21712.54</v>
      </c>
      <c r="I213" s="8">
        <f>IFERROR(H213/H444, "NA")</f>
        <v>0.41815235257809535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241622.72999999998</v>
      </c>
      <c r="U213" s="8">
        <f>IFERROR(T213/T444, "NA")</f>
        <v>3.4670005051113846E-2</v>
      </c>
      <c r="V213" s="9"/>
      <c r="W213" s="10">
        <f t="shared" ref="W213:W227" si="58">IFERROR(-(Q213-T213), "NA")</f>
        <v>241622.72999999998</v>
      </c>
      <c r="X213" s="8">
        <f>IFERROR(W213/W444, "NA")</f>
        <v>-0.7361523528716567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7088.18</v>
      </c>
      <c r="C214" s="8">
        <f>IFERROR(B214/B444, "NA")</f>
        <v>9.9999688214307547E-3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-7088.18</v>
      </c>
      <c r="I214" s="8">
        <f>IFERROR(H214/H444, "NA")</f>
        <v>-0.13650817189039163</v>
      </c>
      <c r="J214" s="9"/>
      <c r="K214" s="7">
        <v>17514.670000000002</v>
      </c>
      <c r="L214" s="8">
        <f>IFERROR(K214/K444, "NA")</f>
        <v>2.9758922361119256E-2</v>
      </c>
      <c r="M214" s="9"/>
      <c r="N214" s="10">
        <f t="shared" si="57"/>
        <v>10426.490000000002</v>
      </c>
      <c r="O214" s="8">
        <f>IFERROR(N214/N444, "NA")</f>
        <v>8.6693569844494348E-2</v>
      </c>
      <c r="P214" s="9"/>
      <c r="Q214" s="7">
        <v>114525.25000000001</v>
      </c>
      <c r="R214" s="8">
        <f>IFERROR(Q214/Q444, "NA")</f>
        <v>1.7245203521191077E-2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-114525.25000000001</v>
      </c>
      <c r="X214" s="8">
        <f>IFERROR(W214/W444, "NA")</f>
        <v>0.34892425994323761</v>
      </c>
      <c r="Y214" s="9"/>
      <c r="Z214" s="7">
        <v>85514.66</v>
      </c>
      <c r="AA214" s="8">
        <f>IFERROR(Z214/Z444, "NA")</f>
        <v>1.3784831854808931E-2</v>
      </c>
      <c r="AB214" s="9"/>
      <c r="AC214" s="10">
        <f t="shared" si="59"/>
        <v>-29010.590000000011</v>
      </c>
      <c r="AD214" s="8">
        <f>IFERROR(AC214/AC444, "NA")</f>
        <v>-6.631621814597477E-2</v>
      </c>
    </row>
    <row r="215" spans="1:30" ht="16.5" customHeight="1" x14ac:dyDescent="0.45">
      <c r="A215" s="12" t="s">
        <v>195</v>
      </c>
      <c r="B215" s="7">
        <v>2907.4</v>
      </c>
      <c r="C215" s="8">
        <f>IFERROR(B215/B444, "NA")</f>
        <v>4.1017453495012504E-3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-2907.4</v>
      </c>
      <c r="I215" s="8">
        <f>IFERROR(H215/H444, "NA")</f>
        <v>-5.5992350498170841E-2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-2907.4</v>
      </c>
      <c r="O215" s="8">
        <f>IFERROR(N215/N444, "NA")</f>
        <v>-2.4174279644049227E-2</v>
      </c>
      <c r="P215" s="9"/>
      <c r="Q215" s="7">
        <v>11337.99</v>
      </c>
      <c r="R215" s="8">
        <f>IFERROR(Q215/Q444, "NA")</f>
        <v>1.7072736804436507E-3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-11337.99</v>
      </c>
      <c r="X215" s="8">
        <f>IFERROR(W215/W444, "NA")</f>
        <v>3.454347202904013E-2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-11337.99</v>
      </c>
      <c r="AD215" s="8">
        <f>IFERROR(AC215/AC444, "NA")</f>
        <v>-2.5917867171156472E-2</v>
      </c>
    </row>
    <row r="216" spans="1:30" ht="16.5" customHeight="1" x14ac:dyDescent="0.45">
      <c r="A216" s="12" t="s">
        <v>196</v>
      </c>
      <c r="B216" s="7">
        <v>117</v>
      </c>
      <c r="C216" s="8">
        <f>IFERROR(B216/B444, "NA")</f>
        <v>1.6506301365193859E-4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-117</v>
      </c>
      <c r="I216" s="8">
        <f>IFERROR(H216/H444, "NA")</f>
        <v>-2.2532520493519946E-3</v>
      </c>
      <c r="J216" s="9"/>
      <c r="K216" s="7">
        <v>703.09</v>
      </c>
      <c r="L216" s="8">
        <f>IFERROR(K216/K444, "NA")</f>
        <v>1.1946100453436655E-3</v>
      </c>
      <c r="M216" s="9"/>
      <c r="N216" s="10">
        <f t="shared" si="57"/>
        <v>586.09</v>
      </c>
      <c r="O216" s="8">
        <f>IFERROR(N216/N444, "NA")</f>
        <v>4.8731868874529859E-3</v>
      </c>
      <c r="P216" s="9"/>
      <c r="Q216" s="7">
        <v>972.22</v>
      </c>
      <c r="R216" s="8">
        <f>IFERROR(Q216/Q444, "NA")</f>
        <v>1.4639681439134502E-4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-972.22</v>
      </c>
      <c r="X216" s="8">
        <f>IFERROR(W216/W444, "NA")</f>
        <v>2.962064208565486E-3</v>
      </c>
      <c r="Y216" s="9"/>
      <c r="Z216" s="7">
        <v>3443.99</v>
      </c>
      <c r="AA216" s="8">
        <f>IFERROR(Z216/Z444, "NA")</f>
        <v>5.5516589856807481E-4</v>
      </c>
      <c r="AB216" s="9"/>
      <c r="AC216" s="10">
        <f t="shared" si="59"/>
        <v>2471.7699999999995</v>
      </c>
      <c r="AD216" s="8">
        <f>IFERROR(AC216/AC444, "NA")</f>
        <v>5.6502966167415406E-3</v>
      </c>
    </row>
    <row r="217" spans="1:30" ht="16.5" customHeight="1" x14ac:dyDescent="0.45">
      <c r="A217" s="12" t="s">
        <v>197</v>
      </c>
      <c r="B217" s="7">
        <v>10966.04</v>
      </c>
      <c r="C217" s="8">
        <f>IFERROR(B217/B444, "NA")</f>
        <v>1.5470834275450469E-2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-10966.04</v>
      </c>
      <c r="I217" s="8">
        <f>IFERROR(H217/H444, "NA")</f>
        <v>-0.21119018891688843</v>
      </c>
      <c r="J217" s="9"/>
      <c r="K217" s="7">
        <v>12517.199999999999</v>
      </c>
      <c r="L217" s="8">
        <f>IFERROR(K217/K444, "NA")</f>
        <v>2.1267793397112357E-2</v>
      </c>
      <c r="M217" s="9"/>
      <c r="N217" s="10">
        <f t="shared" si="57"/>
        <v>1551.159999999998</v>
      </c>
      <c r="O217" s="8">
        <f>IFERROR(N217/N444, "NA")</f>
        <v>1.2897494535551815E-2</v>
      </c>
      <c r="P217" s="9"/>
      <c r="Q217" s="7">
        <v>113996.18000000002</v>
      </c>
      <c r="R217" s="8">
        <f>IFERROR(Q217/Q444, "NA")</f>
        <v>1.7165536200430317E-2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-113996.18000000002</v>
      </c>
      <c r="X217" s="8">
        <f>IFERROR(W217/W444, "NA")</f>
        <v>0.34731234153914625</v>
      </c>
      <c r="Y217" s="9"/>
      <c r="Z217" s="7">
        <v>150302.76</v>
      </c>
      <c r="AA217" s="8">
        <f>IFERROR(Z217/Z444, "NA")</f>
        <v>2.4228574070383976E-2</v>
      </c>
      <c r="AB217" s="9"/>
      <c r="AC217" s="10">
        <f t="shared" si="59"/>
        <v>36306.579999999987</v>
      </c>
      <c r="AD217" s="8">
        <f>IFERROR(AC217/AC444, "NA")</f>
        <v>8.2994350663474381E-2</v>
      </c>
    </row>
    <row r="218" spans="1:30" ht="16.5" customHeight="1" x14ac:dyDescent="0.45">
      <c r="A218" s="13" t="s">
        <v>198</v>
      </c>
      <c r="B218" s="14">
        <f>IFERROR(B213+B214+B215+B216+B217, "NA")</f>
        <v>21078.620000000003</v>
      </c>
      <c r="C218" s="15">
        <f>IFERROR(B218/B444, "NA")</f>
        <v>2.9737611460034414E-2</v>
      </c>
      <c r="D218" s="2"/>
      <c r="E218" s="14">
        <f>IFERROR(E213+E214+E215+E216+E217, "NA")</f>
        <v>21712.54</v>
      </c>
      <c r="F218" s="15">
        <f>IFERROR(E218/E444, "NA")</f>
        <v>3.3053275494787406E-2</v>
      </c>
      <c r="G218" s="2"/>
      <c r="H218" s="14">
        <f t="shared" si="56"/>
        <v>633.91999999999825</v>
      </c>
      <c r="I218" s="15">
        <f>IFERROR(H218/H444, "NA")</f>
        <v>1.2208389223292414E-2</v>
      </c>
      <c r="J218" s="2"/>
      <c r="K218" s="14">
        <f>IFERROR(K213+K214+K215+K216+K217, "NA")</f>
        <v>30734.959999999999</v>
      </c>
      <c r="L218" s="15">
        <f>IFERROR(K218/K444, "NA")</f>
        <v>5.2221325803575275E-2</v>
      </c>
      <c r="M218" s="2"/>
      <c r="N218" s="14">
        <f t="shared" si="57"/>
        <v>9656.3399999999965</v>
      </c>
      <c r="O218" s="15">
        <f>IFERROR(N218/N444, "NA")</f>
        <v>8.0289971623449891E-2</v>
      </c>
      <c r="P218" s="2"/>
      <c r="Q218" s="14">
        <f>IFERROR(Q213+Q214+Q215+Q216+Q217, "NA")</f>
        <v>240831.64000000004</v>
      </c>
      <c r="R218" s="15">
        <f>IFERROR(Q218/Q444, "NA")</f>
        <v>3.6264410216456391E-2</v>
      </c>
      <c r="S218" s="2"/>
      <c r="T218" s="14">
        <f>IFERROR(T213+T214+T215+T216+T217, "NA")</f>
        <v>241622.72999999998</v>
      </c>
      <c r="U218" s="15">
        <f>IFERROR(T218/T444, "NA")</f>
        <v>3.4670005051113846E-2</v>
      </c>
      <c r="V218" s="2"/>
      <c r="W218" s="14">
        <f t="shared" si="58"/>
        <v>791.0899999999383</v>
      </c>
      <c r="X218" s="15">
        <f>IFERROR(W218/W444, "NA")</f>
        <v>-2.4102151516672025E-3</v>
      </c>
      <c r="Y218" s="2"/>
      <c r="Z218" s="14">
        <f>IFERROR(Z213+Z214+Z215+Z216+Z217, "NA")</f>
        <v>239261.41000000003</v>
      </c>
      <c r="AA218" s="15">
        <f>IFERROR(Z218/Z444, "NA")</f>
        <v>3.8568571823760986E-2</v>
      </c>
      <c r="AB218" s="2"/>
      <c r="AC218" s="14">
        <f t="shared" si="59"/>
        <v>-1570.2300000000105</v>
      </c>
      <c r="AD218" s="15">
        <f>IFERROR(AC218/AC444, "NA")</f>
        <v>-3.5894380369152997E-3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486.36</v>
      </c>
      <c r="C222" s="8">
        <f>IFERROR(B222/B444, "NA")</f>
        <v>6.8615425059621253E-4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-486.36</v>
      </c>
      <c r="I222" s="8">
        <f>IFERROR(H222/H444, "NA")</f>
        <v>-9.3665954420755222E-3</v>
      </c>
      <c r="J222" s="9"/>
      <c r="K222" s="7">
        <v>511.41999999999996</v>
      </c>
      <c r="L222" s="8">
        <f>IFERROR(K222/K444, "NA")</f>
        <v>8.6894632179330858E-4</v>
      </c>
      <c r="M222" s="9"/>
      <c r="N222" s="10">
        <f t="shared" si="57"/>
        <v>25.059999999999945</v>
      </c>
      <c r="O222" s="8">
        <f>IFERROR(N222/N444, "NA")</f>
        <v>2.0836742377377461E-4</v>
      </c>
      <c r="P222" s="9"/>
      <c r="Q222" s="7">
        <v>10995.48</v>
      </c>
      <c r="R222" s="8">
        <f>IFERROR(Q222/Q444, "NA")</f>
        <v>1.6556985504348259E-3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-10995.48</v>
      </c>
      <c r="X222" s="8">
        <f>IFERROR(W222/W444, "NA")</f>
        <v>3.3499946271417613E-2</v>
      </c>
      <c r="Y222" s="9"/>
      <c r="Z222" s="7">
        <v>4620.72</v>
      </c>
      <c r="AA222" s="8">
        <f>IFERROR(Z222/Z444, "NA")</f>
        <v>7.4485296729417765E-4</v>
      </c>
      <c r="AB222" s="9"/>
      <c r="AC222" s="10">
        <f t="shared" si="59"/>
        <v>-6374.7599999999993</v>
      </c>
      <c r="AD222" s="8">
        <f>IFERROR(AC222/AC444, "NA")</f>
        <v>-1.4572263948724722E-2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656.9</v>
      </c>
      <c r="F226" s="8">
        <f>IFERROR(E226/E444, "NA")</f>
        <v>1.0000072157622206E-3</v>
      </c>
      <c r="G226" s="9"/>
      <c r="H226" s="10">
        <f t="shared" si="56"/>
        <v>656.9</v>
      </c>
      <c r="I226" s="8">
        <f>IFERROR(H226/H444, "NA")</f>
        <v>1.2650951036062608E-2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6969.25</v>
      </c>
      <c r="U226" s="8">
        <f>IFERROR(T226/T444, "NA")</f>
        <v>1.0000049776048602E-3</v>
      </c>
      <c r="V226" s="9"/>
      <c r="W226" s="10">
        <f t="shared" si="58"/>
        <v>6969.25</v>
      </c>
      <c r="X226" s="8">
        <f>IFERROR(W226/W444, "NA")</f>
        <v>-2.123322497536053E-2</v>
      </c>
      <c r="Y226" s="9"/>
      <c r="Z226" s="7">
        <v>3956.1899999999996</v>
      </c>
      <c r="AA226" s="8">
        <f>IFERROR(Z226/Z444, "NA")</f>
        <v>6.3773175190869654E-4</v>
      </c>
      <c r="AB226" s="9"/>
      <c r="AC226" s="10">
        <f t="shared" si="59"/>
        <v>3956.1899999999996</v>
      </c>
      <c r="AD226" s="8">
        <f>IFERROR(AC226/AC444, "NA")</f>
        <v>9.0435788816057797E-3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21564.980000000003</v>
      </c>
      <c r="C227" s="15">
        <f>IFERROR(B227/B444, "NA")</f>
        <v>3.0423765710630629E-2</v>
      </c>
      <c r="D227" s="2"/>
      <c r="E227" s="14">
        <f>IFERROR(E211+E213+E214+E215+E216+E217+E219+E220+E221+E222+E223+E224+E225+E226, "NA")</f>
        <v>22369.440000000002</v>
      </c>
      <c r="F227" s="15">
        <f>IFERROR(E227/E444, "NA")</f>
        <v>3.405328271054963E-2</v>
      </c>
      <c r="G227" s="2"/>
      <c r="H227" s="14">
        <f t="shared" si="56"/>
        <v>804.45999999999913</v>
      </c>
      <c r="I227" s="15">
        <f>IFERROR(H227/H444, "NA")</f>
        <v>1.5492744817279518E-2</v>
      </c>
      <c r="J227" s="2"/>
      <c r="K227" s="14">
        <f>IFERROR(K211+K213+K214+K215+K216+K217+K219+K220+K221+K222+K223+K224+K225+K226, "NA")</f>
        <v>31246.379999999997</v>
      </c>
      <c r="L227" s="15">
        <f>IFERROR(K227/K444, "NA")</f>
        <v>5.3090272125368584E-2</v>
      </c>
      <c r="M227" s="2"/>
      <c r="N227" s="14">
        <f t="shared" si="57"/>
        <v>9681.3999999999942</v>
      </c>
      <c r="O227" s="15">
        <f>IFERROR(N227/N444, "NA")</f>
        <v>8.0498339047223644E-2</v>
      </c>
      <c r="P227" s="2"/>
      <c r="Q227" s="14">
        <f>IFERROR(Q211+Q213+Q214+Q215+Q216+Q217+Q219+Q220+Q221+Q222+Q223+Q224+Q225+Q226, "NA")</f>
        <v>251827.12000000005</v>
      </c>
      <c r="R227" s="15">
        <f>IFERROR(Q227/Q444, "NA")</f>
        <v>3.7920108766891218E-2</v>
      </c>
      <c r="S227" s="2"/>
      <c r="T227" s="14">
        <f>IFERROR(T211+T213+T214+T215+T216+T217+T219+T220+T221+T222+T223+T224+T225+T226, "NA")</f>
        <v>248591.97999999998</v>
      </c>
      <c r="U227" s="15">
        <f>IFERROR(T227/T444, "NA")</f>
        <v>3.567001002871871E-2</v>
      </c>
      <c r="V227" s="2"/>
      <c r="W227" s="14">
        <f t="shared" si="58"/>
        <v>-3235.1400000000722</v>
      </c>
      <c r="X227" s="15">
        <f>IFERROR(W227/W444, "NA")</f>
        <v>9.8565061443899125E-3</v>
      </c>
      <c r="Y227" s="2"/>
      <c r="Z227" s="14">
        <f>IFERROR(Z211+Z213+Z214+Z215+Z216+Z217+Z219+Z220+Z221+Z222+Z223+Z224+Z225+Z226, "NA")</f>
        <v>247838.32000000004</v>
      </c>
      <c r="AA227" s="15">
        <f>IFERROR(Z227/Z444, "NA")</f>
        <v>3.9951156542963856E-2</v>
      </c>
      <c r="AB227" s="2"/>
      <c r="AC227" s="14">
        <f t="shared" si="59"/>
        <v>-3988.8000000000175</v>
      </c>
      <c r="AD227" s="15">
        <f>IFERROR(AC227/AC444, "NA")</f>
        <v>-9.1181231040342592E-3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12030.86</v>
      </c>
      <c r="F229" s="8">
        <f>IFERROR(E229/E444, "NA")</f>
        <v>1.8314731027287364E-2</v>
      </c>
      <c r="G229" s="9"/>
      <c r="H229" s="10">
        <f t="shared" ref="H229:H236" si="60">IFERROR(-(B229-E229), "NA")</f>
        <v>12030.86</v>
      </c>
      <c r="I229" s="8">
        <f>IFERROR(H229/H444, "NA")</f>
        <v>0.2316970935937345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121197.93</v>
      </c>
      <c r="U229" s="8">
        <f>IFERROR(T229/T444, "NA")</f>
        <v>1.7390470032701569E-2</v>
      </c>
      <c r="V229" s="9"/>
      <c r="W229" s="10">
        <f t="shared" ref="W229:W236" si="62">IFERROR(-(Q229-T229), "NA")</f>
        <v>121197.93</v>
      </c>
      <c r="X229" s="8">
        <f>IFERROR(W229/W444, "NA")</f>
        <v>-0.36925392463148787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1.2641184678522778E-5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2.5577059750784035E-4</v>
      </c>
      <c r="Y230" s="9"/>
      <c r="Z230" s="7">
        <v>682.33999999999992</v>
      </c>
      <c r="AA230" s="8">
        <f>IFERROR(Z230/Z444, "NA")</f>
        <v>1.0999216003209654E-4</v>
      </c>
      <c r="AB230" s="9"/>
      <c r="AC230" s="10">
        <f t="shared" si="63"/>
        <v>598.38999999999987</v>
      </c>
      <c r="AD230" s="8">
        <f>IFERROR(AC230/AC444, "NA")</f>
        <v>1.3678784808020044E-3</v>
      </c>
    </row>
    <row r="231" spans="1:30" ht="16.5" customHeight="1" x14ac:dyDescent="0.45">
      <c r="A231" s="6" t="s">
        <v>210</v>
      </c>
      <c r="B231" s="7">
        <v>518</v>
      </c>
      <c r="C231" s="8">
        <f>IFERROR(B231/B444, "NA")</f>
        <v>7.3079180403165978E-4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-518</v>
      </c>
      <c r="I231" s="8">
        <f>IFERROR(H231/H444, "NA")</f>
        <v>-9.975936423626779E-3</v>
      </c>
      <c r="J231" s="9"/>
      <c r="K231" s="7">
        <v>1137.55</v>
      </c>
      <c r="L231" s="8">
        <f>IFERROR(K231/K444, "NA")</f>
        <v>1.932794744742048E-3</v>
      </c>
      <c r="M231" s="9"/>
      <c r="N231" s="10">
        <f t="shared" si="61"/>
        <v>619.54999999999995</v>
      </c>
      <c r="O231" s="8">
        <f>IFERROR(N231/N444, "NA")</f>
        <v>5.1513981404246742E-3</v>
      </c>
      <c r="P231" s="9"/>
      <c r="Q231" s="7">
        <v>8687.2999999999993</v>
      </c>
      <c r="R231" s="8">
        <f>IFERROR(Q231/Q444, "NA")</f>
        <v>1.3081329798419407E-3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-8687.2999999999993</v>
      </c>
      <c r="X231" s="8">
        <f>IFERROR(W231/W444, "NA")</f>
        <v>2.6467610622154393E-2</v>
      </c>
      <c r="Y231" s="9"/>
      <c r="Z231" s="7">
        <v>14363.140000000001</v>
      </c>
      <c r="AA231" s="8">
        <f>IFERROR(Z231/Z444, "NA")</f>
        <v>2.3153161084553263E-3</v>
      </c>
      <c r="AB231" s="9"/>
      <c r="AC231" s="10">
        <f t="shared" si="63"/>
        <v>5675.840000000002</v>
      </c>
      <c r="AD231" s="8">
        <f>IFERROR(AC231/AC444, "NA")</f>
        <v>1.2974580785900924E-2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398.36</v>
      </c>
      <c r="C233" s="8">
        <f>IFERROR(B233/B444, "NA")</f>
        <v>5.6200429161013898E-4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-398.36</v>
      </c>
      <c r="I233" s="8">
        <f>IFERROR(H233/H444, "NA")</f>
        <v>-7.6718417639304315E-3</v>
      </c>
      <c r="J233" s="9"/>
      <c r="K233" s="7">
        <v>4.25</v>
      </c>
      <c r="L233" s="8">
        <f>IFERROR(K233/K444, "NA")</f>
        <v>7.2211135028382969E-6</v>
      </c>
      <c r="M233" s="9"/>
      <c r="N233" s="10">
        <f t="shared" si="61"/>
        <v>-394.11</v>
      </c>
      <c r="O233" s="8">
        <f>IFERROR(N233/N444, "NA")</f>
        <v>-3.2769228006178171E-3</v>
      </c>
      <c r="P233" s="9"/>
      <c r="Q233" s="7">
        <v>1586.56</v>
      </c>
      <c r="R233" s="8">
        <f>IFERROR(Q233/Q444, "NA")</f>
        <v>2.3890408533123404E-4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-1586.56</v>
      </c>
      <c r="X233" s="8">
        <f>IFERROR(W233/W444, "NA")</f>
        <v>4.8337748562482337E-3</v>
      </c>
      <c r="Y233" s="9"/>
      <c r="Z233" s="7">
        <v>42.5</v>
      </c>
      <c r="AA233" s="8">
        <f>IFERROR(Z233/Z444, "NA")</f>
        <v>6.8509347266232425E-6</v>
      </c>
      <c r="AB233" s="9"/>
      <c r="AC233" s="10">
        <f t="shared" si="63"/>
        <v>-1544.06</v>
      </c>
      <c r="AD233" s="8">
        <f>IFERROR(AC233/AC444, "NA")</f>
        <v>-3.5296152125990463E-3</v>
      </c>
    </row>
    <row r="234" spans="1:30" ht="16.5" customHeight="1" x14ac:dyDescent="0.45">
      <c r="A234" s="6" t="s">
        <v>213</v>
      </c>
      <c r="B234" s="7">
        <v>9789.2000000000007</v>
      </c>
      <c r="C234" s="8">
        <f>IFERROR(B234/B444, "NA")</f>
        <v>1.3810554301209893E-2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-9789.2000000000007</v>
      </c>
      <c r="I234" s="8">
        <f>IFERROR(H234/H444, "NA")</f>
        <v>-0.18852593984202176</v>
      </c>
      <c r="J234" s="9"/>
      <c r="K234" s="7">
        <v>8661.9</v>
      </c>
      <c r="L234" s="8">
        <f>IFERROR(K234/K444, "NA")</f>
        <v>1.471730895299648E-2</v>
      </c>
      <c r="M234" s="9"/>
      <c r="N234" s="10">
        <f t="shared" si="61"/>
        <v>-1127.3000000000011</v>
      </c>
      <c r="O234" s="8">
        <f>IFERROR(N234/N444, "NA")</f>
        <v>-9.3732081731914153E-3</v>
      </c>
      <c r="P234" s="9"/>
      <c r="Q234" s="7">
        <v>90900.459999999992</v>
      </c>
      <c r="R234" s="8">
        <f>IFERROR(Q234/Q444, "NA")</f>
        <v>1.3687784421949643E-2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-90900.459999999992</v>
      </c>
      <c r="X234" s="8">
        <f>IFERROR(W234/W444, "NA")</f>
        <v>0.27694657496054248</v>
      </c>
      <c r="Y234" s="9"/>
      <c r="Z234" s="7">
        <v>97668.829999999987</v>
      </c>
      <c r="AA234" s="8">
        <f>IFERROR(Z234/Z444, "NA")</f>
        <v>1.5744065391897925E-2</v>
      </c>
      <c r="AB234" s="9"/>
      <c r="AC234" s="10">
        <f t="shared" si="63"/>
        <v>6768.3699999999953</v>
      </c>
      <c r="AD234" s="8">
        <f>IFERROR(AC234/AC444, "NA")</f>
        <v>1.547202940073507E-2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10705.560000000001</v>
      </c>
      <c r="C236" s="15">
        <f>IFERROR(B236/B444, "NA")</f>
        <v>1.5103350396851692E-2</v>
      </c>
      <c r="D236" s="2"/>
      <c r="E236" s="14">
        <f>IFERROR(E229+E230+E231+E232+E233+E234+E235, "NA")</f>
        <v>12030.86</v>
      </c>
      <c r="F236" s="15">
        <f>IFERROR(E236/E444, "NA")</f>
        <v>1.8314731027287364E-2</v>
      </c>
      <c r="G236" s="2"/>
      <c r="H236" s="14">
        <f t="shared" si="60"/>
        <v>1325.2999999999993</v>
      </c>
      <c r="I236" s="15">
        <f>IFERROR(H236/H444, "NA")</f>
        <v>2.5523375564155525E-2</v>
      </c>
      <c r="J236" s="2"/>
      <c r="K236" s="14">
        <f>IFERROR(K229+K230+K231+K232+K233+K234+K235, "NA")</f>
        <v>9803.6999999999989</v>
      </c>
      <c r="L236" s="15">
        <f>IFERROR(K236/K444, "NA")</f>
        <v>1.6657324811241363E-2</v>
      </c>
      <c r="M236" s="2"/>
      <c r="N236" s="14">
        <f t="shared" si="61"/>
        <v>-901.8600000000024</v>
      </c>
      <c r="O236" s="15">
        <f>IFERROR(N236/N444, "NA")</f>
        <v>-7.4987328333845681E-3</v>
      </c>
      <c r="P236" s="2"/>
      <c r="Q236" s="14">
        <f>IFERROR(Q229+Q230+Q231+Q232+Q233+Q234+Q235, "NA")</f>
        <v>101258.26999999999</v>
      </c>
      <c r="R236" s="15">
        <f>IFERROR(Q236/Q444, "NA")</f>
        <v>1.524746267180134E-2</v>
      </c>
      <c r="S236" s="2"/>
      <c r="T236" s="14">
        <f>IFERROR(T229+T230+T231+T232+T233+T234+T235, "NA")</f>
        <v>121197.93</v>
      </c>
      <c r="U236" s="15">
        <f>IFERROR(T236/T444, "NA")</f>
        <v>1.7390470032701569E-2</v>
      </c>
      <c r="V236" s="2"/>
      <c r="W236" s="14">
        <f t="shared" si="62"/>
        <v>19939.660000000003</v>
      </c>
      <c r="X236" s="15">
        <f>IFERROR(W236/W444, "NA")</f>
        <v>-6.075019359503496E-2</v>
      </c>
      <c r="Y236" s="2"/>
      <c r="Z236" s="14">
        <f>IFERROR(Z229+Z230+Z231+Z232+Z233+Z234+Z235, "NA")</f>
        <v>112756.80999999998</v>
      </c>
      <c r="AA236" s="15">
        <f>IFERROR(Z236/Z444, "NA")</f>
        <v>1.8176224595111971E-2</v>
      </c>
      <c r="AB236" s="2"/>
      <c r="AC236" s="14">
        <f t="shared" si="63"/>
        <v>11498.539999999994</v>
      </c>
      <c r="AD236" s="15">
        <f>IFERROR(AC236/AC444, "NA")</f>
        <v>2.6284873454838941E-2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43412.43</v>
      </c>
      <c r="F240" s="8">
        <f>IFERROR(E240/E444, "NA")</f>
        <v>6.6087293733859492E-2</v>
      </c>
      <c r="G240" s="9"/>
      <c r="H240" s="10">
        <f t="shared" ref="H240:H263" si="64">IFERROR(-(B240-E240), "NA")</f>
        <v>43412.43</v>
      </c>
      <c r="I240" s="8">
        <f>IFERROR(H240/H444, "NA")</f>
        <v>0.83606108431495729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446838.77</v>
      </c>
      <c r="U240" s="8">
        <f>IFERROR(T240/T444, "NA")</f>
        <v>6.411608052327486E-2</v>
      </c>
      <c r="V240" s="9"/>
      <c r="W240" s="10">
        <f t="shared" ref="W240:W263" si="66">IFERROR(-(Q240-T240), "NA")</f>
        <v>446838.77</v>
      </c>
      <c r="X240" s="8">
        <f>IFERROR(W240/W444, "NA")</f>
        <v>-1.3613843858554908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71.069999999999993</v>
      </c>
      <c r="C241" s="8">
        <f>IFERROR(B241/B444, "NA")</f>
        <v>1.0026519983113911E-4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-71.069999999999993</v>
      </c>
      <c r="I241" s="8">
        <f>IFERROR(H241/H444, "NA")</f>
        <v>-1.3687061807474037E-3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-71.069999999999993</v>
      </c>
      <c r="O241" s="8">
        <f>IFERROR(N241/N444, "NA")</f>
        <v>-5.9092868346377462E-4</v>
      </c>
      <c r="P241" s="9"/>
      <c r="Q241" s="7">
        <v>1418.94</v>
      </c>
      <c r="R241" s="8">
        <f>IFERROR(Q241/Q444, "NA")</f>
        <v>2.1366387835310437E-4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-1418.94</v>
      </c>
      <c r="X241" s="8">
        <f>IFERROR(W241/W444, "NA")</f>
        <v>4.3230867376745086E-3</v>
      </c>
      <c r="Y241" s="9"/>
      <c r="Z241" s="7">
        <v>759.99</v>
      </c>
      <c r="AA241" s="8">
        <f>IFERROR(Z241/Z444, "NA")</f>
        <v>1.225092207737976E-4</v>
      </c>
      <c r="AB241" s="9"/>
      <c r="AC241" s="10">
        <f t="shared" si="67"/>
        <v>-658.95</v>
      </c>
      <c r="AD241" s="8">
        <f>IFERROR(AC241/AC444, "NA")</f>
        <v>-1.5063144854099853E-3</v>
      </c>
    </row>
    <row r="242" spans="1:30" ht="16.5" customHeight="1" x14ac:dyDescent="0.45">
      <c r="A242" s="12" t="s">
        <v>219</v>
      </c>
      <c r="B242" s="7">
        <v>7778.6800000000012</v>
      </c>
      <c r="C242" s="8">
        <f>IFERROR(B242/B444, "NA")</f>
        <v>1.0974122760974888E-2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-7778.6800000000012</v>
      </c>
      <c r="I242" s="8">
        <f>IFERROR(H242/H444, "NA")</f>
        <v>-0.14980621069447328</v>
      </c>
      <c r="J242" s="9"/>
      <c r="K242" s="7">
        <v>7396.5800000000008</v>
      </c>
      <c r="L242" s="8">
        <f>IFERROR(K242/K444, "NA")</f>
        <v>1.2567422050076164E-2</v>
      </c>
      <c r="M242" s="9"/>
      <c r="N242" s="10">
        <f t="shared" si="65"/>
        <v>-382.10000000000036</v>
      </c>
      <c r="O242" s="8">
        <f>IFERROR(N242/N444, "NA")</f>
        <v>-3.1770627543479461E-3</v>
      </c>
      <c r="P242" s="9"/>
      <c r="Q242" s="7">
        <v>78527.990000000005</v>
      </c>
      <c r="R242" s="8">
        <f>IFERROR(Q242/Q444, "NA")</f>
        <v>1.1824738821002859E-2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-78527.990000000005</v>
      </c>
      <c r="X242" s="8">
        <f>IFERROR(W242/W444, "NA")</f>
        <v>0.23925135108266485</v>
      </c>
      <c r="Y242" s="9"/>
      <c r="Z242" s="7">
        <v>67020.25</v>
      </c>
      <c r="AA242" s="8">
        <f>IFERROR(Z242/Z444, "NA")</f>
        <v>1.0803561367340503E-2</v>
      </c>
      <c r="AB242" s="9"/>
      <c r="AC242" s="10">
        <f t="shared" si="67"/>
        <v>-11507.740000000005</v>
      </c>
      <c r="AD242" s="8">
        <f>IFERROR(AC242/AC444, "NA")</f>
        <v>-2.6305904023570695E-2</v>
      </c>
    </row>
    <row r="243" spans="1:30" ht="16.5" customHeight="1" x14ac:dyDescent="0.45">
      <c r="A243" s="12" t="s">
        <v>220</v>
      </c>
      <c r="B243" s="7">
        <v>16823.129999999997</v>
      </c>
      <c r="C243" s="8">
        <f>IFERROR(B243/B444, "NA")</f>
        <v>2.3733987494515704E-2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-16823.129999999997</v>
      </c>
      <c r="I243" s="8">
        <f>IFERROR(H243/H444, "NA")</f>
        <v>-0.32398933460696594</v>
      </c>
      <c r="J243" s="9"/>
      <c r="K243" s="7">
        <v>15193.569999999998</v>
      </c>
      <c r="L243" s="8">
        <f>IFERROR(K243/K444, "NA")</f>
        <v>2.5815174937251491E-2</v>
      </c>
      <c r="M243" s="9"/>
      <c r="N243" s="10">
        <f t="shared" si="65"/>
        <v>-1629.5599999999995</v>
      </c>
      <c r="O243" s="8">
        <f>IFERROR(N243/N444, "NA")</f>
        <v>-1.3549370274732353E-2</v>
      </c>
      <c r="P243" s="9"/>
      <c r="Q243" s="7">
        <v>158578.47000000003</v>
      </c>
      <c r="R243" s="8">
        <f>IFERROR(Q243/Q444, "NA")</f>
        <v>2.3878734071561457E-2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-158578.47000000003</v>
      </c>
      <c r="X243" s="8">
        <f>IFERROR(W243/W444, "NA")</f>
        <v>0.48314127485144903</v>
      </c>
      <c r="Y243" s="9"/>
      <c r="Z243" s="7">
        <v>179432.96000000002</v>
      </c>
      <c r="AA243" s="8">
        <f>IFERROR(Z243/Z444, "NA")</f>
        <v>2.8924317570936456E-2</v>
      </c>
      <c r="AB243" s="9"/>
      <c r="AC243" s="10">
        <f t="shared" si="67"/>
        <v>20854.489999999991</v>
      </c>
      <c r="AD243" s="8">
        <f>IFERROR(AC243/AC444, "NA")</f>
        <v>4.76719331858831E-2</v>
      </c>
    </row>
    <row r="244" spans="1:30" ht="16.5" customHeight="1" x14ac:dyDescent="0.45">
      <c r="A244" s="12" t="s">
        <v>221</v>
      </c>
      <c r="B244" s="7">
        <v>3101.1</v>
      </c>
      <c r="C244" s="8">
        <f>IFERROR(B244/B444, "NA")</f>
        <v>4.3750163387694593E-3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-3101.1</v>
      </c>
      <c r="I244" s="8">
        <f>IFERROR(H244/H444, "NA")</f>
        <v>-5.9722734446542476E-2</v>
      </c>
      <c r="J244" s="9"/>
      <c r="K244" s="7">
        <v>203.24</v>
      </c>
      <c r="L244" s="8">
        <f>IFERROR(K244/K444, "NA")</f>
        <v>3.4532214313337777E-4</v>
      </c>
      <c r="M244" s="9"/>
      <c r="N244" s="10">
        <f t="shared" si="65"/>
        <v>-2897.8599999999997</v>
      </c>
      <c r="O244" s="8">
        <f>IFERROR(N244/N444, "NA")</f>
        <v>-2.4094957009460165E-2</v>
      </c>
      <c r="P244" s="9"/>
      <c r="Q244" s="7">
        <v>28342.160000000003</v>
      </c>
      <c r="R244" s="8">
        <f>IFERROR(Q244/Q444, "NA")</f>
        <v>4.267760318621098E-3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-28342.160000000003</v>
      </c>
      <c r="X244" s="8">
        <f>IFERROR(W244/W444, "NA")</f>
        <v>8.6350103607657103E-2</v>
      </c>
      <c r="Y244" s="9"/>
      <c r="Z244" s="7">
        <v>969.61</v>
      </c>
      <c r="AA244" s="8">
        <f>IFERROR(Z244/Z444, "NA")</f>
        <v>1.5629964283014501E-4</v>
      </c>
      <c r="AB244" s="9"/>
      <c r="AC244" s="10">
        <f t="shared" si="67"/>
        <v>-27372.550000000003</v>
      </c>
      <c r="AD244" s="8">
        <f>IFERROR(AC244/AC444, "NA")</f>
        <v>-6.2571771101918347E-2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626.13</v>
      </c>
      <c r="C246" s="8">
        <f>IFERROR(B246/B444, "NA")</f>
        <v>8.8334106613579763E-4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-626.13</v>
      </c>
      <c r="I246" s="8">
        <f>IFERROR(H246/H444, "NA")</f>
        <v>-1.2058365005647559E-2</v>
      </c>
      <c r="J246" s="9"/>
      <c r="K246" s="7">
        <v>1978.9100000000003</v>
      </c>
      <c r="L246" s="8">
        <f>IFERROR(K246/K444, "NA")</f>
        <v>3.3623373463298203E-3</v>
      </c>
      <c r="M246" s="9"/>
      <c r="N246" s="10">
        <f t="shared" si="65"/>
        <v>1352.7800000000002</v>
      </c>
      <c r="O246" s="8">
        <f>IFERROR(N246/N444, "NA")</f>
        <v>1.1248016102661112E-2</v>
      </c>
      <c r="P246" s="9"/>
      <c r="Q246" s="7">
        <v>16709.36</v>
      </c>
      <c r="R246" s="8">
        <f>IFERROR(Q246/Q444, "NA")</f>
        <v>2.5160941705767883E-3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-16709.36</v>
      </c>
      <c r="X246" s="8">
        <f>IFERROR(W246/W444, "NA")</f>
        <v>5.0908433486284779E-2</v>
      </c>
      <c r="Y246" s="9"/>
      <c r="Z246" s="7">
        <v>8660.2099999999991</v>
      </c>
      <c r="AA246" s="8">
        <f>IFERROR(Z246/Z444, "NA")</f>
        <v>1.3960125512670557E-3</v>
      </c>
      <c r="AB246" s="9"/>
      <c r="AC246" s="10">
        <f t="shared" si="67"/>
        <v>-8049.1500000000015</v>
      </c>
      <c r="AD246" s="8">
        <f>IFERROR(AC246/AC444, "NA")</f>
        <v>-1.8399804598585302E-2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457.1</v>
      </c>
      <c r="AA247" s="8">
        <f>IFERROR(Z247/Z444, "NA")</f>
        <v>7.3683817965634928E-5</v>
      </c>
      <c r="AB247" s="9"/>
      <c r="AC247" s="10">
        <f t="shared" si="67"/>
        <v>457.1</v>
      </c>
      <c r="AD247" s="8">
        <f>IFERROR(AC247/AC444, "NA")</f>
        <v>1.0448992355731152E-3</v>
      </c>
    </row>
    <row r="248" spans="1:30" ht="16.5" customHeight="1" x14ac:dyDescent="0.45">
      <c r="A248" s="12" t="s">
        <v>225</v>
      </c>
      <c r="B248" s="7">
        <v>1146.3699999999999</v>
      </c>
      <c r="C248" s="8">
        <f>IFERROR(B248/B444, "NA")</f>
        <v>1.6172930509416482E-3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-1146.3699999999999</v>
      </c>
      <c r="I248" s="8">
        <f>IFERROR(H248/H444, "NA")</f>
        <v>-2.2077440613808938E-2</v>
      </c>
      <c r="J248" s="9"/>
      <c r="K248" s="7">
        <v>1075.6499999999999</v>
      </c>
      <c r="L248" s="8">
        <f>IFERROR(K248/K444, "NA")</f>
        <v>1.8276213504301207E-3</v>
      </c>
      <c r="M248" s="9"/>
      <c r="N248" s="10">
        <f t="shared" si="65"/>
        <v>-70.720000000000027</v>
      </c>
      <c r="O248" s="8">
        <f>IFERROR(N248/N444, "NA")</f>
        <v>-5.8801852391386189E-4</v>
      </c>
      <c r="P248" s="9"/>
      <c r="Q248" s="7">
        <v>13246.919999999998</v>
      </c>
      <c r="R248" s="8">
        <f>IFERROR(Q248/Q444, "NA")</f>
        <v>1.9947202161002611E-3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-13246.919999999998</v>
      </c>
      <c r="X248" s="8">
        <f>IFERROR(W248/W444, "NA")</f>
        <v>4.0359412073121624E-2</v>
      </c>
      <c r="Y248" s="9"/>
      <c r="Z248" s="7">
        <v>12464.41</v>
      </c>
      <c r="AA248" s="8">
        <f>IFERROR(Z248/Z444, "NA")</f>
        <v>2.0092437486087062E-3</v>
      </c>
      <c r="AB248" s="9"/>
      <c r="AC248" s="10">
        <f t="shared" si="67"/>
        <v>-782.5099999999984</v>
      </c>
      <c r="AD248" s="8">
        <f>IFERROR(AC248/AC444, "NA")</f>
        <v>-1.7887641672026178E-3</v>
      </c>
    </row>
    <row r="249" spans="1:30" ht="16.5" customHeight="1" x14ac:dyDescent="0.45">
      <c r="A249" s="12" t="s">
        <v>226</v>
      </c>
      <c r="B249" s="7">
        <v>11560.31</v>
      </c>
      <c r="C249" s="8">
        <f>IFERROR(B249/B444, "NA")</f>
        <v>1.6309227413253354E-2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-11560.31</v>
      </c>
      <c r="I249" s="8">
        <f>IFERROR(H249/H444, "NA")</f>
        <v>-0.22263497605678934</v>
      </c>
      <c r="J249" s="9"/>
      <c r="K249" s="7">
        <v>8925.51</v>
      </c>
      <c r="L249" s="8">
        <f>IFERROR(K249/K444, "NA")</f>
        <v>1.5165204889580765E-2</v>
      </c>
      <c r="M249" s="9"/>
      <c r="N249" s="10">
        <f t="shared" si="65"/>
        <v>-2634.7999999999993</v>
      </c>
      <c r="O249" s="8">
        <f>IFERROR(N249/N444, "NA")</f>
        <v>-2.1907681091745505E-2</v>
      </c>
      <c r="P249" s="9"/>
      <c r="Q249" s="7">
        <v>98988.810000000012</v>
      </c>
      <c r="R249" s="8">
        <f>IFERROR(Q249/Q444, "NA")</f>
        <v>1.4905727555892824E-2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-98988.810000000012</v>
      </c>
      <c r="X249" s="8">
        <f>IFERROR(W249/W444, "NA")</f>
        <v>0.30158936367230599</v>
      </c>
      <c r="Y249" s="9"/>
      <c r="Z249" s="7">
        <v>94791.920000000013</v>
      </c>
      <c r="AA249" s="8">
        <f>IFERROR(Z249/Z444, "NA")</f>
        <v>1.528031191838335E-2</v>
      </c>
      <c r="AB249" s="9"/>
      <c r="AC249" s="10">
        <f t="shared" si="67"/>
        <v>-4196.8899999999994</v>
      </c>
      <c r="AD249" s="8">
        <f>IFERROR(AC249/AC444, "NA")</f>
        <v>-9.5938025657065201E-3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8.269481211194643E-7</v>
      </c>
      <c r="AB250" s="9"/>
      <c r="AC250" s="10">
        <f t="shared" si="67"/>
        <v>5.13</v>
      </c>
      <c r="AD250" s="8">
        <f>IFERROR(AC250/AC444, "NA")</f>
        <v>1.1726827999321988E-5</v>
      </c>
    </row>
    <row r="251" spans="1:30" ht="16.5" customHeight="1" x14ac:dyDescent="0.45">
      <c r="A251" s="12" t="s">
        <v>228</v>
      </c>
      <c r="B251" s="7">
        <v>137.80000000000001</v>
      </c>
      <c r="C251" s="8">
        <f>IFERROR(B251/B444, "NA")</f>
        <v>1.9440754941228326E-4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-137.80000000000001</v>
      </c>
      <c r="I251" s="8">
        <f>IFERROR(H251/H444, "NA")</f>
        <v>-2.653830191459016E-3</v>
      </c>
      <c r="J251" s="9"/>
      <c r="K251" s="7">
        <v>104.87</v>
      </c>
      <c r="L251" s="8">
        <f>IFERROR(K251/K444, "NA")</f>
        <v>1.7818309953944759E-4</v>
      </c>
      <c r="M251" s="9"/>
      <c r="N251" s="10">
        <f t="shared" si="65"/>
        <v>-32.930000000000007</v>
      </c>
      <c r="O251" s="8">
        <f>IFERROR(N251/N444, "NA")</f>
        <v>-2.7380443993896308E-4</v>
      </c>
      <c r="P251" s="9"/>
      <c r="Q251" s="7">
        <v>862.09999999999991</v>
      </c>
      <c r="R251" s="8">
        <f>IFERROR(Q251/Q444, "NA")</f>
        <v>1.2981495308343641E-4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-862.09999999999991</v>
      </c>
      <c r="X251" s="8">
        <f>IFERROR(W251/W444, "NA")</f>
        <v>2.6265614307505558E-3</v>
      </c>
      <c r="Y251" s="9"/>
      <c r="Z251" s="7">
        <v>1011.76</v>
      </c>
      <c r="AA251" s="8">
        <f>IFERROR(Z251/Z444, "NA")</f>
        <v>1.630941580943137E-4</v>
      </c>
      <c r="AB251" s="9"/>
      <c r="AC251" s="10">
        <f t="shared" si="67"/>
        <v>149.66000000000008</v>
      </c>
      <c r="AD251" s="8">
        <f>IFERROR(AC251/AC444, "NA")</f>
        <v>3.421124909119941E-4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461.42</v>
      </c>
      <c r="AA252" s="8">
        <f>IFERROR(Z252/Z444, "NA")</f>
        <v>7.4380195330788154E-5</v>
      </c>
      <c r="AB252" s="9"/>
      <c r="AC252" s="10">
        <f t="shared" si="67"/>
        <v>461.42</v>
      </c>
      <c r="AD252" s="8">
        <f>IFERROR(AC252/AC444, "NA")</f>
        <v>1.0547744591514916E-3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2612.73</v>
      </c>
      <c r="R253" s="8">
        <f>IFERROR(Q253/Q444, "NA")</f>
        <v>3.9342468666011697E-4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-2612.73</v>
      </c>
      <c r="X253" s="8">
        <f>IFERROR(W253/W444, "NA")</f>
        <v>7.9602086149691449E-3</v>
      </c>
      <c r="Y253" s="9"/>
      <c r="Z253" s="7">
        <v>3664.95</v>
      </c>
      <c r="AA253" s="8">
        <f>IFERROR(Z253/Z444, "NA")</f>
        <v>5.9078431120794951E-4</v>
      </c>
      <c r="AB253" s="9"/>
      <c r="AC253" s="10">
        <f t="shared" si="67"/>
        <v>1052.2199999999998</v>
      </c>
      <c r="AD253" s="8">
        <f>IFERROR(AC253/AC444, "NA")</f>
        <v>2.4053027207498207E-3</v>
      </c>
    </row>
    <row r="254" spans="1:30" ht="16.5" customHeight="1" x14ac:dyDescent="0.45">
      <c r="A254" s="12" t="s">
        <v>231</v>
      </c>
      <c r="B254" s="7">
        <v>2130.98</v>
      </c>
      <c r="C254" s="8">
        <f>IFERROR(B254/B444, "NA")</f>
        <v>3.0063759045470778E-3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-2130.98</v>
      </c>
      <c r="I254" s="8">
        <f>IFERROR(H254/H444, "NA")</f>
        <v>-4.1039615830154814E-2</v>
      </c>
      <c r="J254" s="9"/>
      <c r="K254" s="7">
        <v>2252.23</v>
      </c>
      <c r="L254" s="8">
        <f>IFERROR(K254/K444, "NA")</f>
        <v>3.8267314034111759E-3</v>
      </c>
      <c r="M254" s="9"/>
      <c r="N254" s="10">
        <f t="shared" si="65"/>
        <v>121.25</v>
      </c>
      <c r="O254" s="8">
        <f>IFERROR(N254/N444, "NA")</f>
        <v>1.0081624155055956E-3</v>
      </c>
      <c r="P254" s="9"/>
      <c r="Q254" s="7">
        <v>34152.300000000003</v>
      </c>
      <c r="R254" s="8">
        <f>IFERROR(Q254/Q444, "NA")</f>
        <v>5.1426507623146336E-3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-34152.300000000003</v>
      </c>
      <c r="X254" s="8">
        <f>IFERROR(W254/W444, "NA")</f>
        <v>0.10405186631646238</v>
      </c>
      <c r="Y254" s="9"/>
      <c r="Z254" s="7">
        <v>29206.05</v>
      </c>
      <c r="AA254" s="8">
        <f>IFERROR(Z254/Z444, "NA")</f>
        <v>4.7079704040587003E-3</v>
      </c>
      <c r="AB254" s="9"/>
      <c r="AC254" s="10">
        <f t="shared" si="67"/>
        <v>-4946.2500000000036</v>
      </c>
      <c r="AD254" s="8">
        <f>IFERROR(AC254/AC444, "NA")</f>
        <v>-1.1306788107533416E-2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4.0523681904136867E-5</v>
      </c>
      <c r="AB255" s="9"/>
      <c r="AC255" s="10">
        <f t="shared" si="67"/>
        <v>251.39</v>
      </c>
      <c r="AD255" s="8">
        <f>IFERROR(AC255/AC444, "NA")</f>
        <v>5.7466029059445502E-4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1.2584764096646507E-5</v>
      </c>
      <c r="AB256" s="9"/>
      <c r="AC256" s="10">
        <f t="shared" si="67"/>
        <v>78.069999999999993</v>
      </c>
      <c r="AD256" s="8">
        <f>IFERROR(AC256/AC444, "NA")</f>
        <v>1.7846266313977923E-4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5290.07</v>
      </c>
      <c r="R257" s="8">
        <f>IFERROR(Q257/Q444, "NA")</f>
        <v>7.965783422550683E-4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1.6117264618919606E-2</v>
      </c>
      <c r="Y257" s="9"/>
      <c r="Z257" s="7">
        <v>1237.1199999999999</v>
      </c>
      <c r="AA257" s="8">
        <f>IFERROR(Z257/Z444, "NA")</f>
        <v>1.9942184397647399E-4</v>
      </c>
      <c r="AB257" s="9"/>
      <c r="AC257" s="10">
        <f t="shared" si="67"/>
        <v>-4052.95</v>
      </c>
      <c r="AD257" s="8">
        <f>IFERROR(AC257/AC444, "NA")</f>
        <v>-9.26476560231034E-3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8141.9400000000005</v>
      </c>
      <c r="R258" s="8">
        <f>IFERROR(Q258/Q444, "NA")</f>
        <v>1.2260127121078231E-3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-8141.9400000000005</v>
      </c>
      <c r="X258" s="8">
        <f>IFERROR(W258/W444, "NA")</f>
        <v>2.4806061449350634E-2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-8141.9400000000005</v>
      </c>
      <c r="AD258" s="8">
        <f>IFERROR(AC258/AC444, "NA")</f>
        <v>-1.8611916171695841E-2</v>
      </c>
    </row>
    <row r="259" spans="1:30" ht="16.5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1350.6</v>
      </c>
      <c r="R259" s="8">
        <f>IFERROR(Q259/Q444, "NA")</f>
        <v>2.0337324629914072E-4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4.1148751518057074E-3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-3.0873789270729583E-3</v>
      </c>
    </row>
    <row r="260" spans="1:30" ht="16.5" customHeight="1" x14ac:dyDescent="0.45">
      <c r="A260" s="12" t="s">
        <v>237</v>
      </c>
      <c r="B260" s="7">
        <v>442.7</v>
      </c>
      <c r="C260" s="8">
        <f>IFERROR(B260/B444, "NA")</f>
        <v>6.2455894139925824E-4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-442.7</v>
      </c>
      <c r="I260" s="8">
        <f>IFERROR(H260/H444, "NA")</f>
        <v>-8.5257665149412638E-3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-442.7</v>
      </c>
      <c r="O260" s="8">
        <f>IFERROR(N260/N444, "NA")</f>
        <v>-3.6809360935614612E-3</v>
      </c>
      <c r="P260" s="9"/>
      <c r="Q260" s="7">
        <v>3138.61</v>
      </c>
      <c r="R260" s="8">
        <f>IFERROR(Q260/Q444, "NA")</f>
        <v>4.7261165746108845E-4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-3138.61</v>
      </c>
      <c r="X260" s="8">
        <f>IFERROR(W260/W444, "NA")</f>
        <v>9.5624080410254067E-3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-3138.61</v>
      </c>
      <c r="AD260" s="8">
        <f>IFERROR(AC260/AC444, "NA")</f>
        <v>-7.1746471007703679E-3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43818.27</v>
      </c>
      <c r="C262" s="15">
        <f>IFERROR(B262/B444, "NA")</f>
        <v>6.1818595719780607E-2</v>
      </c>
      <c r="D262" s="2"/>
      <c r="E262" s="14">
        <f>IFERROR(E240+E241+E242+E243+E244+E245+E246+E247+E248+E249+E250+E251+E252+E253+E254+E255+E256+E257+E258+E259+E260+E261, "NA")</f>
        <v>43412.43</v>
      </c>
      <c r="F262" s="15">
        <f>IFERROR(E262/E444, "NA")</f>
        <v>6.6087293733859492E-2</v>
      </c>
      <c r="G262" s="2"/>
      <c r="H262" s="14">
        <f t="shared" si="64"/>
        <v>-405.83999999999651</v>
      </c>
      <c r="I262" s="15">
        <f>IFERROR(H262/H444, "NA")</f>
        <v>-7.8158958265726972E-3</v>
      </c>
      <c r="J262" s="2"/>
      <c r="K262" s="14">
        <f>IFERROR(K240+K241+K242+K243+K244+K245+K246+K247+K248+K249+K250+K251+K252+K253+K254+K255+K256+K257+K258+K259+K260+K261, "NA")</f>
        <v>37130.560000000005</v>
      </c>
      <c r="L262" s="15">
        <f>IFERROR(K262/K444, "NA")</f>
        <v>6.3087997219752376E-2</v>
      </c>
      <c r="M262" s="2"/>
      <c r="N262" s="14">
        <f t="shared" si="65"/>
        <v>-6687.7099999999919</v>
      </c>
      <c r="O262" s="15">
        <f>IFERROR(N262/N444, "NA")</f>
        <v>-5.5606580352997266E-2</v>
      </c>
      <c r="P262" s="2"/>
      <c r="Q262" s="14">
        <f>IFERROR(Q240+Q241+Q242+Q243+Q244+Q245+Q246+Q247+Q248+Q249+Q250+Q251+Q252+Q253+Q254+Q255+Q256+Q257+Q258+Q259+Q260+Q261, "NA")</f>
        <v>451360.99999999994</v>
      </c>
      <c r="R262" s="15">
        <f>IFERROR(Q262/Q444, "NA")</f>
        <v>6.796590539228968E-2</v>
      </c>
      <c r="S262" s="2"/>
      <c r="T262" s="14">
        <f>IFERROR(T240+T241+T242+T243+T244+T245+T246+T247+T248+T249+T250+T251+T252+T253+T254+T255+T256+T257+T258+T259+T260+T261, "NA")</f>
        <v>446838.77</v>
      </c>
      <c r="U262" s="15">
        <f>IFERROR(T262/T444, "NA")</f>
        <v>6.411608052327486E-2</v>
      </c>
      <c r="V262" s="2"/>
      <c r="W262" s="14">
        <f t="shared" si="66"/>
        <v>-4522.2299999999232</v>
      </c>
      <c r="X262" s="15">
        <f>IFERROR(W262/W444, "NA")</f>
        <v>1.3777885278950104E-2</v>
      </c>
      <c r="Y262" s="2"/>
      <c r="Z262" s="14">
        <f>IFERROR(Z240+Z241+Z242+Z243+Z244+Z245+Z246+Z247+Z248+Z249+Z250+Z251+Z252+Z253+Z254+Z255+Z256+Z257+Z258+Z259+Z260+Z261, "NA")</f>
        <v>400472.33999999997</v>
      </c>
      <c r="AA262" s="15">
        <f>IFERROR(Z262/Z444, "NA")</f>
        <v>6.4555526144895764E-2</v>
      </c>
      <c r="AB262" s="2"/>
      <c r="AC262" s="14">
        <f t="shared" si="67"/>
        <v>-50888.659999999974</v>
      </c>
      <c r="AD262" s="15">
        <f>IFERROR(AC262/AC444, "NA")</f>
        <v>-0.11632798497777321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43818.27</v>
      </c>
      <c r="C263" s="15">
        <f>IFERROR(B263/B444, "NA")</f>
        <v>6.1818595719780607E-2</v>
      </c>
      <c r="D263" s="2"/>
      <c r="E263" s="14">
        <f>IFERROR(E238+E240+E241+E242+E243+E244+E245+E246+E247+E248+E249+E250+E251+E252+E253+E254+E255+E256+E257+E258+E259+E260+E261, "NA")</f>
        <v>43412.43</v>
      </c>
      <c r="F263" s="15">
        <f>IFERROR(E263/E444, "NA")</f>
        <v>6.6087293733859492E-2</v>
      </c>
      <c r="G263" s="2"/>
      <c r="H263" s="14">
        <f t="shared" si="64"/>
        <v>-405.83999999999651</v>
      </c>
      <c r="I263" s="15">
        <f>IFERROR(H263/H444, "NA")</f>
        <v>-7.8158958265726972E-3</v>
      </c>
      <c r="J263" s="2"/>
      <c r="K263" s="14">
        <f>IFERROR(K238+K240+K241+K242+K243+K244+K245+K246+K247+K248+K249+K250+K251+K252+K253+K254+K255+K256+K257+K258+K259+K260+K261, "NA")</f>
        <v>37130.560000000005</v>
      </c>
      <c r="L263" s="15">
        <f>IFERROR(K263/K444, "NA")</f>
        <v>6.3087997219752376E-2</v>
      </c>
      <c r="M263" s="2"/>
      <c r="N263" s="14">
        <f t="shared" si="65"/>
        <v>-6687.7099999999919</v>
      </c>
      <c r="O263" s="15">
        <f>IFERROR(N263/N444, "NA")</f>
        <v>-5.5606580352997266E-2</v>
      </c>
      <c r="P263" s="2"/>
      <c r="Q263" s="14">
        <f>IFERROR(Q238+Q240+Q241+Q242+Q243+Q244+Q245+Q246+Q247+Q248+Q249+Q250+Q251+Q252+Q253+Q254+Q255+Q256+Q257+Q258+Q259+Q260+Q261, "NA")</f>
        <v>451360.99999999994</v>
      </c>
      <c r="R263" s="15">
        <f>IFERROR(Q263/Q444, "NA")</f>
        <v>6.796590539228968E-2</v>
      </c>
      <c r="S263" s="2"/>
      <c r="T263" s="14">
        <f>IFERROR(T238+T240+T241+T242+T243+T244+T245+T246+T247+T248+T249+T250+T251+T252+T253+T254+T255+T256+T257+T258+T259+T260+T261, "NA")</f>
        <v>446838.77</v>
      </c>
      <c r="U263" s="15">
        <f>IFERROR(T263/T444, "NA")</f>
        <v>6.411608052327486E-2</v>
      </c>
      <c r="V263" s="2"/>
      <c r="W263" s="14">
        <f t="shared" si="66"/>
        <v>-4522.2299999999232</v>
      </c>
      <c r="X263" s="15">
        <f>IFERROR(W263/W444, "NA")</f>
        <v>1.3777885278950104E-2</v>
      </c>
      <c r="Y263" s="2"/>
      <c r="Z263" s="14">
        <f>IFERROR(Z238+Z240+Z241+Z242+Z243+Z244+Z245+Z246+Z247+Z248+Z249+Z250+Z251+Z252+Z253+Z254+Z255+Z256+Z257+Z258+Z259+Z260+Z261, "NA")</f>
        <v>400472.33999999997</v>
      </c>
      <c r="AA263" s="15">
        <f>IFERROR(Z263/Z444, "NA")</f>
        <v>6.4555526144895764E-2</v>
      </c>
      <c r="AB263" s="2"/>
      <c r="AC263" s="14">
        <f t="shared" si="67"/>
        <v>-50888.659999999974</v>
      </c>
      <c r="AD263" s="15">
        <f>IFERROR(AC263/AC444, "NA")</f>
        <v>-0.11632798497777321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14269.88</v>
      </c>
      <c r="C265" s="8">
        <f>IFERROR(B265/B444, "NA")</f>
        <v>2.013187519018398E-2</v>
      </c>
      <c r="D265" s="9"/>
      <c r="E265" s="7">
        <v>17463.62</v>
      </c>
      <c r="F265" s="8">
        <f>IFERROR(E265/E444, "NA")</f>
        <v>2.6585090597243767E-2</v>
      </c>
      <c r="G265" s="9"/>
      <c r="H265" s="10">
        <f>IFERROR(-(B265-E265), "NA")</f>
        <v>3193.74</v>
      </c>
      <c r="I265" s="8">
        <f>IFERROR(H265/H444, "NA")</f>
        <v>6.1506847864080672E-2</v>
      </c>
      <c r="J265" s="9"/>
      <c r="K265" s="7">
        <v>15687.050000000001</v>
      </c>
      <c r="L265" s="8">
        <f>IFERROR(K265/K444, "NA")</f>
        <v>2.665363966463518E-2</v>
      </c>
      <c r="M265" s="9"/>
      <c r="N265" s="10">
        <f>IFERROR(-(B265-K265), "NA")</f>
        <v>1417.1700000000019</v>
      </c>
      <c r="O265" s="8">
        <f>IFERROR(N265/N444, "NA")</f>
        <v>1.1783402312429418E-2</v>
      </c>
      <c r="P265" s="9"/>
      <c r="Q265" s="7">
        <v>169105.55000000002</v>
      </c>
      <c r="R265" s="8">
        <f>IFERROR(Q265/Q444, "NA")</f>
        <v>2.5463900985267036E-2</v>
      </c>
      <c r="S265" s="9"/>
      <c r="T265" s="7">
        <v>187423.14</v>
      </c>
      <c r="U265" s="8">
        <f>IFERROR(T265/T444, "NA")</f>
        <v>2.6893004687496159E-2</v>
      </c>
      <c r="V265" s="9"/>
      <c r="W265" s="10">
        <f>IFERROR(-(Q265-T265), "NA")</f>
        <v>18317.589999999997</v>
      </c>
      <c r="X265" s="8">
        <f>IFERROR(W265/W444, "NA")</f>
        <v>-5.5808230365737233E-2</v>
      </c>
      <c r="Y265" s="9"/>
      <c r="Z265" s="7">
        <v>166707.18</v>
      </c>
      <c r="AA265" s="8">
        <f>IFERROR(Z265/Z444, "NA")</f>
        <v>2.6872941379751332E-2</v>
      </c>
      <c r="AB265" s="9"/>
      <c r="AC265" s="10">
        <f>IFERROR(-(Q265-Z265), "NA")</f>
        <v>-2398.3700000000244</v>
      </c>
      <c r="AD265" s="8">
        <f>IFERROR(AC265/AC444, "NA")</f>
        <v>-5.4825092531645544E-3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1710.6499999999999</v>
      </c>
      <c r="R266" s="8">
        <f>IFERROR(Q266/Q444, "NA")</f>
        <v>2.575895481871946E-4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-1710.6499999999999</v>
      </c>
      <c r="X266" s="8">
        <f>IFERROR(W266/W444, "NA")</f>
        <v>5.2118400551136044E-3</v>
      </c>
      <c r="Y266" s="9"/>
      <c r="Z266" s="7">
        <v>392.65</v>
      </c>
      <c r="AA266" s="8">
        <f>IFERROR(Z266/Z444, "NA")</f>
        <v>6.329457695079097E-5</v>
      </c>
      <c r="AB266" s="9"/>
      <c r="AC266" s="10">
        <f>IFERROR(-(Q266-Z266), "NA")</f>
        <v>-1318</v>
      </c>
      <c r="AD266" s="8">
        <f>IFERROR(AC266/AC444, "NA")</f>
        <v>-3.0128575639583586E-3</v>
      </c>
    </row>
    <row r="267" spans="1:30" ht="16.5" customHeight="1" x14ac:dyDescent="0.45">
      <c r="A267" s="19" t="s">
        <v>243</v>
      </c>
      <c r="B267" s="14">
        <f>IFERROR(B265+B266, "NA")</f>
        <v>14269.88</v>
      </c>
      <c r="C267" s="15">
        <f>IFERROR(B267/B444, "NA")</f>
        <v>2.013187519018398E-2</v>
      </c>
      <c r="D267" s="2"/>
      <c r="E267" s="14">
        <f>IFERROR(E265+E266, "NA")</f>
        <v>17463.62</v>
      </c>
      <c r="F267" s="15">
        <f>IFERROR(E267/E444, "NA")</f>
        <v>2.6585090597243767E-2</v>
      </c>
      <c r="G267" s="2"/>
      <c r="H267" s="14">
        <f>IFERROR(-(B267-E267), "NA")</f>
        <v>3193.74</v>
      </c>
      <c r="I267" s="15">
        <f>IFERROR(H267/H444, "NA")</f>
        <v>6.1506847864080672E-2</v>
      </c>
      <c r="J267" s="2"/>
      <c r="K267" s="14">
        <f>IFERROR(K265+K266, "NA")</f>
        <v>15687.050000000001</v>
      </c>
      <c r="L267" s="15">
        <f>IFERROR(K267/K444, "NA")</f>
        <v>2.665363966463518E-2</v>
      </c>
      <c r="M267" s="2"/>
      <c r="N267" s="14">
        <f>IFERROR(-(B267-K267), "NA")</f>
        <v>1417.1700000000019</v>
      </c>
      <c r="O267" s="15">
        <f>IFERROR(N267/N444, "NA")</f>
        <v>1.1783402312429418E-2</v>
      </c>
      <c r="P267" s="2"/>
      <c r="Q267" s="14">
        <f>IFERROR(Q265+Q266, "NA")</f>
        <v>170816.2</v>
      </c>
      <c r="R267" s="15">
        <f>IFERROR(Q267/Q444, "NA")</f>
        <v>2.5721490533454232E-2</v>
      </c>
      <c r="S267" s="2"/>
      <c r="T267" s="14">
        <f>IFERROR(T265+T266, "NA")</f>
        <v>187423.14</v>
      </c>
      <c r="U267" s="15">
        <f>IFERROR(T267/T444, "NA")</f>
        <v>2.6893004687496159E-2</v>
      </c>
      <c r="V267" s="2"/>
      <c r="W267" s="14">
        <f>IFERROR(-(Q267-T267), "NA")</f>
        <v>16606.940000000002</v>
      </c>
      <c r="X267" s="15">
        <f>IFERROR(W267/W444, "NA")</f>
        <v>-5.0596390310623643E-2</v>
      </c>
      <c r="Y267" s="2"/>
      <c r="Z267" s="14">
        <f>IFERROR(Z265+Z266, "NA")</f>
        <v>167099.82999999999</v>
      </c>
      <c r="AA267" s="15">
        <f>IFERROR(Z267/Z444, "NA")</f>
        <v>2.6936235956702123E-2</v>
      </c>
      <c r="AB267" s="2"/>
      <c r="AC267" s="14">
        <f>IFERROR(-(Q267-Z267), "NA")</f>
        <v>-3716.3700000000244</v>
      </c>
      <c r="AD267" s="15">
        <f>IFERROR(AC267/AC444, "NA")</f>
        <v>-8.4953668171229135E-3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1165.0900000000001</v>
      </c>
      <c r="C270" s="8">
        <f>IFERROR(B270/B444, "NA")</f>
        <v>1.6437031331259587E-3</v>
      </c>
      <c r="D270" s="9"/>
      <c r="E270" s="7">
        <v>932.83999999999992</v>
      </c>
      <c r="F270" s="8">
        <f>IFERROR(E270/E444, "NA")</f>
        <v>1.4200741835159534E-3</v>
      </c>
      <c r="G270" s="9"/>
      <c r="H270" s="10">
        <f>IFERROR(-(B270-E270), "NA")</f>
        <v>-232.25000000000023</v>
      </c>
      <c r="I270" s="8">
        <f>IFERROR(H270/H444, "NA")</f>
        <v>-4.4728016107863349E-3</v>
      </c>
      <c r="J270" s="9"/>
      <c r="K270" s="7">
        <v>1139.1599999999999</v>
      </c>
      <c r="L270" s="8">
        <f>IFERROR(K270/K444, "NA")</f>
        <v>1.9355302724454761E-3</v>
      </c>
      <c r="M270" s="9"/>
      <c r="N270" s="10">
        <f>IFERROR(-(B270-K270), "NA")</f>
        <v>-25.930000000000291</v>
      </c>
      <c r="O270" s="8">
        <f>IFERROR(N270/N444, "NA")</f>
        <v>-2.1560124894070423E-4</v>
      </c>
      <c r="P270" s="9"/>
      <c r="Q270" s="7">
        <v>12502.6</v>
      </c>
      <c r="R270" s="8">
        <f>IFERROR(Q270/Q444, "NA")</f>
        <v>1.8826405665479319E-3</v>
      </c>
      <c r="S270" s="9"/>
      <c r="T270" s="7">
        <v>11043.7</v>
      </c>
      <c r="U270" s="8">
        <f>IFERROR(T270/T444, "NA")</f>
        <v>1.5846403804103449E-3</v>
      </c>
      <c r="V270" s="9"/>
      <c r="W270" s="10">
        <f>IFERROR(-(Q270-T270), "NA")</f>
        <v>-1458.8999999999996</v>
      </c>
      <c r="X270" s="8">
        <f>IFERROR(W270/W444, "NA")</f>
        <v>4.4448329327479242E-3</v>
      </c>
      <c r="Y270" s="9"/>
      <c r="Z270" s="7">
        <v>11150.27</v>
      </c>
      <c r="AA270" s="8">
        <f>IFERROR(Z270/Z444, "NA")</f>
        <v>1.7974063989229495E-3</v>
      </c>
      <c r="AB270" s="9"/>
      <c r="AC270" s="10">
        <f>IFERROR(-(Q270-Z270), "NA")</f>
        <v>-1352.33</v>
      </c>
      <c r="AD270" s="8">
        <f>IFERROR(AC270/AC444, "NA")</f>
        <v>-3.0913335883670768E-3</v>
      </c>
    </row>
    <row r="271" spans="1:30" ht="16.5" customHeight="1" x14ac:dyDescent="0.45">
      <c r="A271" s="6" t="s">
        <v>246</v>
      </c>
      <c r="B271" s="7">
        <v>5130.2199999999993</v>
      </c>
      <c r="C271" s="8">
        <f>IFERROR(B271/B444, "NA")</f>
        <v>7.2376886657901564E-3</v>
      </c>
      <c r="D271" s="9"/>
      <c r="E271" s="7">
        <v>4108.26</v>
      </c>
      <c r="F271" s="8">
        <f>IFERROR(E271/E444, "NA")</f>
        <v>6.2540563924909434E-3</v>
      </c>
      <c r="G271" s="9"/>
      <c r="H271" s="10">
        <f>IFERROR(-(B271-E271), "NA")</f>
        <v>-1021.9599999999991</v>
      </c>
      <c r="I271" s="8">
        <f>IFERROR(H271/H444, "NA")</f>
        <v>-1.9681482601331301E-2</v>
      </c>
      <c r="J271" s="9"/>
      <c r="K271" s="7">
        <v>3811.37</v>
      </c>
      <c r="L271" s="8">
        <f>IFERROR(K271/K444, "NA")</f>
        <v>6.4758436167794819E-3</v>
      </c>
      <c r="M271" s="9"/>
      <c r="N271" s="10">
        <f>IFERROR(-(B271-K271), "NA")</f>
        <v>-1318.8499999999995</v>
      </c>
      <c r="O271" s="8">
        <f>IFERROR(N271/N444, "NA")</f>
        <v>-1.0965896921150962E-2</v>
      </c>
      <c r="P271" s="9"/>
      <c r="Q271" s="7">
        <v>55145.459999999992</v>
      </c>
      <c r="R271" s="8">
        <f>IFERROR(Q271/Q444, "NA")</f>
        <v>8.3037992143191255E-3</v>
      </c>
      <c r="S271" s="9"/>
      <c r="T271" s="7">
        <v>45273.210000000006</v>
      </c>
      <c r="U271" s="8">
        <f>IFERROR(T271/T444, "NA")</f>
        <v>6.4961703701474542E-3</v>
      </c>
      <c r="V271" s="9"/>
      <c r="W271" s="10">
        <f>IFERROR(-(Q271-T271), "NA")</f>
        <v>-9872.2499999999854</v>
      </c>
      <c r="X271" s="8">
        <f>IFERROR(W271/W444, "NA")</f>
        <v>3.007779965749581E-2</v>
      </c>
      <c r="Y271" s="9"/>
      <c r="Z271" s="7">
        <v>42723.11</v>
      </c>
      <c r="AA271" s="8">
        <f>IFERROR(Z271/Z444, "NA")</f>
        <v>6.8868997159610527E-3</v>
      </c>
      <c r="AB271" s="9"/>
      <c r="AC271" s="10">
        <f>IFERROR(-(Q271-Z271), "NA")</f>
        <v>-12422.349999999991</v>
      </c>
      <c r="AD271" s="8">
        <f>IFERROR(AC271/AC444, "NA")</f>
        <v>-2.8396639726584287E-2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6295.3099999999995</v>
      </c>
      <c r="C273" s="15">
        <f>IFERROR(B273/B444, "NA")</f>
        <v>8.8813917989161162E-3</v>
      </c>
      <c r="D273" s="2"/>
      <c r="E273" s="14">
        <f>IFERROR(E269+E270+E271+E272, "NA")</f>
        <v>5041.1000000000004</v>
      </c>
      <c r="F273" s="15">
        <f>IFERROR(E273/E444, "NA")</f>
        <v>7.6741305760068971E-3</v>
      </c>
      <c r="G273" s="2"/>
      <c r="H273" s="14">
        <f>IFERROR(-(B273-E273), "NA")</f>
        <v>-1254.2099999999991</v>
      </c>
      <c r="I273" s="15">
        <f>IFERROR(H273/H444, "NA")</f>
        <v>-2.4154284212117631E-2</v>
      </c>
      <c r="J273" s="2"/>
      <c r="K273" s="14">
        <f>IFERROR(K269+K270+K271+K272, "NA")</f>
        <v>4950.53</v>
      </c>
      <c r="L273" s="15">
        <f>IFERROR(K273/K444, "NA")</f>
        <v>8.4113738892249573E-3</v>
      </c>
      <c r="M273" s="2"/>
      <c r="N273" s="14">
        <f>IFERROR(-(B273-K273), "NA")</f>
        <v>-1344.7799999999997</v>
      </c>
      <c r="O273" s="15">
        <f>IFERROR(N273/N444, "NA")</f>
        <v>-1.1181498170091666E-2</v>
      </c>
      <c r="P273" s="2"/>
      <c r="Q273" s="14">
        <f>IFERROR(Q269+Q270+Q271+Q272, "NA")</f>
        <v>67648.06</v>
      </c>
      <c r="R273" s="15">
        <f>IFERROR(Q273/Q444, "NA")</f>
        <v>1.0186439780867059E-2</v>
      </c>
      <c r="S273" s="2"/>
      <c r="T273" s="14">
        <f>IFERROR(T269+T270+T271+T272, "NA")</f>
        <v>56316.91</v>
      </c>
      <c r="U273" s="15">
        <f>IFERROR(T273/T444, "NA")</f>
        <v>8.080810750557799E-3</v>
      </c>
      <c r="V273" s="2"/>
      <c r="W273" s="14">
        <f>IFERROR(-(Q273-T273), "NA")</f>
        <v>-11331.149999999994</v>
      </c>
      <c r="X273" s="15">
        <f>IFERROR(W273/W444, "NA")</f>
        <v>3.4522632590243761E-2</v>
      </c>
      <c r="Y273" s="2"/>
      <c r="Z273" s="14">
        <f>IFERROR(Z269+Z270+Z271+Z272, "NA")</f>
        <v>53873.380000000005</v>
      </c>
      <c r="AA273" s="15">
        <f>IFERROR(Z273/Z444, "NA")</f>
        <v>8.6843061148840026E-3</v>
      </c>
      <c r="AB273" s="2"/>
      <c r="AC273" s="14">
        <f>IFERROR(-(Q273-Z273), "NA")</f>
        <v>-13774.679999999993</v>
      </c>
      <c r="AD273" s="15">
        <f>IFERROR(AC273/AC444, "NA")</f>
        <v>-3.1487973314951366E-2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1.3692188601676578E-3</v>
      </c>
      <c r="D287" s="9"/>
      <c r="E287" s="7">
        <v>2703</v>
      </c>
      <c r="F287" s="8">
        <f>IFERROR(E287/E444, "NA")</f>
        <v>4.1148112409884032E-3</v>
      </c>
      <c r="G287" s="9"/>
      <c r="H287" s="10">
        <f t="shared" si="72"/>
        <v>1732.47</v>
      </c>
      <c r="I287" s="8">
        <f>IFERROR(H287/H444, "NA")</f>
        <v>3.3364885281545728E-2</v>
      </c>
      <c r="J287" s="9"/>
      <c r="K287" s="7">
        <v>970.53</v>
      </c>
      <c r="L287" s="8">
        <f>IFERROR(K287/K444, "NA")</f>
        <v>1.6490134795081534E-3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10675.83</v>
      </c>
      <c r="R287" s="8">
        <f>IFERROR(Q287/Q444, "NA")</f>
        <v>1.6075656775046316E-3</v>
      </c>
      <c r="S287" s="9"/>
      <c r="T287" s="7">
        <v>29733</v>
      </c>
      <c r="U287" s="8">
        <f>IFERROR(T287/T444, "NA")</f>
        <v>4.26633396694412E-3</v>
      </c>
      <c r="V287" s="9"/>
      <c r="W287" s="10">
        <f t="shared" si="74"/>
        <v>19057.169999999998</v>
      </c>
      <c r="X287" s="8">
        <f>IFERROR(W287/W444, "NA")</f>
        <v>-5.8061509919100529E-2</v>
      </c>
      <c r="Y287" s="9"/>
      <c r="Z287" s="7">
        <v>10675.83</v>
      </c>
      <c r="AA287" s="8">
        <f>IFERROR(Z287/Z444, "NA")</f>
        <v>1.7209273995888522E-3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765.99</v>
      </c>
      <c r="C288" s="8">
        <f>IFERROR(B288/B444, "NA")</f>
        <v>1.0806548532243457E-3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-765.99</v>
      </c>
      <c r="I288" s="8">
        <f>IFERROR(H288/H444, "NA")</f>
        <v>-1.4751867840026788E-2</v>
      </c>
      <c r="J288" s="9"/>
      <c r="K288" s="7">
        <v>746.16</v>
      </c>
      <c r="L288" s="8">
        <f>IFERROR(K288/K444, "NA")</f>
        <v>1.2677896591241937E-3</v>
      </c>
      <c r="M288" s="9"/>
      <c r="N288" s="10">
        <f t="shared" si="73"/>
        <v>-19.830000000000041</v>
      </c>
      <c r="O288" s="8">
        <f>IFERROR(N288/N444, "NA")</f>
        <v>-1.648813253565031E-4</v>
      </c>
      <c r="P288" s="9"/>
      <c r="Q288" s="7">
        <v>9341.7199999999993</v>
      </c>
      <c r="R288" s="8">
        <f>IFERROR(Q288/Q444, "NA")</f>
        <v>1.4066754941637854E-3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-9341.7199999999993</v>
      </c>
      <c r="X288" s="8">
        <f>IFERROR(W288/W444, "NA")</f>
        <v>2.8461433069099967E-2</v>
      </c>
      <c r="Y288" s="9"/>
      <c r="Z288" s="7">
        <v>7710.15</v>
      </c>
      <c r="AA288" s="8">
        <f>IFERROR(Z288/Z444, "NA")</f>
        <v>1.2428643384111574E-3</v>
      </c>
      <c r="AB288" s="9"/>
      <c r="AC288" s="10">
        <f t="shared" si="75"/>
        <v>-1631.5699999999997</v>
      </c>
      <c r="AD288" s="8">
        <f>IFERROR(AC288/AC444, "NA")</f>
        <v>-3.7296570680026846E-3</v>
      </c>
    </row>
    <row r="289" spans="1:30" ht="16.5" customHeight="1" x14ac:dyDescent="0.45">
      <c r="A289" s="6" t="s">
        <v>262</v>
      </c>
      <c r="B289" s="7">
        <v>1148.97</v>
      </c>
      <c r="C289" s="8">
        <f>IFERROR(B289/B444, "NA")</f>
        <v>1.6209611179116915E-3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-1148.97</v>
      </c>
      <c r="I289" s="8">
        <f>IFERROR(H289/H444, "NA")</f>
        <v>-2.2127512881572317E-2</v>
      </c>
      <c r="J289" s="9"/>
      <c r="K289" s="7">
        <v>1260.22</v>
      </c>
      <c r="L289" s="8">
        <f>IFERROR(K289/K444, "NA")</f>
        <v>2.1412215667169126E-3</v>
      </c>
      <c r="M289" s="9"/>
      <c r="N289" s="10">
        <f t="shared" si="73"/>
        <v>111.25</v>
      </c>
      <c r="O289" s="8">
        <f>IFERROR(N289/N444, "NA")</f>
        <v>9.2501499979379391E-4</v>
      </c>
      <c r="P289" s="9"/>
      <c r="Q289" s="7">
        <v>12010.329999999998</v>
      </c>
      <c r="R289" s="8">
        <f>IFERROR(Q289/Q444, "NA")</f>
        <v>1.8085145870161102E-3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-12010.329999999998</v>
      </c>
      <c r="X289" s="8">
        <f>IFERROR(W289/W444, "NA")</f>
        <v>3.6591891368270874E-2</v>
      </c>
      <c r="Y289" s="9"/>
      <c r="Z289" s="7">
        <v>11539.49</v>
      </c>
      <c r="AA289" s="8">
        <f>IFERROR(Z289/Z444, "NA")</f>
        <v>1.8601480651416857E-3</v>
      </c>
      <c r="AB289" s="9"/>
      <c r="AC289" s="10">
        <f t="shared" si="75"/>
        <v>-470.83999999999833</v>
      </c>
      <c r="AD289" s="8">
        <f>IFERROR(AC289/AC444, "NA")</f>
        <v>-1.0763079327876697E-3</v>
      </c>
    </row>
    <row r="290" spans="1:30" ht="16.5" customHeight="1" x14ac:dyDescent="0.45">
      <c r="A290" s="6" t="s">
        <v>263</v>
      </c>
      <c r="B290" s="7">
        <v>2281.84</v>
      </c>
      <c r="C290" s="8">
        <f>IFERROR(B290/B444, "NA")</f>
        <v>3.2192084365088853E-3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-2281.84</v>
      </c>
      <c r="I290" s="8">
        <f>IFERROR(H290/H444, "NA")</f>
        <v>-4.3944962874302183E-2</v>
      </c>
      <c r="J290" s="9"/>
      <c r="K290" s="7">
        <v>5103.63</v>
      </c>
      <c r="L290" s="8">
        <f>IFERROR(K290/K444, "NA")</f>
        <v>8.671503883880145E-3</v>
      </c>
      <c r="M290" s="9"/>
      <c r="N290" s="10">
        <f t="shared" si="73"/>
        <v>2821.79</v>
      </c>
      <c r="O290" s="8">
        <f>IFERROR(N290/N444, "NA")</f>
        <v>2.3462454618140491E-2</v>
      </c>
      <c r="P290" s="9"/>
      <c r="Q290" s="7">
        <v>35031.42</v>
      </c>
      <c r="R290" s="8">
        <f>IFERROR(Q290/Q444, "NA")</f>
        <v>5.2750285857164547E-3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-35031.42</v>
      </c>
      <c r="X290" s="8">
        <f>IFERROR(W290/W444, "NA")</f>
        <v>0.10673028260807753</v>
      </c>
      <c r="Y290" s="9"/>
      <c r="Z290" s="7">
        <v>25314.730000000003</v>
      </c>
      <c r="AA290" s="8">
        <f>IFERROR(Z290/Z444, "NA")</f>
        <v>4.0806955965197933E-3</v>
      </c>
      <c r="AB290" s="9"/>
      <c r="AC290" s="10">
        <f t="shared" si="75"/>
        <v>-9716.6899999999951</v>
      </c>
      <c r="AD290" s="8">
        <f>IFERROR(AC290/AC444, "NA")</f>
        <v>-2.2211686618466259E-2</v>
      </c>
    </row>
    <row r="291" spans="1:30" ht="16.5" customHeight="1" x14ac:dyDescent="0.45">
      <c r="A291" s="6" t="s">
        <v>264</v>
      </c>
      <c r="B291" s="7">
        <v>3538.93</v>
      </c>
      <c r="C291" s="8">
        <f>IFERROR(B291/B444, "NA")</f>
        <v>4.9927047085748296E-3</v>
      </c>
      <c r="D291" s="9"/>
      <c r="E291" s="7">
        <v>8127.0399999999991</v>
      </c>
      <c r="F291" s="8">
        <f>IFERROR(E291/E444, "NA")</f>
        <v>1.2371896244159228E-2</v>
      </c>
      <c r="G291" s="9"/>
      <c r="H291" s="10">
        <f t="shared" si="72"/>
        <v>4588.1099999999988</v>
      </c>
      <c r="I291" s="8">
        <f>IFERROR(H291/H444, "NA")</f>
        <v>8.8360412479934841E-2</v>
      </c>
      <c r="J291" s="9"/>
      <c r="K291" s="7">
        <v>4313.96</v>
      </c>
      <c r="L291" s="8">
        <f>IFERROR(K291/K444, "NA")</f>
        <v>7.3297870133421875E-3</v>
      </c>
      <c r="M291" s="9"/>
      <c r="N291" s="10">
        <f t="shared" si="73"/>
        <v>775.0300000000002</v>
      </c>
      <c r="O291" s="8">
        <f>IFERROR(N291/N444, "NA")</f>
        <v>6.4441741599117692E-3</v>
      </c>
      <c r="P291" s="9"/>
      <c r="Q291" s="7">
        <v>43550.46</v>
      </c>
      <c r="R291" s="8">
        <f>IFERROR(Q291/Q444, "NA")</f>
        <v>6.5578249874284587E-3</v>
      </c>
      <c r="S291" s="9"/>
      <c r="T291" s="7">
        <v>86029.430000000008</v>
      </c>
      <c r="U291" s="8">
        <f>IFERROR(T291/T444, "NA")</f>
        <v>1.234420607963682E-2</v>
      </c>
      <c r="V291" s="9"/>
      <c r="W291" s="10">
        <f t="shared" si="74"/>
        <v>42478.970000000008</v>
      </c>
      <c r="X291" s="8">
        <f>IFERROR(W291/W444, "NA")</f>
        <v>-0.12942074494839342</v>
      </c>
      <c r="Y291" s="9"/>
      <c r="Z291" s="7">
        <v>30513.37</v>
      </c>
      <c r="AA291" s="8">
        <f>IFERROR(Z291/Z444, "NA")</f>
        <v>4.9187083802189144E-3</v>
      </c>
      <c r="AB291" s="9"/>
      <c r="AC291" s="10">
        <f t="shared" si="75"/>
        <v>-13037.09</v>
      </c>
      <c r="AD291" s="8">
        <f>IFERROR(AC291/AC444, "NA")</f>
        <v>-2.9801893185512806E-2</v>
      </c>
    </row>
    <row r="292" spans="1:30" ht="16.5" customHeight="1" x14ac:dyDescent="0.45">
      <c r="A292" s="6" t="s">
        <v>265</v>
      </c>
      <c r="B292" s="7">
        <v>241.36</v>
      </c>
      <c r="C292" s="8">
        <f>IFERROR(B292/B444, "NA")</f>
        <v>3.4050947841907607E-4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-241.36</v>
      </c>
      <c r="I292" s="8">
        <f>IFERROR(H292/H444, "NA")</f>
        <v>-4.6482471336033969E-3</v>
      </c>
      <c r="J292" s="9"/>
      <c r="K292" s="7">
        <v>455.79</v>
      </c>
      <c r="L292" s="8">
        <f>IFERROR(K292/K444, "NA")</f>
        <v>7.7442619375498053E-4</v>
      </c>
      <c r="M292" s="9"/>
      <c r="N292" s="10">
        <f t="shared" si="73"/>
        <v>214.43</v>
      </c>
      <c r="O292" s="8">
        <f>IFERROR(N292/N444, "NA")</f>
        <v>1.7829300351081638E-3</v>
      </c>
      <c r="P292" s="9"/>
      <c r="Q292" s="7">
        <v>7728.9599999999991</v>
      </c>
      <c r="R292" s="8">
        <f>IFERROR(Q292/Q444, "NA")</f>
        <v>1.1638262148054247E-3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-7728.9599999999991</v>
      </c>
      <c r="X292" s="8">
        <f>IFERROR(W292/W444, "NA")</f>
        <v>2.3547834631497292E-2</v>
      </c>
      <c r="Y292" s="9"/>
      <c r="Z292" s="7">
        <v>5888.99</v>
      </c>
      <c r="AA292" s="8">
        <f>IFERROR(Z292/Z444, "NA")</f>
        <v>9.4929614342910613E-4</v>
      </c>
      <c r="AB292" s="9"/>
      <c r="AC292" s="10">
        <f t="shared" si="75"/>
        <v>-1839.9699999999993</v>
      </c>
      <c r="AD292" s="8">
        <f>IFERROR(AC292/AC444, "NA")</f>
        <v>-4.2060451684039907E-3</v>
      </c>
    </row>
    <row r="293" spans="1:30" ht="16.5" customHeight="1" x14ac:dyDescent="0.45">
      <c r="A293" s="6" t="s">
        <v>266</v>
      </c>
      <c r="B293" s="7">
        <v>750</v>
      </c>
      <c r="C293" s="8">
        <f>IFERROR(B293/B444, "NA")</f>
        <v>1.0580962413585808E-3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-750</v>
      </c>
      <c r="I293" s="8">
        <f>IFERROR(H293/H444, "NA")</f>
        <v>-1.4443923393282015E-2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-750</v>
      </c>
      <c r="O293" s="8">
        <f>IFERROR(N293/N444, "NA")</f>
        <v>-6.2360561783851272E-3</v>
      </c>
      <c r="P293" s="9"/>
      <c r="Q293" s="7">
        <v>8524.9599999999991</v>
      </c>
      <c r="R293" s="8">
        <f>IFERROR(Q293/Q444, "NA")</f>
        <v>1.2836878348662243E-3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-8524.9599999999991</v>
      </c>
      <c r="X293" s="8">
        <f>IFERROR(W293/W444, "NA")</f>
        <v>2.5973009087914695E-2</v>
      </c>
      <c r="Y293" s="9"/>
      <c r="Z293" s="7">
        <v>9833.9000000000015</v>
      </c>
      <c r="AA293" s="8">
        <f>IFERROR(Z293/Z444, "NA")</f>
        <v>1.5852095766621251E-3</v>
      </c>
      <c r="AB293" s="9"/>
      <c r="AC293" s="10">
        <f t="shared" si="75"/>
        <v>1308.9400000000023</v>
      </c>
      <c r="AD293" s="8">
        <f>IFERROR(AC293/AC444, "NA")</f>
        <v>2.9921470256203801E-3</v>
      </c>
    </row>
    <row r="294" spans="1:30" ht="16.5" customHeight="1" x14ac:dyDescent="0.45">
      <c r="A294" s="6" t="s">
        <v>267</v>
      </c>
      <c r="B294" s="7">
        <v>1447.49</v>
      </c>
      <c r="C294" s="8">
        <f>IFERROR(B294/B444, "NA")</f>
        <v>2.0421116378721762E-3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-1447.49</v>
      </c>
      <c r="I294" s="8">
        <f>IFERROR(H294/H444, "NA")</f>
        <v>-2.7876579563389046E-2</v>
      </c>
      <c r="J294" s="9"/>
      <c r="K294" s="7">
        <v>1703.33</v>
      </c>
      <c r="L294" s="8">
        <f>IFERROR(K294/K444, "NA")</f>
        <v>2.8941033559504838E-3</v>
      </c>
      <c r="M294" s="9"/>
      <c r="N294" s="10">
        <f t="shared" si="73"/>
        <v>255.83999999999992</v>
      </c>
      <c r="O294" s="8">
        <f>IFERROR(N294/N444, "NA")</f>
        <v>2.1272434835707338E-3</v>
      </c>
      <c r="P294" s="9"/>
      <c r="Q294" s="7">
        <v>20129.62</v>
      </c>
      <c r="R294" s="8">
        <f>IFERROR(Q294/Q444, "NA")</f>
        <v>3.0311166638294896E-3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-20129.62</v>
      </c>
      <c r="X294" s="8">
        <f>IFERROR(W294/W444, "NA")</f>
        <v>6.1328945026870439E-2</v>
      </c>
      <c r="Y294" s="9"/>
      <c r="Z294" s="7">
        <v>7461.9800000000005</v>
      </c>
      <c r="AA294" s="8">
        <f>IFERROR(Z294/Z444, "NA")</f>
        <v>1.2028597155616025E-3</v>
      </c>
      <c r="AB294" s="9"/>
      <c r="AC294" s="10">
        <f t="shared" si="75"/>
        <v>-12667.64</v>
      </c>
      <c r="AD294" s="8">
        <f>IFERROR(AC294/AC444, "NA")</f>
        <v>-2.895735583573707E-2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11145.11</v>
      </c>
      <c r="C295" s="15">
        <f>IFERROR(B295/B444, "NA")</f>
        <v>1.5723465334037245E-2</v>
      </c>
      <c r="D295" s="2"/>
      <c r="E295" s="14">
        <f>IFERROR(E286+E287+E288+E289+E290+E291+E292+E293+E294, "NA")</f>
        <v>10830.039999999999</v>
      </c>
      <c r="F295" s="15">
        <f>IFERROR(E295/E444, "NA")</f>
        <v>1.648670748514763E-2</v>
      </c>
      <c r="G295" s="2"/>
      <c r="H295" s="14">
        <f t="shared" si="72"/>
        <v>-315.07000000000153</v>
      </c>
      <c r="I295" s="15">
        <f>IFERROR(H295/H444, "NA")</f>
        <v>-6.0677959246951824E-3</v>
      </c>
      <c r="J295" s="2"/>
      <c r="K295" s="14">
        <f>IFERROR(K286+K287+K288+K289+K290+K291+K292+K293+K294, "NA")</f>
        <v>14553.62</v>
      </c>
      <c r="L295" s="15">
        <f>IFERROR(K295/K444, "NA")</f>
        <v>2.4727845152277057E-2</v>
      </c>
      <c r="M295" s="2"/>
      <c r="N295" s="14">
        <f t="shared" si="73"/>
        <v>3408.51</v>
      </c>
      <c r="O295" s="15">
        <f>IFERROR(N295/N444, "NA")</f>
        <v>2.8340879792783324E-2</v>
      </c>
      <c r="P295" s="2"/>
      <c r="Q295" s="14">
        <f>IFERROR(Q286+Q287+Q288+Q289+Q290+Q291+Q292+Q293+Q294, "NA")</f>
        <v>146993.29999999996</v>
      </c>
      <c r="R295" s="15">
        <f>IFERROR(Q295/Q444, "NA")</f>
        <v>2.2134240045330576E-2</v>
      </c>
      <c r="S295" s="2"/>
      <c r="T295" s="14">
        <f>IFERROR(T286+T287+T288+T289+T290+T291+T292+T293+T294, "NA")</f>
        <v>115762.43000000001</v>
      </c>
      <c r="U295" s="15">
        <f>IFERROR(T295/T444, "NA")</f>
        <v>1.6610540046580941E-2</v>
      </c>
      <c r="V295" s="2"/>
      <c r="W295" s="14">
        <f t="shared" si="74"/>
        <v>-31230.869999999952</v>
      </c>
      <c r="X295" s="15">
        <f>IFERROR(W295/W444, "NA")</f>
        <v>9.5151140924236738E-2</v>
      </c>
      <c r="Y295" s="2"/>
      <c r="Z295" s="14">
        <f>IFERROR(Z286+Z287+Z288+Z289+Z290+Z291+Z292+Z293+Z294, "NA")</f>
        <v>108938.44000000002</v>
      </c>
      <c r="AA295" s="15">
        <f>IFERROR(Z295/Z444, "NA")</f>
        <v>1.7560709215533238E-2</v>
      </c>
      <c r="AB295" s="2"/>
      <c r="AC295" s="14">
        <f t="shared" si="75"/>
        <v>-38054.859999999942</v>
      </c>
      <c r="AD295" s="15">
        <f>IFERROR(AC295/AC444, "NA")</f>
        <v>-8.6990798783289996E-2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8539.6500000000015</v>
      </c>
      <c r="F297" s="8">
        <f>IFERROR(E297/E444, "NA")</f>
        <v>1.3000017689273632E-2</v>
      </c>
      <c r="G297" s="9"/>
      <c r="H297" s="10">
        <f t="shared" ref="H297:H325" si="76">IFERROR(-(B297-E297), "NA")</f>
        <v>8539.6500000000015</v>
      </c>
      <c r="I297" s="8">
        <f>IFERROR(H297/H444, "NA")</f>
        <v>0.16446140054058772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90599.82</v>
      </c>
      <c r="U297" s="8">
        <f>IFERROR(T297/T444, "NA")</f>
        <v>1.3000003008947072E-2</v>
      </c>
      <c r="V297" s="9"/>
      <c r="W297" s="10">
        <f t="shared" ref="W297:W325" si="78">IFERROR(-(Q297-T297), "NA")</f>
        <v>90599.82</v>
      </c>
      <c r="X297" s="8">
        <f>IFERROR(W297/W444, "NA")</f>
        <v>-0.27603061459800821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2209.0099999999998</v>
      </c>
      <c r="C299" s="8">
        <f>IFERROR(B299/B444, "NA")</f>
        <v>3.1164602374980244E-3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-2209.0099999999998</v>
      </c>
      <c r="I299" s="8">
        <f>IFERROR(H299/H444, "NA")</f>
        <v>-4.2542361619991871E-2</v>
      </c>
      <c r="J299" s="9"/>
      <c r="K299" s="7">
        <v>2693.13</v>
      </c>
      <c r="L299" s="8">
        <f>IFERROR(K299/K444, "NA")</f>
        <v>4.5758582136232713E-3</v>
      </c>
      <c r="M299" s="9"/>
      <c r="N299" s="10">
        <f t="shared" si="77"/>
        <v>484.12000000000035</v>
      </c>
      <c r="O299" s="8">
        <f>IFERROR(N299/N444, "NA")</f>
        <v>4.025332689439747E-3</v>
      </c>
      <c r="P299" s="9"/>
      <c r="Q299" s="7">
        <v>27184.49</v>
      </c>
      <c r="R299" s="8">
        <f>IFERROR(Q299/Q444, "NA")</f>
        <v>4.0934384571942308E-3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-27184.49</v>
      </c>
      <c r="X299" s="8">
        <f>IFERROR(W299/W444, "NA")</f>
        <v>8.2823028591374762E-2</v>
      </c>
      <c r="Y299" s="9"/>
      <c r="Z299" s="7">
        <v>17275.71</v>
      </c>
      <c r="AA299" s="8">
        <f>IFERROR(Z299/Z444, "NA")</f>
        <v>2.7848179192017041E-3</v>
      </c>
      <c r="AB299" s="9"/>
      <c r="AC299" s="10">
        <f t="shared" si="79"/>
        <v>-9908.7800000000025</v>
      </c>
      <c r="AD299" s="8">
        <f>IFERROR(AC299/AC444, "NA")</f>
        <v>-2.2650791177996444E-2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834.62000000000012</v>
      </c>
      <c r="R304" s="8">
        <f>IFERROR(Q304/Q444, "NA")</f>
        <v>1.2567701675269424E-4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-834.62000000000012</v>
      </c>
      <c r="X304" s="8">
        <f>IFERROR(W304/W444, "NA")</f>
        <v>2.5428380713757447E-3</v>
      </c>
      <c r="Y304" s="9"/>
      <c r="Z304" s="7">
        <v>810.04</v>
      </c>
      <c r="AA304" s="8">
        <f>IFERROR(Z304/Z444, "NA")</f>
        <v>1.3057720390479745E-4</v>
      </c>
      <c r="AB304" s="9"/>
      <c r="AC304" s="10">
        <f t="shared" si="79"/>
        <v>-24.580000000000155</v>
      </c>
      <c r="AD304" s="8">
        <f>IFERROR(AC304/AC444, "NA")</f>
        <v>-5.6188193415855026E-5</v>
      </c>
    </row>
    <row r="305" spans="1:30" ht="16.5" customHeight="1" x14ac:dyDescent="0.45">
      <c r="A305" s="6" t="s">
        <v>277</v>
      </c>
      <c r="B305" s="7">
        <v>62.27</v>
      </c>
      <c r="C305" s="8">
        <f>IFERROR(B305/B444, "NA")</f>
        <v>8.7850203932531771E-5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-62.27</v>
      </c>
      <c r="I305" s="8">
        <f>IFERROR(H305/H444, "NA")</f>
        <v>-1.199230812932895E-3</v>
      </c>
      <c r="J305" s="9"/>
      <c r="K305" s="7">
        <v>58.33</v>
      </c>
      <c r="L305" s="8">
        <f>IFERROR(K305/K444, "NA")</f>
        <v>9.910765896954302E-5</v>
      </c>
      <c r="M305" s="9"/>
      <c r="N305" s="10">
        <f t="shared" si="77"/>
        <v>-3.9400000000000048</v>
      </c>
      <c r="O305" s="8">
        <f>IFERROR(N305/N444, "NA")</f>
        <v>-3.2760081790449913E-5</v>
      </c>
      <c r="P305" s="9"/>
      <c r="Q305" s="7">
        <v>997.96</v>
      </c>
      <c r="R305" s="8">
        <f>IFERROR(Q305/Q444, "NA")</f>
        <v>1.5027274165311009E-4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-997.96</v>
      </c>
      <c r="X305" s="8">
        <f>IFERROR(W305/W444, "NA")</f>
        <v>3.0404863071938578E-3</v>
      </c>
      <c r="Y305" s="9"/>
      <c r="Z305" s="7">
        <v>626.19000000000005</v>
      </c>
      <c r="AA305" s="8">
        <f>IFERROR(Z305/Z444, "NA")</f>
        <v>1.0094086626974609E-4</v>
      </c>
      <c r="AB305" s="9"/>
      <c r="AC305" s="10">
        <f t="shared" si="79"/>
        <v>-371.77</v>
      </c>
      <c r="AD305" s="8">
        <f>IFERROR(AC305/AC444, "NA")</f>
        <v>-8.4984071058634219E-4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182.7</v>
      </c>
      <c r="C310" s="8">
        <f>IFERROR(B310/B444, "NA")</f>
        <v>2.5775224439495028E-4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-182.7</v>
      </c>
      <c r="I310" s="8">
        <f>IFERROR(H310/H444, "NA")</f>
        <v>-3.5185397386034989E-3</v>
      </c>
      <c r="J310" s="9"/>
      <c r="K310" s="7">
        <v>260.40000000000003</v>
      </c>
      <c r="L310" s="8">
        <f>IFERROR(K310/K444, "NA")</f>
        <v>4.4244187203272767E-4</v>
      </c>
      <c r="M310" s="9"/>
      <c r="N310" s="10">
        <f t="shared" si="77"/>
        <v>77.700000000000045</v>
      </c>
      <c r="O310" s="8">
        <f>IFERROR(N310/N444, "NA")</f>
        <v>6.4605542008069959E-4</v>
      </c>
      <c r="P310" s="9"/>
      <c r="Q310" s="7">
        <v>3226.18</v>
      </c>
      <c r="R310" s="8">
        <f>IFERROR(Q310/Q444, "NA")</f>
        <v>4.8579794146702337E-4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-3226.18</v>
      </c>
      <c r="X310" s="8">
        <f>IFERROR(W310/W444, "NA")</f>
        <v>9.8292076982471038E-3</v>
      </c>
      <c r="Y310" s="9"/>
      <c r="Z310" s="7">
        <v>2055.6799999999998</v>
      </c>
      <c r="AA310" s="8">
        <f>IFERROR(Z310/Z444, "NA")</f>
        <v>3.3137245879587919E-4</v>
      </c>
      <c r="AB310" s="9"/>
      <c r="AC310" s="10">
        <f t="shared" si="79"/>
        <v>-1170.5</v>
      </c>
      <c r="AD310" s="8">
        <f>IFERROR(AC310/AC444, "NA")</f>
        <v>-2.6756826848355528E-3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2.5219125788671766E-5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5.102615803527469E-4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-3.8284778817279658E-4</v>
      </c>
    </row>
    <row r="312" spans="1:30" ht="16.5" customHeight="1" x14ac:dyDescent="0.45">
      <c r="A312" s="6" t="s">
        <v>284</v>
      </c>
      <c r="B312" s="7">
        <v>2739.74</v>
      </c>
      <c r="C312" s="8">
        <f>IFERROR(B312/B444, "NA")</f>
        <v>3.8652114617330107E-3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-2739.74</v>
      </c>
      <c r="I312" s="8">
        <f>IFERROR(H312/H444, "NA")</f>
        <v>-5.2763459570013951E-2</v>
      </c>
      <c r="J312" s="9"/>
      <c r="K312" s="7">
        <v>1433.9399999999998</v>
      </c>
      <c r="L312" s="8">
        <f>IFERROR(K312/K444, "NA")</f>
        <v>2.4363867050023404E-3</v>
      </c>
      <c r="M312" s="9"/>
      <c r="N312" s="10">
        <f t="shared" si="77"/>
        <v>-1305.8</v>
      </c>
      <c r="O312" s="8">
        <f>IFERROR(N312/N444, "NA")</f>
        <v>-1.0857389543647065E-2</v>
      </c>
      <c r="P312" s="9"/>
      <c r="Q312" s="7">
        <v>21269.41</v>
      </c>
      <c r="R312" s="8">
        <f>IFERROR(Q312/Q444, "NA")</f>
        <v>3.2027461562027298E-3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-21269.41</v>
      </c>
      <c r="X312" s="8">
        <f>IFERROR(W312/W444, "NA")</f>
        <v>6.4801545018930734E-2</v>
      </c>
      <c r="Y312" s="9"/>
      <c r="Z312" s="7">
        <v>5471.2699999999995</v>
      </c>
      <c r="AA312" s="8">
        <f>IFERROR(Z312/Z444, "NA")</f>
        <v>8.819603209819281E-4</v>
      </c>
      <c r="AB312" s="9"/>
      <c r="AC312" s="10">
        <f t="shared" si="79"/>
        <v>-15798.14</v>
      </c>
      <c r="AD312" s="8">
        <f>IFERROR(AC312/AC444, "NA")</f>
        <v>-3.6113464032984141E-2</v>
      </c>
    </row>
    <row r="313" spans="1:30" ht="16.5" customHeight="1" x14ac:dyDescent="0.45">
      <c r="A313" s="6" t="s">
        <v>285</v>
      </c>
      <c r="B313" s="7">
        <v>313</v>
      </c>
      <c r="C313" s="8">
        <f>IFERROR(B313/B444, "NA")</f>
        <v>4.415788313936477E-4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-313</v>
      </c>
      <c r="I313" s="8">
        <f>IFERROR(H313/H444, "NA")</f>
        <v>-6.0279306961296946E-3</v>
      </c>
      <c r="J313" s="9"/>
      <c r="K313" s="7">
        <v>253.05</v>
      </c>
      <c r="L313" s="8">
        <f>IFERROR(K313/K444, "NA")</f>
        <v>4.2995359338664262E-4</v>
      </c>
      <c r="M313" s="9"/>
      <c r="N313" s="10">
        <f t="shared" si="77"/>
        <v>-59.949999999999989</v>
      </c>
      <c r="O313" s="8">
        <f>IFERROR(N313/N444, "NA")</f>
        <v>-4.9846875719225113E-4</v>
      </c>
      <c r="P313" s="9"/>
      <c r="Q313" s="7">
        <v>3697.2799999999997</v>
      </c>
      <c r="R313" s="8">
        <f>IFERROR(Q313/Q444, "NA")</f>
        <v>5.567361439929564E-4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-3697.2799999999997</v>
      </c>
      <c r="X313" s="8">
        <f>IFERROR(W313/W444, "NA")</f>
        <v>1.1264508811837855E-2</v>
      </c>
      <c r="Y313" s="9"/>
      <c r="Z313" s="7">
        <v>515.54999999999995</v>
      </c>
      <c r="AA313" s="8">
        <f>IFERROR(Z313/Z444, "NA")</f>
        <v>8.310586819554383E-5</v>
      </c>
      <c r="AB313" s="9"/>
      <c r="AC313" s="10">
        <f t="shared" si="79"/>
        <v>-3181.7299999999996</v>
      </c>
      <c r="AD313" s="8">
        <f>IFERROR(AC313/AC444, "NA")</f>
        <v>-7.2732164620434199E-3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1735.52</v>
      </c>
      <c r="C315" s="8">
        <f>IFERROR(B315/B444, "NA")</f>
        <v>2.4484629184035253E-3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-1735.52</v>
      </c>
      <c r="I315" s="8">
        <f>IFERROR(H315/H444, "NA")</f>
        <v>-3.3423623903345072E-2</v>
      </c>
      <c r="J315" s="9"/>
      <c r="K315" s="7">
        <v>1249.6300000000001</v>
      </c>
      <c r="L315" s="8">
        <f>IFERROR(K315/K444, "NA")</f>
        <v>2.1232282509533696E-3</v>
      </c>
      <c r="M315" s="9"/>
      <c r="N315" s="10">
        <f t="shared" si="77"/>
        <v>-485.88999999999987</v>
      </c>
      <c r="O315" s="8">
        <f>IFERROR(N315/N444, "NA")</f>
        <v>-4.0400497820207316E-3</v>
      </c>
      <c r="P315" s="9"/>
      <c r="Q315" s="7">
        <v>18422.89</v>
      </c>
      <c r="R315" s="8">
        <f>IFERROR(Q315/Q444, "NA")</f>
        <v>2.7741173889471171E-3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-18422.89</v>
      </c>
      <c r="X315" s="8">
        <f>IFERROR(W315/W444, "NA")</f>
        <v>5.6129048041944213E-2</v>
      </c>
      <c r="Y315" s="9"/>
      <c r="Z315" s="7">
        <v>7948.39</v>
      </c>
      <c r="AA315" s="8">
        <f>IFERROR(Z315/Z444, "NA")</f>
        <v>1.2812682605116451E-3</v>
      </c>
      <c r="AB315" s="9"/>
      <c r="AC315" s="10">
        <f t="shared" si="79"/>
        <v>-10474.5</v>
      </c>
      <c r="AD315" s="8">
        <f>IFERROR(AC315/AC444, "NA")</f>
        <v>-2.394398828048697E-2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2.7597177063479981E-6</v>
      </c>
      <c r="AB316" s="9"/>
      <c r="AC316" s="10">
        <f t="shared" si="79"/>
        <v>17.12</v>
      </c>
      <c r="AD316" s="8">
        <f>IFERROR(AC316/AC444, "NA")</f>
        <v>3.9135145292084296E-5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1.8618966860439827E-3</v>
      </c>
      <c r="D318" s="9"/>
      <c r="E318" s="7">
        <v>3210</v>
      </c>
      <c r="F318" s="8">
        <f>IFERROR(E318/E444, "NA")</f>
        <v>4.8866237823058734E-3</v>
      </c>
      <c r="G318" s="9"/>
      <c r="H318" s="10">
        <f t="shared" si="76"/>
        <v>1890.25</v>
      </c>
      <c r="I318" s="8">
        <f>IFERROR(H318/H444, "NA")</f>
        <v>3.6403501592201772E-2</v>
      </c>
      <c r="J318" s="9"/>
      <c r="K318" s="7">
        <v>1319.75</v>
      </c>
      <c r="L318" s="8">
        <f>IFERROR(K318/K444, "NA")</f>
        <v>2.2423681283225512E-3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14768.880000000001</v>
      </c>
      <c r="R318" s="8">
        <f>IFERROR(Q318/Q444, "NA")</f>
        <v>2.2238968382959083E-3</v>
      </c>
      <c r="S318" s="9"/>
      <c r="T318" s="7">
        <v>35310</v>
      </c>
      <c r="U318" s="8">
        <f>IFERROR(T318/T444, "NA")</f>
        <v>5.0665675301112198E-3</v>
      </c>
      <c r="V318" s="9"/>
      <c r="W318" s="10">
        <f t="shared" si="78"/>
        <v>20541.12</v>
      </c>
      <c r="X318" s="8">
        <f>IFERROR(W318/W444, "NA")</f>
        <v>-6.2582662726387725E-2</v>
      </c>
      <c r="Y318" s="9"/>
      <c r="Z318" s="7">
        <v>14845.36</v>
      </c>
      <c r="AA318" s="8">
        <f>IFERROR(Z318/Z444, "NA")</f>
        <v>2.3930492318405558E-3</v>
      </c>
      <c r="AB318" s="9"/>
      <c r="AC318" s="10">
        <f t="shared" si="79"/>
        <v>76.479999999999563</v>
      </c>
      <c r="AD318" s="8">
        <f>IFERROR(AC318/AC444, "NA")</f>
        <v>1.7482803223940361E-4</v>
      </c>
    </row>
    <row r="319" spans="1:30" ht="16.5" customHeight="1" x14ac:dyDescent="0.45">
      <c r="A319" s="6" t="s">
        <v>291</v>
      </c>
      <c r="B319" s="7">
        <v>1240.17</v>
      </c>
      <c r="C319" s="8">
        <f>IFERROR(B319/B444, "NA")</f>
        <v>1.7496256208608949E-3</v>
      </c>
      <c r="D319" s="9"/>
      <c r="E319" s="7">
        <v>1084</v>
      </c>
      <c r="F319" s="8">
        <f>IFERROR(E319/E444, "NA")</f>
        <v>1.6501869719687122E-3</v>
      </c>
      <c r="G319" s="9"/>
      <c r="H319" s="10">
        <f t="shared" si="76"/>
        <v>-156.17000000000007</v>
      </c>
      <c r="I319" s="8">
        <f>IFERROR(H319/H444, "NA")</f>
        <v>-3.0076100217718044E-3</v>
      </c>
      <c r="J319" s="9"/>
      <c r="K319" s="7">
        <v>1102.02</v>
      </c>
      <c r="L319" s="8">
        <f>IFERROR(K319/K444, "NA")</f>
        <v>1.8724262358583198E-3</v>
      </c>
      <c r="M319" s="9"/>
      <c r="N319" s="10">
        <f t="shared" si="77"/>
        <v>-138.15000000000009</v>
      </c>
      <c r="O319" s="8">
        <f>IFERROR(N319/N444, "NA")</f>
        <v>-1.1486815480585412E-3</v>
      </c>
      <c r="P319" s="9"/>
      <c r="Q319" s="7">
        <v>13406.369999999999</v>
      </c>
      <c r="R319" s="8">
        <f>IFERROR(Q319/Q444, "NA")</f>
        <v>2.0187301850935961E-3</v>
      </c>
      <c r="S319" s="9"/>
      <c r="T319" s="7">
        <v>11924</v>
      </c>
      <c r="U319" s="8">
        <f>IFERROR(T319/T444, "NA")</f>
        <v>1.7109530226294585E-3</v>
      </c>
      <c r="V319" s="9"/>
      <c r="W319" s="10">
        <f t="shared" si="78"/>
        <v>-1482.369999999999</v>
      </c>
      <c r="X319" s="8">
        <f>IFERROR(W319/W444, "NA")</f>
        <v>4.5163390187932945E-3</v>
      </c>
      <c r="Y319" s="9"/>
      <c r="Z319" s="7">
        <v>11724.25</v>
      </c>
      <c r="AA319" s="8">
        <f>IFERROR(Z319/Z444, "NA")</f>
        <v>1.889931093379119E-3</v>
      </c>
      <c r="AB319" s="9"/>
      <c r="AC319" s="10">
        <f t="shared" si="79"/>
        <v>-1682.119999999999</v>
      </c>
      <c r="AD319" s="8">
        <f>IFERROR(AC319/AC444, "NA")</f>
        <v>-3.8452108994579902E-3</v>
      </c>
    </row>
    <row r="320" spans="1:30" ht="16.5" customHeight="1" x14ac:dyDescent="0.45">
      <c r="A320" s="6" t="s">
        <v>292</v>
      </c>
      <c r="B320" s="7">
        <v>5783.8</v>
      </c>
      <c r="C320" s="8">
        <f>IFERROR(B320/B444, "NA")</f>
        <v>8.1597560543596789E-3</v>
      </c>
      <c r="D320" s="9"/>
      <c r="E320" s="7">
        <v>4243</v>
      </c>
      <c r="F320" s="8">
        <f>IFERROR(E320/E444, "NA")</f>
        <v>6.4591728063314079E-3</v>
      </c>
      <c r="G320" s="9"/>
      <c r="H320" s="10">
        <f t="shared" si="76"/>
        <v>-1540.8000000000002</v>
      </c>
      <c r="I320" s="8">
        <f>IFERROR(H320/H444, "NA")</f>
        <v>-2.9673596219158577E-2</v>
      </c>
      <c r="J320" s="9"/>
      <c r="K320" s="7">
        <v>5651.7899999999991</v>
      </c>
      <c r="L320" s="8">
        <f>IFERROR(K320/K444, "NA")</f>
        <v>9.6028746080485759E-3</v>
      </c>
      <c r="M320" s="9"/>
      <c r="N320" s="10">
        <f t="shared" si="77"/>
        <v>-132.01000000000113</v>
      </c>
      <c r="O320" s="8">
        <f>IFERROR(N320/N444, "NA")</f>
        <v>-1.0976290348115036E-3</v>
      </c>
      <c r="P320" s="9"/>
      <c r="Q320" s="7">
        <v>63905.63</v>
      </c>
      <c r="R320" s="8">
        <f>IFERROR(Q320/Q444, "NA")</f>
        <v>9.6229049532739197E-3</v>
      </c>
      <c r="S320" s="9"/>
      <c r="T320" s="7">
        <v>46673</v>
      </c>
      <c r="U320" s="8">
        <f>IFERROR(T320/T444, "NA")</f>
        <v>6.6970236854398454E-3</v>
      </c>
      <c r="V320" s="9"/>
      <c r="W320" s="10">
        <f t="shared" si="78"/>
        <v>-17232.629999999997</v>
      </c>
      <c r="X320" s="8">
        <f>IFERROR(W320/W444, "NA")</f>
        <v>5.2502681021221374E-2</v>
      </c>
      <c r="Y320" s="9"/>
      <c r="Z320" s="7">
        <v>44434.49</v>
      </c>
      <c r="AA320" s="8">
        <f>IFERROR(Z320/Z444, "NA")</f>
        <v>7.1627715435480755E-3</v>
      </c>
      <c r="AB320" s="9"/>
      <c r="AC320" s="10">
        <f t="shared" si="79"/>
        <v>-19471.14</v>
      </c>
      <c r="AD320" s="8">
        <f>IFERROR(AC320/AC444, "NA")</f>
        <v>-4.4509690005987979E-2</v>
      </c>
    </row>
    <row r="321" spans="1:30" ht="16.5" customHeight="1" x14ac:dyDescent="0.45">
      <c r="A321" s="6" t="s">
        <v>293</v>
      </c>
      <c r="B321" s="7">
        <v>5846.5499999999993</v>
      </c>
      <c r="C321" s="8">
        <f>IFERROR(B321/B444, "NA")</f>
        <v>8.2482834398866795E-3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-5846.5499999999993</v>
      </c>
      <c r="I321" s="8">
        <f>IFERROR(H321/H444, "NA")</f>
        <v>-0.11259616041999061</v>
      </c>
      <c r="J321" s="9"/>
      <c r="K321" s="7">
        <v>12726.63</v>
      </c>
      <c r="L321" s="8">
        <f>IFERROR(K321/K444, "NA")</f>
        <v>2.1623632879676929E-2</v>
      </c>
      <c r="M321" s="9"/>
      <c r="N321" s="10">
        <f t="shared" si="77"/>
        <v>6880.08</v>
      </c>
      <c r="O321" s="8">
        <f>IFERROR(N321/N444, "NA")</f>
        <v>5.7206087189045261E-2</v>
      </c>
      <c r="P321" s="9"/>
      <c r="Q321" s="7">
        <v>98554.579999999987</v>
      </c>
      <c r="R321" s="8">
        <f>IFERROR(Q321/Q444, "NA")</f>
        <v>1.4840341235190556E-2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-98554.579999999987</v>
      </c>
      <c r="X321" s="8">
        <f>IFERROR(W321/W444, "NA")</f>
        <v>0.30026639444591124</v>
      </c>
      <c r="Y321" s="9"/>
      <c r="Z321" s="7">
        <v>139228.16</v>
      </c>
      <c r="AA321" s="8">
        <f>IFERROR(Z321/Z444, "NA")</f>
        <v>2.2443365559243696E-2</v>
      </c>
      <c r="AB321" s="9"/>
      <c r="AC321" s="10">
        <f t="shared" si="79"/>
        <v>40673.580000000016</v>
      </c>
      <c r="AD321" s="8">
        <f>IFERROR(AC321/AC444, "NA")</f>
        <v>9.2977013016893373E-2</v>
      </c>
    </row>
    <row r="322" spans="1:30" ht="16.5" customHeight="1" x14ac:dyDescent="0.45">
      <c r="A322" s="6" t="s">
        <v>294</v>
      </c>
      <c r="B322" s="7">
        <v>1470.45</v>
      </c>
      <c r="C322" s="8">
        <f>IFERROR(B322/B444, "NA")</f>
        <v>2.0745034908076334E-3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-1470.45</v>
      </c>
      <c r="I322" s="8">
        <f>IFERROR(H322/H444, "NA")</f>
        <v>-2.831875620486872E-2</v>
      </c>
      <c r="J322" s="9"/>
      <c r="K322" s="7">
        <v>1313.15</v>
      </c>
      <c r="L322" s="8">
        <f>IFERROR(K322/K444, "NA")</f>
        <v>2.2311541638240259E-3</v>
      </c>
      <c r="M322" s="9"/>
      <c r="N322" s="10">
        <f t="shared" si="77"/>
        <v>-157.29999999999995</v>
      </c>
      <c r="O322" s="8">
        <f>IFERROR(N322/N444, "NA")</f>
        <v>-1.3079088491466404E-3</v>
      </c>
      <c r="P322" s="9"/>
      <c r="Q322" s="7">
        <v>18306.84</v>
      </c>
      <c r="R322" s="8">
        <f>IFERROR(Q322/Q444, "NA")</f>
        <v>2.7566425886857409E-3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-18306.84</v>
      </c>
      <c r="X322" s="8">
        <f>IFERROR(W322/W444, "NA")</f>
        <v>5.5775478323769292E-2</v>
      </c>
      <c r="Y322" s="9"/>
      <c r="Z322" s="7">
        <v>14589.6</v>
      </c>
      <c r="AA322" s="8">
        <f>IFERROR(Z322/Z444, "NA")</f>
        <v>2.351821112648058E-3</v>
      </c>
      <c r="AB322" s="9"/>
      <c r="AC322" s="10">
        <f t="shared" si="79"/>
        <v>-3717.24</v>
      </c>
      <c r="AD322" s="8">
        <f>IFERROR(AC322/AC444, "NA")</f>
        <v>-8.4973555774268354E-3</v>
      </c>
    </row>
    <row r="323" spans="1:30" ht="16.5" customHeight="1" x14ac:dyDescent="0.45">
      <c r="A323" s="6" t="s">
        <v>295</v>
      </c>
      <c r="B323" s="7">
        <v>80</v>
      </c>
      <c r="C323" s="8">
        <f>IFERROR(B323/B444, "NA")</f>
        <v>1.1286359907824862E-4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-80</v>
      </c>
      <c r="I323" s="8">
        <f>IFERROR(H323/H444, "NA")</f>
        <v>-1.5406851619500816E-3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-80</v>
      </c>
      <c r="O323" s="8">
        <f>IFERROR(N323/N444, "NA")</f>
        <v>-6.6517932569441361E-4</v>
      </c>
      <c r="P323" s="9"/>
      <c r="Q323" s="7">
        <v>94.25</v>
      </c>
      <c r="R323" s="8">
        <f>IFERROR(Q323/Q444, "NA")</f>
        <v>1.4192157902927598E-5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-94.25</v>
      </c>
      <c r="X323" s="8">
        <f>IFERROR(W323/W444, "NA")</f>
        <v>2.8715162376550271E-4</v>
      </c>
      <c r="Y323" s="9"/>
      <c r="Z323" s="7">
        <v>-32.42</v>
      </c>
      <c r="AA323" s="8">
        <f>IFERROR(Z323/Z444, "NA")</f>
        <v>-5.2260542079323658E-6</v>
      </c>
      <c r="AB323" s="9"/>
      <c r="AC323" s="10">
        <f t="shared" si="79"/>
        <v>-126.67</v>
      </c>
      <c r="AD323" s="8">
        <f>IFERROR(AC323/AC444, "NA")</f>
        <v>-2.8955892839651389E-4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22982.959999999999</v>
      </c>
      <c r="C324" s="15">
        <f>IFERROR(B324/B444, "NA")</f>
        <v>3.2424244788392807E-2</v>
      </c>
      <c r="D324" s="2"/>
      <c r="E324" s="14">
        <f>IFERROR(E297+E298+E299+E300+E301+E302+E303+E304+E305+E306+E307+E308+E309+E310+E311+E312+E313+E314+E315+E316+E317+E318+E319+E320+E321+E322+E323, "NA")</f>
        <v>17076.650000000001</v>
      </c>
      <c r="F324" s="15">
        <f>IFERROR(E324/E444, "NA")</f>
        <v>2.5996001249879625E-2</v>
      </c>
      <c r="G324" s="2"/>
      <c r="H324" s="14">
        <f t="shared" si="76"/>
        <v>-5906.3099999999977</v>
      </c>
      <c r="I324" s="15">
        <f>IFERROR(H324/H444, "NA")</f>
        <v>-0.11374705223596729</v>
      </c>
      <c r="J324" s="2"/>
      <c r="K324" s="14">
        <f>IFERROR(K297+K298+K299+K300+K301+K302+K303+K304+K305+K306+K307+K308+K309+K310+K311+K312+K313+K314+K315+K316+K317+K318+K319+K320+K321+K322+K323, "NA")</f>
        <v>28061.82</v>
      </c>
      <c r="L324" s="15">
        <f>IFERROR(K324/K444, "NA")</f>
        <v>4.7679432309698296E-2</v>
      </c>
      <c r="M324" s="2"/>
      <c r="N324" s="14">
        <f t="shared" si="77"/>
        <v>5078.8600000000006</v>
      </c>
      <c r="O324" s="15">
        <f>IFERROR(N324/N444, "NA")</f>
        <v>4.2229408376204119E-2</v>
      </c>
      <c r="P324" s="2"/>
      <c r="Q324" s="14">
        <f>IFERROR(Q297+Q298+Q299+Q300+Q301+Q302+Q303+Q304+Q305+Q306+Q307+Q308+Q309+Q310+Q311+Q312+Q313+Q314+Q315+Q316+Q317+Q318+Q319+Q320+Q321+Q322+Q323, "NA")</f>
        <v>284836.86000000004</v>
      </c>
      <c r="R324" s="15">
        <f>IFERROR(Q324/Q444, "NA")</f>
        <v>4.2890712930441194E-2</v>
      </c>
      <c r="S324" s="2"/>
      <c r="T324" s="14">
        <f>IFERROR(T297+T298+T299+T300+T301+T302+T303+T304+T305+T306+T307+T308+T309+T310+T311+T312+T313+T314+T315+T316+T317+T318+T319+T320+T321+T322+T323, "NA")</f>
        <v>184506.82</v>
      </c>
      <c r="U324" s="15">
        <f>IFERROR(T324/T444, "NA")</f>
        <v>2.6474547247127597E-2</v>
      </c>
      <c r="V324" s="2"/>
      <c r="W324" s="14">
        <f t="shared" si="78"/>
        <v>-100330.04000000004</v>
      </c>
      <c r="X324" s="15">
        <f>IFERROR(W324/W444, "NA")</f>
        <v>0.30567569123032201</v>
      </c>
      <c r="Y324" s="2"/>
      <c r="Z324" s="14">
        <f>IFERROR(Z297+Z298+Z299+Z300+Z301+Z302+Z303+Z304+Z305+Z306+Z307+Z308+Z309+Z310+Z311+Z312+Z313+Z314+Z315+Z316+Z317+Z318+Z319+Z320+Z321+Z322+Z323, "NA")</f>
        <v>259509.39</v>
      </c>
      <c r="AA324" s="15">
        <f>IFERROR(Z324/Z444, "NA")</f>
        <v>4.1832515102019165E-2</v>
      </c>
      <c r="AB324" s="2"/>
      <c r="AC324" s="14">
        <f t="shared" si="79"/>
        <v>-25327.47000000003</v>
      </c>
      <c r="AD324" s="15">
        <f>IFERROR(AC324/AC444, "NA")</f>
        <v>-5.7896858547366085E-2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145998.51000000004</v>
      </c>
      <c r="C325" s="15">
        <f>IFERROR(B325/B444, "NA")</f>
        <v>0.20597396623327094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140705.12</v>
      </c>
      <c r="F325" s="15">
        <f>IFERROR(E325/E444, "NA")</f>
        <v>0.214197191801932</v>
      </c>
      <c r="G325" s="2"/>
      <c r="H325" s="14">
        <f t="shared" si="76"/>
        <v>-5293.3900000000431</v>
      </c>
      <c r="I325" s="15">
        <f>IFERROR(H325/H444, "NA")</f>
        <v>-0.10194309286768762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155359.76999999999</v>
      </c>
      <c r="L325" s="15">
        <f>IFERROR(K325/K444, "NA")</f>
        <v>0.26396953716349458</v>
      </c>
      <c r="M325" s="2"/>
      <c r="N325" s="14">
        <f t="shared" si="77"/>
        <v>9361.2599999999511</v>
      </c>
      <c r="O325" s="15">
        <f>IFERROR(N325/N444, "NA")</f>
        <v>7.7836457680625665E-2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1650438.8199999998</v>
      </c>
      <c r="R325" s="15">
        <f>IFERROR(Q325/Q444, "NA")</f>
        <v>0.24852295323672674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1495920.6199999999</v>
      </c>
      <c r="U325" s="15">
        <f>IFERROR(T325/T444, "NA")</f>
        <v>0.21464692271072908</v>
      </c>
      <c r="V325" s="2"/>
      <c r="W325" s="14">
        <f t="shared" si="78"/>
        <v>-154518.19999999995</v>
      </c>
      <c r="X325" s="15">
        <f>IFERROR(W325/W444, "NA")</f>
        <v>0.47077084383366247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1492049.61</v>
      </c>
      <c r="AA325" s="15">
        <f>IFERROR(Z325/Z444, "NA")</f>
        <v>0.24051610557632158</v>
      </c>
      <c r="AB325" s="2"/>
      <c r="AC325" s="14">
        <f t="shared" si="79"/>
        <v>-158389.20999999973</v>
      </c>
      <c r="AD325" s="15">
        <f>IFERROR(AC325/AC444, "NA")</f>
        <v>-0.36206686600750232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59761.599999999999</v>
      </c>
      <c r="C329" s="8">
        <f>IFERROR(B329/B444, "NA")</f>
        <v>8.4311365783433276E-2</v>
      </c>
      <c r="D329" s="9"/>
      <c r="E329" s="7">
        <v>55158.91</v>
      </c>
      <c r="F329" s="8">
        <f>IFERROR(E329/E444, "NA")</f>
        <v>8.3969109474164874E-2</v>
      </c>
      <c r="G329" s="9"/>
      <c r="H329" s="10">
        <f t="shared" si="80"/>
        <v>-4602.6899999999951</v>
      </c>
      <c r="I329" s="8">
        <f>IFERROR(H329/H444, "NA")</f>
        <v>-8.8641202350700166E-2</v>
      </c>
      <c r="J329" s="9"/>
      <c r="K329" s="7">
        <v>53046.68</v>
      </c>
      <c r="L329" s="8">
        <f>IFERROR(K329/K444, "NA")</f>
        <v>9.0130846406762874E-2</v>
      </c>
      <c r="M329" s="9"/>
      <c r="N329" s="10">
        <f t="shared" si="81"/>
        <v>-6714.9199999999983</v>
      </c>
      <c r="O329" s="8">
        <f>IFERROR(N329/N444, "NA")</f>
        <v>-5.583282447114913E-2</v>
      </c>
      <c r="P329" s="9"/>
      <c r="Q329" s="7">
        <v>632442.82000000007</v>
      </c>
      <c r="R329" s="8">
        <f>IFERROR(Q329/Q444, "NA")</f>
        <v>9.5233192212337586E-2</v>
      </c>
      <c r="S329" s="9"/>
      <c r="T329" s="7">
        <v>626580.43999999994</v>
      </c>
      <c r="U329" s="8">
        <f>IFERROR(T329/T444, "NA")</f>
        <v>8.9906885083738342E-2</v>
      </c>
      <c r="V329" s="9"/>
      <c r="W329" s="10">
        <f t="shared" si="82"/>
        <v>-5862.3800000001211</v>
      </c>
      <c r="X329" s="8">
        <f>IFERROR(W329/W444, "NA")</f>
        <v>1.7860922399261989E-2</v>
      </c>
      <c r="Y329" s="9"/>
      <c r="Z329" s="7">
        <v>577877.30999999994</v>
      </c>
      <c r="AA329" s="8">
        <f>IFERROR(Z329/Z444, "NA")</f>
        <v>9.3152934842508806E-2</v>
      </c>
      <c r="AB329" s="9"/>
      <c r="AC329" s="10">
        <f t="shared" si="83"/>
        <v>-54565.510000000126</v>
      </c>
      <c r="AD329" s="8">
        <f>IFERROR(AC329/AC444, "NA")</f>
        <v>-0.12473301178660534</v>
      </c>
    </row>
    <row r="330" spans="1:30" ht="16.5" customHeight="1" x14ac:dyDescent="0.45">
      <c r="A330" s="6" t="s">
        <v>301</v>
      </c>
      <c r="B330" s="7">
        <v>8039.1900000000005</v>
      </c>
      <c r="C330" s="8">
        <f>IFERROR(B330/B444, "NA")</f>
        <v>1.134164896342332E-2</v>
      </c>
      <c r="D330" s="9"/>
      <c r="E330" s="7">
        <v>6065</v>
      </c>
      <c r="F330" s="8">
        <f>IFERROR(E330/E444, "NA")</f>
        <v>9.2328265544190415E-3</v>
      </c>
      <c r="G330" s="9"/>
      <c r="H330" s="10">
        <f t="shared" si="80"/>
        <v>-1974.1900000000005</v>
      </c>
      <c r="I330" s="8">
        <f>IFERROR(H330/H444, "NA")</f>
        <v>-3.8020065498377907E-2</v>
      </c>
      <c r="J330" s="9"/>
      <c r="K330" s="7">
        <v>6529.22</v>
      </c>
      <c r="L330" s="8">
        <f>IFERROR(K330/K444, "NA")</f>
        <v>1.1093703224706321E-2</v>
      </c>
      <c r="M330" s="9"/>
      <c r="N330" s="10">
        <f t="shared" si="81"/>
        <v>-1509.9700000000003</v>
      </c>
      <c r="O330" s="8">
        <f>IFERROR(N330/N444, "NA")</f>
        <v>-1.2555010330234923E-2</v>
      </c>
      <c r="P330" s="9"/>
      <c r="Q330" s="7">
        <v>70910.040000000008</v>
      </c>
      <c r="R330" s="8">
        <f>IFERROR(Q330/Q444, "NA")</f>
        <v>1.0677628483638325E-2</v>
      </c>
      <c r="S330" s="9"/>
      <c r="T330" s="7">
        <v>66715</v>
      </c>
      <c r="U330" s="8">
        <f>IFERROR(T330/T444, "NA")</f>
        <v>9.5728137290107627E-3</v>
      </c>
      <c r="V330" s="9"/>
      <c r="W330" s="10">
        <f t="shared" si="82"/>
        <v>-4195.0400000000081</v>
      </c>
      <c r="X330" s="8">
        <f>IFERROR(W330/W444, "NA")</f>
        <v>1.2781034989509145E-2</v>
      </c>
      <c r="Y330" s="9"/>
      <c r="Z330" s="7">
        <v>67037.63</v>
      </c>
      <c r="AA330" s="8">
        <f>IFERROR(Z330/Z444, "NA")</f>
        <v>1.0806362996647532E-2</v>
      </c>
      <c r="AB330" s="9"/>
      <c r="AC330" s="10">
        <f t="shared" si="83"/>
        <v>-3872.4100000000035</v>
      </c>
      <c r="AD330" s="8">
        <f>IFERROR(AC330/AC444, "NA")</f>
        <v>-8.8520635502640343E-3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2.7533074995138751E-4</v>
      </c>
      <c r="D332" s="9"/>
      <c r="E332" s="7">
        <v>195</v>
      </c>
      <c r="F332" s="8">
        <f>IFERROR(E332/E444, "NA")</f>
        <v>2.9685097742979604E-4</v>
      </c>
      <c r="G332" s="9"/>
      <c r="H332" s="10">
        <f t="shared" si="80"/>
        <v>-0.15999999999999659</v>
      </c>
      <c r="I332" s="8">
        <f>IFERROR(H332/H444, "NA")</f>
        <v>-3.0813703239000977E-6</v>
      </c>
      <c r="J332" s="9"/>
      <c r="K332" s="7">
        <v>195.16</v>
      </c>
      <c r="L332" s="8">
        <f>IFERROR(K332/K444, "NA")</f>
        <v>3.315935320503346E-4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3442</v>
      </c>
      <c r="R332" s="8">
        <f>IFERROR(Q332/Q444, "NA")</f>
        <v>5.1829610081566887E-4</v>
      </c>
      <c r="S332" s="9"/>
      <c r="T332" s="7">
        <v>2145</v>
      </c>
      <c r="U332" s="8">
        <f>IFERROR(T332/T444, "NA")</f>
        <v>3.0778213967965352E-4</v>
      </c>
      <c r="V332" s="9"/>
      <c r="W332" s="10">
        <f t="shared" si="82"/>
        <v>-1297</v>
      </c>
      <c r="X332" s="8">
        <f>IFERROR(W332/W444, "NA")</f>
        <v>3.9515719472027269E-3</v>
      </c>
      <c r="Y332" s="9"/>
      <c r="Z332" s="7">
        <v>2146.7600000000002</v>
      </c>
      <c r="AA332" s="8">
        <f>IFERROR(Z332/Z444, "NA")</f>
        <v>3.4605441491119328E-4</v>
      </c>
      <c r="AB332" s="9"/>
      <c r="AC332" s="10">
        <f t="shared" si="83"/>
        <v>-1295.2399999999998</v>
      </c>
      <c r="AD332" s="8">
        <f>IFERROR(AC332/AC444, "NA")</f>
        <v>-2.9608297656611715E-3</v>
      </c>
    </row>
    <row r="333" spans="1:30" ht="16.5" customHeight="1" x14ac:dyDescent="0.45">
      <c r="A333" s="6" t="s">
        <v>304</v>
      </c>
      <c r="B333" s="7">
        <v>5618.9000000000005</v>
      </c>
      <c r="C333" s="8">
        <f>IFERROR(B333/B444, "NA")</f>
        <v>7.9271159607596405E-3</v>
      </c>
      <c r="D333" s="9"/>
      <c r="E333" s="7">
        <v>5155</v>
      </c>
      <c r="F333" s="8">
        <f>IFERROR(E333/E444, "NA")</f>
        <v>7.8475219930799929E-3</v>
      </c>
      <c r="G333" s="9"/>
      <c r="H333" s="10">
        <f t="shared" si="80"/>
        <v>-463.90000000000055</v>
      </c>
      <c r="I333" s="8">
        <f>IFERROR(H333/H444, "NA")</f>
        <v>-8.9340480828580468E-3</v>
      </c>
      <c r="J333" s="9"/>
      <c r="K333" s="7">
        <v>5558.9100000000008</v>
      </c>
      <c r="L333" s="8">
        <f>IFERROR(K333/K444, "NA")</f>
        <v>9.4450635440147864E-3</v>
      </c>
      <c r="M333" s="9"/>
      <c r="N333" s="10">
        <f t="shared" si="81"/>
        <v>-59.989999999999782</v>
      </c>
      <c r="O333" s="8">
        <f>IFERROR(N333/N444, "NA")</f>
        <v>-4.9880134685509662E-4</v>
      </c>
      <c r="P333" s="9"/>
      <c r="Q333" s="7">
        <v>61697.450000000004</v>
      </c>
      <c r="R333" s="8">
        <f>IFERROR(Q333/Q444, "NA")</f>
        <v>9.2903973751509855E-3</v>
      </c>
      <c r="S333" s="9"/>
      <c r="T333" s="7">
        <v>56705</v>
      </c>
      <c r="U333" s="8">
        <f>IFERROR(T333/T444, "NA")</f>
        <v>8.1364970771723791E-3</v>
      </c>
      <c r="V333" s="9"/>
      <c r="W333" s="10">
        <f t="shared" si="82"/>
        <v>-4992.4500000000044</v>
      </c>
      <c r="X333" s="8">
        <f>IFERROR(W333/W444, "NA")</f>
        <v>1.5210505295152098E-2</v>
      </c>
      <c r="Y333" s="9"/>
      <c r="Z333" s="7">
        <v>58280.010000000009</v>
      </c>
      <c r="AA333" s="8">
        <f>IFERROR(Z333/Z444, "NA")</f>
        <v>9.3946481029870566E-3</v>
      </c>
      <c r="AB333" s="9"/>
      <c r="AC333" s="10">
        <f t="shared" si="83"/>
        <v>-3417.4399999999951</v>
      </c>
      <c r="AD333" s="8">
        <f>IFERROR(AC333/AC444, "NA")</f>
        <v>-7.8120333485385725E-3</v>
      </c>
    </row>
    <row r="334" spans="1:30" ht="16.5" customHeight="1" x14ac:dyDescent="0.45">
      <c r="A334" s="6" t="s">
        <v>305</v>
      </c>
      <c r="B334" s="7">
        <v>-4601.6499999999996</v>
      </c>
      <c r="C334" s="8">
        <f>IFERROR(B334/B444, "NA")</f>
        <v>-6.4919847587302836E-3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4601.6499999999996</v>
      </c>
      <c r="I334" s="8">
        <f>IFERROR(H334/H444, "NA")</f>
        <v>8.8621173443594908E-2</v>
      </c>
      <c r="J334" s="9"/>
      <c r="K334" s="7">
        <v>-4047.84</v>
      </c>
      <c r="L334" s="8">
        <f>IFERROR(K334/K444, "NA")</f>
        <v>-6.8776263720774049E-3</v>
      </c>
      <c r="M334" s="9"/>
      <c r="N334" s="10">
        <f t="shared" si="81"/>
        <v>553.80999999999949</v>
      </c>
      <c r="O334" s="8">
        <f>IFERROR(N334/N444, "NA")</f>
        <v>4.6047870295352856E-3</v>
      </c>
      <c r="P334" s="9"/>
      <c r="Q334" s="7">
        <v>-9203.2999999999993</v>
      </c>
      <c r="R334" s="8">
        <f>IFERROR(Q334/Q444, "NA")</f>
        <v>-1.3858322209868812E-3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9203.2999999999993</v>
      </c>
      <c r="X334" s="8">
        <f>IFERROR(W334/W444, "NA")</f>
        <v>-2.8039708636615927E-2</v>
      </c>
      <c r="Y334" s="9"/>
      <c r="Z334" s="7">
        <v>-8095.68</v>
      </c>
      <c r="AA334" s="8">
        <f>IFERROR(Z334/Z444, "NA")</f>
        <v>-1.3050111822971589E-3</v>
      </c>
      <c r="AB334" s="9"/>
      <c r="AC334" s="10">
        <f t="shared" si="83"/>
        <v>1107.619999999999</v>
      </c>
      <c r="AD334" s="8">
        <f>IFERROR(AC334/AC444, "NA")</f>
        <v>2.5319433194169608E-3</v>
      </c>
    </row>
    <row r="335" spans="1:30" ht="16.5" customHeight="1" x14ac:dyDescent="0.45">
      <c r="A335" s="6" t="s">
        <v>306</v>
      </c>
      <c r="B335" s="7">
        <v>844.37</v>
      </c>
      <c r="C335" s="8">
        <f>IFERROR(B335/B444, "NA")</f>
        <v>1.1912329644212598E-3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-844.37</v>
      </c>
      <c r="I335" s="8">
        <f>IFERROR(H335/H444, "NA")</f>
        <v>-1.6261354127447381E-2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-844.37</v>
      </c>
      <c r="O335" s="8">
        <f>IFERROR(N335/N444, "NA")</f>
        <v>-7.0207183404574006E-3</v>
      </c>
      <c r="P335" s="9"/>
      <c r="Q335" s="7">
        <v>4153.99</v>
      </c>
      <c r="R335" s="8">
        <f>IFERROR(Q335/Q444, "NA")</f>
        <v>6.2550750140246379E-4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-4153.99</v>
      </c>
      <c r="X335" s="8">
        <f>IFERROR(W335/W444, "NA")</f>
        <v>1.2655967889715231E-2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-4153.99</v>
      </c>
      <c r="AD335" s="8">
        <f>IFERROR(AC335/AC444, "NA")</f>
        <v>-9.4957361093379218E-3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15678.309999999998</v>
      </c>
      <c r="F337" s="8">
        <f>IFERROR(E337/E444, "NA")</f>
        <v>2.3867290502294077E-2</v>
      </c>
      <c r="G337" s="9"/>
      <c r="H337" s="10">
        <f t="shared" ref="H337:H344" si="84">IFERROR(-(B337-E337), "NA")</f>
        <v>15678.309999999998</v>
      </c>
      <c r="I337" s="8">
        <f>IFERROR(H337/H444, "NA")</f>
        <v>0.30194174476816976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172016.91</v>
      </c>
      <c r="U337" s="8">
        <f>IFERROR(T337/T444, "NA")</f>
        <v>2.4682392830248201E-2</v>
      </c>
      <c r="V337" s="9"/>
      <c r="W337" s="10">
        <f t="shared" ref="W337:W344" si="86">IFERROR(-(Q337-T337), "NA")</f>
        <v>172016.91</v>
      </c>
      <c r="X337" s="8">
        <f>IFERROR(W337/W444, "NA")</f>
        <v>-0.52408419121086836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8254.369999999999</v>
      </c>
      <c r="C338" s="8">
        <f>IFERROR(B338/B444, "NA")</f>
        <v>1.1645223829044036E-2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-8254.369999999999</v>
      </c>
      <c r="I338" s="8">
        <f>IFERROR(H338/H444, "NA")</f>
        <v>-0.15896731725307367</v>
      </c>
      <c r="J338" s="9"/>
      <c r="K338" s="7">
        <v>7612.96</v>
      </c>
      <c r="L338" s="8">
        <f>IFERROR(K338/K444, "NA")</f>
        <v>1.2935070177074785E-2</v>
      </c>
      <c r="M338" s="9"/>
      <c r="N338" s="10">
        <f t="shared" si="85"/>
        <v>-641.40999999999894</v>
      </c>
      <c r="O338" s="8">
        <f>IFERROR(N338/N444, "NA")</f>
        <v>-5.3331583911706637E-3</v>
      </c>
      <c r="P338" s="9"/>
      <c r="Q338" s="7">
        <v>109435.83</v>
      </c>
      <c r="R338" s="8">
        <f>IFERROR(Q338/Q444, "NA")</f>
        <v>1.6478839040826962E-2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-109435.83</v>
      </c>
      <c r="X338" s="8">
        <f>IFERROR(W338/W444, "NA")</f>
        <v>0.33341831599602673</v>
      </c>
      <c r="Y338" s="9"/>
      <c r="Z338" s="7">
        <v>93233.32</v>
      </c>
      <c r="AA338" s="8">
        <f>IFERROR(Z338/Z444, "NA")</f>
        <v>1.5029067992150055E-2</v>
      </c>
      <c r="AB338" s="9"/>
      <c r="AC338" s="10">
        <f t="shared" si="87"/>
        <v>-16202.509999999995</v>
      </c>
      <c r="AD338" s="8">
        <f>IFERROR(AC338/AC444, "NA")</f>
        <v>-3.7037826106685073E-2</v>
      </c>
    </row>
    <row r="339" spans="1:30" ht="16.5" customHeight="1" x14ac:dyDescent="0.45">
      <c r="A339" s="12" t="s">
        <v>309</v>
      </c>
      <c r="B339" s="7">
        <v>2339.8000000000002</v>
      </c>
      <c r="C339" s="8">
        <f>IFERROR(B339/B444, "NA")</f>
        <v>3.3009781140410765E-3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-2339.8000000000002</v>
      </c>
      <c r="I339" s="8">
        <f>IFERROR(H339/H444, "NA")</f>
        <v>-4.5061189274135015E-2</v>
      </c>
      <c r="J339" s="9"/>
      <c r="K339" s="7">
        <v>2356.0099999999998</v>
      </c>
      <c r="L339" s="8">
        <f>IFERROR(K339/K444, "NA")</f>
        <v>4.003062499722836E-3</v>
      </c>
      <c r="M339" s="9"/>
      <c r="N339" s="10">
        <f t="shared" si="85"/>
        <v>16.209999999999582</v>
      </c>
      <c r="O339" s="8">
        <f>IFERROR(N339/N444, "NA")</f>
        <v>1.3478196086882707E-4</v>
      </c>
      <c r="P339" s="9"/>
      <c r="Q339" s="7">
        <v>24593.300000000003</v>
      </c>
      <c r="R339" s="8">
        <f>IFERROR(Q339/Q444, "NA")</f>
        <v>3.7032572621121412E-3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-24593.300000000003</v>
      </c>
      <c r="X339" s="8">
        <f>IFERROR(W339/W444, "NA")</f>
        <v>7.4928445928404655E-2</v>
      </c>
      <c r="Y339" s="9"/>
      <c r="Z339" s="7">
        <v>24225.059999999998</v>
      </c>
      <c r="AA339" s="8">
        <f>IFERROR(Z339/Z444, "NA")</f>
        <v>3.9050424660830975E-3</v>
      </c>
      <c r="AB339" s="9"/>
      <c r="AC339" s="10">
        <f t="shared" si="87"/>
        <v>-368.24000000000524</v>
      </c>
      <c r="AD339" s="8">
        <f>IFERROR(AC339/AC444, "NA")</f>
        <v>-8.4177137280124566E-4</v>
      </c>
    </row>
    <row r="340" spans="1:30" ht="16.5" customHeight="1" x14ac:dyDescent="0.45">
      <c r="A340" s="12" t="s">
        <v>310</v>
      </c>
      <c r="B340" s="7">
        <v>3772.91</v>
      </c>
      <c r="C340" s="8">
        <f>IFERROR(B340/B444, "NA")</f>
        <v>5.3228025199789373E-3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-3772.91</v>
      </c>
      <c r="I340" s="8">
        <f>IFERROR(H340/H444, "NA")</f>
        <v>-7.2660830679663529E-2</v>
      </c>
      <c r="J340" s="9"/>
      <c r="K340" s="7">
        <v>2369.9</v>
      </c>
      <c r="L340" s="8">
        <f>IFERROR(K340/K444, "NA")</f>
        <v>4.0266627977356426E-3</v>
      </c>
      <c r="M340" s="9"/>
      <c r="N340" s="10">
        <f t="shared" si="85"/>
        <v>-1403.0099999999998</v>
      </c>
      <c r="O340" s="8">
        <f>IFERROR(N340/N444, "NA")</f>
        <v>-1.1665665571781489E-2</v>
      </c>
      <c r="P340" s="9"/>
      <c r="Q340" s="7">
        <v>36987.32</v>
      </c>
      <c r="R340" s="8">
        <f>IFERROR(Q340/Q444, "NA")</f>
        <v>5.5695478604362017E-3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-36987.32</v>
      </c>
      <c r="X340" s="8">
        <f>IFERROR(W340/W444, "NA")</f>
        <v>0.11268932622529712</v>
      </c>
      <c r="Y340" s="9"/>
      <c r="Z340" s="7">
        <v>26961.299999999996</v>
      </c>
      <c r="AA340" s="8">
        <f>IFERROR(Z340/Z444, "NA")</f>
        <v>4.3461201516448757E-3</v>
      </c>
      <c r="AB340" s="9"/>
      <c r="AC340" s="10">
        <f t="shared" si="87"/>
        <v>-10026.020000000004</v>
      </c>
      <c r="AD340" s="8">
        <f>IFERROR(AC340/AC444, "NA")</f>
        <v>-2.2918793773442941E-2</v>
      </c>
    </row>
    <row r="341" spans="1:30" ht="16.5" customHeight="1" x14ac:dyDescent="0.45">
      <c r="A341" s="12" t="s">
        <v>311</v>
      </c>
      <c r="B341" s="7">
        <v>1884.5900000000001</v>
      </c>
      <c r="C341" s="8">
        <f>IFERROR(B341/B444, "NA")</f>
        <v>2.6587701273359573E-3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-1884.5900000000001</v>
      </c>
      <c r="I341" s="8">
        <f>IFERROR(H341/H444, "NA")</f>
        <v>-3.6294498116993805E-2</v>
      </c>
      <c r="J341" s="9"/>
      <c r="K341" s="7">
        <v>1787.6999999999998</v>
      </c>
      <c r="L341" s="8">
        <f>IFERROR(K341/K444, "NA")</f>
        <v>3.0374552021232991E-3</v>
      </c>
      <c r="M341" s="9"/>
      <c r="N341" s="10">
        <f t="shared" si="85"/>
        <v>-96.890000000000327</v>
      </c>
      <c r="O341" s="8">
        <f>IFERROR(N341/N444, "NA")</f>
        <v>-8.0561531083164935E-4</v>
      </c>
      <c r="P341" s="9"/>
      <c r="Q341" s="7">
        <v>20683.11</v>
      </c>
      <c r="R341" s="8">
        <f>IFERROR(Q341/Q444, "NA")</f>
        <v>3.1144611463514147E-3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-20683.11</v>
      </c>
      <c r="X341" s="8">
        <f>IFERROR(W341/W444, "NA")</f>
        <v>6.3015263883506714E-2</v>
      </c>
      <c r="Y341" s="9"/>
      <c r="Z341" s="7">
        <v>19398.739999999998</v>
      </c>
      <c r="AA341" s="8">
        <f>IFERROR(Z341/Z444, "NA")</f>
        <v>3.1270470945584787E-3</v>
      </c>
      <c r="AB341" s="9"/>
      <c r="AC341" s="10">
        <f t="shared" si="87"/>
        <v>-1284.3700000000026</v>
      </c>
      <c r="AD341" s="8">
        <f>IFERROR(AC341/AC444, "NA")</f>
        <v>-2.935981691518365E-3</v>
      </c>
    </row>
    <row r="342" spans="1:30" ht="16.5" customHeight="1" x14ac:dyDescent="0.45">
      <c r="A342" s="13" t="s">
        <v>312</v>
      </c>
      <c r="B342" s="14">
        <f>IFERROR(B337+B338+B339+B340+B341, "NA")</f>
        <v>16251.669999999998</v>
      </c>
      <c r="C342" s="15">
        <f>IFERROR(B342/B444, "NA")</f>
        <v>2.2927774590400005E-2</v>
      </c>
      <c r="D342" s="2"/>
      <c r="E342" s="14">
        <f>IFERROR(E337+E338+E339+E340+E341, "NA")</f>
        <v>15678.309999999998</v>
      </c>
      <c r="F342" s="15">
        <f>IFERROR(E342/E444, "NA")</f>
        <v>2.3867290502294077E-2</v>
      </c>
      <c r="G342" s="2"/>
      <c r="H342" s="14">
        <f t="shared" si="84"/>
        <v>-573.36000000000058</v>
      </c>
      <c r="I342" s="15">
        <f>IFERROR(H342/H444, "NA")</f>
        <v>-1.1042090555696247E-2</v>
      </c>
      <c r="J342" s="2"/>
      <c r="K342" s="14">
        <f>IFERROR(K337+K338+K339+K340+K341, "NA")</f>
        <v>14126.57</v>
      </c>
      <c r="L342" s="15">
        <f>IFERROR(K342/K444, "NA")</f>
        <v>2.4002250676656563E-2</v>
      </c>
      <c r="M342" s="2"/>
      <c r="N342" s="14">
        <f t="shared" si="85"/>
        <v>-2125.0999999999985</v>
      </c>
      <c r="O342" s="15">
        <f>IFERROR(N342/N444, "NA")</f>
        <v>-1.7669657312914967E-2</v>
      </c>
      <c r="P342" s="2"/>
      <c r="Q342" s="14">
        <f>IFERROR(Q337+Q338+Q339+Q340+Q341, "NA")</f>
        <v>191699.56</v>
      </c>
      <c r="R342" s="15">
        <f>IFERROR(Q342/Q444, "NA")</f>
        <v>2.8866105309726716E-2</v>
      </c>
      <c r="S342" s="2"/>
      <c r="T342" s="14">
        <f>IFERROR(T337+T338+T339+T340+T341, "NA")</f>
        <v>172016.91</v>
      </c>
      <c r="U342" s="15">
        <f>IFERROR(T342/T444, "NA")</f>
        <v>2.4682392830248201E-2</v>
      </c>
      <c r="V342" s="2"/>
      <c r="W342" s="14">
        <f t="shared" si="86"/>
        <v>-19682.649999999994</v>
      </c>
      <c r="X342" s="15">
        <f>IFERROR(W342/W444, "NA")</f>
        <v>5.9967160822366798E-2</v>
      </c>
      <c r="Y342" s="2"/>
      <c r="Z342" s="14">
        <f>IFERROR(Z337+Z338+Z339+Z340+Z341, "NA")</f>
        <v>163818.41999999998</v>
      </c>
      <c r="AA342" s="15">
        <f>IFERROR(Z342/Z444, "NA")</f>
        <v>2.6407277704436505E-2</v>
      </c>
      <c r="AB342" s="2"/>
      <c r="AC342" s="14">
        <f t="shared" si="87"/>
        <v>-27881.140000000014</v>
      </c>
      <c r="AD342" s="15">
        <f>IFERROR(AC342/AC444, "NA")</f>
        <v>-6.3734372944447643E-2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86109.239999999991</v>
      </c>
      <c r="C343" s="15">
        <f>IFERROR(B343/B444, "NA")</f>
        <v>0.1214824842536586</v>
      </c>
      <c r="D343" s="2"/>
      <c r="E343" s="14">
        <f>IFERROR(E328+E329+E330+E331+E332+E333+E334+E335+E337+E338+E339+E340+E341, "NA")</f>
        <v>82252.22</v>
      </c>
      <c r="F343" s="15">
        <f>IFERROR(E343/E444, "NA")</f>
        <v>0.12521359950138777</v>
      </c>
      <c r="G343" s="2"/>
      <c r="H343" s="14">
        <f t="shared" si="84"/>
        <v>-3857.0199999999895</v>
      </c>
      <c r="I343" s="15">
        <f>IFERROR(H343/H444, "NA")</f>
        <v>-7.4280668541808592E-2</v>
      </c>
      <c r="J343" s="2"/>
      <c r="K343" s="14">
        <f>IFERROR(K328+K329+K330+K331+K332+K333+K334+K335+K337+K338+K339+K340+K341, "NA")</f>
        <v>75408.7</v>
      </c>
      <c r="L343" s="15">
        <f>IFERROR(K343/K444, "NA")</f>
        <v>0.12812583101211347</v>
      </c>
      <c r="M343" s="2"/>
      <c r="N343" s="14">
        <f t="shared" si="85"/>
        <v>-10700.539999999994</v>
      </c>
      <c r="O343" s="15">
        <f>IFERROR(N343/N444, "NA")</f>
        <v>-8.8972224772076197E-2</v>
      </c>
      <c r="P343" s="2"/>
      <c r="Q343" s="14">
        <f>IFERROR(Q328+Q329+Q330+Q331+Q332+Q333+Q334+Q335+Q337+Q338+Q339+Q340+Q341, "NA")</f>
        <v>955142.55999999994</v>
      </c>
      <c r="R343" s="15">
        <f>IFERROR(Q343/Q444, "NA")</f>
        <v>0.14382529476208483</v>
      </c>
      <c r="S343" s="2"/>
      <c r="T343" s="14">
        <f>IFERROR(T328+T329+T330+T331+T332+T333+T334+T335+T337+T338+T339+T340+T341, "NA")</f>
        <v>924162.35</v>
      </c>
      <c r="U343" s="15">
        <f>IFERROR(T343/T444, "NA")</f>
        <v>0.13260637085984933</v>
      </c>
      <c r="V343" s="2"/>
      <c r="W343" s="14">
        <f t="shared" si="86"/>
        <v>-30980.209999999963</v>
      </c>
      <c r="X343" s="15">
        <f>IFERROR(W343/W444, "NA")</f>
        <v>9.4387454706591559E-2</v>
      </c>
      <c r="Y343" s="2"/>
      <c r="Z343" s="14">
        <f>IFERROR(Z328+Z329+Z330+Z331+Z332+Z333+Z334+Z335+Z337+Z338+Z339+Z340+Z341, "NA")</f>
        <v>861064.45</v>
      </c>
      <c r="AA343" s="15">
        <f>IFERROR(Z343/Z444, "NA")</f>
        <v>0.13880226687919395</v>
      </c>
      <c r="AB343" s="2"/>
      <c r="AC343" s="14">
        <f t="shared" si="87"/>
        <v>-94078.109999999986</v>
      </c>
      <c r="AD343" s="15">
        <f>IFERROR(AC343/AC444, "NA")</f>
        <v>-0.21505610418543739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86109.239999999991</v>
      </c>
      <c r="C344" s="15">
        <f>IFERROR(B344/B444, "NA")</f>
        <v>0.1214824842536586</v>
      </c>
      <c r="D344" s="2"/>
      <c r="E344" s="14">
        <f>IFERROR(E328+E329+E330+E331+E332+E333+E334+E335+E337+E338+E339+E340+E341, "NA")</f>
        <v>82252.22</v>
      </c>
      <c r="F344" s="15">
        <f>IFERROR(E344/E444, "NA")</f>
        <v>0.12521359950138777</v>
      </c>
      <c r="G344" s="2"/>
      <c r="H344" s="14">
        <f t="shared" si="84"/>
        <v>-3857.0199999999895</v>
      </c>
      <c r="I344" s="15">
        <f>IFERROR(H344/H444, "NA")</f>
        <v>-7.4280668541808592E-2</v>
      </c>
      <c r="J344" s="2"/>
      <c r="K344" s="14">
        <f>IFERROR(K328+K329+K330+K331+K332+K333+K334+K335+K337+K338+K339+K340+K341, "NA")</f>
        <v>75408.7</v>
      </c>
      <c r="L344" s="15">
        <f>IFERROR(K344/K444, "NA")</f>
        <v>0.12812583101211347</v>
      </c>
      <c r="M344" s="2"/>
      <c r="N344" s="14">
        <f t="shared" si="85"/>
        <v>-10700.539999999994</v>
      </c>
      <c r="O344" s="15">
        <f>IFERROR(N344/N444, "NA")</f>
        <v>-8.8972224772076197E-2</v>
      </c>
      <c r="P344" s="2"/>
      <c r="Q344" s="14">
        <f>IFERROR(Q328+Q329+Q330+Q331+Q332+Q333+Q334+Q335+Q337+Q338+Q339+Q340+Q341, "NA")</f>
        <v>955142.55999999994</v>
      </c>
      <c r="R344" s="15">
        <f>IFERROR(Q344/Q444, "NA")</f>
        <v>0.14382529476208483</v>
      </c>
      <c r="S344" s="2"/>
      <c r="T344" s="14">
        <f>IFERROR(T328+T329+T330+T331+T332+T333+T334+T335+T337+T338+T339+T340+T341, "NA")</f>
        <v>924162.35</v>
      </c>
      <c r="U344" s="15">
        <f>IFERROR(T344/T444, "NA")</f>
        <v>0.13260637085984933</v>
      </c>
      <c r="V344" s="2"/>
      <c r="W344" s="14">
        <f t="shared" si="86"/>
        <v>-30980.209999999963</v>
      </c>
      <c r="X344" s="15">
        <f>IFERROR(W344/W444, "NA")</f>
        <v>9.4387454706591559E-2</v>
      </c>
      <c r="Y344" s="2"/>
      <c r="Z344" s="14">
        <f>IFERROR(Z328+Z329+Z330+Z331+Z332+Z333+Z334+Z335+Z337+Z338+Z339+Z340+Z341, "NA")</f>
        <v>861064.45</v>
      </c>
      <c r="AA344" s="15">
        <f>IFERROR(Z344/Z444, "NA")</f>
        <v>0.13880226687919395</v>
      </c>
      <c r="AB344" s="2"/>
      <c r="AC344" s="14">
        <f t="shared" si="87"/>
        <v>-94078.109999999986</v>
      </c>
      <c r="AD344" s="15">
        <f>IFERROR(AC344/AC444, "NA")</f>
        <v>-0.21505610418543739</v>
      </c>
    </row>
    <row r="345" spans="1:30" ht="16.5" customHeight="1" x14ac:dyDescent="0.45">
      <c r="A345" s="22" t="s">
        <v>315</v>
      </c>
      <c r="B345" s="23">
        <f>IFERROR(B198-B325-B344, "NA")</f>
        <v>124590.65999999977</v>
      </c>
      <c r="C345" s="24">
        <f>IFERROR(B345/B444, "NA")</f>
        <v>0.17577187873917952</v>
      </c>
      <c r="D345" s="25"/>
      <c r="E345" s="23">
        <f>IFERROR(E198-E325-E344, "NA")</f>
        <v>107660.79000000001</v>
      </c>
      <c r="F345" s="24">
        <f>IFERROR(E345/E444, "NA")</f>
        <v>0.16389338842237955</v>
      </c>
      <c r="G345" s="25"/>
      <c r="H345" s="23">
        <f>IFERROR(B345-E345, "NA")</f>
        <v>16929.869999999763</v>
      </c>
      <c r="I345" s="24">
        <f>IFERROR(H345/H444, "NA")</f>
        <v>0.3260449937842933</v>
      </c>
      <c r="J345" s="25"/>
      <c r="K345" s="23">
        <f>IFERROR(K198-K325-K344, "NA")</f>
        <v>49946.299999999857</v>
      </c>
      <c r="L345" s="24">
        <f>IFERROR(K345/K444, "NA")</f>
        <v>8.4863035611014451E-2</v>
      </c>
      <c r="M345" s="25"/>
      <c r="N345" s="23">
        <f>IFERROR(B345-K345, "NA")</f>
        <v>74644.359999999913</v>
      </c>
      <c r="O345" s="24">
        <f>IFERROR(N345/N444, "NA")</f>
        <v>0.62064856314613748</v>
      </c>
      <c r="P345" s="25"/>
      <c r="Q345" s="23">
        <f>IFERROR(Q198-Q325-Q344, "NA")</f>
        <v>339198.47000000218</v>
      </c>
      <c r="R345" s="24">
        <f>IFERROR(Q345/Q444, "NA")</f>
        <v>5.1076480070784941E-2</v>
      </c>
      <c r="S345" s="25"/>
      <c r="T345" s="23">
        <f>IFERROR(T198-T325-T344, "NA")</f>
        <v>940217.14999999932</v>
      </c>
      <c r="U345" s="24">
        <f>IFERROR(T345/T444, "NA")</f>
        <v>0.13491004484405852</v>
      </c>
      <c r="V345" s="25"/>
      <c r="W345" s="23">
        <f>IFERROR(Q345-T345, "NA")</f>
        <v>-601018.67999999714</v>
      </c>
      <c r="X345" s="24">
        <f>IFERROR(W345/W444, "NA")</f>
        <v>1.8311245610121831</v>
      </c>
      <c r="Y345" s="25"/>
      <c r="Z345" s="23">
        <f>IFERROR(Z198-Z325-Z344, "NA")</f>
        <v>431253.83000000101</v>
      </c>
      <c r="AA345" s="24">
        <f>IFERROR(Z345/Z444, "NA")</f>
        <v>6.9517455057324318E-2</v>
      </c>
      <c r="AB345" s="25"/>
      <c r="AC345" s="23">
        <f>IFERROR(Q345-Z345, "NA")</f>
        <v>-92055.359999998822</v>
      </c>
      <c r="AD345" s="24">
        <f>IFERROR(AC345/AC444, "NA")</f>
        <v>-0.2104322364786845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43206.29</v>
      </c>
      <c r="C350" s="8">
        <f>IFERROR(B350/B444, "NA")</f>
        <v>6.0955217402731784E-2</v>
      </c>
      <c r="D350" s="9"/>
      <c r="E350" s="7">
        <v>62115</v>
      </c>
      <c r="F350" s="8">
        <f>IFERROR(E350/E444, "NA")</f>
        <v>9.4558453656675798E-2</v>
      </c>
      <c r="G350" s="9"/>
      <c r="H350" s="10">
        <f t="shared" si="88"/>
        <v>18908.71</v>
      </c>
      <c r="I350" s="8">
        <f>IFERROR(H350/H444, "NA")</f>
        <v>0.36415461160771406</v>
      </c>
      <c r="J350" s="9"/>
      <c r="K350" s="7">
        <v>57346.12</v>
      </c>
      <c r="L350" s="8">
        <f>IFERROR(K350/K444, "NA")</f>
        <v>9.7435962698208312E-2</v>
      </c>
      <c r="M350" s="9"/>
      <c r="N350" s="10">
        <f t="shared" si="89"/>
        <v>14139.830000000002</v>
      </c>
      <c r="O350" s="8">
        <f>IFERROR(N350/N444, "NA")</f>
        <v>0.11756903231042051</v>
      </c>
      <c r="P350" s="9"/>
      <c r="Q350" s="7">
        <v>540573.05000000005</v>
      </c>
      <c r="R350" s="8">
        <f>IFERROR(Q350/Q444, "NA")</f>
        <v>8.139944916357747E-2</v>
      </c>
      <c r="S350" s="9"/>
      <c r="T350" s="7">
        <v>722545</v>
      </c>
      <c r="U350" s="8">
        <f>IFERROR(T350/T444, "NA")</f>
        <v>0.10367666485540106</v>
      </c>
      <c r="V350" s="9"/>
      <c r="W350" s="10">
        <f t="shared" si="90"/>
        <v>181971.94999999995</v>
      </c>
      <c r="X350" s="8">
        <f>IFERROR(W350/W444, "NA")</f>
        <v>-0.55441422729204093</v>
      </c>
      <c r="Y350" s="9"/>
      <c r="Z350" s="7">
        <v>585070.36</v>
      </c>
      <c r="AA350" s="8">
        <f>IFERROR(Z350/Z444, "NA")</f>
        <v>9.4312443455104991E-2</v>
      </c>
      <c r="AB350" s="9"/>
      <c r="AC350" s="10">
        <f t="shared" si="91"/>
        <v>44497.309999999939</v>
      </c>
      <c r="AD350" s="8">
        <f>IFERROR(AC350/AC444, "NA")</f>
        <v>0.10171779742738978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10769.24</v>
      </c>
      <c r="L352" s="8">
        <f>IFERROR(K352/K444, "NA")</f>
        <v>1.8297859853954424E-2</v>
      </c>
      <c r="M352" s="9"/>
      <c r="N352" s="10">
        <f t="shared" si="89"/>
        <v>10769.24</v>
      </c>
      <c r="O352" s="8">
        <f>IFERROR(N352/N444, "NA")</f>
        <v>8.9543447518016336E-2</v>
      </c>
      <c r="P352" s="9"/>
      <c r="Q352" s="7">
        <v>0</v>
      </c>
      <c r="R352" s="8">
        <f>IFERROR(Q352/Q444, "NA")</f>
        <v>0</v>
      </c>
      <c r="S352" s="9"/>
      <c r="T352" s="7">
        <v>23375</v>
      </c>
      <c r="U352" s="8">
        <f>IFERROR(T352/T444, "NA")</f>
        <v>3.3540361375346858E-3</v>
      </c>
      <c r="V352" s="9"/>
      <c r="W352" s="10">
        <f t="shared" si="90"/>
        <v>23375</v>
      </c>
      <c r="X352" s="8">
        <f>IFERROR(W352/W444, "NA")</f>
        <v>-7.121664939542309E-2</v>
      </c>
      <c r="Y352" s="9"/>
      <c r="Z352" s="7">
        <v>116346.24000000001</v>
      </c>
      <c r="AA352" s="8">
        <f>IFERROR(Z352/Z444, "NA")</f>
        <v>1.8754835198306875E-2</v>
      </c>
      <c r="AB352" s="9"/>
      <c r="AC352" s="10">
        <f t="shared" si="91"/>
        <v>116346.24000000001</v>
      </c>
      <c r="AD352" s="8">
        <f>IFERROR(AC352/AC444, "NA")</f>
        <v>0.26595952141283352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5937.57</v>
      </c>
      <c r="F353" s="8">
        <f>IFERROR(E353/E444, "NA")</f>
        <v>9.0388382464504299E-3</v>
      </c>
      <c r="G353" s="9"/>
      <c r="H353" s="10">
        <f t="shared" si="88"/>
        <v>5937.57</v>
      </c>
      <c r="I353" s="8">
        <f>IFERROR(H353/H444, "NA")</f>
        <v>0.11434907496299933</v>
      </c>
      <c r="J353" s="9"/>
      <c r="K353" s="7">
        <v>5622.62</v>
      </c>
      <c r="L353" s="8">
        <f>IFERROR(K353/K444, "NA")</f>
        <v>9.5533122831361564E-3</v>
      </c>
      <c r="M353" s="9"/>
      <c r="N353" s="10">
        <f t="shared" si="89"/>
        <v>5622.62</v>
      </c>
      <c r="O353" s="8">
        <f>IFERROR(N353/N444, "NA")</f>
        <v>4.6750632252949044E-2</v>
      </c>
      <c r="P353" s="9"/>
      <c r="Q353" s="7">
        <v>7499.8</v>
      </c>
      <c r="R353" s="8">
        <f>IFERROR(Q353/Q444, "NA")</f>
        <v>1.1293193192612881E-3</v>
      </c>
      <c r="S353" s="9"/>
      <c r="T353" s="7">
        <v>59521.62</v>
      </c>
      <c r="U353" s="8">
        <f>IFERROR(T353/T444, "NA")</f>
        <v>8.5406487462933618E-3</v>
      </c>
      <c r="V353" s="9"/>
      <c r="W353" s="10">
        <f t="shared" si="90"/>
        <v>52021.82</v>
      </c>
      <c r="X353" s="8">
        <f>IFERROR(W353/W444, "NA")</f>
        <v>-0.15849496110595973</v>
      </c>
      <c r="Y353" s="9"/>
      <c r="Z353" s="7">
        <v>25322.880000000001</v>
      </c>
      <c r="AA353" s="8">
        <f>IFERROR(Z353/Z444, "NA")</f>
        <v>4.0820093640026632E-3</v>
      </c>
      <c r="AB353" s="9"/>
      <c r="AC353" s="10">
        <f t="shared" si="91"/>
        <v>17823.080000000002</v>
      </c>
      <c r="AD353" s="8">
        <f>IFERROR(AC353/AC444, "NA")</f>
        <v>4.0742337929465057E-2</v>
      </c>
    </row>
    <row r="354" spans="1:30" ht="16.5" customHeight="1" x14ac:dyDescent="0.45">
      <c r="A354" s="6" t="s">
        <v>323</v>
      </c>
      <c r="B354" s="7">
        <v>2357.4499999999998</v>
      </c>
      <c r="C354" s="8">
        <f>IFERROR(B354/B444, "NA")</f>
        <v>3.3258786455877148E-3</v>
      </c>
      <c r="D354" s="9"/>
      <c r="E354" s="7">
        <v>3836.91</v>
      </c>
      <c r="F354" s="8">
        <f>IFERROR(E354/E444, "NA")</f>
        <v>5.8409768400520959E-3</v>
      </c>
      <c r="G354" s="9"/>
      <c r="H354" s="10">
        <f t="shared" si="88"/>
        <v>1479.46</v>
      </c>
      <c r="I354" s="8">
        <f>IFERROR(H354/H444, "NA")</f>
        <v>2.8492275871233347E-2</v>
      </c>
      <c r="J354" s="9"/>
      <c r="K354" s="7">
        <v>4656.67</v>
      </c>
      <c r="L354" s="8">
        <f>IFERROR(K354/K444, "NA")</f>
        <v>7.9120806153557682E-3</v>
      </c>
      <c r="M354" s="9"/>
      <c r="N354" s="10">
        <f t="shared" si="89"/>
        <v>2299.2200000000003</v>
      </c>
      <c r="O354" s="8">
        <f>IFERROR(N354/N444, "NA")</f>
        <v>1.9117420115288872E-2</v>
      </c>
      <c r="P354" s="9"/>
      <c r="Q354" s="7">
        <v>44125.75</v>
      </c>
      <c r="R354" s="8">
        <f>IFERROR(Q354/Q444, "NA")</f>
        <v>6.6444521123088318E-3</v>
      </c>
      <c r="S354" s="9"/>
      <c r="T354" s="7">
        <v>59601.69</v>
      </c>
      <c r="U354" s="8">
        <f>IFERROR(T354/T444, "NA")</f>
        <v>8.5521378446262973E-3</v>
      </c>
      <c r="V354" s="9"/>
      <c r="W354" s="10">
        <f t="shared" si="90"/>
        <v>15475.940000000002</v>
      </c>
      <c r="X354" s="8">
        <f>IFERROR(W354/W444, "NA")</f>
        <v>-4.715057082543761E-2</v>
      </c>
      <c r="Y354" s="9"/>
      <c r="Z354" s="7">
        <v>52579.4</v>
      </c>
      <c r="AA354" s="8">
        <f>IFERROR(Z354/Z444, "NA")</f>
        <v>8.4757185262356264E-3</v>
      </c>
      <c r="AB354" s="9"/>
      <c r="AC354" s="10">
        <f t="shared" si="91"/>
        <v>8453.6500000000015</v>
      </c>
      <c r="AD354" s="8">
        <f>IFERROR(AC354/AC444, "NA")</f>
        <v>1.9324463843366148E-2</v>
      </c>
    </row>
    <row r="355" spans="1:30" ht="16.5" customHeight="1" x14ac:dyDescent="0.45">
      <c r="A355" s="6" t="s">
        <v>324</v>
      </c>
      <c r="B355" s="7">
        <v>190.8</v>
      </c>
      <c r="C355" s="8">
        <f>IFERROR(B355/B444, "NA")</f>
        <v>2.6917968380162294E-4</v>
      </c>
      <c r="D355" s="9"/>
      <c r="E355" s="7">
        <v>280</v>
      </c>
      <c r="F355" s="8">
        <f>IFERROR(E355/E444, "NA")</f>
        <v>4.2624755733509175E-4</v>
      </c>
      <c r="G355" s="9"/>
      <c r="H355" s="10">
        <f t="shared" si="88"/>
        <v>89.199999999999989</v>
      </c>
      <c r="I355" s="8">
        <f>IFERROR(H355/H444, "NA")</f>
        <v>1.7178639555743408E-3</v>
      </c>
      <c r="J355" s="9"/>
      <c r="K355" s="7">
        <v>233.2</v>
      </c>
      <c r="L355" s="8">
        <f>IFERROR(K355/K444, "NA")</f>
        <v>3.9622674561456251E-4</v>
      </c>
      <c r="M355" s="9"/>
      <c r="N355" s="10">
        <f t="shared" si="89"/>
        <v>42.399999999999977</v>
      </c>
      <c r="O355" s="8">
        <f>IFERROR(N355/N444, "NA")</f>
        <v>3.5254504261803904E-4</v>
      </c>
      <c r="P355" s="9"/>
      <c r="Q355" s="7">
        <v>2427.4</v>
      </c>
      <c r="R355" s="8">
        <f>IFERROR(Q355/Q444, "NA")</f>
        <v>3.6551770921555915E-4</v>
      </c>
      <c r="S355" s="9"/>
      <c r="T355" s="7">
        <v>3290</v>
      </c>
      <c r="U355" s="8">
        <f>IFERROR(T355/T444, "NA")</f>
        <v>4.7207610235247555E-4</v>
      </c>
      <c r="V355" s="9"/>
      <c r="W355" s="10">
        <f t="shared" si="90"/>
        <v>862.59999999999991</v>
      </c>
      <c r="X355" s="8">
        <f>IFERROR(W355/W444, "NA")</f>
        <v>-2.6280847815397627E-3</v>
      </c>
      <c r="Y355" s="9"/>
      <c r="Z355" s="7">
        <v>2599.12</v>
      </c>
      <c r="AA355" s="8">
        <f>IFERROR(Z355/Z444, "NA")</f>
        <v>4.1897415215672945E-4</v>
      </c>
      <c r="AB355" s="9"/>
      <c r="AC355" s="10">
        <f t="shared" si="91"/>
        <v>171.7199999999998</v>
      </c>
      <c r="AD355" s="8">
        <f>IFERROR(AC355/AC444, "NA")</f>
        <v>3.9254013724046187E-4</v>
      </c>
    </row>
    <row r="356" spans="1:30" ht="16.5" customHeight="1" x14ac:dyDescent="0.45">
      <c r="A356" s="6" t="s">
        <v>325</v>
      </c>
      <c r="B356" s="7">
        <v>3000</v>
      </c>
      <c r="C356" s="8">
        <f>IFERROR(B356/B444, "NA")</f>
        <v>4.2323849654343233E-3</v>
      </c>
      <c r="D356" s="9"/>
      <c r="E356" s="7">
        <v>6187.5</v>
      </c>
      <c r="F356" s="8">
        <f>IFERROR(E356/E444, "NA")</f>
        <v>9.4193098607531431E-3</v>
      </c>
      <c r="G356" s="9"/>
      <c r="H356" s="10">
        <f t="shared" si="88"/>
        <v>3187.5</v>
      </c>
      <c r="I356" s="8">
        <f>IFERROR(H356/H444, "NA")</f>
        <v>6.1386674421448566E-2</v>
      </c>
      <c r="J356" s="9"/>
      <c r="K356" s="7">
        <v>1500</v>
      </c>
      <c r="L356" s="8">
        <f>IFERROR(K356/K444, "NA")</f>
        <v>2.5486282951193988E-3</v>
      </c>
      <c r="M356" s="9"/>
      <c r="N356" s="10">
        <f t="shared" si="89"/>
        <v>-1500</v>
      </c>
      <c r="O356" s="8">
        <f>IFERROR(N356/N444, "NA")</f>
        <v>-1.2472112356770254E-2</v>
      </c>
      <c r="P356" s="9"/>
      <c r="Q356" s="7">
        <v>27375</v>
      </c>
      <c r="R356" s="8">
        <f>IFERROR(Q356/Q444, "NA")</f>
        <v>4.1221254386487318E-3</v>
      </c>
      <c r="S356" s="9"/>
      <c r="T356" s="7">
        <v>68062.5</v>
      </c>
      <c r="U356" s="8">
        <f>IFERROR(T356/T444, "NA")</f>
        <v>9.7661640475274671E-3</v>
      </c>
      <c r="V356" s="9"/>
      <c r="W356" s="10">
        <f t="shared" si="90"/>
        <v>40687.5</v>
      </c>
      <c r="X356" s="8">
        <f>IFERROR(W356/W444, "NA")</f>
        <v>-0.12396267047171239</v>
      </c>
      <c r="Y356" s="9"/>
      <c r="Z356" s="7">
        <v>14300</v>
      </c>
      <c r="AA356" s="8">
        <f>IFERROR(Z356/Z444, "NA")</f>
        <v>2.3051380374285264E-3</v>
      </c>
      <c r="AB356" s="9"/>
      <c r="AC356" s="10">
        <f t="shared" si="91"/>
        <v>-13075</v>
      </c>
      <c r="AD356" s="8">
        <f>IFERROR(AC356/AC444, "NA")</f>
        <v>-2.9888552844275825E-2</v>
      </c>
    </row>
    <row r="357" spans="1:30" ht="16.5" customHeight="1" x14ac:dyDescent="0.45">
      <c r="A357" s="6" t="s">
        <v>326</v>
      </c>
      <c r="B357" s="7">
        <v>3967.46</v>
      </c>
      <c r="C357" s="8">
        <f>IFERROR(B357/B444, "NA")</f>
        <v>5.5972726849873537E-3</v>
      </c>
      <c r="D357" s="9"/>
      <c r="E357" s="7">
        <v>2546.7199999999998</v>
      </c>
      <c r="F357" s="8">
        <f>IFERROR(E357/E444, "NA")</f>
        <v>3.8769042114872314E-3</v>
      </c>
      <c r="G357" s="9"/>
      <c r="H357" s="10">
        <f t="shared" si="88"/>
        <v>-1420.7400000000002</v>
      </c>
      <c r="I357" s="8">
        <f>IFERROR(H357/H444, "NA")</f>
        <v>-2.7361412962361994E-2</v>
      </c>
      <c r="J357" s="9"/>
      <c r="K357" s="7">
        <v>3469.35</v>
      </c>
      <c r="L357" s="8">
        <f>IFERROR(K357/K444, "NA")</f>
        <v>5.8947223837816573E-3</v>
      </c>
      <c r="M357" s="9"/>
      <c r="N357" s="10">
        <f t="shared" si="89"/>
        <v>-498.11000000000013</v>
      </c>
      <c r="O357" s="8">
        <f>IFERROR(N357/N444, "NA")</f>
        <v>-4.1416559240205555E-3</v>
      </c>
      <c r="P357" s="9"/>
      <c r="Q357" s="7">
        <v>38930.720000000001</v>
      </c>
      <c r="R357" s="8">
        <f>IFERROR(Q357/Q444, "NA")</f>
        <v>5.8621848860972046E-3</v>
      </c>
      <c r="S357" s="9"/>
      <c r="T357" s="7">
        <v>29624.36</v>
      </c>
      <c r="U357" s="8">
        <f>IFERROR(T357/T444, "NA")</f>
        <v>4.2507454113940987E-3</v>
      </c>
      <c r="V357" s="9"/>
      <c r="W357" s="10">
        <f t="shared" si="90"/>
        <v>-9306.36</v>
      </c>
      <c r="X357" s="8">
        <f>IFERROR(W357/W444, "NA")</f>
        <v>2.8353701701287259E-2</v>
      </c>
      <c r="Y357" s="9"/>
      <c r="Z357" s="7">
        <v>29244.1</v>
      </c>
      <c r="AA357" s="8">
        <f>IFERROR(Z357/Z444, "NA")</f>
        <v>4.7141040056198295E-3</v>
      </c>
      <c r="AB357" s="9"/>
      <c r="AC357" s="10">
        <f t="shared" si="91"/>
        <v>-9686.6200000000026</v>
      </c>
      <c r="AD357" s="8">
        <f>IFERROR(AC357/AC444, "NA")</f>
        <v>-2.2142948661752902E-2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52722</v>
      </c>
      <c r="C358" s="15">
        <f>IFERROR(B358/B444, "NA")</f>
        <v>7.4379933382542798E-2</v>
      </c>
      <c r="D358" s="2"/>
      <c r="E358" s="14">
        <f>IFERROR(E349+E350+E351+E352+E353+E354+E355+E356+E357, "NA")</f>
        <v>80903.700000000012</v>
      </c>
      <c r="F358" s="15">
        <f>IFERROR(E358/E444, "NA")</f>
        <v>0.12316073037275381</v>
      </c>
      <c r="G358" s="2"/>
      <c r="H358" s="14">
        <f t="shared" si="88"/>
        <v>28181.700000000012</v>
      </c>
      <c r="I358" s="15">
        <f>IFERROR(H358/H444, "NA")</f>
        <v>0.54273908785660796</v>
      </c>
      <c r="J358" s="2"/>
      <c r="K358" s="14">
        <f>IFERROR(K349+K350+K351+K352+K353+K354+K355+K356+K357, "NA")</f>
        <v>83597.2</v>
      </c>
      <c r="L358" s="15">
        <f>IFERROR(K358/K444, "NA")</f>
        <v>0.14203879287517027</v>
      </c>
      <c r="M358" s="2"/>
      <c r="N358" s="14">
        <f t="shared" si="89"/>
        <v>30875.199999999997</v>
      </c>
      <c r="O358" s="15">
        <f>IFERROR(N358/N444, "NA")</f>
        <v>0.25671930895850198</v>
      </c>
      <c r="P358" s="2"/>
      <c r="Q358" s="14">
        <f>IFERROR(Q349+Q350+Q351+Q352+Q353+Q354+Q355+Q356+Q357, "NA")</f>
        <v>660931.72000000009</v>
      </c>
      <c r="R358" s="15">
        <f>IFERROR(Q358/Q444, "NA")</f>
        <v>9.9523048629109087E-2</v>
      </c>
      <c r="S358" s="2"/>
      <c r="T358" s="14">
        <f>IFERROR(T349+T350+T351+T352+T353+T354+T355+T356+T357, "NA")</f>
        <v>966020.17</v>
      </c>
      <c r="U358" s="15">
        <f>IFERROR(T358/T444, "NA")</f>
        <v>0.13861247314512945</v>
      </c>
      <c r="V358" s="2"/>
      <c r="W358" s="14">
        <f t="shared" si="90"/>
        <v>305088.44999999995</v>
      </c>
      <c r="X358" s="15">
        <f>IFERROR(W358/W444, "NA")</f>
        <v>-0.92951346217082631</v>
      </c>
      <c r="Y358" s="2"/>
      <c r="Z358" s="14">
        <f>IFERROR(Z349+Z350+Z351+Z352+Z353+Z354+Z355+Z356+Z357, "NA")</f>
        <v>825462.1</v>
      </c>
      <c r="AA358" s="15">
        <f>IFERROR(Z358/Z444, "NA")</f>
        <v>0.13306322273885524</v>
      </c>
      <c r="AB358" s="2"/>
      <c r="AC358" s="14">
        <f t="shared" si="91"/>
        <v>164530.37999999989</v>
      </c>
      <c r="AD358" s="15">
        <f>IFERROR(AC358/AC444, "NA")</f>
        <v>0.37610515924426607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2.283469057152277E-3</v>
      </c>
      <c r="G360" s="9"/>
      <c r="H360" s="10">
        <f t="shared" ref="H360:H383" si="92">IFERROR(-(B360-E360), "NA")</f>
        <v>1500</v>
      </c>
      <c r="I360" s="8">
        <f>IFERROR(H360/H444, "NA")</f>
        <v>2.8887846786564031E-2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16000</v>
      </c>
      <c r="U360" s="8">
        <f>IFERROR(T360/T444, "NA")</f>
        <v>2.2958108321093039E-3</v>
      </c>
      <c r="V360" s="9"/>
      <c r="W360" s="10">
        <f t="shared" ref="W360:W383" si="94">IFERROR(-(Q360-T360), "NA")</f>
        <v>16000</v>
      </c>
      <c r="X360" s="8">
        <f>IFERROR(W360/W444, "NA")</f>
        <v>-4.8747225254621149E-2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3606.01</v>
      </c>
      <c r="AA361" s="8">
        <f>IFERROR(Z361/Z444, "NA")</f>
        <v>5.812832737306043E-4</v>
      </c>
      <c r="AB361" s="9"/>
      <c r="AC361" s="10">
        <f t="shared" si="95"/>
        <v>3606.01</v>
      </c>
      <c r="AD361" s="8">
        <f>IFERROR(AC361/AC444, "NA")</f>
        <v>8.2430914295974819E-3</v>
      </c>
    </row>
    <row r="362" spans="1:30" ht="16.5" customHeight="1" x14ac:dyDescent="0.45">
      <c r="A362" s="6" t="s">
        <v>330</v>
      </c>
      <c r="B362" s="7">
        <v>883.49</v>
      </c>
      <c r="C362" s="8">
        <f>IFERROR(B362/B444, "NA")</f>
        <v>1.2464232643705235E-3</v>
      </c>
      <c r="D362" s="9"/>
      <c r="E362" s="7">
        <v>400</v>
      </c>
      <c r="F362" s="8">
        <f>IFERROR(E362/E444, "NA")</f>
        <v>6.0892508190727389E-4</v>
      </c>
      <c r="G362" s="9"/>
      <c r="H362" s="10">
        <f t="shared" si="92"/>
        <v>-483.49</v>
      </c>
      <c r="I362" s="8">
        <f>IFERROR(H362/H444, "NA")</f>
        <v>-9.3113233618905625E-3</v>
      </c>
      <c r="J362" s="9"/>
      <c r="K362" s="7">
        <v>1009.25</v>
      </c>
      <c r="L362" s="8">
        <f>IFERROR(K362/K444, "NA")</f>
        <v>1.7148020712328355E-3</v>
      </c>
      <c r="M362" s="9"/>
      <c r="N362" s="10">
        <f t="shared" si="93"/>
        <v>125.75999999999999</v>
      </c>
      <c r="O362" s="8">
        <f>IFERROR(N362/N444, "NA")</f>
        <v>1.0456618999916182E-3</v>
      </c>
      <c r="P362" s="9"/>
      <c r="Q362" s="7">
        <v>8596.19</v>
      </c>
      <c r="R362" s="8">
        <f>IFERROR(Q362/Q444, "NA")</f>
        <v>1.2944136429025696E-3</v>
      </c>
      <c r="S362" s="9"/>
      <c r="T362" s="7">
        <v>4900</v>
      </c>
      <c r="U362" s="8">
        <f>IFERROR(T362/T444, "NA")</f>
        <v>7.030920673334743E-4</v>
      </c>
      <c r="V362" s="9"/>
      <c r="W362" s="10">
        <f t="shared" si="94"/>
        <v>-3696.1900000000005</v>
      </c>
      <c r="X362" s="8">
        <f>IFERROR(W362/W444, "NA")</f>
        <v>1.1261187907117387E-2</v>
      </c>
      <c r="Y362" s="9"/>
      <c r="Z362" s="7">
        <v>7065.84</v>
      </c>
      <c r="AA362" s="8">
        <f>IFERROR(Z362/Z444, "NA")</f>
        <v>1.1390025559709076E-3</v>
      </c>
      <c r="AB362" s="9"/>
      <c r="AC362" s="10">
        <f t="shared" si="95"/>
        <v>-1530.3500000000004</v>
      </c>
      <c r="AD362" s="8">
        <f>IFERROR(AC362/AC444, "NA")</f>
        <v>-3.4982750933260057E-3</v>
      </c>
    </row>
    <row r="363" spans="1:30" ht="16.5" customHeight="1" x14ac:dyDescent="0.45">
      <c r="A363" s="6" t="s">
        <v>331</v>
      </c>
      <c r="B363" s="7">
        <v>1181.72</v>
      </c>
      <c r="C363" s="8">
        <f>IFERROR(B363/B444, "NA")</f>
        <v>1.6671646537843494E-3</v>
      </c>
      <c r="D363" s="9"/>
      <c r="E363" s="7">
        <v>200</v>
      </c>
      <c r="F363" s="8">
        <f>IFERROR(E363/E444, "NA")</f>
        <v>3.0446254095363695E-4</v>
      </c>
      <c r="G363" s="9"/>
      <c r="H363" s="10">
        <f t="shared" si="92"/>
        <v>-981.72</v>
      </c>
      <c r="I363" s="8">
        <f>IFERROR(H363/H444, "NA")</f>
        <v>-1.8906517964870428E-2</v>
      </c>
      <c r="J363" s="9"/>
      <c r="K363" s="7">
        <v>536.07000000000005</v>
      </c>
      <c r="L363" s="8">
        <f>IFERROR(K363/K444, "NA")</f>
        <v>9.1082878010977086E-4</v>
      </c>
      <c r="M363" s="9"/>
      <c r="N363" s="10">
        <f t="shared" si="93"/>
        <v>-645.65</v>
      </c>
      <c r="O363" s="8">
        <f>IFERROR(N363/N444, "NA")</f>
        <v>-5.3684128954324768E-3</v>
      </c>
      <c r="P363" s="9"/>
      <c r="Q363" s="7">
        <v>10442.700000000001</v>
      </c>
      <c r="R363" s="8">
        <f>IFERROR(Q363/Q444, "NA")</f>
        <v>1.5724609796594379E-3</v>
      </c>
      <c r="S363" s="9"/>
      <c r="T363" s="7">
        <v>2350</v>
      </c>
      <c r="U363" s="8">
        <f>IFERROR(T363/T444, "NA")</f>
        <v>3.3719721596605398E-4</v>
      </c>
      <c r="V363" s="9"/>
      <c r="W363" s="10">
        <f t="shared" si="94"/>
        <v>-8092.7000000000007</v>
      </c>
      <c r="X363" s="8">
        <f>IFERROR(W363/W444, "NA")</f>
        <v>2.4656041863629539E-2</v>
      </c>
      <c r="Y363" s="9"/>
      <c r="Z363" s="7">
        <v>19397.63</v>
      </c>
      <c r="AA363" s="8">
        <f>IFERROR(Z363/Z444, "NA")</f>
        <v>3.1268681642632663E-3</v>
      </c>
      <c r="AB363" s="9"/>
      <c r="AC363" s="10">
        <f t="shared" si="95"/>
        <v>8954.93</v>
      </c>
      <c r="AD363" s="8">
        <f>IFERROR(AC363/AC444, "NA")</f>
        <v>2.047035552747923E-2</v>
      </c>
    </row>
    <row r="364" spans="1:30" ht="16.5" customHeight="1" x14ac:dyDescent="0.45">
      <c r="A364" s="6" t="s">
        <v>332</v>
      </c>
      <c r="B364" s="7">
        <v>873.22</v>
      </c>
      <c r="C364" s="8">
        <f>IFERROR(B364/B444, "NA")</f>
        <v>1.2319343998388533E-3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-873.22</v>
      </c>
      <c r="I364" s="8">
        <f>IFERROR(H364/H444, "NA")</f>
        <v>-1.6816963713975629E-2</v>
      </c>
      <c r="J364" s="9"/>
      <c r="K364" s="7">
        <v>1032.8699999999999</v>
      </c>
      <c r="L364" s="8">
        <f>IFERROR(K364/K444, "NA")</f>
        <v>1.7549344714533155E-3</v>
      </c>
      <c r="M364" s="9"/>
      <c r="N364" s="10">
        <f t="shared" si="93"/>
        <v>159.64999999999986</v>
      </c>
      <c r="O364" s="8">
        <f>IFERROR(N364/N444, "NA")</f>
        <v>1.3274484918389131E-3</v>
      </c>
      <c r="P364" s="9"/>
      <c r="Q364" s="7">
        <v>7001.13</v>
      </c>
      <c r="R364" s="8">
        <f>IFERROR(Q364/Q444, "NA")</f>
        <v>1.0542296282113899E-3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-7001.13</v>
      </c>
      <c r="X364" s="8">
        <f>IFERROR(W364/W444, "NA")</f>
        <v>2.1330353821680362E-2</v>
      </c>
      <c r="Y364" s="9"/>
      <c r="Z364" s="7">
        <v>13236.69</v>
      </c>
      <c r="AA364" s="8">
        <f>IFERROR(Z364/Z444, "NA")</f>
        <v>2.133734098506979E-3</v>
      </c>
      <c r="AB364" s="9"/>
      <c r="AC364" s="10">
        <f t="shared" si="95"/>
        <v>6235.56</v>
      </c>
      <c r="AD364" s="8">
        <f>IFERROR(AC364/AC444, "NA")</f>
        <v>1.4254062300088152E-2</v>
      </c>
    </row>
    <row r="365" spans="1:30" ht="16.5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539.13</v>
      </c>
      <c r="L365" s="8">
        <f>IFERROR(K365/K444, "NA")</f>
        <v>9.1602798183181434E-4</v>
      </c>
      <c r="M365" s="9"/>
      <c r="N365" s="10">
        <f t="shared" si="93"/>
        <v>539.13</v>
      </c>
      <c r="O365" s="8">
        <f>IFERROR(N365/N444, "NA")</f>
        <v>4.4827266232703653E-3</v>
      </c>
      <c r="P365" s="9"/>
      <c r="Q365" s="7">
        <v>5302.6</v>
      </c>
      <c r="R365" s="8">
        <f>IFERROR(Q365/Q444, "NA")</f>
        <v>7.9846510871155315E-4</v>
      </c>
      <c r="S365" s="9"/>
      <c r="T365" s="7">
        <v>2100</v>
      </c>
      <c r="U365" s="8">
        <f>IFERROR(T365/T444, "NA")</f>
        <v>3.013251717143461E-4</v>
      </c>
      <c r="V365" s="9"/>
      <c r="W365" s="10">
        <f t="shared" si="94"/>
        <v>-3202.6000000000004</v>
      </c>
      <c r="X365" s="8">
        <f>IFERROR(W365/W444, "NA")</f>
        <v>9.7573664750281071E-3</v>
      </c>
      <c r="Y365" s="9"/>
      <c r="Z365" s="7">
        <v>723.13</v>
      </c>
      <c r="AA365" s="8">
        <f>IFERROR(Z365/Z444, "NA")</f>
        <v>1.165674453850133E-4</v>
      </c>
      <c r="AB365" s="9"/>
      <c r="AC365" s="10">
        <f t="shared" si="95"/>
        <v>-4579.47</v>
      </c>
      <c r="AD365" s="8">
        <f>IFERROR(AC365/AC444, "NA")</f>
        <v>-1.0468354194552644E-2</v>
      </c>
    </row>
    <row r="366" spans="1:30" ht="16.5" customHeight="1" x14ac:dyDescent="0.45">
      <c r="A366" s="6" t="s">
        <v>334</v>
      </c>
      <c r="B366" s="7">
        <v>540.05999999999995</v>
      </c>
      <c r="C366" s="8">
        <f>IFERROR(B366/B444, "NA")</f>
        <v>7.6191394147748681E-4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-540.05999999999995</v>
      </c>
      <c r="I366" s="8">
        <f>IFERROR(H366/H444, "NA")</f>
        <v>-1.0400780357034513E-2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-540.05999999999995</v>
      </c>
      <c r="O366" s="8">
        <f>IFERROR(N366/N444, "NA")</f>
        <v>-4.4904593329315621E-3</v>
      </c>
      <c r="P366" s="9"/>
      <c r="Q366" s="7">
        <v>4711.01</v>
      </c>
      <c r="R366" s="8">
        <f>IFERROR(Q366/Q444, "NA")</f>
        <v>7.0938353105857771E-4</v>
      </c>
      <c r="S366" s="9"/>
      <c r="T366" s="7">
        <v>3105</v>
      </c>
      <c r="U366" s="8">
        <f>IFERROR(T366/T444, "NA")</f>
        <v>4.4553078960621177E-4</v>
      </c>
      <c r="V366" s="9"/>
      <c r="W366" s="10">
        <f t="shared" si="94"/>
        <v>-1606.0100000000002</v>
      </c>
      <c r="X366" s="8">
        <f>IFERROR(W366/W444, "NA")</f>
        <v>4.8930332019483831E-3</v>
      </c>
      <c r="Y366" s="9"/>
      <c r="Z366" s="7">
        <v>1263.9100000000001</v>
      </c>
      <c r="AA366" s="8">
        <f>IFERROR(Z366/Z444, "NA")</f>
        <v>2.0374035083120902E-4</v>
      </c>
      <c r="AB366" s="9"/>
      <c r="AC366" s="10">
        <f t="shared" si="95"/>
        <v>-3447.1000000000004</v>
      </c>
      <c r="AD366" s="8">
        <f>IFERROR(AC366/AC444, "NA")</f>
        <v>-7.8798340733845663E-3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8539.77</v>
      </c>
      <c r="R367" s="8">
        <f>IFERROR(Q367/Q444, "NA")</f>
        <v>1.285917923551024E-3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-8539.77</v>
      </c>
      <c r="X367" s="8">
        <f>IFERROR(W367/W444, "NA")</f>
        <v>2.6018130738291005E-2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-8539.77</v>
      </c>
      <c r="AD367" s="8">
        <f>IFERROR(AC367/AC444, "NA")</f>
        <v>-1.9521328254146188E-2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3478.4900000000002</v>
      </c>
      <c r="C368" s="15">
        <f>IFERROR(B368/B444, "NA")</f>
        <v>4.907436259471213E-3</v>
      </c>
      <c r="D368" s="2"/>
      <c r="E368" s="14">
        <f>IFERROR(E360+E361+E362+E363+E364+E365+E366+E367, "NA")</f>
        <v>2100</v>
      </c>
      <c r="F368" s="15">
        <f>IFERROR(E368/E444, "NA")</f>
        <v>3.1968566800131882E-3</v>
      </c>
      <c r="G368" s="2"/>
      <c r="H368" s="14">
        <f t="shared" si="92"/>
        <v>-1378.4900000000002</v>
      </c>
      <c r="I368" s="15">
        <f>IFERROR(H368/H444, "NA")</f>
        <v>-2.6547738611207104E-2</v>
      </c>
      <c r="J368" s="2"/>
      <c r="K368" s="14">
        <f>IFERROR(K360+K361+K362+K363+K364+K365+K366+K367, "NA")</f>
        <v>3117.32</v>
      </c>
      <c r="L368" s="15">
        <f>IFERROR(K368/K444, "NA")</f>
        <v>5.2965933046277367E-3</v>
      </c>
      <c r="M368" s="2"/>
      <c r="N368" s="14">
        <f t="shared" si="93"/>
        <v>-361.17000000000007</v>
      </c>
      <c r="O368" s="15">
        <f>IFERROR(N368/N444, "NA")</f>
        <v>-3.0030352132631426E-3</v>
      </c>
      <c r="P368" s="2"/>
      <c r="Q368" s="14">
        <f>IFERROR(Q360+Q361+Q362+Q363+Q364+Q365+Q366+Q367, "NA")</f>
        <v>44593.400000000009</v>
      </c>
      <c r="R368" s="15">
        <f>IFERROR(Q368/Q444, "NA")</f>
        <v>6.7148708140945534E-3</v>
      </c>
      <c r="S368" s="2"/>
      <c r="T368" s="14">
        <f>IFERROR(T360+T361+T362+T363+T364+T365+T366+T367, "NA")</f>
        <v>28455</v>
      </c>
      <c r="U368" s="15">
        <f>IFERROR(T368/T444, "NA")</f>
        <v>4.0829560767293898E-3</v>
      </c>
      <c r="V368" s="2"/>
      <c r="W368" s="14">
        <f t="shared" si="94"/>
        <v>-16138.400000000009</v>
      </c>
      <c r="X368" s="15">
        <f>IFERROR(W368/W444, "NA")</f>
        <v>4.9168888753073653E-2</v>
      </c>
      <c r="Y368" s="2"/>
      <c r="Z368" s="14">
        <f>IFERROR(Z360+Z361+Z362+Z363+Z364+Z365+Z366+Z367, "NA")</f>
        <v>45293.210000000006</v>
      </c>
      <c r="AA368" s="15">
        <f>IFERROR(Z368/Z444, "NA")</f>
        <v>7.3011958886879808E-3</v>
      </c>
      <c r="AB368" s="2"/>
      <c r="AC368" s="14">
        <f t="shared" si="95"/>
        <v>699.80999999999767</v>
      </c>
      <c r="AD368" s="15">
        <f>IFERROR(AC368/AC444, "NA")</f>
        <v>1.5997176417554568E-3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98</v>
      </c>
      <c r="C370" s="8">
        <f>IFERROR(B370/B444, "NA")</f>
        <v>1.3825790887085455E-4</v>
      </c>
      <c r="D370" s="9"/>
      <c r="E370" s="7">
        <v>635</v>
      </c>
      <c r="F370" s="8">
        <f>IFERROR(E370/E444, "NA")</f>
        <v>9.6666856752779739E-4</v>
      </c>
      <c r="G370" s="9"/>
      <c r="H370" s="10">
        <f t="shared" si="92"/>
        <v>537</v>
      </c>
      <c r="I370" s="8">
        <f>IFERROR(H370/H444, "NA")</f>
        <v>1.0341849149589924E-2</v>
      </c>
      <c r="J370" s="9"/>
      <c r="K370" s="7">
        <v>98</v>
      </c>
      <c r="L370" s="8">
        <f>IFERROR(K370/K444, "NA")</f>
        <v>1.6651038194780073E-4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3060.49</v>
      </c>
      <c r="R370" s="8">
        <f>IFERROR(Q370/Q444, "NA")</f>
        <v>4.6084835374356371E-4</v>
      </c>
      <c r="S370" s="9"/>
      <c r="T370" s="7">
        <v>6985</v>
      </c>
      <c r="U370" s="8">
        <f>IFERROR(T370/T444, "NA")</f>
        <v>1.0022649163927179E-3</v>
      </c>
      <c r="V370" s="9"/>
      <c r="W370" s="10">
        <f t="shared" si="94"/>
        <v>3924.51</v>
      </c>
      <c r="X370" s="8">
        <f>IFERROR(W370/W444, "NA")</f>
        <v>-1.1956810811500828E-2</v>
      </c>
      <c r="Y370" s="9"/>
      <c r="Z370" s="7">
        <v>5915.27</v>
      </c>
      <c r="AA370" s="8">
        <f>IFERROR(Z370/Z444, "NA")</f>
        <v>9.5353243906712174E-4</v>
      </c>
      <c r="AB370" s="9"/>
      <c r="AC370" s="10">
        <f t="shared" si="95"/>
        <v>2854.7800000000007</v>
      </c>
      <c r="AD370" s="8">
        <f>IFERROR(AC370/AC444, "NA")</f>
        <v>6.5258311960827353E-3</v>
      </c>
    </row>
    <row r="371" spans="1:30" ht="16.5" customHeight="1" x14ac:dyDescent="0.45">
      <c r="A371" s="20" t="s">
        <v>339</v>
      </c>
      <c r="B371" s="7">
        <v>207.71</v>
      </c>
      <c r="C371" s="8">
        <f>IFERROR(B371/B444, "NA")</f>
        <v>2.9303622705678775E-4</v>
      </c>
      <c r="D371" s="9"/>
      <c r="E371" s="7">
        <v>100</v>
      </c>
      <c r="F371" s="8">
        <f>IFERROR(E371/E444, "NA")</f>
        <v>1.5223127047681847E-4</v>
      </c>
      <c r="G371" s="9"/>
      <c r="H371" s="10">
        <f t="shared" si="92"/>
        <v>-107.71000000000001</v>
      </c>
      <c r="I371" s="8">
        <f>IFERROR(H371/H444, "NA")</f>
        <v>-2.0743399849205415E-3</v>
      </c>
      <c r="J371" s="9"/>
      <c r="K371" s="7">
        <v>119.4</v>
      </c>
      <c r="L371" s="8">
        <f>IFERROR(K371/K444, "NA")</f>
        <v>2.0287081229150415E-4</v>
      </c>
      <c r="M371" s="9"/>
      <c r="N371" s="10">
        <f t="shared" si="93"/>
        <v>-88.31</v>
      </c>
      <c r="O371" s="8">
        <f>IFERROR(N371/N444, "NA")</f>
        <v>-7.3427482815092082E-4</v>
      </c>
      <c r="P371" s="9"/>
      <c r="Q371" s="7">
        <v>5463.66</v>
      </c>
      <c r="R371" s="8">
        <f>IFERROR(Q371/Q444, "NA")</f>
        <v>8.2271751138365411E-4</v>
      </c>
      <c r="S371" s="9"/>
      <c r="T371" s="7">
        <v>1100</v>
      </c>
      <c r="U371" s="8">
        <f>IFERROR(T371/T444, "NA")</f>
        <v>1.5783699470751464E-4</v>
      </c>
      <c r="V371" s="9"/>
      <c r="W371" s="10">
        <f t="shared" si="94"/>
        <v>-4363.66</v>
      </c>
      <c r="X371" s="8">
        <f>IFERROR(W371/W444, "NA")</f>
        <v>1.3294769809661258E-2</v>
      </c>
      <c r="Y371" s="9"/>
      <c r="Z371" s="7">
        <v>4895.09</v>
      </c>
      <c r="AA371" s="8">
        <f>IFERROR(Z371/Z444, "NA")</f>
        <v>7.890809899046158E-4</v>
      </c>
      <c r="AB371" s="9"/>
      <c r="AC371" s="10">
        <f t="shared" si="95"/>
        <v>-568.56999999999971</v>
      </c>
      <c r="AD371" s="8">
        <f>IFERROR(AC371/AC444, "NA")</f>
        <v>-1.2997120069346002E-3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3.9103004695647712E-4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-5.3378963292213021E-3</v>
      </c>
      <c r="J372" s="9"/>
      <c r="K372" s="7">
        <v>1354.1</v>
      </c>
      <c r="L372" s="8">
        <f>IFERROR(K372/K444, "NA")</f>
        <v>2.300731716280785E-3</v>
      </c>
      <c r="M372" s="9"/>
      <c r="N372" s="10">
        <f t="shared" si="93"/>
        <v>1076.9299999999998</v>
      </c>
      <c r="O372" s="8">
        <f>IFERROR(N372/N444, "NA")</f>
        <v>8.9543946402510597E-3</v>
      </c>
      <c r="P372" s="9"/>
      <c r="Q372" s="7">
        <v>4891.7</v>
      </c>
      <c r="R372" s="8">
        <f>IFERROR(Q372/Q444, "NA")</f>
        <v>7.3659181765252976E-4</v>
      </c>
      <c r="S372" s="9"/>
      <c r="T372" s="7">
        <v>3500</v>
      </c>
      <c r="U372" s="8">
        <f>IFERROR(T372/T444, "NA")</f>
        <v>5.0220861952391023E-4</v>
      </c>
      <c r="V372" s="9"/>
      <c r="W372" s="10">
        <f t="shared" si="94"/>
        <v>-1391.6999999999998</v>
      </c>
      <c r="X372" s="8">
        <f>IFERROR(W372/W444, "NA")</f>
        <v>4.2400945866785155E-3</v>
      </c>
      <c r="Y372" s="9"/>
      <c r="Z372" s="7">
        <v>4804.1000000000004</v>
      </c>
      <c r="AA372" s="8">
        <f>IFERROR(Z372/Z444, "NA")</f>
        <v>7.7441354165107583E-4</v>
      </c>
      <c r="AB372" s="9"/>
      <c r="AC372" s="10">
        <f t="shared" si="95"/>
        <v>-87.599999999999454</v>
      </c>
      <c r="AD372" s="8">
        <f>IFERROR(AC372/AC444, "NA")</f>
        <v>-2.0024758922818707E-4</v>
      </c>
    </row>
    <row r="373" spans="1:30" ht="16.5" customHeight="1" x14ac:dyDescent="0.45">
      <c r="A373" s="20" t="s">
        <v>341</v>
      </c>
      <c r="B373" s="7">
        <v>629.17999999999995</v>
      </c>
      <c r="C373" s="8">
        <f>IFERROR(B373/B444, "NA")</f>
        <v>8.8764399085065578E-4</v>
      </c>
      <c r="D373" s="9"/>
      <c r="E373" s="7">
        <v>325</v>
      </c>
      <c r="F373" s="8">
        <f>IFERROR(E373/E444, "NA")</f>
        <v>4.9475162904966011E-4</v>
      </c>
      <c r="G373" s="9"/>
      <c r="H373" s="10">
        <f t="shared" si="92"/>
        <v>-304.17999999999995</v>
      </c>
      <c r="I373" s="8">
        <f>IFERROR(H373/H444, "NA")</f>
        <v>-5.858070157024697E-3</v>
      </c>
      <c r="J373" s="9"/>
      <c r="K373" s="7">
        <v>352</v>
      </c>
      <c r="L373" s="8">
        <f>IFERROR(K373/K444, "NA")</f>
        <v>5.9807810658801894E-4</v>
      </c>
      <c r="M373" s="9"/>
      <c r="N373" s="10">
        <f t="shared" si="93"/>
        <v>-277.17999999999995</v>
      </c>
      <c r="O373" s="8">
        <f>IFERROR(N373/N444, "NA")</f>
        <v>-2.304680068699719E-3</v>
      </c>
      <c r="P373" s="9"/>
      <c r="Q373" s="7">
        <v>7726.06</v>
      </c>
      <c r="R373" s="8">
        <f>IFERROR(Q373/Q444, "NA")</f>
        <v>1.1633895330237962E-3</v>
      </c>
      <c r="S373" s="9"/>
      <c r="T373" s="7">
        <v>3575</v>
      </c>
      <c r="U373" s="8">
        <f>IFERROR(T373/T444, "NA")</f>
        <v>5.129702327994225E-4</v>
      </c>
      <c r="V373" s="9"/>
      <c r="W373" s="10">
        <f t="shared" si="94"/>
        <v>-4151.0600000000004</v>
      </c>
      <c r="X373" s="8">
        <f>IFERROR(W373/W444, "NA")</f>
        <v>1.2647041054090482E-2</v>
      </c>
      <c r="Y373" s="9"/>
      <c r="Z373" s="7">
        <v>7401.25</v>
      </c>
      <c r="AA373" s="8">
        <f>IFERROR(Z373/Z444, "NA")</f>
        <v>1.1930701328334182E-3</v>
      </c>
      <c r="AB373" s="9"/>
      <c r="AC373" s="10">
        <f t="shared" si="95"/>
        <v>-324.8100000000004</v>
      </c>
      <c r="AD373" s="8">
        <f>IFERROR(AC373/AC444, "NA")</f>
        <v>-7.4249337279917726E-4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3.0325461515833471E-3</v>
      </c>
      <c r="D374" s="9"/>
      <c r="E374" s="7">
        <v>1900</v>
      </c>
      <c r="F374" s="8">
        <f>IFERROR(E374/E444, "NA")</f>
        <v>2.8923941390595512E-3</v>
      </c>
      <c r="G374" s="9"/>
      <c r="H374" s="10">
        <f t="shared" si="92"/>
        <v>-249.5300000000002</v>
      </c>
      <c r="I374" s="8">
        <f>IFERROR(H374/H444, "NA")</f>
        <v>-4.8055896057675523E-3</v>
      </c>
      <c r="J374" s="9"/>
      <c r="K374" s="7">
        <v>1897.01</v>
      </c>
      <c r="L374" s="8">
        <f>IFERROR(K374/K444, "NA")</f>
        <v>3.2231822414163004E-3</v>
      </c>
      <c r="M374" s="9"/>
      <c r="N374" s="10">
        <f t="shared" si="93"/>
        <v>-252.52000000000021</v>
      </c>
      <c r="O374" s="8">
        <f>IFERROR(N374/N444, "NA")</f>
        <v>-2.0996385415544181E-3</v>
      </c>
      <c r="P374" s="9"/>
      <c r="Q374" s="7">
        <v>22481.19</v>
      </c>
      <c r="R374" s="8">
        <f>IFERROR(Q374/Q444, "NA")</f>
        <v>3.3852158973550861E-3</v>
      </c>
      <c r="S374" s="9"/>
      <c r="T374" s="7">
        <v>20900</v>
      </c>
      <c r="U374" s="8">
        <f>IFERROR(T374/T444, "NA")</f>
        <v>2.998902899442778E-3</v>
      </c>
      <c r="V374" s="9"/>
      <c r="W374" s="10">
        <f t="shared" si="94"/>
        <v>-1581.1899999999987</v>
      </c>
      <c r="X374" s="8">
        <f>IFERROR(W374/W444, "NA")</f>
        <v>4.8174140687721476E-3</v>
      </c>
      <c r="Y374" s="9"/>
      <c r="Z374" s="7">
        <v>20208.759999999998</v>
      </c>
      <c r="AA374" s="8">
        <f>IFERROR(Z374/Z444, "NA")</f>
        <v>3.257621074493993E-3</v>
      </c>
      <c r="AB374" s="9"/>
      <c r="AC374" s="10">
        <f t="shared" si="95"/>
        <v>-2272.4300000000003</v>
      </c>
      <c r="AD374" s="8">
        <f>IFERROR(AC374/AC444, "NA")</f>
        <v>-5.1946190546782196E-3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4164.08</v>
      </c>
      <c r="R375" s="8">
        <f>IFERROR(Q375/Q444, "NA")</f>
        <v>6.2702685284268171E-4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-4164.08</v>
      </c>
      <c r="X375" s="8">
        <f>IFERROR(W375/W444, "NA")</f>
        <v>1.2686709108641428E-2</v>
      </c>
      <c r="Y375" s="9"/>
      <c r="Z375" s="7">
        <v>1344.99</v>
      </c>
      <c r="AA375" s="8">
        <f>IFERROR(Z375/Z444, "NA")</f>
        <v>2.168103223049646E-4</v>
      </c>
      <c r="AB375" s="9"/>
      <c r="AC375" s="10">
        <f t="shared" si="95"/>
        <v>-2819.09</v>
      </c>
      <c r="AD375" s="8">
        <f>IFERROR(AC375/AC444, "NA")</f>
        <v>-6.4442463049919343E-3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-1390.08</v>
      </c>
      <c r="R376" s="8">
        <f>IFERROR(Q376/Q444, "NA")</f>
        <v>-2.0931814172627685E-4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1390.08</v>
      </c>
      <c r="X376" s="8">
        <f>IFERROR(W376/W444, "NA")</f>
        <v>-4.2351589301214852E-3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1390.08</v>
      </c>
      <c r="AD376" s="8">
        <f>IFERROR(AC376/AC444, "NA")</f>
        <v>3.177627498108676E-3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9074.3700000000008</v>
      </c>
      <c r="C378" s="8">
        <f>IFERROR(B378/B444, "NA")</f>
        <v>1.2802075719596087E-2</v>
      </c>
      <c r="D378" s="9"/>
      <c r="E378" s="7">
        <v>8470.33</v>
      </c>
      <c r="F378" s="8">
        <f>IFERROR(E378/E444, "NA")</f>
        <v>1.2894490972579099E-2</v>
      </c>
      <c r="G378" s="9"/>
      <c r="H378" s="10">
        <f t="shared" si="92"/>
        <v>-604.04000000000087</v>
      </c>
      <c r="I378" s="8">
        <f>IFERROR(H378/H444, "NA")</f>
        <v>-1.1632943315304109E-2</v>
      </c>
      <c r="J378" s="9"/>
      <c r="K378" s="7">
        <v>10052.52</v>
      </c>
      <c r="L378" s="8">
        <f>IFERROR(K378/K444, "NA")</f>
        <v>1.7080091272835773E-2</v>
      </c>
      <c r="M378" s="9"/>
      <c r="N378" s="10">
        <f t="shared" si="93"/>
        <v>978.14999999999964</v>
      </c>
      <c r="O378" s="8">
        <f>IFERROR(N378/N444, "NA")</f>
        <v>8.133064467849881E-3</v>
      </c>
      <c r="P378" s="9"/>
      <c r="Q378" s="7">
        <v>103828.3</v>
      </c>
      <c r="R378" s="8">
        <f>IFERROR(Q378/Q444, "NA")</f>
        <v>1.563445759567679E-2</v>
      </c>
      <c r="S378" s="9"/>
      <c r="T378" s="7">
        <v>93173.63</v>
      </c>
      <c r="U378" s="8">
        <f>IFERROR(T378/T444, "NA")</f>
        <v>1.3369314313809024E-2</v>
      </c>
      <c r="V378" s="9"/>
      <c r="W378" s="10">
        <f t="shared" si="94"/>
        <v>-10654.669999999998</v>
      </c>
      <c r="X378" s="8">
        <f>IFERROR(W378/W444, "NA")</f>
        <v>3.2461599906478393E-2</v>
      </c>
      <c r="Y378" s="9"/>
      <c r="Z378" s="7">
        <v>76232.850000000006</v>
      </c>
      <c r="AA378" s="8">
        <f>IFERROR(Z378/Z444, "NA")</f>
        <v>1.2288618338222606E-2</v>
      </c>
      <c r="AB378" s="9"/>
      <c r="AC378" s="10">
        <f t="shared" si="95"/>
        <v>-27595.449999999997</v>
      </c>
      <c r="AD378" s="8">
        <f>IFERROR(AC378/AC444, "NA")</f>
        <v>-6.3081305207385946E-2</v>
      </c>
    </row>
    <row r="379" spans="1:30" ht="16.5" customHeight="1" x14ac:dyDescent="0.45">
      <c r="A379" s="20" t="s">
        <v>347</v>
      </c>
      <c r="B379" s="7">
        <v>1024.31</v>
      </c>
      <c r="C379" s="8">
        <f>IFERROR(B379/B444, "NA")</f>
        <v>1.4450914146480105E-3</v>
      </c>
      <c r="D379" s="9"/>
      <c r="E379" s="7">
        <v>200</v>
      </c>
      <c r="F379" s="8">
        <f>IFERROR(E379/E444, "NA")</f>
        <v>3.0446254095363695E-4</v>
      </c>
      <c r="G379" s="9"/>
      <c r="H379" s="10">
        <f t="shared" si="92"/>
        <v>-824.31</v>
      </c>
      <c r="I379" s="8">
        <f>IFERROR(H379/H444, "NA")</f>
        <v>-1.5875027323088396E-2</v>
      </c>
      <c r="J379" s="9"/>
      <c r="K379" s="7">
        <v>115.67</v>
      </c>
      <c r="L379" s="8">
        <f>IFERROR(K379/K444, "NA")</f>
        <v>1.9653322326430725E-4</v>
      </c>
      <c r="M379" s="9"/>
      <c r="N379" s="10">
        <f t="shared" si="93"/>
        <v>-908.64</v>
      </c>
      <c r="O379" s="8">
        <f>IFERROR(N379/N444, "NA")</f>
        <v>-7.5551067812371494E-3</v>
      </c>
      <c r="P379" s="9"/>
      <c r="Q379" s="7">
        <v>8479.73</v>
      </c>
      <c r="R379" s="8">
        <f>IFERROR(Q379/Q444, "NA")</f>
        <v>1.2768771048720662E-3</v>
      </c>
      <c r="S379" s="9"/>
      <c r="T379" s="7">
        <v>2200</v>
      </c>
      <c r="U379" s="8">
        <f>IFERROR(T379/T444, "NA")</f>
        <v>3.1567398941502927E-4</v>
      </c>
      <c r="V379" s="9"/>
      <c r="W379" s="10">
        <f t="shared" si="94"/>
        <v>-6279.73</v>
      </c>
      <c r="X379" s="8">
        <f>IFERROR(W379/W444, "NA")</f>
        <v>1.9132463303012628E-2</v>
      </c>
      <c r="Y379" s="9"/>
      <c r="Z379" s="7">
        <v>5224.18</v>
      </c>
      <c r="AA379" s="8">
        <f>IFERROR(Z379/Z444, "NA")</f>
        <v>8.4212979247366151E-4</v>
      </c>
      <c r="AB379" s="9"/>
      <c r="AC379" s="10">
        <f t="shared" si="95"/>
        <v>-3255.5499999999993</v>
      </c>
      <c r="AD379" s="8">
        <f>IFERROR(AC379/AC444, "NA")</f>
        <v>-7.4419639168016938E-3</v>
      </c>
    </row>
    <row r="380" spans="1:30" ht="16.5" customHeight="1" x14ac:dyDescent="0.45">
      <c r="A380" s="20" t="s">
        <v>348</v>
      </c>
      <c r="B380" s="7">
        <v>11800</v>
      </c>
      <c r="C380" s="8">
        <f>IFERROR(B380/B444, "NA")</f>
        <v>1.6647380864041671E-2</v>
      </c>
      <c r="D380" s="9"/>
      <c r="E380" s="7">
        <v>11500</v>
      </c>
      <c r="F380" s="8">
        <f>IFERROR(E380/E444, "NA")</f>
        <v>1.7506596104834127E-2</v>
      </c>
      <c r="G380" s="9"/>
      <c r="H380" s="10">
        <f t="shared" si="92"/>
        <v>-300</v>
      </c>
      <c r="I380" s="8">
        <f>IFERROR(H380/H444, "NA")</f>
        <v>-5.7775693573128058E-3</v>
      </c>
      <c r="J380" s="9"/>
      <c r="K380" s="7">
        <v>11500</v>
      </c>
      <c r="L380" s="8">
        <f>IFERROR(K380/K444, "NA")</f>
        <v>1.953948359591539E-2</v>
      </c>
      <c r="M380" s="9"/>
      <c r="N380" s="10">
        <f t="shared" si="93"/>
        <v>-300</v>
      </c>
      <c r="O380" s="8">
        <f>IFERROR(N380/N444, "NA")</f>
        <v>-2.4944224713540509E-3</v>
      </c>
      <c r="P380" s="9"/>
      <c r="Q380" s="7">
        <v>128300</v>
      </c>
      <c r="R380" s="8">
        <f>IFERROR(Q380/Q444, "NA")</f>
        <v>1.9319404338945471E-2</v>
      </c>
      <c r="S380" s="9"/>
      <c r="T380" s="7">
        <v>126500</v>
      </c>
      <c r="U380" s="8">
        <f>IFERROR(T380/T444, "NA")</f>
        <v>1.8151254391364183E-2</v>
      </c>
      <c r="V380" s="9"/>
      <c r="W380" s="10">
        <f t="shared" si="94"/>
        <v>-1800</v>
      </c>
      <c r="X380" s="8">
        <f>IFERROR(W380/W444, "NA")</f>
        <v>5.4840628411448799E-3</v>
      </c>
      <c r="Y380" s="9"/>
      <c r="Z380" s="7">
        <v>126500</v>
      </c>
      <c r="AA380" s="8">
        <f>IFERROR(Z380/Z444, "NA")</f>
        <v>2.0391605715713888E-2</v>
      </c>
      <c r="AB380" s="9"/>
      <c r="AC380" s="10">
        <f t="shared" si="95"/>
        <v>-1800</v>
      </c>
      <c r="AD380" s="8">
        <f>IFERROR(AC380/AC444, "NA")</f>
        <v>-4.1146764909901715E-3</v>
      </c>
    </row>
    <row r="381" spans="1:30" ht="16.5" customHeight="1" x14ac:dyDescent="0.45">
      <c r="A381" s="20" t="s">
        <v>349</v>
      </c>
      <c r="B381" s="7">
        <v>9193.75</v>
      </c>
      <c r="C381" s="8">
        <f>IFERROR(B381/B444, "NA")</f>
        <v>1.2970496425320603E-2</v>
      </c>
      <c r="D381" s="9"/>
      <c r="E381" s="7">
        <v>4000</v>
      </c>
      <c r="F381" s="8">
        <f>IFERROR(E381/E444, "NA")</f>
        <v>6.0892508190727394E-3</v>
      </c>
      <c r="G381" s="9"/>
      <c r="H381" s="10">
        <f t="shared" si="92"/>
        <v>-5193.75</v>
      </c>
      <c r="I381" s="8">
        <f>IFERROR(H381/H444, "NA")</f>
        <v>-0.10002416949847796</v>
      </c>
      <c r="J381" s="9"/>
      <c r="K381" s="7">
        <v>12572.55</v>
      </c>
      <c r="L381" s="8">
        <f>IFERROR(K381/K444, "NA")</f>
        <v>2.1361837781202264E-2</v>
      </c>
      <c r="M381" s="9"/>
      <c r="N381" s="10">
        <f t="shared" si="93"/>
        <v>3378.7999999999993</v>
      </c>
      <c r="O381" s="8">
        <f>IFERROR(N381/N444, "NA")</f>
        <v>2.8093848820703551E-2</v>
      </c>
      <c r="P381" s="9"/>
      <c r="Q381" s="7">
        <v>63559.01</v>
      </c>
      <c r="R381" s="8">
        <f>IFERROR(Q381/Q444, "NA")</f>
        <v>9.5707109397745807E-3</v>
      </c>
      <c r="S381" s="9"/>
      <c r="T381" s="7">
        <v>44000</v>
      </c>
      <c r="U381" s="8">
        <f>IFERROR(T381/T444, "NA")</f>
        <v>6.3134797883005848E-3</v>
      </c>
      <c r="V381" s="9"/>
      <c r="W381" s="10">
        <f t="shared" si="94"/>
        <v>-19559.010000000002</v>
      </c>
      <c r="X381" s="8">
        <f>IFERROR(W381/W444, "NA")</f>
        <v>5.9590466639211734E-2</v>
      </c>
      <c r="Y381" s="9"/>
      <c r="Z381" s="7">
        <v>145958.72</v>
      </c>
      <c r="AA381" s="8">
        <f>IFERROR(Z381/Z444, "NA")</f>
        <v>2.3528321494152436E-2</v>
      </c>
      <c r="AB381" s="9"/>
      <c r="AC381" s="10">
        <f t="shared" si="95"/>
        <v>82399.709999999992</v>
      </c>
      <c r="AD381" s="8">
        <f>IFERROR(AC381/AC444, "NA")</f>
        <v>0.18836008311189315</v>
      </c>
    </row>
    <row r="382" spans="1:30" ht="16.5" customHeight="1" x14ac:dyDescent="0.45">
      <c r="A382" s="20" t="s">
        <v>350</v>
      </c>
      <c r="B382" s="7">
        <v>727.16</v>
      </c>
      <c r="C382" s="8">
        <f>IFERROR(B382/B444, "NA")</f>
        <v>1.0258736838217408E-3</v>
      </c>
      <c r="D382" s="9"/>
      <c r="E382" s="7">
        <v>795</v>
      </c>
      <c r="F382" s="8">
        <f>IFERROR(E382/E444, "NA")</f>
        <v>1.2102386002907069E-3</v>
      </c>
      <c r="G382" s="9"/>
      <c r="H382" s="10">
        <f t="shared" si="92"/>
        <v>67.840000000000032</v>
      </c>
      <c r="I382" s="8">
        <f>IFERROR(H382/H444, "NA")</f>
        <v>1.3065010173336699E-3</v>
      </c>
      <c r="J382" s="9"/>
      <c r="K382" s="7">
        <v>505.62</v>
      </c>
      <c r="L382" s="8">
        <f>IFERROR(K382/K444, "NA")</f>
        <v>8.5909162571884694E-4</v>
      </c>
      <c r="M382" s="9"/>
      <c r="N382" s="10">
        <f t="shared" si="93"/>
        <v>-221.53999999999996</v>
      </c>
      <c r="O382" s="8">
        <f>IFERROR(N382/N444, "NA")</f>
        <v>-1.8420478476792546E-3</v>
      </c>
      <c r="P382" s="9"/>
      <c r="Q382" s="7">
        <v>6165.78</v>
      </c>
      <c r="R382" s="8">
        <f>IFERROR(Q382/Q444, "NA")</f>
        <v>9.2844268811366492E-4</v>
      </c>
      <c r="S382" s="9"/>
      <c r="T382" s="7">
        <v>8745</v>
      </c>
      <c r="U382" s="8">
        <f>IFERROR(T382/T444, "NA")</f>
        <v>1.2548041079247414E-3</v>
      </c>
      <c r="V382" s="9"/>
      <c r="W382" s="10">
        <f t="shared" si="94"/>
        <v>2579.2200000000003</v>
      </c>
      <c r="X382" s="8">
        <f>IFERROR(W382/W444, "NA")</f>
        <v>-7.8581136450764991E-3</v>
      </c>
      <c r="Y382" s="9"/>
      <c r="Z382" s="7">
        <v>3518.49</v>
      </c>
      <c r="AA382" s="8">
        <f>IFERROR(Z382/Z444, "NA")</f>
        <v>5.6717518414768501E-4</v>
      </c>
      <c r="AB382" s="9"/>
      <c r="AC382" s="10">
        <f t="shared" si="95"/>
        <v>-2647.29</v>
      </c>
      <c r="AD382" s="8">
        <f>IFERROR(AC382/AC444, "NA")</f>
        <v>-6.0515232932407612E-3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734.67</v>
      </c>
      <c r="C385" s="8">
        <f>IFERROR(B385/B444, "NA")</f>
        <v>1.0364687541852113E-3</v>
      </c>
      <c r="D385" s="9"/>
      <c r="E385" s="7">
        <v>1313.79</v>
      </c>
      <c r="F385" s="8">
        <f>IFERROR(E385/E444, "NA")</f>
        <v>1.9999992083973932E-3</v>
      </c>
      <c r="G385" s="9"/>
      <c r="H385" s="10">
        <f>IFERROR(-(B385-E385), "NA")</f>
        <v>579.12</v>
      </c>
      <c r="I385" s="8">
        <f>IFERROR(H385/H444, "NA")</f>
        <v>1.1153019887356641E-2</v>
      </c>
      <c r="J385" s="9"/>
      <c r="K385" s="7">
        <v>996.57</v>
      </c>
      <c r="L385" s="8">
        <f>IFERROR(K385/K444, "NA")</f>
        <v>1.6932576667114262E-3</v>
      </c>
      <c r="M385" s="9"/>
      <c r="N385" s="10">
        <f>IFERROR(-(B385-K385), "NA")</f>
        <v>261.90000000000009</v>
      </c>
      <c r="O385" s="8">
        <f>IFERROR(N385/N444, "NA")</f>
        <v>2.1776308174920873E-3</v>
      </c>
      <c r="P385" s="9"/>
      <c r="Q385" s="7">
        <v>25060.55</v>
      </c>
      <c r="R385" s="8">
        <f>IFERROR(Q385/Q444, "NA")</f>
        <v>3.773615731927981E-3</v>
      </c>
      <c r="S385" s="9"/>
      <c r="T385" s="7">
        <v>24529.67</v>
      </c>
      <c r="U385" s="8">
        <f>IFERROR(T385/T444, "NA")</f>
        <v>3.5197176308791639E-3</v>
      </c>
      <c r="V385" s="9"/>
      <c r="W385" s="10">
        <f>IFERROR(-(Q385-T385), "NA")</f>
        <v>-530.88000000000102</v>
      </c>
      <c r="X385" s="8">
        <f>IFERROR(W385/W444, "NA")</f>
        <v>1.617432933948333E-3</v>
      </c>
      <c r="Y385" s="9"/>
      <c r="Z385" s="7">
        <v>32420.14</v>
      </c>
      <c r="AA385" s="8">
        <f>IFERROR(Z385/Z444, "NA")</f>
        <v>5.2260767757173468E-3</v>
      </c>
      <c r="AB385" s="9"/>
      <c r="AC385" s="10">
        <f>IFERROR(-(Q385-Z385), "NA")</f>
        <v>7359.59</v>
      </c>
      <c r="AD385" s="8">
        <f>IFERROR(AC385/AC444, "NA")</f>
        <v>1.6823517753514643E-2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260.7</v>
      </c>
      <c r="R386" s="8">
        <f>IFERROR(Q386/Q444, "NA")</f>
        <v>3.925618636915888E-5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-260.7</v>
      </c>
      <c r="X386" s="8">
        <f>IFERROR(W386/W444, "NA")</f>
        <v>7.9427510149248336E-4</v>
      </c>
      <c r="Y386" s="9"/>
      <c r="Z386" s="7">
        <v>5255.6</v>
      </c>
      <c r="AA386" s="8">
        <f>IFERROR(Z386/Z444, "NA")</f>
        <v>8.4719464821743807E-4</v>
      </c>
      <c r="AB386" s="9"/>
      <c r="AC386" s="10">
        <f>IFERROR(-(Q386-Z386), "NA")</f>
        <v>4994.9000000000005</v>
      </c>
      <c r="AD386" s="8">
        <f>IFERROR(AC386/AC444, "NA")</f>
        <v>1.1417998669359337E-2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5967.58</v>
      </c>
      <c r="C389" s="8">
        <f>IFERROR(B389/B444, "NA")</f>
        <v>8.4190319573421851E-3</v>
      </c>
      <c r="D389" s="9"/>
      <c r="E389" s="7">
        <v>2922.82</v>
      </c>
      <c r="F389" s="8">
        <f>IFERROR(E389/E444, "NA")</f>
        <v>4.4494460197505459E-3</v>
      </c>
      <c r="G389" s="9"/>
      <c r="H389" s="10">
        <f t="shared" si="96"/>
        <v>-3044.7599999999998</v>
      </c>
      <c r="I389" s="8">
        <f>IFERROR(H389/H444, "NA")</f>
        <v>-5.8637706921239131E-2</v>
      </c>
      <c r="J389" s="9"/>
      <c r="K389" s="7">
        <v>5990.52</v>
      </c>
      <c r="L389" s="8">
        <f>IFERROR(K389/K444, "NA")</f>
        <v>1.0178405849652442E-2</v>
      </c>
      <c r="M389" s="9"/>
      <c r="N389" s="10">
        <f t="shared" si="97"/>
        <v>22.940000000000509</v>
      </c>
      <c r="O389" s="8">
        <f>IFERROR(N389/N444, "NA")</f>
        <v>1.9074017164287733E-4</v>
      </c>
      <c r="P389" s="9"/>
      <c r="Q389" s="7">
        <v>55649.87</v>
      </c>
      <c r="R389" s="8">
        <f>IFERROR(Q389/Q444, "NA")</f>
        <v>8.3797532341368004E-3</v>
      </c>
      <c r="S389" s="9"/>
      <c r="T389" s="7">
        <v>32190.12</v>
      </c>
      <c r="U389" s="8">
        <f>IFERROR(T389/T444, "NA")</f>
        <v>4.6189016364311464E-3</v>
      </c>
      <c r="V389" s="9"/>
      <c r="W389" s="10">
        <f t="shared" si="98"/>
        <v>-23459.750000000004</v>
      </c>
      <c r="X389" s="8">
        <f>IFERROR(W389/W444, "NA")</f>
        <v>7.1474857354193677E-2</v>
      </c>
      <c r="Y389" s="9"/>
      <c r="Z389" s="7">
        <v>32237.54</v>
      </c>
      <c r="AA389" s="8">
        <f>IFERROR(Z389/Z444, "NA")</f>
        <v>5.1966419361624905E-3</v>
      </c>
      <c r="AB389" s="9"/>
      <c r="AC389" s="10">
        <f t="shared" si="99"/>
        <v>-23412.33</v>
      </c>
      <c r="AD389" s="8">
        <f>IFERROR(AC389/AC444, "NA")</f>
        <v>-5.3518979916835512E-2</v>
      </c>
    </row>
    <row r="390" spans="1:30" ht="16.5" customHeight="1" x14ac:dyDescent="0.45">
      <c r="A390" s="12" t="s">
        <v>356</v>
      </c>
      <c r="B390" s="7">
        <v>5791.45</v>
      </c>
      <c r="C390" s="8">
        <f>IFERROR(B390/B444, "NA")</f>
        <v>8.1705486360215372E-3</v>
      </c>
      <c r="D390" s="9"/>
      <c r="E390" s="7">
        <v>14202.3</v>
      </c>
      <c r="F390" s="8">
        <f>IFERROR(E390/E444, "NA")</f>
        <v>2.1620341726929188E-2</v>
      </c>
      <c r="G390" s="9"/>
      <c r="H390" s="10">
        <f t="shared" si="96"/>
        <v>8410.8499999999985</v>
      </c>
      <c r="I390" s="8">
        <f>IFERROR(H390/H444, "NA")</f>
        <v>0.16198089742984803</v>
      </c>
      <c r="J390" s="9"/>
      <c r="K390" s="7">
        <v>11933.58</v>
      </c>
      <c r="L390" s="8">
        <f>IFERROR(K390/K444, "NA")</f>
        <v>2.0276173100047305E-2</v>
      </c>
      <c r="M390" s="9"/>
      <c r="N390" s="10">
        <f t="shared" si="97"/>
        <v>6142.13</v>
      </c>
      <c r="O390" s="8">
        <f>IFERROR(N390/N444, "NA")</f>
        <v>5.1070223646592861E-2</v>
      </c>
      <c r="P390" s="9"/>
      <c r="Q390" s="7">
        <v>75436.399999999994</v>
      </c>
      <c r="R390" s="8">
        <f>IFERROR(Q390/Q444, "NA")</f>
        <v>1.1359207431601138E-2</v>
      </c>
      <c r="S390" s="9"/>
      <c r="T390" s="7">
        <v>156415.46</v>
      </c>
      <c r="U390" s="8">
        <f>IFERROR(T390/T444, "NA")</f>
        <v>2.2443769211084968E-2</v>
      </c>
      <c r="V390" s="9"/>
      <c r="W390" s="10">
        <f t="shared" si="98"/>
        <v>80979.06</v>
      </c>
      <c r="X390" s="8">
        <f>IFERROR(W390/W444, "NA")</f>
        <v>-0.2467190299204676</v>
      </c>
      <c r="Y390" s="9"/>
      <c r="Z390" s="7">
        <v>164050.74</v>
      </c>
      <c r="AA390" s="8">
        <f>IFERROR(Z390/Z444, "NA")</f>
        <v>2.6444727331629191E-2</v>
      </c>
      <c r="AB390" s="9"/>
      <c r="AC390" s="10">
        <f t="shared" si="99"/>
        <v>88614.34</v>
      </c>
      <c r="AD390" s="8">
        <f>IFERROR(AC390/AC444, "NA")</f>
        <v>0.20256630086811664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5941.11</v>
      </c>
      <c r="C392" s="8">
        <f>IFERROR(B392/B444, "NA")</f>
        <v>8.3816882139971707E-3</v>
      </c>
      <c r="D392" s="9"/>
      <c r="E392" s="7">
        <v>2181.81</v>
      </c>
      <c r="F392" s="8">
        <f>IFERROR(E392/E444, "NA")</f>
        <v>3.3213970823902732E-3</v>
      </c>
      <c r="G392" s="9"/>
      <c r="H392" s="10">
        <f t="shared" si="96"/>
        <v>-3759.2999999999997</v>
      </c>
      <c r="I392" s="8">
        <f>IFERROR(H392/H444, "NA")</f>
        <v>-7.2398721616486764E-2</v>
      </c>
      <c r="J392" s="9"/>
      <c r="K392" s="7">
        <v>2962.48</v>
      </c>
      <c r="L392" s="8">
        <f>IFERROR(K392/K444, "NA")</f>
        <v>5.033506901150211E-3</v>
      </c>
      <c r="M392" s="9"/>
      <c r="N392" s="10">
        <f t="shared" si="97"/>
        <v>-2978.6299999999997</v>
      </c>
      <c r="O392" s="8">
        <f>IFERROR(N392/N444, "NA")</f>
        <v>-2.4766538686164387E-2</v>
      </c>
      <c r="P392" s="9"/>
      <c r="Q392" s="7">
        <v>52943.72</v>
      </c>
      <c r="R392" s="8">
        <f>IFERROR(Q392/Q444, "NA")</f>
        <v>7.9722613709112562E-3</v>
      </c>
      <c r="S392" s="9"/>
      <c r="T392" s="7">
        <v>24029.15</v>
      </c>
      <c r="U392" s="8">
        <f>IFERROR(T392/T444, "NA")</f>
        <v>3.447898928523705E-3</v>
      </c>
      <c r="V392" s="9"/>
      <c r="W392" s="10">
        <f t="shared" si="98"/>
        <v>-28914.57</v>
      </c>
      <c r="X392" s="8">
        <f>IFERROR(W392/W444, "NA")</f>
        <v>8.809406605815695E-2</v>
      </c>
      <c r="Y392" s="9"/>
      <c r="Z392" s="7">
        <v>21474.82</v>
      </c>
      <c r="AA392" s="8">
        <f>IFERROR(Z392/Z444, "NA")</f>
        <v>3.4617080020231377E-3</v>
      </c>
      <c r="AB392" s="9"/>
      <c r="AC392" s="10">
        <f t="shared" si="99"/>
        <v>-31468.9</v>
      </c>
      <c r="AD392" s="8">
        <f>IFERROR(AC392/AC444, "NA")</f>
        <v>-7.1935746126289224E-2</v>
      </c>
    </row>
    <row r="393" spans="1:30" ht="16.5" customHeight="1" x14ac:dyDescent="0.45">
      <c r="A393" s="13" t="s">
        <v>359</v>
      </c>
      <c r="B393" s="14">
        <f>IFERROR(B388+B389+B390+B391+B392, "NA")</f>
        <v>17700.14</v>
      </c>
      <c r="C393" s="15">
        <f>IFERROR(B393/B444, "NA")</f>
        <v>2.4971268807360891E-2</v>
      </c>
      <c r="D393" s="2"/>
      <c r="E393" s="14">
        <f>IFERROR(E388+E389+E390+E391+E392, "NA")</f>
        <v>19306.93</v>
      </c>
      <c r="F393" s="15">
        <f>IFERROR(E393/E444, "NA")</f>
        <v>2.9391184829070011E-2</v>
      </c>
      <c r="G393" s="2"/>
      <c r="H393" s="14">
        <f t="shared" si="96"/>
        <v>1606.7900000000009</v>
      </c>
      <c r="I393" s="15">
        <f>IFERROR(H393/H444, "NA")</f>
        <v>3.0944468892122164E-2</v>
      </c>
      <c r="J393" s="2"/>
      <c r="K393" s="14">
        <f>IFERROR(K388+K389+K390+K391+K392, "NA")</f>
        <v>20886.579999999998</v>
      </c>
      <c r="L393" s="15">
        <f>IFERROR(K393/K444, "NA")</f>
        <v>3.5488085850849956E-2</v>
      </c>
      <c r="M393" s="2"/>
      <c r="N393" s="14">
        <f t="shared" si="97"/>
        <v>3186.4399999999987</v>
      </c>
      <c r="O393" s="15">
        <f>IFERROR(N393/N444, "NA")</f>
        <v>2.6494425132071332E-2</v>
      </c>
      <c r="P393" s="2"/>
      <c r="Q393" s="14">
        <f>IFERROR(Q388+Q389+Q390+Q391+Q392, "NA")</f>
        <v>184029.99</v>
      </c>
      <c r="R393" s="15">
        <f>IFERROR(Q393/Q444, "NA")</f>
        <v>2.7711222036649195E-2</v>
      </c>
      <c r="S393" s="2"/>
      <c r="T393" s="14">
        <f>IFERROR(T388+T389+T390+T391+T392, "NA")</f>
        <v>212634.72999999998</v>
      </c>
      <c r="U393" s="15">
        <f>IFERROR(T393/T444, "NA")</f>
        <v>3.0510569776039817E-2</v>
      </c>
      <c r="V393" s="2"/>
      <c r="W393" s="14">
        <f t="shared" si="98"/>
        <v>28604.739999999991</v>
      </c>
      <c r="X393" s="15">
        <f>IFERROR(W393/W444, "NA")</f>
        <v>-8.7150106508116956E-2</v>
      </c>
      <c r="Y393" s="2"/>
      <c r="Z393" s="14">
        <f>IFERROR(Z388+Z389+Z390+Z391+Z392, "NA")</f>
        <v>217763.1</v>
      </c>
      <c r="AA393" s="15">
        <f>IFERROR(Z393/Z444, "NA")</f>
        <v>3.510307726981482E-2</v>
      </c>
      <c r="AB393" s="2"/>
      <c r="AC393" s="14">
        <f t="shared" si="99"/>
        <v>33733.110000000015</v>
      </c>
      <c r="AD393" s="15">
        <f>IFERROR(AC393/AC444, "NA")</f>
        <v>7.7111574824991952E-2</v>
      </c>
    </row>
    <row r="394" spans="1:30" ht="16.5" customHeight="1" x14ac:dyDescent="0.45">
      <c r="A394" s="6" t="s">
        <v>360</v>
      </c>
      <c r="B394" s="7">
        <v>105</v>
      </c>
      <c r="C394" s="8">
        <f>IFERROR(B394/B444, "NA")</f>
        <v>1.481334737902013E-4</v>
      </c>
      <c r="D394" s="9"/>
      <c r="E394" s="7">
        <v>3284.48</v>
      </c>
      <c r="F394" s="8">
        <f>IFERROR(E394/E444, "NA")</f>
        <v>5.0000056325570077E-3</v>
      </c>
      <c r="G394" s="9"/>
      <c r="H394" s="10">
        <f t="shared" si="96"/>
        <v>3179.48</v>
      </c>
      <c r="I394" s="8">
        <f>IFERROR(H394/H444, "NA")</f>
        <v>6.1232220733963068E-2</v>
      </c>
      <c r="J394" s="9"/>
      <c r="K394" s="7">
        <v>2610.3000000000002</v>
      </c>
      <c r="L394" s="8">
        <f>IFERROR(K394/K444, "NA")</f>
        <v>4.4351229591667778E-3</v>
      </c>
      <c r="M394" s="9"/>
      <c r="N394" s="10">
        <f t="shared" si="97"/>
        <v>2505.3000000000002</v>
      </c>
      <c r="O394" s="8">
        <f>IFERROR(N394/N444, "NA")</f>
        <v>2.0830922058277683E-2</v>
      </c>
      <c r="P394" s="9"/>
      <c r="Q394" s="7">
        <v>6717.06</v>
      </c>
      <c r="R394" s="8">
        <f>IFERROR(Q394/Q444, "NA")</f>
        <v>1.0114543890020037E-3</v>
      </c>
      <c r="S394" s="9"/>
      <c r="T394" s="7">
        <v>51979.87</v>
      </c>
      <c r="U394" s="8">
        <f>IFERROR(T394/T444, "NA")</f>
        <v>7.45849678735209E-3</v>
      </c>
      <c r="V394" s="9"/>
      <c r="W394" s="10">
        <f t="shared" si="98"/>
        <v>45262.810000000005</v>
      </c>
      <c r="X394" s="8">
        <f>IFERROR(W394/W444, "NA")</f>
        <v>-0.13790227467044494</v>
      </c>
      <c r="Y394" s="9"/>
      <c r="Z394" s="7">
        <v>46262.12</v>
      </c>
      <c r="AA394" s="8">
        <f>IFERROR(Z394/Z444, "NA")</f>
        <v>7.4573826925932157E-3</v>
      </c>
      <c r="AB394" s="9"/>
      <c r="AC394" s="10">
        <f t="shared" si="99"/>
        <v>39545.060000000005</v>
      </c>
      <c r="AD394" s="8">
        <f>IFERROR(AC394/AC444, "NA")</f>
        <v>9.0397293731553224E-2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18539.810000000001</v>
      </c>
      <c r="C396" s="15">
        <f>IFERROR(B396/B444, "NA")</f>
        <v>2.6155871035336307E-2</v>
      </c>
      <c r="D396" s="2"/>
      <c r="E396" s="14">
        <f>IFERROR(E385+E386+E388+E389+E390+E391+E392+E394+E395, "NA")</f>
        <v>23905.200000000001</v>
      </c>
      <c r="F396" s="15">
        <f>IFERROR(E396/E444, "NA")</f>
        <v>3.6391189670024415E-2</v>
      </c>
      <c r="G396" s="2"/>
      <c r="H396" s="14">
        <f t="shared" si="96"/>
        <v>5365.3899999999994</v>
      </c>
      <c r="I396" s="15">
        <f>IFERROR(H396/H444, "NA")</f>
        <v>0.10332970951344185</v>
      </c>
      <c r="J396" s="2"/>
      <c r="K396" s="14">
        <f>IFERROR(K385+K386+K388+K389+K390+K391+K392+K394+K395, "NA")</f>
        <v>24493.449999999997</v>
      </c>
      <c r="L396" s="15">
        <f>IFERROR(K396/K444, "NA")</f>
        <v>4.1616466476728155E-2</v>
      </c>
      <c r="M396" s="2"/>
      <c r="N396" s="14">
        <f t="shared" si="97"/>
        <v>5953.6399999999958</v>
      </c>
      <c r="O396" s="15">
        <f>IFERROR(N396/N444, "NA")</f>
        <v>4.9502978007841071E-2</v>
      </c>
      <c r="P396" s="2"/>
      <c r="Q396" s="14">
        <f>IFERROR(Q385+Q386+Q388+Q389+Q390+Q391+Q392+Q394+Q395, "NA")</f>
        <v>216068.3</v>
      </c>
      <c r="R396" s="15">
        <f>IFERROR(Q396/Q444, "NA")</f>
        <v>3.253554834394834E-2</v>
      </c>
      <c r="S396" s="2"/>
      <c r="T396" s="14">
        <f>IFERROR(T385+T386+T388+T389+T390+T391+T392+T394+T395, "NA")</f>
        <v>289144.27</v>
      </c>
      <c r="U396" s="15">
        <f>IFERROR(T396/T444, "NA")</f>
        <v>4.1488784194271079E-2</v>
      </c>
      <c r="V396" s="2"/>
      <c r="W396" s="14">
        <f t="shared" si="98"/>
        <v>73075.97000000003</v>
      </c>
      <c r="X396" s="15">
        <f>IFERROR(W396/W444, "NA")</f>
        <v>-0.22264067314312119</v>
      </c>
      <c r="Y396" s="2"/>
      <c r="Z396" s="14">
        <f>IFERROR(Z385+Z386+Z388+Z389+Z390+Z391+Z392+Z394+Z395, "NA")</f>
        <v>301700.96000000002</v>
      </c>
      <c r="AA396" s="15">
        <f>IFERROR(Z396/Z444, "NA")</f>
        <v>4.8633731386342825E-2</v>
      </c>
      <c r="AB396" s="2"/>
      <c r="AC396" s="14">
        <f t="shared" si="99"/>
        <v>85632.660000000033</v>
      </c>
      <c r="AD396" s="15">
        <f>IFERROR(AC396/AC444, "NA")</f>
        <v>0.19575038497941918</v>
      </c>
    </row>
    <row r="397" spans="1:30" ht="16.5" customHeight="1" x14ac:dyDescent="0.45">
      <c r="A397" s="20" t="s">
        <v>363</v>
      </c>
      <c r="B397" s="7">
        <v>20607.39</v>
      </c>
      <c r="C397" s="8">
        <f>IFERROR(B397/B444, "NA")</f>
        <v>2.9072802537613872E-2</v>
      </c>
      <c r="D397" s="9"/>
      <c r="E397" s="7">
        <v>20224.240000000002</v>
      </c>
      <c r="F397" s="8">
        <f>IFERROR(E397/E444, "NA")</f>
        <v>3.0787617496280915E-2</v>
      </c>
      <c r="G397" s="9"/>
      <c r="H397" s="10">
        <f t="shared" si="96"/>
        <v>-383.14999999999782</v>
      </c>
      <c r="I397" s="8">
        <f>IFERROR(H397/H444, "NA")</f>
        <v>-7.3789189975146299E-3</v>
      </c>
      <c r="J397" s="9"/>
      <c r="K397" s="7">
        <v>6280.88</v>
      </c>
      <c r="L397" s="8">
        <f>IFERROR(K397/K444, "NA")</f>
        <v>1.0671752324166353E-2</v>
      </c>
      <c r="M397" s="9"/>
      <c r="N397" s="10">
        <f t="shared" si="97"/>
        <v>-14326.509999999998</v>
      </c>
      <c r="O397" s="8">
        <f>IFERROR(N397/N444, "NA")</f>
        <v>-0.11912122826692841</v>
      </c>
      <c r="P397" s="9"/>
      <c r="Q397" s="7">
        <v>118420.7</v>
      </c>
      <c r="R397" s="8">
        <f>IFERROR(Q397/Q444, "NA")</f>
        <v>1.7831780088861729E-2</v>
      </c>
      <c r="S397" s="9"/>
      <c r="T397" s="7">
        <v>204875.73</v>
      </c>
      <c r="U397" s="8">
        <f>IFERROR(T397/T444, "NA")</f>
        <v>2.9397245010643815E-2</v>
      </c>
      <c r="V397" s="9"/>
      <c r="W397" s="10">
        <f t="shared" si="98"/>
        <v>86455.030000000013</v>
      </c>
      <c r="X397" s="8">
        <f>IFERROR(W397/W444, "NA")</f>
        <v>-0.26340267636281439</v>
      </c>
      <c r="Y397" s="9"/>
      <c r="Z397" s="7">
        <v>87964.5</v>
      </c>
      <c r="AA397" s="8">
        <f>IFERROR(Z397/Z444, "NA")</f>
        <v>1.4179742300236477E-2</v>
      </c>
      <c r="AB397" s="9"/>
      <c r="AC397" s="10">
        <f t="shared" si="99"/>
        <v>-30456.199999999997</v>
      </c>
      <c r="AD397" s="8">
        <f>IFERROR(AC397/AC444, "NA")</f>
        <v>-6.9620783413830462E-2</v>
      </c>
    </row>
    <row r="398" spans="1:30" ht="16.5" customHeight="1" x14ac:dyDescent="0.45">
      <c r="A398" s="20" t="s">
        <v>364</v>
      </c>
      <c r="B398" s="7">
        <v>1091.1600000000001</v>
      </c>
      <c r="C398" s="8">
        <f>IFERROR(B398/B444, "NA")</f>
        <v>1.5394030596277721E-3</v>
      </c>
      <c r="D398" s="9"/>
      <c r="E398" s="7">
        <v>75</v>
      </c>
      <c r="F398" s="8">
        <f>IFERROR(E398/E444, "NA")</f>
        <v>1.1417345285761385E-4</v>
      </c>
      <c r="G398" s="9"/>
      <c r="H398" s="10">
        <f t="shared" si="96"/>
        <v>-1016.1600000000001</v>
      </c>
      <c r="I398" s="8">
        <f>IFERROR(H398/H444, "NA")</f>
        <v>-1.956978292708994E-2</v>
      </c>
      <c r="J398" s="9"/>
      <c r="K398" s="7">
        <v>204.26</v>
      </c>
      <c r="L398" s="8">
        <f>IFERROR(K398/K444, "NA")</f>
        <v>3.4705521037405892E-4</v>
      </c>
      <c r="M398" s="9"/>
      <c r="N398" s="10">
        <f t="shared" si="97"/>
        <v>-886.90000000000009</v>
      </c>
      <c r="O398" s="8">
        <f>IFERROR(N398/N444, "NA")</f>
        <v>-7.3743442994796933E-3</v>
      </c>
      <c r="P398" s="9"/>
      <c r="Q398" s="7">
        <v>4460.3999999999996</v>
      </c>
      <c r="R398" s="8">
        <f>IFERROR(Q398/Q444, "NA")</f>
        <v>6.716466961296366E-4</v>
      </c>
      <c r="S398" s="9"/>
      <c r="T398" s="7">
        <v>825</v>
      </c>
      <c r="U398" s="8">
        <f>IFERROR(T398/T444, "NA")</f>
        <v>1.1837774603063597E-4</v>
      </c>
      <c r="V398" s="9"/>
      <c r="W398" s="10">
        <f t="shared" si="98"/>
        <v>-3635.3999999999996</v>
      </c>
      <c r="X398" s="8">
        <f>IFERROR(W398/W444, "NA")</f>
        <v>1.1075978918165608E-2</v>
      </c>
      <c r="Y398" s="9"/>
      <c r="Z398" s="7">
        <v>1226.06</v>
      </c>
      <c r="AA398" s="8">
        <f>IFERROR(Z398/Z444, "NA")</f>
        <v>1.9763898896291041E-4</v>
      </c>
      <c r="AB398" s="9"/>
      <c r="AC398" s="10">
        <f t="shared" si="99"/>
        <v>-3234.3399999999997</v>
      </c>
      <c r="AD398" s="8">
        <f>IFERROR(AC398/AC444, "NA")</f>
        <v>-7.3934793121495273E-3</v>
      </c>
    </row>
    <row r="399" spans="1:30" ht="16.5" customHeight="1" x14ac:dyDescent="0.45">
      <c r="A399" s="20" t="s">
        <v>365</v>
      </c>
      <c r="B399" s="7">
        <v>552.84</v>
      </c>
      <c r="C399" s="8">
        <f>IFERROR(B399/B444, "NA")</f>
        <v>7.7994390143023716E-4</v>
      </c>
      <c r="D399" s="9"/>
      <c r="E399" s="7">
        <v>700</v>
      </c>
      <c r="F399" s="8">
        <f>IFERROR(E399/E444, "NA")</f>
        <v>1.0656188933377293E-3</v>
      </c>
      <c r="G399" s="9"/>
      <c r="H399" s="10">
        <f t="shared" si="96"/>
        <v>147.15999999999997</v>
      </c>
      <c r="I399" s="8">
        <f>IFERROR(H399/H444, "NA")</f>
        <v>2.8340903554071747E-3</v>
      </c>
      <c r="J399" s="9"/>
      <c r="K399" s="7">
        <v>1565.3</v>
      </c>
      <c r="L399" s="8">
        <f>IFERROR(K399/K444, "NA")</f>
        <v>2.6595785802335965E-3</v>
      </c>
      <c r="M399" s="9"/>
      <c r="N399" s="10">
        <f t="shared" si="97"/>
        <v>1012.4599999999999</v>
      </c>
      <c r="O399" s="8">
        <f>IFERROR(N399/N444, "NA")</f>
        <v>8.4183432511570743E-3</v>
      </c>
      <c r="P399" s="9"/>
      <c r="Q399" s="7">
        <v>3974.79</v>
      </c>
      <c r="R399" s="8">
        <f>IFERROR(Q399/Q444, "NA")</f>
        <v>5.9852357889631392E-4</v>
      </c>
      <c r="S399" s="9"/>
      <c r="T399" s="7">
        <v>7700</v>
      </c>
      <c r="U399" s="8">
        <f>IFERROR(T399/T444, "NA")</f>
        <v>1.1048589629526024E-3</v>
      </c>
      <c r="V399" s="9"/>
      <c r="W399" s="10">
        <f t="shared" si="98"/>
        <v>3725.21</v>
      </c>
      <c r="X399" s="8">
        <f>IFERROR(W399/W444, "NA")</f>
        <v>-1.1349603186922954E-2</v>
      </c>
      <c r="Y399" s="9"/>
      <c r="Z399" s="7">
        <v>8681.2000000000007</v>
      </c>
      <c r="AA399" s="8">
        <f>IFERROR(Z399/Z444, "NA")</f>
        <v>1.399396107029687E-3</v>
      </c>
      <c r="AB399" s="9"/>
      <c r="AC399" s="10">
        <f t="shared" si="99"/>
        <v>4706.4100000000008</v>
      </c>
      <c r="AD399" s="8">
        <f>IFERROR(AC399/AC444, "NA")</f>
        <v>1.0758530324422809E-2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1.4159040420378226E-2</v>
      </c>
      <c r="M401" s="9"/>
      <c r="N401" s="10">
        <f t="shared" si="97"/>
        <v>8333.33</v>
      </c>
      <c r="O401" s="8">
        <f>IFERROR(N401/N444, "NA")</f>
        <v>6.9289485377362847E-2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91666.66</v>
      </c>
      <c r="AA401" s="8">
        <f>IFERROR(Z401/Z444, "NA")</f>
        <v>1.4776524806295665E-2</v>
      </c>
      <c r="AB401" s="9"/>
      <c r="AC401" s="10">
        <f t="shared" si="99"/>
        <v>91666.66</v>
      </c>
      <c r="AD401" s="8">
        <f>IFERROR(AC401/AC444, "NA")</f>
        <v>0.20954369494977171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132172.87</v>
      </c>
      <c r="C403" s="15">
        <f>IFERROR(B403/B444, "NA")</f>
        <v>0.18646882260876843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155833.47000000003</v>
      </c>
      <c r="F403" s="15">
        <f>IFERROR(E403/E444, "NA")</f>
        <v>0.23722727120911183</v>
      </c>
      <c r="G403" s="2"/>
      <c r="H403" s="14">
        <f t="shared" si="96"/>
        <v>23660.600000000035</v>
      </c>
      <c r="I403" s="15">
        <f>IFERROR(H403/H444, "NA")</f>
        <v>0.45566919178545195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166158.60999999999</v>
      </c>
      <c r="L403" s="15">
        <f>IFERROR(K403/K444, "NA")</f>
        <v>0.28231768994913936</v>
      </c>
      <c r="M403" s="2"/>
      <c r="N403" s="14">
        <f t="shared" si="97"/>
        <v>33985.739999999991</v>
      </c>
      <c r="O403" s="15">
        <f>IFERROR(N403/N444, "NA")</f>
        <v>0.28258264520532067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1405179.23</v>
      </c>
      <c r="R403" s="15">
        <f>IFERROR(Q403/Q444, "NA")</f>
        <v>0.21159178264269726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1807698.8</v>
      </c>
      <c r="U403" s="15">
        <f>IFERROR(T403/T444, "NA")</f>
        <v>0.25938340538943688</v>
      </c>
      <c r="V403" s="2"/>
      <c r="W403" s="14">
        <f t="shared" si="98"/>
        <v>402519.57000000007</v>
      </c>
      <c r="X403" s="15">
        <f>IFERROR(W403/W444, "NA")</f>
        <v>-1.2263570092614531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1763998.39</v>
      </c>
      <c r="AA403" s="15">
        <f>IFERROR(Z403/Z444, "NA")</f>
        <v>0.28435383124137625</v>
      </c>
      <c r="AB403" s="2"/>
      <c r="AC403" s="14">
        <f t="shared" si="99"/>
        <v>358819.15999999992</v>
      </c>
      <c r="AD403" s="15">
        <f>IFERROR(AC403/AC444, "NA")</f>
        <v>0.82023597898268918</v>
      </c>
    </row>
    <row r="404" spans="1:30" ht="16.5" customHeight="1" x14ac:dyDescent="0.45">
      <c r="A404" s="22" t="s">
        <v>370</v>
      </c>
      <c r="B404" s="23">
        <f>IFERROR(B345-B403, "NA")</f>
        <v>-7582.2100000002247</v>
      </c>
      <c r="C404" s="24">
        <f>IFERROR(B404/B444, "NA")</f>
        <v>-1.069694386958891E-2</v>
      </c>
      <c r="D404" s="25"/>
      <c r="E404" s="23">
        <f>IFERROR(E345-E403, "NA")</f>
        <v>-48172.680000000022</v>
      </c>
      <c r="F404" s="24">
        <f>IFERROR(E404/E444, "NA")</f>
        <v>-7.333388278673228E-2</v>
      </c>
      <c r="G404" s="25"/>
      <c r="H404" s="23">
        <f>IFERROR(B404-E404, "NA")</f>
        <v>40590.469999999797</v>
      </c>
      <c r="I404" s="24">
        <f>IFERROR(H404/H444, "NA")</f>
        <v>0.78171418556974526</v>
      </c>
      <c r="J404" s="25"/>
      <c r="K404" s="23">
        <f>IFERROR(K345-K403, "NA")</f>
        <v>-116212.31000000013</v>
      </c>
      <c r="L404" s="24">
        <f>IFERROR(K404/K444, "NA")</f>
        <v>-0.19745465433812492</v>
      </c>
      <c r="M404" s="25"/>
      <c r="N404" s="23">
        <f>IFERROR(B404-K404, "NA")</f>
        <v>108630.0999999999</v>
      </c>
      <c r="O404" s="24">
        <f>IFERROR(N404/N444, "NA")</f>
        <v>0.9032312083514582</v>
      </c>
      <c r="P404" s="25"/>
      <c r="Q404" s="23">
        <f>IFERROR(Q345-Q403, "NA")</f>
        <v>-1065980.7599999979</v>
      </c>
      <c r="R404" s="24">
        <f>IFERROR(Q404/Q444, "NA")</f>
        <v>-0.16051530257191232</v>
      </c>
      <c r="S404" s="25"/>
      <c r="T404" s="23">
        <f>IFERROR(T345-T403, "NA")</f>
        <v>-867481.65000000072</v>
      </c>
      <c r="U404" s="24">
        <f>IFERROR(T404/T444, "NA")</f>
        <v>-0.12447336054537833</v>
      </c>
      <c r="V404" s="25"/>
      <c r="W404" s="23">
        <f>IFERROR(Q404-T404, "NA")</f>
        <v>-198499.10999999719</v>
      </c>
      <c r="X404" s="24">
        <f>IFERROR(W404/W444, "NA")</f>
        <v>0.60476755175073027</v>
      </c>
      <c r="Y404" s="25"/>
      <c r="Z404" s="23">
        <f>IFERROR(Z345-Z403, "NA")</f>
        <v>-1332744.5599999989</v>
      </c>
      <c r="AA404" s="24">
        <f>IFERROR(Z404/Z444, "NA")</f>
        <v>-0.21483637618405191</v>
      </c>
      <c r="AB404" s="25"/>
      <c r="AC404" s="23">
        <f>IFERROR(Q404-Z404, "NA")</f>
        <v>266763.80000000098</v>
      </c>
      <c r="AD404" s="24">
        <f>IFERROR(AC404/AC444, "NA")</f>
        <v>0.60980374250400438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-25</v>
      </c>
      <c r="R407" s="8">
        <f>IFERROR(Q407/Q444, "NA")</f>
        <v>-3.7644981174874263E-6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25</v>
      </c>
      <c r="X407" s="8">
        <f>IFERROR(W407/W444, "NA")</f>
        <v>-7.6167539460345553E-5</v>
      </c>
      <c r="Y407" s="9"/>
      <c r="Z407" s="7">
        <v>-58938.32</v>
      </c>
      <c r="AA407" s="8">
        <f>IFERROR(Z407/Z444, "NA")</f>
        <v>-9.5007666639254865E-3</v>
      </c>
      <c r="AB407" s="9"/>
      <c r="AC407" s="10">
        <f t="shared" ref="AC407:AC429" si="103">IFERROR(-(Q407-Z407), "NA")</f>
        <v>-58913.32</v>
      </c>
      <c r="AD407" s="8">
        <f>IFERROR(AC407/AC444, "NA")</f>
        <v>-0.13467180711676727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-277</v>
      </c>
      <c r="L408" s="8">
        <f>IFERROR(K408/K444, "NA")</f>
        <v>-4.7064669183204897E-4</v>
      </c>
      <c r="M408" s="9"/>
      <c r="N408" s="10">
        <f t="shared" si="101"/>
        <v>-277</v>
      </c>
      <c r="O408" s="8">
        <f>IFERROR(N408/N444, "NA")</f>
        <v>-2.3031834152169072E-3</v>
      </c>
      <c r="P408" s="9"/>
      <c r="Q408" s="7">
        <v>-107.84</v>
      </c>
      <c r="R408" s="8">
        <f>IFERROR(Q408/Q444, "NA")</f>
        <v>-1.6238539079593762E-5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107.84</v>
      </c>
      <c r="X408" s="8">
        <f>IFERROR(W408/W444, "NA")</f>
        <v>-3.2855629821614658E-4</v>
      </c>
      <c r="Y408" s="9"/>
      <c r="Z408" s="7">
        <v>19281.050000000003</v>
      </c>
      <c r="AA408" s="8">
        <f>IFERROR(Z408/Z444, "NA")</f>
        <v>3.1080756473119788E-3</v>
      </c>
      <c r="AB408" s="9"/>
      <c r="AC408" s="10">
        <f t="shared" si="103"/>
        <v>19388.890000000003</v>
      </c>
      <c r="AD408" s="8">
        <f>IFERROR(AC408/AC444, "NA")</f>
        <v>4.4321672149663573E-2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31507.170000000006</v>
      </c>
      <c r="C410" s="8">
        <f>IFERROR(B410/B444, "NA")</f>
        <v>4.4450157537127791E-2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-31507.170000000006</v>
      </c>
      <c r="I410" s="8">
        <f>IFERROR(H410/H444, "NA")</f>
        <v>-0.60678286642548451</v>
      </c>
      <c r="J410" s="9"/>
      <c r="K410" s="7">
        <v>29216.379999999997</v>
      </c>
      <c r="L410" s="8">
        <f>IFERROR(K410/K444, "NA")</f>
        <v>4.9641128499306998E-2</v>
      </c>
      <c r="M410" s="9"/>
      <c r="N410" s="10">
        <f t="shared" si="101"/>
        <v>-2290.7900000000081</v>
      </c>
      <c r="O410" s="8">
        <f>IFERROR(N410/N444, "NA")</f>
        <v>-1.904732684384389E-2</v>
      </c>
      <c r="P410" s="9"/>
      <c r="Q410" s="7">
        <v>322272.92000000004</v>
      </c>
      <c r="R410" s="8">
        <f>IFERROR(Q410/Q444, "NA")</f>
        <v>4.8527832026287042E-2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-322272.92000000004</v>
      </c>
      <c r="X410" s="8">
        <f>IFERROR(W410/W444, "NA")</f>
        <v>0.9818694140440315</v>
      </c>
      <c r="Y410" s="9"/>
      <c r="Z410" s="7">
        <v>344548.42000000004</v>
      </c>
      <c r="AA410" s="8">
        <f>IFERROR(Z410/Z444, "NA")</f>
        <v>5.5540676131321659E-2</v>
      </c>
      <c r="AB410" s="9"/>
      <c r="AC410" s="10">
        <f t="shared" si="103"/>
        <v>22275.5</v>
      </c>
      <c r="AD410" s="8">
        <f>IFERROR(AC410/AC444, "NA")</f>
        <v>5.0920264541695306E-2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3.786150510578698E-4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-5.1684209614067927E-3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-2.2314271954576221E-3</v>
      </c>
      <c r="P411" s="9"/>
      <c r="Q411" s="7">
        <v>2683.7</v>
      </c>
      <c r="R411" s="8">
        <f>IFERROR(Q411/Q444, "NA")</f>
        <v>4.041113439160402E-4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-2683.7</v>
      </c>
      <c r="X411" s="8">
        <f>IFERROR(W411/W444, "NA")</f>
        <v>8.1764330259891729E-3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-2683.7</v>
      </c>
      <c r="AD411" s="8">
        <f>IFERROR(AC411/AC444, "NA")</f>
        <v>-6.1347540549279564E-3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-128.4</v>
      </c>
      <c r="C416" s="8">
        <f>IFERROR(B416/B444, "NA")</f>
        <v>-1.8114607652058905E-4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128.4</v>
      </c>
      <c r="I416" s="8">
        <f>IFERROR(H416/H444, "NA")</f>
        <v>2.472799684929881E-3</v>
      </c>
      <c r="J416" s="9"/>
      <c r="K416" s="7">
        <v>-9.9000000000000057</v>
      </c>
      <c r="L416" s="8">
        <f>IFERROR(K416/K444, "NA")</f>
        <v>-1.6820946747788041E-5</v>
      </c>
      <c r="M416" s="9"/>
      <c r="N416" s="10">
        <f t="shared" si="101"/>
        <v>118.5</v>
      </c>
      <c r="O416" s="8">
        <f>IFERROR(N416/N444, "NA")</f>
        <v>9.8529687618485024E-4</v>
      </c>
      <c r="P416" s="9"/>
      <c r="Q416" s="7">
        <v>-817.45</v>
      </c>
      <c r="R416" s="8">
        <f>IFERROR(Q416/Q444, "NA")</f>
        <v>-1.2309155944560389E-4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817.45</v>
      </c>
      <c r="X416" s="8">
        <f>IFERROR(W416/W444, "NA")</f>
        <v>-2.4905262052743789E-3</v>
      </c>
      <c r="Y416" s="9"/>
      <c r="Z416" s="7">
        <v>-1231.74</v>
      </c>
      <c r="AA416" s="8">
        <f>IFERROR(Z416/Z444, "NA")</f>
        <v>-1.9855459623931561E-4</v>
      </c>
      <c r="AB416" s="9"/>
      <c r="AC416" s="10">
        <f t="shared" si="103"/>
        <v>-414.28999999999996</v>
      </c>
      <c r="AD416" s="8">
        <f>IFERROR(AC416/AC444, "NA")</f>
        <v>-9.470385130290655E-4</v>
      </c>
    </row>
    <row r="417" spans="1:30" ht="16.5" customHeight="1" x14ac:dyDescent="0.45">
      <c r="A417" s="6" t="s">
        <v>382</v>
      </c>
      <c r="B417" s="7">
        <v>5.3400000000000034</v>
      </c>
      <c r="C417" s="8">
        <f>IFERROR(B417/B444, "NA")</f>
        <v>7.5336452384731002E-6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-5.3400000000000034</v>
      </c>
      <c r="I417" s="8">
        <f>IFERROR(H417/H444, "NA")</f>
        <v>-1.0284073456016802E-4</v>
      </c>
      <c r="J417" s="9"/>
      <c r="K417" s="7">
        <v>-82.47</v>
      </c>
      <c r="L417" s="8">
        <f>IFERROR(K417/K444, "NA")</f>
        <v>-1.4012358366566455E-4</v>
      </c>
      <c r="M417" s="9"/>
      <c r="N417" s="10">
        <f t="shared" si="101"/>
        <v>-87.81</v>
      </c>
      <c r="O417" s="8">
        <f>IFERROR(N417/N444, "NA")</f>
        <v>-7.3011745736533079E-4</v>
      </c>
      <c r="P417" s="9"/>
      <c r="Q417" s="7">
        <v>-1114.1300000000001</v>
      </c>
      <c r="R417" s="8">
        <f>IFERROR(Q417/Q444, "NA")</f>
        <v>-1.6776561150545066E-4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1114.1300000000001</v>
      </c>
      <c r="X417" s="8">
        <f>IFERROR(W417/W444, "NA")</f>
        <v>-3.3944216295581919E-3</v>
      </c>
      <c r="Y417" s="9"/>
      <c r="Z417" s="7">
        <v>-330.78999999999996</v>
      </c>
      <c r="AA417" s="8">
        <f>IFERROR(Z417/Z444, "NA")</f>
        <v>-5.3322839958110643E-5</v>
      </c>
      <c r="AB417" s="9"/>
      <c r="AC417" s="10">
        <f t="shared" si="103"/>
        <v>783.34000000000015</v>
      </c>
      <c r="AD417" s="8">
        <f>IFERROR(AC417/AC444, "NA")</f>
        <v>1.7906614902512452E-3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-3725.69</v>
      </c>
      <c r="R418" s="8">
        <f>IFERROR(Q418/Q444, "NA")</f>
        <v>-5.6101411965366922E-4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-1.1351065603680592E-2</v>
      </c>
      <c r="Y418" s="9"/>
      <c r="Z418" s="7">
        <v>-4485.2299999999996</v>
      </c>
      <c r="AA418" s="8">
        <f>IFERROR(Z418/Z444, "NA")</f>
        <v>-7.2301218738570264E-4</v>
      </c>
      <c r="AB418" s="9"/>
      <c r="AC418" s="10">
        <f t="shared" si="103"/>
        <v>-759.53999999999951</v>
      </c>
      <c r="AD418" s="8">
        <f>IFERROR(AC418/AC444, "NA")</f>
        <v>-1.7362563233148181E-3</v>
      </c>
    </row>
    <row r="419" spans="1:30" ht="16.5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363.75</v>
      </c>
      <c r="R419" s="8">
        <f>IFERROR(Q419/Q444, "NA")</f>
        <v>5.4773447609442057E-5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-363.75</v>
      </c>
      <c r="X419" s="8">
        <f>IFERROR(W419/W444, "NA")</f>
        <v>1.1082376991480276E-3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-363.75</v>
      </c>
      <c r="AD419" s="8">
        <f>IFERROR(AC419/AC444, "NA")</f>
        <v>-8.3150754088759707E-4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-2.4092787951919528E-5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-4.8747225254621151E-4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3.6574902142134854E-4</v>
      </c>
    </row>
    <row r="422" spans="1:30" ht="16.5" customHeight="1" x14ac:dyDescent="0.45">
      <c r="A422" s="6" t="s">
        <v>387</v>
      </c>
      <c r="B422" s="7">
        <v>501.89</v>
      </c>
      <c r="C422" s="8">
        <f>IFERROR(B422/B444, "NA")</f>
        <v>7.080638967672775E-4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-501.89</v>
      </c>
      <c r="I422" s="8">
        <f>IFERROR(H422/H444, "NA")</f>
        <v>-9.665680949139081E-3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-501.89</v>
      </c>
      <c r="O422" s="8">
        <f>IFERROR(N422/N444, "NA")</f>
        <v>-4.1730856471596158E-3</v>
      </c>
      <c r="P422" s="9"/>
      <c r="Q422" s="7">
        <v>-498.48</v>
      </c>
      <c r="R422" s="8">
        <f>IFERROR(Q422/Q444, "NA")</f>
        <v>-7.5061080864205297E-5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498.48</v>
      </c>
      <c r="X422" s="8">
        <f>IFERROR(W422/W444, "NA")</f>
        <v>-1.518719802807722E-3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498.48</v>
      </c>
      <c r="AD422" s="8">
        <f>IFERROR(AC422/AC444, "NA")</f>
        <v>1.1394910762382113E-3</v>
      </c>
    </row>
    <row r="423" spans="1:30" ht="16.5" customHeight="1" x14ac:dyDescent="0.45">
      <c r="A423" s="6" t="s">
        <v>388</v>
      </c>
      <c r="B423" s="7">
        <v>-17253.02</v>
      </c>
      <c r="C423" s="8">
        <f>IFERROR(B423/B444, "NA")</f>
        <v>-2.4340474152112563E-2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17253.02</v>
      </c>
      <c r="I423" s="8">
        <f>IFERROR(H423/H444, "NA")</f>
        <v>0.33226839891034998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17253.02</v>
      </c>
      <c r="O423" s="8">
        <f>IFERROR(N423/N444, "NA")</f>
        <v>0.14345440262240289</v>
      </c>
      <c r="P423" s="9"/>
      <c r="Q423" s="7">
        <v>-40638.22</v>
      </c>
      <c r="R423" s="8">
        <f>IFERROR(Q423/Q444, "NA")</f>
        <v>-6.1193001075215952E-3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40638.22</v>
      </c>
      <c r="X423" s="8">
        <f>IFERROR(W423/W444, "NA")</f>
        <v>-0.12381252901792815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40638.22</v>
      </c>
      <c r="AD423" s="8">
        <f>IFERROR(AC423/AC444, "NA")</f>
        <v>9.2896182483159215E-2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628.56999999999994</v>
      </c>
      <c r="L424" s="8">
        <f>IFERROR(K424/K444, "NA")</f>
        <v>1.0679941916421336E-3</v>
      </c>
      <c r="M424" s="9"/>
      <c r="N424" s="10">
        <f t="shared" si="101"/>
        <v>628.56999999999994</v>
      </c>
      <c r="O424" s="8">
        <f>IFERROR(N424/N444, "NA")</f>
        <v>5.2263971093967189E-3</v>
      </c>
      <c r="P424" s="9"/>
      <c r="Q424" s="7">
        <v>239.6</v>
      </c>
      <c r="R424" s="8">
        <f>IFERROR(Q424/Q444, "NA")</f>
        <v>3.6078949957999493E-5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7.2998969818795169E-4</v>
      </c>
      <c r="Y424" s="9"/>
      <c r="Z424" s="7">
        <v>2295.9</v>
      </c>
      <c r="AA424" s="8">
        <f>IFERROR(Z424/Z444, "NA")</f>
        <v>3.7009555385539538E-4</v>
      </c>
      <c r="AB424" s="9"/>
      <c r="AC424" s="10">
        <f t="shared" si="103"/>
        <v>2056.3000000000002</v>
      </c>
      <c r="AD424" s="8">
        <f>IFERROR(AC424/AC444, "NA")</f>
        <v>4.7005607046794939E-3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-3222.4199999999996</v>
      </c>
      <c r="C426" s="8">
        <f>IFERROR(B426/B444, "NA")</f>
        <v>-4.5461739867716233E-3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3222.4199999999996</v>
      </c>
      <c r="I426" s="8">
        <f>IFERROR(H426/H444, "NA")</f>
        <v>6.2059183494639771E-2</v>
      </c>
      <c r="J426" s="9"/>
      <c r="K426" s="7">
        <v>-2841.44</v>
      </c>
      <c r="L426" s="8">
        <f>IFERROR(K426/K444, "NA")</f>
        <v>-4.8278495885893764E-3</v>
      </c>
      <c r="M426" s="9"/>
      <c r="N426" s="10">
        <f t="shared" si="101"/>
        <v>380.97999999999956</v>
      </c>
      <c r="O426" s="8">
        <f>IFERROR(N426/N444, "NA")</f>
        <v>3.1677502437882175E-3</v>
      </c>
      <c r="P426" s="9"/>
      <c r="Q426" s="7">
        <v>-109966.92000000001</v>
      </c>
      <c r="R426" s="8">
        <f>IFERROR(Q426/Q444, "NA")</f>
        <v>-1.6558810533035619E-2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109966.92000000001</v>
      </c>
      <c r="X426" s="8">
        <f>IFERROR(W426/W444, "NA")</f>
        <v>-0.33503638873730651</v>
      </c>
      <c r="Y426" s="9"/>
      <c r="Z426" s="7">
        <v>-11746.93</v>
      </c>
      <c r="AA426" s="8">
        <f>IFERROR(Z426/Z444, "NA")</f>
        <v>-1.8935870745461734E-3</v>
      </c>
      <c r="AB426" s="9"/>
      <c r="AC426" s="10">
        <f t="shared" si="103"/>
        <v>98219.99000000002</v>
      </c>
      <c r="AD426" s="8">
        <f>IFERROR(AC426/AC444, "NA")</f>
        <v>0.22452415766571654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11678.930000000002</v>
      </c>
      <c r="C428" s="15">
        <f>IFERROR(B428/B444, "NA")</f>
        <v>1.6476575914786629E-2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-11678.930000000002</v>
      </c>
      <c r="I428" s="15">
        <f>IFERROR(H428/H444, "NA")</f>
        <v>-0.22491942698067088</v>
      </c>
      <c r="J428" s="2"/>
      <c r="K428" s="14">
        <f>IFERROR(K407+K408+K409+K410+K411+K412+K413+K414+K415+K416+K417+K418+K419+K420+K421+K422+K423+K424+K425+K426+K427, "NA")</f>
        <v>26634.139999999996</v>
      </c>
      <c r="L428" s="15">
        <f>IFERROR(K428/K444, "NA")</f>
        <v>4.5253681880114249E-2</v>
      </c>
      <c r="M428" s="2"/>
      <c r="N428" s="14">
        <f t="shared" si="101"/>
        <v>14955.209999999994</v>
      </c>
      <c r="O428" s="15">
        <f>IFERROR(N428/N444, "NA")</f>
        <v>0.12434870629272933</v>
      </c>
      <c r="P428" s="2"/>
      <c r="Q428" s="14">
        <f>IFERROR(Q407+Q408+Q409+Q410+Q411+Q412+Q413+Q414+Q415+Q416+Q417+Q418+Q419+Q420+Q421+Q422+Q423+Q424+Q425+Q426+Q427, "NA")</f>
        <v>168506.24000000002</v>
      </c>
      <c r="R428" s="15">
        <f>IFERROR(Q428/Q444, "NA")</f>
        <v>2.5373656930595383E-2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-168506.24000000002</v>
      </c>
      <c r="X428" s="15">
        <f>IFERROR(W428/W444, "NA")</f>
        <v>0.51338822738057832</v>
      </c>
      <c r="Y428" s="2"/>
      <c r="Z428" s="14">
        <f>IFERROR(Z407+Z408+Z409+Z410+Z411+Z412+Z413+Z414+Z415+Z416+Z417+Z418+Z419+Z420+Z421+Z422+Z423+Z424+Z425+Z426+Z427, "NA")</f>
        <v>289392.3600000001</v>
      </c>
      <c r="AA428" s="15">
        <f>IFERROR(Z428/Z444, "NA")</f>
        <v>4.6649603970434252E-2</v>
      </c>
      <c r="AB428" s="2"/>
      <c r="AC428" s="14">
        <f t="shared" si="103"/>
        <v>120886.12000000008</v>
      </c>
      <c r="AD428" s="15">
        <f>IFERROR(AC428/AC444, "NA")</f>
        <v>0.27633737558389837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11678.930000000002</v>
      </c>
      <c r="C429" s="15">
        <f>IFERROR(B429/B444, "NA")</f>
        <v>1.6476575914786629E-2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-11678.930000000002</v>
      </c>
      <c r="I429" s="15">
        <f>IFERROR(H429/H444, "NA")</f>
        <v>-0.22491942698067088</v>
      </c>
      <c r="J429" s="2"/>
      <c r="K429" s="14">
        <f>IFERROR(K407+K408+K409+K410+K411+K412+K413+K414+K415+K416+K417+K418+K419+K420+K421+K422+K423+K424+K425+K426+K427, "NA")</f>
        <v>26634.139999999996</v>
      </c>
      <c r="L429" s="15">
        <f>IFERROR(K429/K444, "NA")</f>
        <v>4.5253681880114249E-2</v>
      </c>
      <c r="M429" s="2"/>
      <c r="N429" s="14">
        <f t="shared" si="101"/>
        <v>14955.209999999994</v>
      </c>
      <c r="O429" s="15">
        <f>IFERROR(N429/N444, "NA")</f>
        <v>0.12434870629272933</v>
      </c>
      <c r="P429" s="2"/>
      <c r="Q429" s="14">
        <f>IFERROR(Q407+Q408+Q409+Q410+Q411+Q412+Q413+Q414+Q415+Q416+Q417+Q418+Q419+Q420+Q421+Q422+Q423+Q424+Q425+Q426+Q427, "NA")</f>
        <v>168506.24000000002</v>
      </c>
      <c r="R429" s="15">
        <f>IFERROR(Q429/Q444, "NA")</f>
        <v>2.5373656930595383E-2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-168506.24000000002</v>
      </c>
      <c r="X429" s="15">
        <f>IFERROR(W429/W444, "NA")</f>
        <v>0.51338822738057832</v>
      </c>
      <c r="Y429" s="2"/>
      <c r="Z429" s="14">
        <f>IFERROR(Z407+Z408+Z409+Z410+Z411+Z412+Z413+Z414+Z415+Z416+Z417+Z418+Z419+Z420+Z421+Z422+Z423+Z424+Z425+Z426+Z427, "NA")</f>
        <v>289392.3600000001</v>
      </c>
      <c r="AA429" s="15">
        <f>IFERROR(Z429/Z444, "NA")</f>
        <v>4.6649603970434252E-2</v>
      </c>
      <c r="AB429" s="2"/>
      <c r="AC429" s="14">
        <f t="shared" si="103"/>
        <v>120886.12000000008</v>
      </c>
      <c r="AD429" s="15">
        <f>IFERROR(AC429/AC444, "NA")</f>
        <v>0.27633737558389837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-19261.140000000225</v>
      </c>
      <c r="C443" s="24">
        <f>IFERROR(B443/B444, "NA")</f>
        <v>-2.7173519784375537E-2</v>
      </c>
      <c r="D443" s="25"/>
      <c r="E443" s="23">
        <f>IFERROR(E404-E429-E442, "NA")</f>
        <v>-48172.680000000022</v>
      </c>
      <c r="F443" s="24">
        <f>IFERROR(E443/E444, "NA")</f>
        <v>-7.333388278673228E-2</v>
      </c>
      <c r="G443" s="25"/>
      <c r="H443" s="23">
        <f>IFERROR(B443-E443, "NA")</f>
        <v>28911.539999999797</v>
      </c>
      <c r="I443" s="24">
        <f>IFERROR(H443/H444, "NA")</f>
        <v>0.55679475858907435</v>
      </c>
      <c r="J443" s="25"/>
      <c r="K443" s="23">
        <f>IFERROR(K404-K429-K442, "NA")</f>
        <v>-142846.45000000013</v>
      </c>
      <c r="L443" s="24">
        <f>IFERROR(K443/K444, "NA")</f>
        <v>-0.24270833621823917</v>
      </c>
      <c r="M443" s="25"/>
      <c r="N443" s="23">
        <f>IFERROR(B443-K443, "NA")</f>
        <v>123585.30999999991</v>
      </c>
      <c r="O443" s="24">
        <f>IFERROR(N443/N444, "NA")</f>
        <v>1.0275799146441875</v>
      </c>
      <c r="P443" s="25"/>
      <c r="Q443" s="23">
        <f>IFERROR(Q404-Q429-Q442, "NA")</f>
        <v>-1234486.9999999979</v>
      </c>
      <c r="R443" s="24">
        <f>IFERROR(Q443/Q444, "NA")</f>
        <v>-0.18588895950250769</v>
      </c>
      <c r="S443" s="25"/>
      <c r="T443" s="23">
        <f>IFERROR(T404-T429-T442, "NA")</f>
        <v>-867481.65000000072</v>
      </c>
      <c r="U443" s="24">
        <f>IFERROR(T443/T444, "NA")</f>
        <v>-0.12447336054537833</v>
      </c>
      <c r="V443" s="25"/>
      <c r="W443" s="23">
        <f>IFERROR(Q443-T443, "NA")</f>
        <v>-367005.34999999718</v>
      </c>
      <c r="X443" s="24">
        <f>IFERROR(W443/W444, "NA")</f>
        <v>1.1181557791313086</v>
      </c>
      <c r="Y443" s="25"/>
      <c r="Z443" s="23">
        <f>IFERROR(Z404-Z429-Z442, "NA")</f>
        <v>-1622136.919999999</v>
      </c>
      <c r="AA443" s="24">
        <f>IFERROR(Z443/Z444, "NA")</f>
        <v>-0.26148598015448615</v>
      </c>
      <c r="AB443" s="25"/>
      <c r="AC443" s="23">
        <f>IFERROR(Q443-Z443, "NA")</f>
        <v>387649.92000000109</v>
      </c>
      <c r="AD443" s="24">
        <f>IFERROR(AC443/AC444, "NA")</f>
        <v>0.88614111808790286</v>
      </c>
    </row>
    <row r="444" spans="1:30" ht="15.75" hidden="1" x14ac:dyDescent="0.45">
      <c r="A444" s="26" t="s">
        <v>117</v>
      </c>
      <c r="B444" s="7">
        <v>708820.21000000008</v>
      </c>
      <c r="C444" s="27"/>
      <c r="D444" s="9"/>
      <c r="E444" s="7">
        <v>656895.26</v>
      </c>
      <c r="F444" s="27"/>
      <c r="G444" s="9"/>
      <c r="H444" s="10">
        <f>IFERROR(B444-E444, "NA")</f>
        <v>51924.95000000007</v>
      </c>
      <c r="I444" s="27"/>
      <c r="J444" s="9"/>
      <c r="K444" s="7">
        <v>588551.89</v>
      </c>
      <c r="L444" s="27"/>
      <c r="M444" s="9"/>
      <c r="N444" s="10">
        <f>IFERROR(B444-K444, "NA")</f>
        <v>120268.32000000007</v>
      </c>
      <c r="O444" s="27"/>
      <c r="P444" s="9"/>
      <c r="Q444" s="7">
        <v>6640991.5</v>
      </c>
      <c r="R444" s="27"/>
      <c r="S444" s="9"/>
      <c r="T444" s="7">
        <v>6969215.3100000005</v>
      </c>
      <c r="U444" s="27"/>
      <c r="V444" s="9"/>
      <c r="W444" s="10">
        <f>IFERROR(Q444-T444, "NA")</f>
        <v>-328223.81000000052</v>
      </c>
      <c r="X444" s="27"/>
      <c r="Y444" s="9"/>
      <c r="Z444" s="7">
        <v>6203533.0499999998</v>
      </c>
      <c r="AA444" s="27"/>
      <c r="AB444" s="9"/>
      <c r="AC444" s="10">
        <f>IFERROR(Q444-Z444, "NA")</f>
        <v>437458.45000000019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43206.29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18908.71</v>
      </c>
      <c r="I350" s="8" t="str">
        <f>IFERROR(H350/H444, "NA")</f>
        <v>NA</v>
      </c>
      <c r="J350" s="9"/>
      <c r="K350" s="7">
        <v>57346.12</v>
      </c>
      <c r="L350" s="8" t="str">
        <f>IFERROR(K350/K444, "NA")</f>
        <v>NA</v>
      </c>
      <c r="M350" s="9"/>
      <c r="N350" s="10">
        <f t="shared" si="89"/>
        <v>14139.830000000002</v>
      </c>
      <c r="O350" s="8" t="str">
        <f>IFERROR(N350/N444, "NA")</f>
        <v>NA</v>
      </c>
      <c r="P350" s="9"/>
      <c r="Q350" s="7">
        <v>540573.05000000005</v>
      </c>
      <c r="R350" s="8" t="str">
        <f>IFERROR(Q350/Q444, "NA")</f>
        <v>NA</v>
      </c>
      <c r="S350" s="9"/>
      <c r="T350" s="7">
        <v>722545</v>
      </c>
      <c r="U350" s="8" t="str">
        <f>IFERROR(T350/T444, "NA")</f>
        <v>NA</v>
      </c>
      <c r="V350" s="9"/>
      <c r="W350" s="10">
        <f t="shared" si="90"/>
        <v>181971.94999999995</v>
      </c>
      <c r="X350" s="8" t="str">
        <f>IFERROR(W350/W444, "NA")</f>
        <v>NA</v>
      </c>
      <c r="Y350" s="9"/>
      <c r="Z350" s="7">
        <v>585070.36</v>
      </c>
      <c r="AA350" s="8" t="str">
        <f>IFERROR(Z350/Z444, "NA")</f>
        <v>NA</v>
      </c>
      <c r="AB350" s="9"/>
      <c r="AC350" s="10">
        <f t="shared" si="91"/>
        <v>44497.309999999939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10769.24</v>
      </c>
      <c r="L352" s="8" t="str">
        <f>IFERROR(K352/K444, "NA")</f>
        <v>NA</v>
      </c>
      <c r="M352" s="9"/>
      <c r="N352" s="10">
        <f t="shared" si="89"/>
        <v>10769.24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23375</v>
      </c>
      <c r="U352" s="8" t="str">
        <f>IFERROR(T352/T444, "NA")</f>
        <v>NA</v>
      </c>
      <c r="V352" s="9"/>
      <c r="W352" s="10">
        <f t="shared" si="90"/>
        <v>23375</v>
      </c>
      <c r="X352" s="8" t="str">
        <f>IFERROR(W352/W444, "NA")</f>
        <v>NA</v>
      </c>
      <c r="Y352" s="9"/>
      <c r="Z352" s="7">
        <v>116346.24000000001</v>
      </c>
      <c r="AA352" s="8" t="str">
        <f>IFERROR(Z352/Z444, "NA")</f>
        <v>NA</v>
      </c>
      <c r="AB352" s="9"/>
      <c r="AC352" s="10">
        <f t="shared" si="91"/>
        <v>116346.24000000001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5937.57</v>
      </c>
      <c r="F353" s="8" t="str">
        <f>IFERROR(E353/E444, "NA")</f>
        <v>NA</v>
      </c>
      <c r="G353" s="9"/>
      <c r="H353" s="10">
        <f t="shared" si="88"/>
        <v>5937.57</v>
      </c>
      <c r="I353" s="8" t="str">
        <f>IFERROR(H353/H444, "NA")</f>
        <v>NA</v>
      </c>
      <c r="J353" s="9"/>
      <c r="K353" s="7">
        <v>5622.62</v>
      </c>
      <c r="L353" s="8" t="str">
        <f>IFERROR(K353/K444, "NA")</f>
        <v>NA</v>
      </c>
      <c r="M353" s="9"/>
      <c r="N353" s="10">
        <f t="shared" si="89"/>
        <v>5622.62</v>
      </c>
      <c r="O353" s="8" t="str">
        <f>IFERROR(N353/N444, "NA")</f>
        <v>NA</v>
      </c>
      <c r="P353" s="9"/>
      <c r="Q353" s="7">
        <v>7499.8</v>
      </c>
      <c r="R353" s="8" t="str">
        <f>IFERROR(Q353/Q444, "NA")</f>
        <v>NA</v>
      </c>
      <c r="S353" s="9"/>
      <c r="T353" s="7">
        <v>59521.62</v>
      </c>
      <c r="U353" s="8" t="str">
        <f>IFERROR(T353/T444, "NA")</f>
        <v>NA</v>
      </c>
      <c r="V353" s="9"/>
      <c r="W353" s="10">
        <f t="shared" si="90"/>
        <v>52021.82</v>
      </c>
      <c r="X353" s="8" t="str">
        <f>IFERROR(W353/W444, "NA")</f>
        <v>NA</v>
      </c>
      <c r="Y353" s="9"/>
      <c r="Z353" s="7">
        <v>25322.880000000001</v>
      </c>
      <c r="AA353" s="8" t="str">
        <f>IFERROR(Z353/Z444, "NA")</f>
        <v>NA</v>
      </c>
      <c r="AB353" s="9"/>
      <c r="AC353" s="10">
        <f t="shared" si="91"/>
        <v>17823.080000000002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2357.4499999999998</v>
      </c>
      <c r="C354" s="8" t="str">
        <f>IFERROR(B354/B444, "NA")</f>
        <v>NA</v>
      </c>
      <c r="D354" s="9"/>
      <c r="E354" s="7">
        <v>3836.91</v>
      </c>
      <c r="F354" s="8" t="str">
        <f>IFERROR(E354/E444, "NA")</f>
        <v>NA</v>
      </c>
      <c r="G354" s="9"/>
      <c r="H354" s="10">
        <f t="shared" si="88"/>
        <v>1479.46</v>
      </c>
      <c r="I354" s="8" t="str">
        <f>IFERROR(H354/H444, "NA")</f>
        <v>NA</v>
      </c>
      <c r="J354" s="9"/>
      <c r="K354" s="7">
        <v>4656.67</v>
      </c>
      <c r="L354" s="8" t="str">
        <f>IFERROR(K354/K444, "NA")</f>
        <v>NA</v>
      </c>
      <c r="M354" s="9"/>
      <c r="N354" s="10">
        <f t="shared" si="89"/>
        <v>2299.2200000000003</v>
      </c>
      <c r="O354" s="8" t="str">
        <f>IFERROR(N354/N444, "NA")</f>
        <v>NA</v>
      </c>
      <c r="P354" s="9"/>
      <c r="Q354" s="7">
        <v>44125.75</v>
      </c>
      <c r="R354" s="8" t="str">
        <f>IFERROR(Q354/Q444, "NA")</f>
        <v>NA</v>
      </c>
      <c r="S354" s="9"/>
      <c r="T354" s="7">
        <v>59601.69</v>
      </c>
      <c r="U354" s="8" t="str">
        <f>IFERROR(T354/T444, "NA")</f>
        <v>NA</v>
      </c>
      <c r="V354" s="9"/>
      <c r="W354" s="10">
        <f t="shared" si="90"/>
        <v>15475.940000000002</v>
      </c>
      <c r="X354" s="8" t="str">
        <f>IFERROR(W354/W444, "NA")</f>
        <v>NA</v>
      </c>
      <c r="Y354" s="9"/>
      <c r="Z354" s="7">
        <v>52579.4</v>
      </c>
      <c r="AA354" s="8" t="str">
        <f>IFERROR(Z354/Z444, "NA")</f>
        <v>NA</v>
      </c>
      <c r="AB354" s="9"/>
      <c r="AC354" s="10">
        <f t="shared" si="91"/>
        <v>8453.6500000000015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190.8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89.199999999999989</v>
      </c>
      <c r="I355" s="8" t="str">
        <f>IFERROR(H355/H444, "NA")</f>
        <v>NA</v>
      </c>
      <c r="J355" s="9"/>
      <c r="K355" s="7">
        <v>233.2</v>
      </c>
      <c r="L355" s="8" t="str">
        <f>IFERROR(K355/K444, "NA")</f>
        <v>NA</v>
      </c>
      <c r="M355" s="9"/>
      <c r="N355" s="10">
        <f t="shared" si="89"/>
        <v>42.399999999999977</v>
      </c>
      <c r="O355" s="8" t="str">
        <f>IFERROR(N355/N444, "NA")</f>
        <v>NA</v>
      </c>
      <c r="P355" s="9"/>
      <c r="Q355" s="7">
        <v>2427.4</v>
      </c>
      <c r="R355" s="8" t="str">
        <f>IFERROR(Q355/Q444, "NA")</f>
        <v>NA</v>
      </c>
      <c r="S355" s="9"/>
      <c r="T355" s="7">
        <v>3290</v>
      </c>
      <c r="U355" s="8" t="str">
        <f>IFERROR(T355/T444, "NA")</f>
        <v>NA</v>
      </c>
      <c r="V355" s="9"/>
      <c r="W355" s="10">
        <f t="shared" si="90"/>
        <v>862.59999999999991</v>
      </c>
      <c r="X355" s="8" t="str">
        <f>IFERROR(W355/W444, "NA")</f>
        <v>NA</v>
      </c>
      <c r="Y355" s="9"/>
      <c r="Z355" s="7">
        <v>2599.12</v>
      </c>
      <c r="AA355" s="8" t="str">
        <f>IFERROR(Z355/Z444, "NA")</f>
        <v>NA</v>
      </c>
      <c r="AB355" s="9"/>
      <c r="AC355" s="10">
        <f t="shared" si="91"/>
        <v>171.7199999999998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3000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3187.5</v>
      </c>
      <c r="I356" s="8" t="str">
        <f>IFERROR(H356/H444, "NA")</f>
        <v>NA</v>
      </c>
      <c r="J356" s="9"/>
      <c r="K356" s="7">
        <v>1500</v>
      </c>
      <c r="L356" s="8" t="str">
        <f>IFERROR(K356/K444, "NA")</f>
        <v>NA</v>
      </c>
      <c r="M356" s="9"/>
      <c r="N356" s="10">
        <f t="shared" si="89"/>
        <v>-1500</v>
      </c>
      <c r="O356" s="8" t="str">
        <f>IFERROR(N356/N444, "NA")</f>
        <v>NA</v>
      </c>
      <c r="P356" s="9"/>
      <c r="Q356" s="7">
        <v>27375</v>
      </c>
      <c r="R356" s="8" t="str">
        <f>IFERROR(Q356/Q444, "NA")</f>
        <v>NA</v>
      </c>
      <c r="S356" s="9"/>
      <c r="T356" s="7">
        <v>68062.5</v>
      </c>
      <c r="U356" s="8" t="str">
        <f>IFERROR(T356/T444, "NA")</f>
        <v>NA</v>
      </c>
      <c r="V356" s="9"/>
      <c r="W356" s="10">
        <f t="shared" si="90"/>
        <v>40687.5</v>
      </c>
      <c r="X356" s="8" t="str">
        <f>IFERROR(W356/W444, "NA")</f>
        <v>NA</v>
      </c>
      <c r="Y356" s="9"/>
      <c r="Z356" s="7">
        <v>14300</v>
      </c>
      <c r="AA356" s="8" t="str">
        <f>IFERROR(Z356/Z444, "NA")</f>
        <v>NA</v>
      </c>
      <c r="AB356" s="9"/>
      <c r="AC356" s="10">
        <f t="shared" si="91"/>
        <v>-13075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3967.46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-1420.7400000000002</v>
      </c>
      <c r="I357" s="8" t="str">
        <f>IFERROR(H357/H444, "NA")</f>
        <v>NA</v>
      </c>
      <c r="J357" s="9"/>
      <c r="K357" s="7">
        <v>3469.35</v>
      </c>
      <c r="L357" s="8" t="str">
        <f>IFERROR(K357/K444, "NA")</f>
        <v>NA</v>
      </c>
      <c r="M357" s="9"/>
      <c r="N357" s="10">
        <f t="shared" si="89"/>
        <v>-498.11000000000013</v>
      </c>
      <c r="O357" s="8" t="str">
        <f>IFERROR(N357/N444, "NA")</f>
        <v>NA</v>
      </c>
      <c r="P357" s="9"/>
      <c r="Q357" s="7">
        <v>38930.720000000001</v>
      </c>
      <c r="R357" s="8" t="str">
        <f>IFERROR(Q357/Q444, "NA")</f>
        <v>NA</v>
      </c>
      <c r="S357" s="9"/>
      <c r="T357" s="7">
        <v>29624.36</v>
      </c>
      <c r="U357" s="8" t="str">
        <f>IFERROR(T357/T444, "NA")</f>
        <v>NA</v>
      </c>
      <c r="V357" s="9"/>
      <c r="W357" s="10">
        <f t="shared" si="90"/>
        <v>-9306.36</v>
      </c>
      <c r="X357" s="8" t="str">
        <f>IFERROR(W357/W444, "NA")</f>
        <v>NA</v>
      </c>
      <c r="Y357" s="9"/>
      <c r="Z357" s="7">
        <v>29244.1</v>
      </c>
      <c r="AA357" s="8" t="str">
        <f>IFERROR(Z357/Z444, "NA")</f>
        <v>NA</v>
      </c>
      <c r="AB357" s="9"/>
      <c r="AC357" s="10">
        <f t="shared" si="91"/>
        <v>-9686.6200000000026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52722</v>
      </c>
      <c r="C358" s="15" t="str">
        <f>IFERROR(B358/B444, "NA")</f>
        <v>NA</v>
      </c>
      <c r="D358" s="2"/>
      <c r="E358" s="14">
        <f>IFERROR(E349+E350+E351+E352+E353+E354+E355+E356+E357, "NA")</f>
        <v>80903.700000000012</v>
      </c>
      <c r="F358" s="15" t="str">
        <f>IFERROR(E358/E444, "NA")</f>
        <v>NA</v>
      </c>
      <c r="G358" s="2"/>
      <c r="H358" s="14">
        <f t="shared" si="88"/>
        <v>28181.700000000012</v>
      </c>
      <c r="I358" s="15" t="str">
        <f>IFERROR(H358/H444, "NA")</f>
        <v>NA</v>
      </c>
      <c r="J358" s="2"/>
      <c r="K358" s="14">
        <f>IFERROR(K349+K350+K351+K352+K353+K354+K355+K356+K357, "NA")</f>
        <v>83597.2</v>
      </c>
      <c r="L358" s="15" t="str">
        <f>IFERROR(K358/K444, "NA")</f>
        <v>NA</v>
      </c>
      <c r="M358" s="2"/>
      <c r="N358" s="14">
        <f t="shared" si="89"/>
        <v>30875.199999999997</v>
      </c>
      <c r="O358" s="15" t="str">
        <f>IFERROR(N358/N444, "NA")</f>
        <v>NA</v>
      </c>
      <c r="P358" s="2"/>
      <c r="Q358" s="14">
        <f>IFERROR(Q349+Q350+Q351+Q352+Q353+Q354+Q355+Q356+Q357, "NA")</f>
        <v>660931.72000000009</v>
      </c>
      <c r="R358" s="15" t="str">
        <f>IFERROR(Q358/Q444, "NA")</f>
        <v>NA</v>
      </c>
      <c r="S358" s="2"/>
      <c r="T358" s="14">
        <f>IFERROR(T349+T350+T351+T352+T353+T354+T355+T356+T357, "NA")</f>
        <v>966020.17</v>
      </c>
      <c r="U358" s="15" t="str">
        <f>IFERROR(T358/T444, "NA")</f>
        <v>NA</v>
      </c>
      <c r="V358" s="2"/>
      <c r="W358" s="14">
        <f t="shared" si="90"/>
        <v>305088.44999999995</v>
      </c>
      <c r="X358" s="15" t="str">
        <f>IFERROR(W358/W444, "NA")</f>
        <v>NA</v>
      </c>
      <c r="Y358" s="2"/>
      <c r="Z358" s="14">
        <f>IFERROR(Z349+Z350+Z351+Z352+Z353+Z354+Z355+Z356+Z357, "NA")</f>
        <v>825462.1</v>
      </c>
      <c r="AA358" s="15" t="str">
        <f>IFERROR(Z358/Z444, "NA")</f>
        <v>NA</v>
      </c>
      <c r="AB358" s="2"/>
      <c r="AC358" s="14">
        <f t="shared" si="91"/>
        <v>164530.37999999989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16000</v>
      </c>
      <c r="U360" s="8" t="str">
        <f>IFERROR(T360/T444, "NA")</f>
        <v>NA</v>
      </c>
      <c r="V360" s="9"/>
      <c r="W360" s="10">
        <f t="shared" ref="W360:W383" si="94">IFERROR(-(Q360-T360), "NA")</f>
        <v>16000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0</v>
      </c>
      <c r="L361" s="8" t="str">
        <f>IFERROR(K361/K444, "NA")</f>
        <v>NA</v>
      </c>
      <c r="M361" s="9"/>
      <c r="N361" s="10">
        <f t="shared" si="93"/>
        <v>0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3606.01</v>
      </c>
      <c r="AA361" s="8" t="str">
        <f>IFERROR(Z361/Z444, "NA")</f>
        <v>NA</v>
      </c>
      <c r="AB361" s="9"/>
      <c r="AC361" s="10">
        <f t="shared" si="95"/>
        <v>3606.01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883.49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-483.49</v>
      </c>
      <c r="I362" s="8" t="str">
        <f>IFERROR(H362/H444, "NA")</f>
        <v>NA</v>
      </c>
      <c r="J362" s="9"/>
      <c r="K362" s="7">
        <v>1009.25</v>
      </c>
      <c r="L362" s="8" t="str">
        <f>IFERROR(K362/K444, "NA")</f>
        <v>NA</v>
      </c>
      <c r="M362" s="9"/>
      <c r="N362" s="10">
        <f t="shared" si="93"/>
        <v>125.75999999999999</v>
      </c>
      <c r="O362" s="8" t="str">
        <f>IFERROR(N362/N444, "NA")</f>
        <v>NA</v>
      </c>
      <c r="P362" s="9"/>
      <c r="Q362" s="7">
        <v>8596.19</v>
      </c>
      <c r="R362" s="8" t="str">
        <f>IFERROR(Q362/Q444, "NA")</f>
        <v>NA</v>
      </c>
      <c r="S362" s="9"/>
      <c r="T362" s="7">
        <v>4900</v>
      </c>
      <c r="U362" s="8" t="str">
        <f>IFERROR(T362/T444, "NA")</f>
        <v>NA</v>
      </c>
      <c r="V362" s="9"/>
      <c r="W362" s="10">
        <f t="shared" si="94"/>
        <v>-3696.1900000000005</v>
      </c>
      <c r="X362" s="8" t="str">
        <f>IFERROR(W362/W444, "NA")</f>
        <v>NA</v>
      </c>
      <c r="Y362" s="9"/>
      <c r="Z362" s="7">
        <v>7065.84</v>
      </c>
      <c r="AA362" s="8" t="str">
        <f>IFERROR(Z362/Z444, "NA")</f>
        <v>NA</v>
      </c>
      <c r="AB362" s="9"/>
      <c r="AC362" s="10">
        <f t="shared" si="95"/>
        <v>-1530.3500000000004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1181.72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-981.72</v>
      </c>
      <c r="I363" s="8" t="str">
        <f>IFERROR(H363/H444, "NA")</f>
        <v>NA</v>
      </c>
      <c r="J363" s="9"/>
      <c r="K363" s="7">
        <v>536.07000000000005</v>
      </c>
      <c r="L363" s="8" t="str">
        <f>IFERROR(K363/K444, "NA")</f>
        <v>NA</v>
      </c>
      <c r="M363" s="9"/>
      <c r="N363" s="10">
        <f t="shared" si="93"/>
        <v>-645.65</v>
      </c>
      <c r="O363" s="8" t="str">
        <f>IFERROR(N363/N444, "NA")</f>
        <v>NA</v>
      </c>
      <c r="P363" s="9"/>
      <c r="Q363" s="7">
        <v>10442.700000000001</v>
      </c>
      <c r="R363" s="8" t="str">
        <f>IFERROR(Q363/Q444, "NA")</f>
        <v>NA</v>
      </c>
      <c r="S363" s="9"/>
      <c r="T363" s="7">
        <v>2350</v>
      </c>
      <c r="U363" s="8" t="str">
        <f>IFERROR(T363/T444, "NA")</f>
        <v>NA</v>
      </c>
      <c r="V363" s="9"/>
      <c r="W363" s="10">
        <f t="shared" si="94"/>
        <v>-8092.7000000000007</v>
      </c>
      <c r="X363" s="8" t="str">
        <f>IFERROR(W363/W444, "NA")</f>
        <v>NA</v>
      </c>
      <c r="Y363" s="9"/>
      <c r="Z363" s="7">
        <v>19397.63</v>
      </c>
      <c r="AA363" s="8" t="str">
        <f>IFERROR(Z363/Z444, "NA")</f>
        <v>NA</v>
      </c>
      <c r="AB363" s="9"/>
      <c r="AC363" s="10">
        <f t="shared" si="95"/>
        <v>8954.93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873.22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-873.22</v>
      </c>
      <c r="I364" s="8" t="str">
        <f>IFERROR(H364/H444, "NA")</f>
        <v>NA</v>
      </c>
      <c r="J364" s="9"/>
      <c r="K364" s="7">
        <v>1032.8699999999999</v>
      </c>
      <c r="L364" s="8" t="str">
        <f>IFERROR(K364/K444, "NA")</f>
        <v>NA</v>
      </c>
      <c r="M364" s="9"/>
      <c r="N364" s="10">
        <f t="shared" si="93"/>
        <v>159.64999999999986</v>
      </c>
      <c r="O364" s="8" t="str">
        <f>IFERROR(N364/N444, "NA")</f>
        <v>NA</v>
      </c>
      <c r="P364" s="9"/>
      <c r="Q364" s="7">
        <v>7001.13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-7001.13</v>
      </c>
      <c r="X364" s="8" t="str">
        <f>IFERROR(W364/W444, "NA")</f>
        <v>NA</v>
      </c>
      <c r="Y364" s="9"/>
      <c r="Z364" s="7">
        <v>13236.69</v>
      </c>
      <c r="AA364" s="8" t="str">
        <f>IFERROR(Z364/Z444, "NA")</f>
        <v>NA</v>
      </c>
      <c r="AB364" s="9"/>
      <c r="AC364" s="10">
        <f t="shared" si="95"/>
        <v>6235.56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0</v>
      </c>
      <c r="C365" s="8" t="str">
        <f>IFERROR(B365/B444, "NA")</f>
        <v>NA</v>
      </c>
      <c r="D365" s="9"/>
      <c r="E365" s="7">
        <v>0</v>
      </c>
      <c r="F365" s="8" t="str">
        <f>IFERROR(E365/E444, "NA")</f>
        <v>NA</v>
      </c>
      <c r="G365" s="9"/>
      <c r="H365" s="10">
        <f t="shared" si="92"/>
        <v>0</v>
      </c>
      <c r="I365" s="8" t="str">
        <f>IFERROR(H365/H444, "NA")</f>
        <v>NA</v>
      </c>
      <c r="J365" s="9"/>
      <c r="K365" s="7">
        <v>539.13</v>
      </c>
      <c r="L365" s="8" t="str">
        <f>IFERROR(K365/K444, "NA")</f>
        <v>NA</v>
      </c>
      <c r="M365" s="9"/>
      <c r="N365" s="10">
        <f t="shared" si="93"/>
        <v>539.13</v>
      </c>
      <c r="O365" s="8" t="str">
        <f>IFERROR(N365/N444, "NA")</f>
        <v>NA</v>
      </c>
      <c r="P365" s="9"/>
      <c r="Q365" s="7">
        <v>5302.6</v>
      </c>
      <c r="R365" s="8" t="str">
        <f>IFERROR(Q365/Q444, "NA")</f>
        <v>NA</v>
      </c>
      <c r="S365" s="9"/>
      <c r="T365" s="7">
        <v>2100</v>
      </c>
      <c r="U365" s="8" t="str">
        <f>IFERROR(T365/T444, "NA")</f>
        <v>NA</v>
      </c>
      <c r="V365" s="9"/>
      <c r="W365" s="10">
        <f t="shared" si="94"/>
        <v>-3202.6000000000004</v>
      </c>
      <c r="X365" s="8" t="str">
        <f>IFERROR(W365/W444, "NA")</f>
        <v>NA</v>
      </c>
      <c r="Y365" s="9"/>
      <c r="Z365" s="7">
        <v>723.13</v>
      </c>
      <c r="AA365" s="8" t="str">
        <f>IFERROR(Z365/Z444, "NA")</f>
        <v>NA</v>
      </c>
      <c r="AB365" s="9"/>
      <c r="AC365" s="10">
        <f t="shared" si="95"/>
        <v>-4579.47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540.05999999999995</v>
      </c>
      <c r="C366" s="8" t="str">
        <f>IFERROR(B366/B444, "NA")</f>
        <v>NA</v>
      </c>
      <c r="D366" s="9"/>
      <c r="E366" s="7">
        <v>0</v>
      </c>
      <c r="F366" s="8" t="str">
        <f>IFERROR(E366/E444, "NA")</f>
        <v>NA</v>
      </c>
      <c r="G366" s="9"/>
      <c r="H366" s="10">
        <f t="shared" si="92"/>
        <v>-540.05999999999995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-540.05999999999995</v>
      </c>
      <c r="O366" s="8" t="str">
        <f>IFERROR(N366/N444, "NA")</f>
        <v>NA</v>
      </c>
      <c r="P366" s="9"/>
      <c r="Q366" s="7">
        <v>4711.01</v>
      </c>
      <c r="R366" s="8" t="str">
        <f>IFERROR(Q366/Q444, "NA")</f>
        <v>NA</v>
      </c>
      <c r="S366" s="9"/>
      <c r="T366" s="7">
        <v>3105</v>
      </c>
      <c r="U366" s="8" t="str">
        <f>IFERROR(T366/T444, "NA")</f>
        <v>NA</v>
      </c>
      <c r="V366" s="9"/>
      <c r="W366" s="10">
        <f t="shared" si="94"/>
        <v>-1606.0100000000002</v>
      </c>
      <c r="X366" s="8" t="str">
        <f>IFERROR(W366/W444, "NA")</f>
        <v>NA</v>
      </c>
      <c r="Y366" s="9"/>
      <c r="Z366" s="7">
        <v>1263.9100000000001</v>
      </c>
      <c r="AA366" s="8" t="str">
        <f>IFERROR(Z366/Z444, "NA")</f>
        <v>NA</v>
      </c>
      <c r="AB366" s="9"/>
      <c r="AC366" s="10">
        <f t="shared" si="95"/>
        <v>-3447.1000000000004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8539.77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-8539.77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-8539.77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3478.4900000000002</v>
      </c>
      <c r="C368" s="15" t="str">
        <f>IFERROR(B368/B444, "NA")</f>
        <v>NA</v>
      </c>
      <c r="D368" s="2"/>
      <c r="E368" s="14">
        <f>IFERROR(E360+E361+E362+E363+E364+E365+E366+E367, "NA")</f>
        <v>2100</v>
      </c>
      <c r="F368" s="15" t="str">
        <f>IFERROR(E368/E444, "NA")</f>
        <v>NA</v>
      </c>
      <c r="G368" s="2"/>
      <c r="H368" s="14">
        <f t="shared" si="92"/>
        <v>-1378.4900000000002</v>
      </c>
      <c r="I368" s="15" t="str">
        <f>IFERROR(H368/H444, "NA")</f>
        <v>NA</v>
      </c>
      <c r="J368" s="2"/>
      <c r="K368" s="14">
        <f>IFERROR(K360+K361+K362+K363+K364+K365+K366+K367, "NA")</f>
        <v>3117.32</v>
      </c>
      <c r="L368" s="15" t="str">
        <f>IFERROR(K368/K444, "NA")</f>
        <v>NA</v>
      </c>
      <c r="M368" s="2"/>
      <c r="N368" s="14">
        <f t="shared" si="93"/>
        <v>-361.17000000000007</v>
      </c>
      <c r="O368" s="15" t="str">
        <f>IFERROR(N368/N444, "NA")</f>
        <v>NA</v>
      </c>
      <c r="P368" s="2"/>
      <c r="Q368" s="14">
        <f>IFERROR(Q360+Q361+Q362+Q363+Q364+Q365+Q366+Q367, "NA")</f>
        <v>44593.400000000009</v>
      </c>
      <c r="R368" s="15" t="str">
        <f>IFERROR(Q368/Q444, "NA")</f>
        <v>NA</v>
      </c>
      <c r="S368" s="2"/>
      <c r="T368" s="14">
        <f>IFERROR(T360+T361+T362+T363+T364+T365+T366+T367, "NA")</f>
        <v>28455</v>
      </c>
      <c r="U368" s="15" t="str">
        <f>IFERROR(T368/T444, "NA")</f>
        <v>NA</v>
      </c>
      <c r="V368" s="2"/>
      <c r="W368" s="14">
        <f t="shared" si="94"/>
        <v>-16138.400000000009</v>
      </c>
      <c r="X368" s="15" t="str">
        <f>IFERROR(W368/W444, "NA")</f>
        <v>NA</v>
      </c>
      <c r="Y368" s="2"/>
      <c r="Z368" s="14">
        <f>IFERROR(Z360+Z361+Z362+Z363+Z364+Z365+Z366+Z367, "NA")</f>
        <v>45293.210000000006</v>
      </c>
      <c r="AA368" s="15" t="str">
        <f>IFERROR(Z368/Z444, "NA")</f>
        <v>NA</v>
      </c>
      <c r="AB368" s="2"/>
      <c r="AC368" s="14">
        <f t="shared" si="95"/>
        <v>699.80999999999767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98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537</v>
      </c>
      <c r="I370" s="8" t="str">
        <f>IFERROR(H370/H444, "NA")</f>
        <v>NA</v>
      </c>
      <c r="J370" s="9"/>
      <c r="K370" s="7">
        <v>98</v>
      </c>
      <c r="L370" s="8" t="str">
        <f>IFERROR(K370/K444, "NA")</f>
        <v>NA</v>
      </c>
      <c r="M370" s="9"/>
      <c r="N370" s="10">
        <f t="shared" si="93"/>
        <v>0</v>
      </c>
      <c r="O370" s="8" t="str">
        <f>IFERROR(N370/N444, "NA")</f>
        <v>NA</v>
      </c>
      <c r="P370" s="9"/>
      <c r="Q370" s="7">
        <v>3060.49</v>
      </c>
      <c r="R370" s="8" t="str">
        <f>IFERROR(Q370/Q444, "NA")</f>
        <v>NA</v>
      </c>
      <c r="S370" s="9"/>
      <c r="T370" s="7">
        <v>6985</v>
      </c>
      <c r="U370" s="8" t="str">
        <f>IFERROR(T370/T444, "NA")</f>
        <v>NA</v>
      </c>
      <c r="V370" s="9"/>
      <c r="W370" s="10">
        <f t="shared" si="94"/>
        <v>3924.51</v>
      </c>
      <c r="X370" s="8" t="str">
        <f>IFERROR(W370/W444, "NA")</f>
        <v>NA</v>
      </c>
      <c r="Y370" s="9"/>
      <c r="Z370" s="7">
        <v>5915.27</v>
      </c>
      <c r="AA370" s="8" t="str">
        <f>IFERROR(Z370/Z444, "NA")</f>
        <v>NA</v>
      </c>
      <c r="AB370" s="9"/>
      <c r="AC370" s="10">
        <f t="shared" si="95"/>
        <v>2854.7800000000007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207.71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-107.71000000000001</v>
      </c>
      <c r="I371" s="8" t="str">
        <f>IFERROR(H371/H444, "NA")</f>
        <v>NA</v>
      </c>
      <c r="J371" s="9"/>
      <c r="K371" s="7">
        <v>119.4</v>
      </c>
      <c r="L371" s="8" t="str">
        <f>IFERROR(K371/K444, "NA")</f>
        <v>NA</v>
      </c>
      <c r="M371" s="9"/>
      <c r="N371" s="10">
        <f t="shared" si="93"/>
        <v>-88.31</v>
      </c>
      <c r="O371" s="8" t="str">
        <f>IFERROR(N371/N444, "NA")</f>
        <v>NA</v>
      </c>
      <c r="P371" s="9"/>
      <c r="Q371" s="7">
        <v>5463.66</v>
      </c>
      <c r="R371" s="8" t="str">
        <f>IFERROR(Q371/Q444, "NA")</f>
        <v>NA</v>
      </c>
      <c r="S371" s="9"/>
      <c r="T371" s="7">
        <v>1100</v>
      </c>
      <c r="U371" s="8" t="str">
        <f>IFERROR(T371/T444, "NA")</f>
        <v>NA</v>
      </c>
      <c r="V371" s="9"/>
      <c r="W371" s="10">
        <f t="shared" si="94"/>
        <v>-4363.66</v>
      </c>
      <c r="X371" s="8" t="str">
        <f>IFERROR(W371/W444, "NA")</f>
        <v>NA</v>
      </c>
      <c r="Y371" s="9"/>
      <c r="Z371" s="7">
        <v>4895.09</v>
      </c>
      <c r="AA371" s="8" t="str">
        <f>IFERROR(Z371/Z444, "NA")</f>
        <v>NA</v>
      </c>
      <c r="AB371" s="9"/>
      <c r="AC371" s="10">
        <f t="shared" si="95"/>
        <v>-568.56999999999971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1354.1</v>
      </c>
      <c r="L372" s="8" t="str">
        <f>IFERROR(K372/K444, "NA")</f>
        <v>NA</v>
      </c>
      <c r="M372" s="9"/>
      <c r="N372" s="10">
        <f t="shared" si="93"/>
        <v>1076.9299999999998</v>
      </c>
      <c r="O372" s="8" t="str">
        <f>IFERROR(N372/N444, "NA")</f>
        <v>NA</v>
      </c>
      <c r="P372" s="9"/>
      <c r="Q372" s="7">
        <v>4891.7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-1391.6999999999998</v>
      </c>
      <c r="X372" s="8" t="str">
        <f>IFERROR(W372/W444, "NA")</f>
        <v>NA</v>
      </c>
      <c r="Y372" s="9"/>
      <c r="Z372" s="7">
        <v>4804.1000000000004</v>
      </c>
      <c r="AA372" s="8" t="str">
        <f>IFERROR(Z372/Z444, "NA")</f>
        <v>NA</v>
      </c>
      <c r="AB372" s="9"/>
      <c r="AC372" s="10">
        <f t="shared" si="95"/>
        <v>-87.599999999999454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629.17999999999995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-304.17999999999995</v>
      </c>
      <c r="I373" s="8" t="str">
        <f>IFERROR(H373/H444, "NA")</f>
        <v>NA</v>
      </c>
      <c r="J373" s="9"/>
      <c r="K373" s="7">
        <v>352</v>
      </c>
      <c r="L373" s="8" t="str">
        <f>IFERROR(K373/K444, "NA")</f>
        <v>NA</v>
      </c>
      <c r="M373" s="9"/>
      <c r="N373" s="10">
        <f t="shared" si="93"/>
        <v>-277.17999999999995</v>
      </c>
      <c r="O373" s="8" t="str">
        <f>IFERROR(N373/N444, "NA")</f>
        <v>NA</v>
      </c>
      <c r="P373" s="9"/>
      <c r="Q373" s="7">
        <v>7726.06</v>
      </c>
      <c r="R373" s="8" t="str">
        <f>IFERROR(Q373/Q444, "NA")</f>
        <v>NA</v>
      </c>
      <c r="S373" s="9"/>
      <c r="T373" s="7">
        <v>3575</v>
      </c>
      <c r="U373" s="8" t="str">
        <f>IFERROR(T373/T444, "NA")</f>
        <v>NA</v>
      </c>
      <c r="V373" s="9"/>
      <c r="W373" s="10">
        <f t="shared" si="94"/>
        <v>-4151.0600000000004</v>
      </c>
      <c r="X373" s="8" t="str">
        <f>IFERROR(W373/W444, "NA")</f>
        <v>NA</v>
      </c>
      <c r="Y373" s="9"/>
      <c r="Z373" s="7">
        <v>7401.25</v>
      </c>
      <c r="AA373" s="8" t="str">
        <f>IFERROR(Z373/Z444, "NA")</f>
        <v>NA</v>
      </c>
      <c r="AB373" s="9"/>
      <c r="AC373" s="10">
        <f t="shared" si="95"/>
        <v>-324.8100000000004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22481.19</v>
      </c>
      <c r="R374" s="8" t="str">
        <f>IFERROR(Q374/Q444, "NA")</f>
        <v>NA</v>
      </c>
      <c r="S374" s="9"/>
      <c r="T374" s="7">
        <v>20900</v>
      </c>
      <c r="U374" s="8" t="str">
        <f>IFERROR(T374/T444, "NA")</f>
        <v>NA</v>
      </c>
      <c r="V374" s="9"/>
      <c r="W374" s="10">
        <f t="shared" si="94"/>
        <v>-1581.1899999999987</v>
      </c>
      <c r="X374" s="8" t="str">
        <f>IFERROR(W374/W444, "NA")</f>
        <v>NA</v>
      </c>
      <c r="Y374" s="9"/>
      <c r="Z374" s="7">
        <v>20208.759999999998</v>
      </c>
      <c r="AA374" s="8" t="str">
        <f>IFERROR(Z374/Z444, "NA")</f>
        <v>NA</v>
      </c>
      <c r="AB374" s="9"/>
      <c r="AC374" s="10">
        <f t="shared" si="95"/>
        <v>-2272.4300000000003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4164.08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-4164.08</v>
      </c>
      <c r="X375" s="8" t="str">
        <f>IFERROR(W375/W444, "NA")</f>
        <v>NA</v>
      </c>
      <c r="Y375" s="9"/>
      <c r="Z375" s="7">
        <v>1344.99</v>
      </c>
      <c r="AA375" s="8" t="str">
        <f>IFERROR(Z375/Z444, "NA")</f>
        <v>NA</v>
      </c>
      <c r="AB375" s="9"/>
      <c r="AC375" s="10">
        <f t="shared" si="95"/>
        <v>-2819.09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-1390.08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1390.08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1390.08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9074.3700000000008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-604.04000000000087</v>
      </c>
      <c r="I378" s="8" t="str">
        <f>IFERROR(H378/H444, "NA")</f>
        <v>NA</v>
      </c>
      <c r="J378" s="9"/>
      <c r="K378" s="7">
        <v>10052.52</v>
      </c>
      <c r="L378" s="8" t="str">
        <f>IFERROR(K378/K444, "NA")</f>
        <v>NA</v>
      </c>
      <c r="M378" s="9"/>
      <c r="N378" s="10">
        <f t="shared" si="93"/>
        <v>978.14999999999964</v>
      </c>
      <c r="O378" s="8" t="str">
        <f>IFERROR(N378/N444, "NA")</f>
        <v>NA</v>
      </c>
      <c r="P378" s="9"/>
      <c r="Q378" s="7">
        <v>103828.3</v>
      </c>
      <c r="R378" s="8" t="str">
        <f>IFERROR(Q378/Q444, "NA")</f>
        <v>NA</v>
      </c>
      <c r="S378" s="9"/>
      <c r="T378" s="7">
        <v>93173.63</v>
      </c>
      <c r="U378" s="8" t="str">
        <f>IFERROR(T378/T444, "NA")</f>
        <v>NA</v>
      </c>
      <c r="V378" s="9"/>
      <c r="W378" s="10">
        <f t="shared" si="94"/>
        <v>-10654.669999999998</v>
      </c>
      <c r="X378" s="8" t="str">
        <f>IFERROR(W378/W444, "NA")</f>
        <v>NA</v>
      </c>
      <c r="Y378" s="9"/>
      <c r="Z378" s="7">
        <v>76232.850000000006</v>
      </c>
      <c r="AA378" s="8" t="str">
        <f>IFERROR(Z378/Z444, "NA")</f>
        <v>NA</v>
      </c>
      <c r="AB378" s="9"/>
      <c r="AC378" s="10">
        <f t="shared" si="95"/>
        <v>-27595.449999999997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1024.31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-824.31</v>
      </c>
      <c r="I379" s="8" t="str">
        <f>IFERROR(H379/H444, "NA")</f>
        <v>NA</v>
      </c>
      <c r="J379" s="9"/>
      <c r="K379" s="7">
        <v>115.67</v>
      </c>
      <c r="L379" s="8" t="str">
        <f>IFERROR(K379/K444, "NA")</f>
        <v>NA</v>
      </c>
      <c r="M379" s="9"/>
      <c r="N379" s="10">
        <f t="shared" si="93"/>
        <v>-908.64</v>
      </c>
      <c r="O379" s="8" t="str">
        <f>IFERROR(N379/N444, "NA")</f>
        <v>NA</v>
      </c>
      <c r="P379" s="9"/>
      <c r="Q379" s="7">
        <v>8479.73</v>
      </c>
      <c r="R379" s="8" t="str">
        <f>IFERROR(Q379/Q444, "NA")</f>
        <v>NA</v>
      </c>
      <c r="S379" s="9"/>
      <c r="T379" s="7">
        <v>2200</v>
      </c>
      <c r="U379" s="8" t="str">
        <f>IFERROR(T379/T444, "NA")</f>
        <v>NA</v>
      </c>
      <c r="V379" s="9"/>
      <c r="W379" s="10">
        <f t="shared" si="94"/>
        <v>-6279.73</v>
      </c>
      <c r="X379" s="8" t="str">
        <f>IFERROR(W379/W444, "NA")</f>
        <v>NA</v>
      </c>
      <c r="Y379" s="9"/>
      <c r="Z379" s="7">
        <v>5224.18</v>
      </c>
      <c r="AA379" s="8" t="str">
        <f>IFERROR(Z379/Z444, "NA")</f>
        <v>NA</v>
      </c>
      <c r="AB379" s="9"/>
      <c r="AC379" s="10">
        <f t="shared" si="95"/>
        <v>-3255.5499999999993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11800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-300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-300</v>
      </c>
      <c r="O380" s="8" t="str">
        <f>IFERROR(N380/N444, "NA")</f>
        <v>NA</v>
      </c>
      <c r="P380" s="9"/>
      <c r="Q380" s="7">
        <v>128300</v>
      </c>
      <c r="R380" s="8" t="str">
        <f>IFERROR(Q380/Q444, "NA")</f>
        <v>NA</v>
      </c>
      <c r="S380" s="9"/>
      <c r="T380" s="7">
        <v>126500</v>
      </c>
      <c r="U380" s="8" t="str">
        <f>IFERROR(T380/T444, "NA")</f>
        <v>NA</v>
      </c>
      <c r="V380" s="9"/>
      <c r="W380" s="10">
        <f t="shared" si="94"/>
        <v>-1800</v>
      </c>
      <c r="X380" s="8" t="str">
        <f>IFERROR(W380/W444, "NA")</f>
        <v>NA</v>
      </c>
      <c r="Y380" s="9"/>
      <c r="Z380" s="7">
        <v>126500</v>
      </c>
      <c r="AA380" s="8" t="str">
        <f>IFERROR(Z380/Z444, "NA")</f>
        <v>NA</v>
      </c>
      <c r="AB380" s="9"/>
      <c r="AC380" s="10">
        <f t="shared" si="95"/>
        <v>-1800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9193.75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-5193.75</v>
      </c>
      <c r="I381" s="8" t="str">
        <f>IFERROR(H381/H444, "NA")</f>
        <v>NA</v>
      </c>
      <c r="J381" s="9"/>
      <c r="K381" s="7">
        <v>12572.55</v>
      </c>
      <c r="L381" s="8" t="str">
        <f>IFERROR(K381/K444, "NA")</f>
        <v>NA</v>
      </c>
      <c r="M381" s="9"/>
      <c r="N381" s="10">
        <f t="shared" si="93"/>
        <v>3378.7999999999993</v>
      </c>
      <c r="O381" s="8" t="str">
        <f>IFERROR(N381/N444, "NA")</f>
        <v>NA</v>
      </c>
      <c r="P381" s="9"/>
      <c r="Q381" s="7">
        <v>63559.01</v>
      </c>
      <c r="R381" s="8" t="str">
        <f>IFERROR(Q381/Q444, "NA")</f>
        <v>NA</v>
      </c>
      <c r="S381" s="9"/>
      <c r="T381" s="7">
        <v>44000</v>
      </c>
      <c r="U381" s="8" t="str">
        <f>IFERROR(T381/T444, "NA")</f>
        <v>NA</v>
      </c>
      <c r="V381" s="9"/>
      <c r="W381" s="10">
        <f t="shared" si="94"/>
        <v>-19559.010000000002</v>
      </c>
      <c r="X381" s="8" t="str">
        <f>IFERROR(W381/W444, "NA")</f>
        <v>NA</v>
      </c>
      <c r="Y381" s="9"/>
      <c r="Z381" s="7">
        <v>145958.72</v>
      </c>
      <c r="AA381" s="8" t="str">
        <f>IFERROR(Z381/Z444, "NA")</f>
        <v>NA</v>
      </c>
      <c r="AB381" s="9"/>
      <c r="AC381" s="10">
        <f t="shared" si="95"/>
        <v>82399.709999999992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727.16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67.840000000000032</v>
      </c>
      <c r="I382" s="8" t="str">
        <f>IFERROR(H382/H444, "NA")</f>
        <v>NA</v>
      </c>
      <c r="J382" s="9"/>
      <c r="K382" s="7">
        <v>505.62</v>
      </c>
      <c r="L382" s="8" t="str">
        <f>IFERROR(K382/K444, "NA")</f>
        <v>NA</v>
      </c>
      <c r="M382" s="9"/>
      <c r="N382" s="10">
        <f t="shared" si="93"/>
        <v>-221.53999999999996</v>
      </c>
      <c r="O382" s="8" t="str">
        <f>IFERROR(N382/N444, "NA")</f>
        <v>NA</v>
      </c>
      <c r="P382" s="9"/>
      <c r="Q382" s="7">
        <v>6165.78</v>
      </c>
      <c r="R382" s="8" t="str">
        <f>IFERROR(Q382/Q444, "NA")</f>
        <v>NA</v>
      </c>
      <c r="S382" s="9"/>
      <c r="T382" s="7">
        <v>8745</v>
      </c>
      <c r="U382" s="8" t="str">
        <f>IFERROR(T382/T444, "NA")</f>
        <v>NA</v>
      </c>
      <c r="V382" s="9"/>
      <c r="W382" s="10">
        <f t="shared" si="94"/>
        <v>2579.2200000000003</v>
      </c>
      <c r="X382" s="8" t="str">
        <f>IFERROR(W382/W444, "NA")</f>
        <v>NA</v>
      </c>
      <c r="Y382" s="9"/>
      <c r="Z382" s="7">
        <v>3518.49</v>
      </c>
      <c r="AA382" s="8" t="str">
        <f>IFERROR(Z382/Z444, "NA")</f>
        <v>NA</v>
      </c>
      <c r="AB382" s="9"/>
      <c r="AC382" s="10">
        <f t="shared" si="95"/>
        <v>-2647.29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734.67</v>
      </c>
      <c r="C385" s="8" t="str">
        <f>IFERROR(B385/B444, "NA")</f>
        <v>NA</v>
      </c>
      <c r="D385" s="9"/>
      <c r="E385" s="7">
        <v>1313.79</v>
      </c>
      <c r="F385" s="8" t="str">
        <f>IFERROR(E385/E444, "NA")</f>
        <v>NA</v>
      </c>
      <c r="G385" s="9"/>
      <c r="H385" s="10">
        <f>IFERROR(-(B385-E385), "NA")</f>
        <v>579.12</v>
      </c>
      <c r="I385" s="8" t="str">
        <f>IFERROR(H385/H444, "NA")</f>
        <v>NA</v>
      </c>
      <c r="J385" s="9"/>
      <c r="K385" s="7">
        <v>996.57</v>
      </c>
      <c r="L385" s="8" t="str">
        <f>IFERROR(K385/K444, "NA")</f>
        <v>NA</v>
      </c>
      <c r="M385" s="9"/>
      <c r="N385" s="10">
        <f>IFERROR(-(B385-K385), "NA")</f>
        <v>261.90000000000009</v>
      </c>
      <c r="O385" s="8" t="str">
        <f>IFERROR(N385/N444, "NA")</f>
        <v>NA</v>
      </c>
      <c r="P385" s="9"/>
      <c r="Q385" s="7">
        <v>25060.55</v>
      </c>
      <c r="R385" s="8" t="str">
        <f>IFERROR(Q385/Q444, "NA")</f>
        <v>NA</v>
      </c>
      <c r="S385" s="9"/>
      <c r="T385" s="7">
        <v>24529.67</v>
      </c>
      <c r="U385" s="8" t="str">
        <f>IFERROR(T385/T444, "NA")</f>
        <v>NA</v>
      </c>
      <c r="V385" s="9"/>
      <c r="W385" s="10">
        <f>IFERROR(-(Q385-T385), "NA")</f>
        <v>-530.88000000000102</v>
      </c>
      <c r="X385" s="8" t="str">
        <f>IFERROR(W385/W444, "NA")</f>
        <v>NA</v>
      </c>
      <c r="Y385" s="9"/>
      <c r="Z385" s="7">
        <v>32420.14</v>
      </c>
      <c r="AA385" s="8" t="str">
        <f>IFERROR(Z385/Z444, "NA")</f>
        <v>NA</v>
      </c>
      <c r="AB385" s="9"/>
      <c r="AC385" s="10">
        <f>IFERROR(-(Q385-Z385), "NA")</f>
        <v>7359.59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0</v>
      </c>
      <c r="L386" s="8" t="str">
        <f>IFERROR(K386/K444, "NA")</f>
        <v>NA</v>
      </c>
      <c r="M386" s="9"/>
      <c r="N386" s="10">
        <f>IFERROR(-(B386-K386), "NA")</f>
        <v>0</v>
      </c>
      <c r="O386" s="8" t="str">
        <f>IFERROR(N386/N444, "NA")</f>
        <v>NA</v>
      </c>
      <c r="P386" s="9"/>
      <c r="Q386" s="7">
        <v>260.7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-260.7</v>
      </c>
      <c r="X386" s="8" t="str">
        <f>IFERROR(W386/W444, "NA")</f>
        <v>NA</v>
      </c>
      <c r="Y386" s="9"/>
      <c r="Z386" s="7">
        <v>5255.6</v>
      </c>
      <c r="AA386" s="8" t="str">
        <f>IFERROR(Z386/Z444, "NA")</f>
        <v>NA</v>
      </c>
      <c r="AB386" s="9"/>
      <c r="AC386" s="10">
        <f>IFERROR(-(Q386-Z386), "NA")</f>
        <v>4994.9000000000005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5967.58</v>
      </c>
      <c r="C389" s="8" t="str">
        <f>IFERROR(B389/B444, "NA")</f>
        <v>NA</v>
      </c>
      <c r="D389" s="9"/>
      <c r="E389" s="7">
        <v>2922.82</v>
      </c>
      <c r="F389" s="8" t="str">
        <f>IFERROR(E389/E444, "NA")</f>
        <v>NA</v>
      </c>
      <c r="G389" s="9"/>
      <c r="H389" s="10">
        <f t="shared" si="96"/>
        <v>-3044.7599999999998</v>
      </c>
      <c r="I389" s="8" t="str">
        <f>IFERROR(H389/H444, "NA")</f>
        <v>NA</v>
      </c>
      <c r="J389" s="9"/>
      <c r="K389" s="7">
        <v>5990.52</v>
      </c>
      <c r="L389" s="8" t="str">
        <f>IFERROR(K389/K444, "NA")</f>
        <v>NA</v>
      </c>
      <c r="M389" s="9"/>
      <c r="N389" s="10">
        <f t="shared" si="97"/>
        <v>22.940000000000509</v>
      </c>
      <c r="O389" s="8" t="str">
        <f>IFERROR(N389/N444, "NA")</f>
        <v>NA</v>
      </c>
      <c r="P389" s="9"/>
      <c r="Q389" s="7">
        <v>55649.87</v>
      </c>
      <c r="R389" s="8" t="str">
        <f>IFERROR(Q389/Q444, "NA")</f>
        <v>NA</v>
      </c>
      <c r="S389" s="9"/>
      <c r="T389" s="7">
        <v>32190.12</v>
      </c>
      <c r="U389" s="8" t="str">
        <f>IFERROR(T389/T444, "NA")</f>
        <v>NA</v>
      </c>
      <c r="V389" s="9"/>
      <c r="W389" s="10">
        <f t="shared" si="98"/>
        <v>-23459.750000000004</v>
      </c>
      <c r="X389" s="8" t="str">
        <f>IFERROR(W389/W444, "NA")</f>
        <v>NA</v>
      </c>
      <c r="Y389" s="9"/>
      <c r="Z389" s="7">
        <v>32237.54</v>
      </c>
      <c r="AA389" s="8" t="str">
        <f>IFERROR(Z389/Z444, "NA")</f>
        <v>NA</v>
      </c>
      <c r="AB389" s="9"/>
      <c r="AC389" s="10">
        <f t="shared" si="99"/>
        <v>-23412.33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5791.45</v>
      </c>
      <c r="C390" s="8" t="str">
        <f>IFERROR(B390/B444, "NA")</f>
        <v>NA</v>
      </c>
      <c r="D390" s="9"/>
      <c r="E390" s="7">
        <v>14202.3</v>
      </c>
      <c r="F390" s="8" t="str">
        <f>IFERROR(E390/E444, "NA")</f>
        <v>NA</v>
      </c>
      <c r="G390" s="9"/>
      <c r="H390" s="10">
        <f t="shared" si="96"/>
        <v>8410.8499999999985</v>
      </c>
      <c r="I390" s="8" t="str">
        <f>IFERROR(H390/H444, "NA")</f>
        <v>NA</v>
      </c>
      <c r="J390" s="9"/>
      <c r="K390" s="7">
        <v>11933.58</v>
      </c>
      <c r="L390" s="8" t="str">
        <f>IFERROR(K390/K444, "NA")</f>
        <v>NA</v>
      </c>
      <c r="M390" s="9"/>
      <c r="N390" s="10">
        <f t="shared" si="97"/>
        <v>6142.13</v>
      </c>
      <c r="O390" s="8" t="str">
        <f>IFERROR(N390/N444, "NA")</f>
        <v>NA</v>
      </c>
      <c r="P390" s="9"/>
      <c r="Q390" s="7">
        <v>75436.399999999994</v>
      </c>
      <c r="R390" s="8" t="str">
        <f>IFERROR(Q390/Q444, "NA")</f>
        <v>NA</v>
      </c>
      <c r="S390" s="9"/>
      <c r="T390" s="7">
        <v>156415.46</v>
      </c>
      <c r="U390" s="8" t="str">
        <f>IFERROR(T390/T444, "NA")</f>
        <v>NA</v>
      </c>
      <c r="V390" s="9"/>
      <c r="W390" s="10">
        <f t="shared" si="98"/>
        <v>80979.06</v>
      </c>
      <c r="X390" s="8" t="str">
        <f>IFERROR(W390/W444, "NA")</f>
        <v>NA</v>
      </c>
      <c r="Y390" s="9"/>
      <c r="Z390" s="7">
        <v>164050.74</v>
      </c>
      <c r="AA390" s="8" t="str">
        <f>IFERROR(Z390/Z444, "NA")</f>
        <v>NA</v>
      </c>
      <c r="AB390" s="9"/>
      <c r="AC390" s="10">
        <f t="shared" si="99"/>
        <v>88614.34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5941.11</v>
      </c>
      <c r="C392" s="8" t="str">
        <f>IFERROR(B392/B444, "NA")</f>
        <v>NA</v>
      </c>
      <c r="D392" s="9"/>
      <c r="E392" s="7">
        <v>2181.81</v>
      </c>
      <c r="F392" s="8" t="str">
        <f>IFERROR(E392/E444, "NA")</f>
        <v>NA</v>
      </c>
      <c r="G392" s="9"/>
      <c r="H392" s="10">
        <f t="shared" si="96"/>
        <v>-3759.2999999999997</v>
      </c>
      <c r="I392" s="8" t="str">
        <f>IFERROR(H392/H444, "NA")</f>
        <v>NA</v>
      </c>
      <c r="J392" s="9"/>
      <c r="K392" s="7">
        <v>2962.48</v>
      </c>
      <c r="L392" s="8" t="str">
        <f>IFERROR(K392/K444, "NA")</f>
        <v>NA</v>
      </c>
      <c r="M392" s="9"/>
      <c r="N392" s="10">
        <f t="shared" si="97"/>
        <v>-2978.6299999999997</v>
      </c>
      <c r="O392" s="8" t="str">
        <f>IFERROR(N392/N444, "NA")</f>
        <v>NA</v>
      </c>
      <c r="P392" s="9"/>
      <c r="Q392" s="7">
        <v>52943.72</v>
      </c>
      <c r="R392" s="8" t="str">
        <f>IFERROR(Q392/Q444, "NA")</f>
        <v>NA</v>
      </c>
      <c r="S392" s="9"/>
      <c r="T392" s="7">
        <v>24029.15</v>
      </c>
      <c r="U392" s="8" t="str">
        <f>IFERROR(T392/T444, "NA")</f>
        <v>NA</v>
      </c>
      <c r="V392" s="9"/>
      <c r="W392" s="10">
        <f t="shared" si="98"/>
        <v>-28914.57</v>
      </c>
      <c r="X392" s="8" t="str">
        <f>IFERROR(W392/W444, "NA")</f>
        <v>NA</v>
      </c>
      <c r="Y392" s="9"/>
      <c r="Z392" s="7">
        <v>21474.82</v>
      </c>
      <c r="AA392" s="8" t="str">
        <f>IFERROR(Z392/Z444, "NA")</f>
        <v>NA</v>
      </c>
      <c r="AB392" s="9"/>
      <c r="AC392" s="10">
        <f t="shared" si="99"/>
        <v>-31468.9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17700.14</v>
      </c>
      <c r="C393" s="15" t="str">
        <f>IFERROR(B393/B444, "NA")</f>
        <v>NA</v>
      </c>
      <c r="D393" s="2"/>
      <c r="E393" s="14">
        <f>IFERROR(E388+E389+E390+E391+E392, "NA")</f>
        <v>19306.93</v>
      </c>
      <c r="F393" s="15" t="str">
        <f>IFERROR(E393/E444, "NA")</f>
        <v>NA</v>
      </c>
      <c r="G393" s="2"/>
      <c r="H393" s="14">
        <f t="shared" si="96"/>
        <v>1606.7900000000009</v>
      </c>
      <c r="I393" s="15" t="str">
        <f>IFERROR(H393/H444, "NA")</f>
        <v>NA</v>
      </c>
      <c r="J393" s="2"/>
      <c r="K393" s="14">
        <f>IFERROR(K388+K389+K390+K391+K392, "NA")</f>
        <v>20886.579999999998</v>
      </c>
      <c r="L393" s="15" t="str">
        <f>IFERROR(K393/K444, "NA")</f>
        <v>NA</v>
      </c>
      <c r="M393" s="2"/>
      <c r="N393" s="14">
        <f t="shared" si="97"/>
        <v>3186.4399999999987</v>
      </c>
      <c r="O393" s="15" t="str">
        <f>IFERROR(N393/N444, "NA")</f>
        <v>NA</v>
      </c>
      <c r="P393" s="2"/>
      <c r="Q393" s="14">
        <f>IFERROR(Q388+Q389+Q390+Q391+Q392, "NA")</f>
        <v>184029.99</v>
      </c>
      <c r="R393" s="15" t="str">
        <f>IFERROR(Q393/Q444, "NA")</f>
        <v>NA</v>
      </c>
      <c r="S393" s="2"/>
      <c r="T393" s="14">
        <f>IFERROR(T388+T389+T390+T391+T392, "NA")</f>
        <v>212634.72999999998</v>
      </c>
      <c r="U393" s="15" t="str">
        <f>IFERROR(T393/T444, "NA")</f>
        <v>NA</v>
      </c>
      <c r="V393" s="2"/>
      <c r="W393" s="14">
        <f t="shared" si="98"/>
        <v>28604.739999999991</v>
      </c>
      <c r="X393" s="15" t="str">
        <f>IFERROR(W393/W444, "NA")</f>
        <v>NA</v>
      </c>
      <c r="Y393" s="2"/>
      <c r="Z393" s="14">
        <f>IFERROR(Z388+Z389+Z390+Z391+Z392, "NA")</f>
        <v>217763.1</v>
      </c>
      <c r="AA393" s="15" t="str">
        <f>IFERROR(Z393/Z444, "NA")</f>
        <v>NA</v>
      </c>
      <c r="AB393" s="2"/>
      <c r="AC393" s="14">
        <f t="shared" si="99"/>
        <v>33733.110000000015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105</v>
      </c>
      <c r="C394" s="8" t="str">
        <f>IFERROR(B394/B444, "NA")</f>
        <v>NA</v>
      </c>
      <c r="D394" s="9"/>
      <c r="E394" s="7">
        <v>3284.48</v>
      </c>
      <c r="F394" s="8" t="str">
        <f>IFERROR(E394/E444, "NA")</f>
        <v>NA</v>
      </c>
      <c r="G394" s="9"/>
      <c r="H394" s="10">
        <f t="shared" si="96"/>
        <v>3179.48</v>
      </c>
      <c r="I394" s="8" t="str">
        <f>IFERROR(H394/H444, "NA")</f>
        <v>NA</v>
      </c>
      <c r="J394" s="9"/>
      <c r="K394" s="7">
        <v>2610.3000000000002</v>
      </c>
      <c r="L394" s="8" t="str">
        <f>IFERROR(K394/K444, "NA")</f>
        <v>NA</v>
      </c>
      <c r="M394" s="9"/>
      <c r="N394" s="10">
        <f t="shared" si="97"/>
        <v>2505.3000000000002</v>
      </c>
      <c r="O394" s="8" t="str">
        <f>IFERROR(N394/N444, "NA")</f>
        <v>NA</v>
      </c>
      <c r="P394" s="9"/>
      <c r="Q394" s="7">
        <v>6717.06</v>
      </c>
      <c r="R394" s="8" t="str">
        <f>IFERROR(Q394/Q444, "NA")</f>
        <v>NA</v>
      </c>
      <c r="S394" s="9"/>
      <c r="T394" s="7">
        <v>51979.87</v>
      </c>
      <c r="U394" s="8" t="str">
        <f>IFERROR(T394/T444, "NA")</f>
        <v>NA</v>
      </c>
      <c r="V394" s="9"/>
      <c r="W394" s="10">
        <f t="shared" si="98"/>
        <v>45262.810000000005</v>
      </c>
      <c r="X394" s="8" t="str">
        <f>IFERROR(W394/W444, "NA")</f>
        <v>NA</v>
      </c>
      <c r="Y394" s="9"/>
      <c r="Z394" s="7">
        <v>46262.12</v>
      </c>
      <c r="AA394" s="8" t="str">
        <f>IFERROR(Z394/Z444, "NA")</f>
        <v>NA</v>
      </c>
      <c r="AB394" s="9"/>
      <c r="AC394" s="10">
        <f t="shared" si="99"/>
        <v>39545.060000000005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18539.810000000001</v>
      </c>
      <c r="C396" s="15" t="str">
        <f>IFERROR(B396/B444, "NA")</f>
        <v>NA</v>
      </c>
      <c r="D396" s="2"/>
      <c r="E396" s="14">
        <f>IFERROR(E385+E386+E388+E389+E390+E391+E392+E394+E395, "NA")</f>
        <v>23905.200000000001</v>
      </c>
      <c r="F396" s="15" t="str">
        <f>IFERROR(E396/E444, "NA")</f>
        <v>NA</v>
      </c>
      <c r="G396" s="2"/>
      <c r="H396" s="14">
        <f t="shared" si="96"/>
        <v>5365.3899999999994</v>
      </c>
      <c r="I396" s="15" t="str">
        <f>IFERROR(H396/H444, "NA")</f>
        <v>NA</v>
      </c>
      <c r="J396" s="2"/>
      <c r="K396" s="14">
        <f>IFERROR(K385+K386+K388+K389+K390+K391+K392+K394+K395, "NA")</f>
        <v>24493.449999999997</v>
      </c>
      <c r="L396" s="15" t="str">
        <f>IFERROR(K396/K444, "NA")</f>
        <v>NA</v>
      </c>
      <c r="M396" s="2"/>
      <c r="N396" s="14">
        <f t="shared" si="97"/>
        <v>5953.6399999999958</v>
      </c>
      <c r="O396" s="15" t="str">
        <f>IFERROR(N396/N444, "NA")</f>
        <v>NA</v>
      </c>
      <c r="P396" s="2"/>
      <c r="Q396" s="14">
        <f>IFERROR(Q385+Q386+Q388+Q389+Q390+Q391+Q392+Q394+Q395, "NA")</f>
        <v>216068.3</v>
      </c>
      <c r="R396" s="15" t="str">
        <f>IFERROR(Q396/Q444, "NA")</f>
        <v>NA</v>
      </c>
      <c r="S396" s="2"/>
      <c r="T396" s="14">
        <f>IFERROR(T385+T386+T388+T389+T390+T391+T392+T394+T395, "NA")</f>
        <v>289144.27</v>
      </c>
      <c r="U396" s="15" t="str">
        <f>IFERROR(T396/T444, "NA")</f>
        <v>NA</v>
      </c>
      <c r="V396" s="2"/>
      <c r="W396" s="14">
        <f t="shared" si="98"/>
        <v>73075.97000000003</v>
      </c>
      <c r="X396" s="15" t="str">
        <f>IFERROR(W396/W444, "NA")</f>
        <v>NA</v>
      </c>
      <c r="Y396" s="2"/>
      <c r="Z396" s="14">
        <f>IFERROR(Z385+Z386+Z388+Z389+Z390+Z391+Z392+Z394+Z395, "NA")</f>
        <v>301700.96000000002</v>
      </c>
      <c r="AA396" s="15" t="str">
        <f>IFERROR(Z396/Z444, "NA")</f>
        <v>NA</v>
      </c>
      <c r="AB396" s="2"/>
      <c r="AC396" s="14">
        <f t="shared" si="99"/>
        <v>85632.660000000033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20607.39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-383.14999999999782</v>
      </c>
      <c r="I397" s="8" t="str">
        <f>IFERROR(H397/H444, "NA")</f>
        <v>NA</v>
      </c>
      <c r="J397" s="9"/>
      <c r="K397" s="7">
        <v>6280.88</v>
      </c>
      <c r="L397" s="8" t="str">
        <f>IFERROR(K397/K444, "NA")</f>
        <v>NA</v>
      </c>
      <c r="M397" s="9"/>
      <c r="N397" s="10">
        <f t="shared" si="97"/>
        <v>-14326.509999999998</v>
      </c>
      <c r="O397" s="8" t="str">
        <f>IFERROR(N397/N444, "NA")</f>
        <v>NA</v>
      </c>
      <c r="P397" s="9"/>
      <c r="Q397" s="7">
        <v>118420.7</v>
      </c>
      <c r="R397" s="8" t="str">
        <f>IFERROR(Q397/Q444, "NA")</f>
        <v>NA</v>
      </c>
      <c r="S397" s="9"/>
      <c r="T397" s="7">
        <v>204875.73</v>
      </c>
      <c r="U397" s="8" t="str">
        <f>IFERROR(T397/T444, "NA")</f>
        <v>NA</v>
      </c>
      <c r="V397" s="9"/>
      <c r="W397" s="10">
        <f t="shared" si="98"/>
        <v>86455.030000000013</v>
      </c>
      <c r="X397" s="8" t="str">
        <f>IFERROR(W397/W444, "NA")</f>
        <v>NA</v>
      </c>
      <c r="Y397" s="9"/>
      <c r="Z397" s="7">
        <v>87964.5</v>
      </c>
      <c r="AA397" s="8" t="str">
        <f>IFERROR(Z397/Z444, "NA")</f>
        <v>NA</v>
      </c>
      <c r="AB397" s="9"/>
      <c r="AC397" s="10">
        <f t="shared" si="99"/>
        <v>-30456.199999999997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1091.1600000000001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-1016.1600000000001</v>
      </c>
      <c r="I398" s="8" t="str">
        <f>IFERROR(H398/H444, "NA")</f>
        <v>NA</v>
      </c>
      <c r="J398" s="9"/>
      <c r="K398" s="7">
        <v>204.26</v>
      </c>
      <c r="L398" s="8" t="str">
        <f>IFERROR(K398/K444, "NA")</f>
        <v>NA</v>
      </c>
      <c r="M398" s="9"/>
      <c r="N398" s="10">
        <f t="shared" si="97"/>
        <v>-886.90000000000009</v>
      </c>
      <c r="O398" s="8" t="str">
        <f>IFERROR(N398/N444, "NA")</f>
        <v>NA</v>
      </c>
      <c r="P398" s="9"/>
      <c r="Q398" s="7">
        <v>4460.3999999999996</v>
      </c>
      <c r="R398" s="8" t="str">
        <f>IFERROR(Q398/Q444, "NA")</f>
        <v>NA</v>
      </c>
      <c r="S398" s="9"/>
      <c r="T398" s="7">
        <v>825</v>
      </c>
      <c r="U398" s="8" t="str">
        <f>IFERROR(T398/T444, "NA")</f>
        <v>NA</v>
      </c>
      <c r="V398" s="9"/>
      <c r="W398" s="10">
        <f t="shared" si="98"/>
        <v>-3635.3999999999996</v>
      </c>
      <c r="X398" s="8" t="str">
        <f>IFERROR(W398/W444, "NA")</f>
        <v>NA</v>
      </c>
      <c r="Y398" s="9"/>
      <c r="Z398" s="7">
        <v>1226.06</v>
      </c>
      <c r="AA398" s="8" t="str">
        <f>IFERROR(Z398/Z444, "NA")</f>
        <v>NA</v>
      </c>
      <c r="AB398" s="9"/>
      <c r="AC398" s="10">
        <f t="shared" si="99"/>
        <v>-3234.3399999999997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552.84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147.15999999999997</v>
      </c>
      <c r="I399" s="8" t="str">
        <f>IFERROR(H399/H444, "NA")</f>
        <v>NA</v>
      </c>
      <c r="J399" s="9"/>
      <c r="K399" s="7">
        <v>1565.3</v>
      </c>
      <c r="L399" s="8" t="str">
        <f>IFERROR(K399/K444, "NA")</f>
        <v>NA</v>
      </c>
      <c r="M399" s="9"/>
      <c r="N399" s="10">
        <f t="shared" si="97"/>
        <v>1012.4599999999999</v>
      </c>
      <c r="O399" s="8" t="str">
        <f>IFERROR(N399/N444, "NA")</f>
        <v>NA</v>
      </c>
      <c r="P399" s="9"/>
      <c r="Q399" s="7">
        <v>3974.79</v>
      </c>
      <c r="R399" s="8" t="str">
        <f>IFERROR(Q399/Q444, "NA")</f>
        <v>NA</v>
      </c>
      <c r="S399" s="9"/>
      <c r="T399" s="7">
        <v>7700</v>
      </c>
      <c r="U399" s="8" t="str">
        <f>IFERROR(T399/T444, "NA")</f>
        <v>NA</v>
      </c>
      <c r="V399" s="9"/>
      <c r="W399" s="10">
        <f t="shared" si="98"/>
        <v>3725.21</v>
      </c>
      <c r="X399" s="8" t="str">
        <f>IFERROR(W399/W444, "NA")</f>
        <v>NA</v>
      </c>
      <c r="Y399" s="9"/>
      <c r="Z399" s="7">
        <v>8681.2000000000007</v>
      </c>
      <c r="AA399" s="8" t="str">
        <f>IFERROR(Z399/Z444, "NA")</f>
        <v>NA</v>
      </c>
      <c r="AB399" s="9"/>
      <c r="AC399" s="10">
        <f t="shared" si="99"/>
        <v>4706.4100000000008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91666.66</v>
      </c>
      <c r="AA401" s="8" t="str">
        <f>IFERROR(Z401/Z444, "NA")</f>
        <v>NA</v>
      </c>
      <c r="AB401" s="9"/>
      <c r="AC401" s="10">
        <f t="shared" si="99"/>
        <v>91666.66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132172.87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155833.47000000003</v>
      </c>
      <c r="F403" s="15" t="str">
        <f>IFERROR(E403/E444, "NA")</f>
        <v>NA</v>
      </c>
      <c r="G403" s="2"/>
      <c r="H403" s="14">
        <f t="shared" si="96"/>
        <v>23660.600000000035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166158.60999999999</v>
      </c>
      <c r="L403" s="15" t="str">
        <f>IFERROR(K403/K444, "NA")</f>
        <v>NA</v>
      </c>
      <c r="M403" s="2"/>
      <c r="N403" s="14">
        <f t="shared" si="97"/>
        <v>33985.739999999991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1405179.23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1807698.8</v>
      </c>
      <c r="U403" s="15" t="str">
        <f>IFERROR(T403/T444, "NA")</f>
        <v>NA</v>
      </c>
      <c r="V403" s="2"/>
      <c r="W403" s="14">
        <f t="shared" si="98"/>
        <v>402519.57000000007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1763998.39</v>
      </c>
      <c r="AA403" s="15" t="str">
        <f>IFERROR(Z403/Z444, "NA")</f>
        <v>NA</v>
      </c>
      <c r="AB403" s="2"/>
      <c r="AC403" s="14">
        <f t="shared" si="99"/>
        <v>358819.15999999992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-132172.87</v>
      </c>
      <c r="C404" s="24" t="str">
        <f>IFERROR(B404/B444, "NA")</f>
        <v>NA</v>
      </c>
      <c r="D404" s="25"/>
      <c r="E404" s="23">
        <f>IFERROR(E345-E403, "NA")</f>
        <v>-155833.47000000003</v>
      </c>
      <c r="F404" s="24" t="str">
        <f>IFERROR(E404/E444, "NA")</f>
        <v>NA</v>
      </c>
      <c r="G404" s="25"/>
      <c r="H404" s="23">
        <f>IFERROR(B404-E404, "NA")</f>
        <v>23660.600000000035</v>
      </c>
      <c r="I404" s="24" t="str">
        <f>IFERROR(H404/H444, "NA")</f>
        <v>NA</v>
      </c>
      <c r="J404" s="25"/>
      <c r="K404" s="23">
        <f>IFERROR(K345-K403, "NA")</f>
        <v>-166158.60999999999</v>
      </c>
      <c r="L404" s="24" t="str">
        <f>IFERROR(K404/K444, "NA")</f>
        <v>NA</v>
      </c>
      <c r="M404" s="25"/>
      <c r="N404" s="23">
        <f>IFERROR(B404-K404, "NA")</f>
        <v>33985.739999999991</v>
      </c>
      <c r="O404" s="24" t="str">
        <f>IFERROR(N404/N444, "NA")</f>
        <v>NA</v>
      </c>
      <c r="P404" s="25"/>
      <c r="Q404" s="23">
        <f>IFERROR(Q345-Q403, "NA")</f>
        <v>-1405179.23</v>
      </c>
      <c r="R404" s="24" t="str">
        <f>IFERROR(Q404/Q444, "NA")</f>
        <v>NA</v>
      </c>
      <c r="S404" s="25"/>
      <c r="T404" s="23">
        <f>IFERROR(T345-T403, "NA")</f>
        <v>-1807698.8</v>
      </c>
      <c r="U404" s="24" t="str">
        <f>IFERROR(T404/T444, "NA")</f>
        <v>NA</v>
      </c>
      <c r="V404" s="25"/>
      <c r="W404" s="23">
        <f>IFERROR(Q404-T404, "NA")</f>
        <v>402519.57000000007</v>
      </c>
      <c r="X404" s="24" t="str">
        <f>IFERROR(W404/W444, "NA")</f>
        <v>NA</v>
      </c>
      <c r="Y404" s="25"/>
      <c r="Z404" s="23">
        <f>IFERROR(Z345-Z403, "NA")</f>
        <v>-1763998.39</v>
      </c>
      <c r="AA404" s="24" t="str">
        <f>IFERROR(Z404/Z444, "NA")</f>
        <v>NA</v>
      </c>
      <c r="AB404" s="25"/>
      <c r="AC404" s="23">
        <f>IFERROR(Q404-Z404, "NA")</f>
        <v>358819.15999999992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781.89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-781.89</v>
      </c>
      <c r="X410" s="8" t="str">
        <f>IFERROR(W410/W444, "NA")</f>
        <v>NA</v>
      </c>
      <c r="Y410" s="9"/>
      <c r="Z410" s="7">
        <v>2033.79</v>
      </c>
      <c r="AA410" s="8" t="str">
        <f>IFERROR(Z410/Z444, "NA")</f>
        <v>NA</v>
      </c>
      <c r="AB410" s="9"/>
      <c r="AC410" s="10">
        <f t="shared" si="103"/>
        <v>1251.9000000000001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2683.7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-2683.7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-2683.7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-4485.2299999999996</v>
      </c>
      <c r="AA418" s="8" t="str">
        <f>IFERROR(Z418/Z444, "NA")</f>
        <v>NA</v>
      </c>
      <c r="AB418" s="9"/>
      <c r="AC418" s="10">
        <f t="shared" si="103"/>
        <v>-759.53999999999951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363.75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-363.75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-363.75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customHeight="1" x14ac:dyDescent="0.45">
      <c r="A422" s="6" t="s">
        <v>387</v>
      </c>
      <c r="B422" s="7">
        <v>501.89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-501.89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-501.89</v>
      </c>
      <c r="O422" s="8" t="str">
        <f>IFERROR(N422/N444, "NA")</f>
        <v>NA</v>
      </c>
      <c r="P422" s="9"/>
      <c r="Q422" s="7">
        <v>-498.48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498.48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498.48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-17253.02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17253.02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17253.02</v>
      </c>
      <c r="O423" s="8" t="str">
        <f>IFERROR(N423/N444, "NA")</f>
        <v>NA</v>
      </c>
      <c r="P423" s="9"/>
      <c r="Q423" s="7">
        <v>-40638.22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40638.22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40638.22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-3092.24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3092.24</v>
      </c>
      <c r="I426" s="8" t="str">
        <f>IFERROR(H426/H444, "NA")</f>
        <v>NA</v>
      </c>
      <c r="J426" s="9"/>
      <c r="K426" s="7">
        <v>-2664.37</v>
      </c>
      <c r="L426" s="8" t="str">
        <f>IFERROR(K426/K444, "NA")</f>
        <v>NA</v>
      </c>
      <c r="M426" s="9"/>
      <c r="N426" s="10">
        <f t="shared" si="101"/>
        <v>427.86999999999989</v>
      </c>
      <c r="O426" s="8" t="str">
        <f>IFERROR(N426/N444, "NA")</f>
        <v>NA</v>
      </c>
      <c r="P426" s="9"/>
      <c r="Q426" s="7">
        <v>-108498.21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108498.21</v>
      </c>
      <c r="X426" s="8" t="str">
        <f>IFERROR(W426/W444, "NA")</f>
        <v>NA</v>
      </c>
      <c r="Y426" s="9"/>
      <c r="Z426" s="7">
        <v>-9866.52</v>
      </c>
      <c r="AA426" s="8" t="str">
        <f>IFERROR(Z426/Z444, "NA")</f>
        <v>NA</v>
      </c>
      <c r="AB426" s="9"/>
      <c r="AC426" s="10">
        <f t="shared" si="103"/>
        <v>98631.69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-19515.300000000003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19515.300000000003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-2479.48</v>
      </c>
      <c r="L428" s="15" t="str">
        <f>IFERROR(K428/K444, "NA")</f>
        <v>NA</v>
      </c>
      <c r="M428" s="2"/>
      <c r="N428" s="14">
        <f t="shared" si="101"/>
        <v>17035.820000000003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-149531.26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149531.26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-12317.96</v>
      </c>
      <c r="AA428" s="15" t="str">
        <f>IFERROR(Z428/Z444, "NA")</f>
        <v>NA</v>
      </c>
      <c r="AB428" s="2"/>
      <c r="AC428" s="14">
        <f t="shared" si="103"/>
        <v>137213.30000000002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-19515.300000000003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19515.300000000003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-2479.48</v>
      </c>
      <c r="L429" s="15" t="str">
        <f>IFERROR(K429/K444, "NA")</f>
        <v>NA</v>
      </c>
      <c r="M429" s="2"/>
      <c r="N429" s="14">
        <f t="shared" si="101"/>
        <v>17035.820000000003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-149531.26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149531.26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-12317.96</v>
      </c>
      <c r="AA429" s="15" t="str">
        <f>IFERROR(Z429/Z444, "NA")</f>
        <v>NA</v>
      </c>
      <c r="AB429" s="2"/>
      <c r="AC429" s="14">
        <f t="shared" si="103"/>
        <v>137213.30000000002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-112657.56999999999</v>
      </c>
      <c r="C443" s="24" t="str">
        <f>IFERROR(B443/B444, "NA")</f>
        <v>NA</v>
      </c>
      <c r="D443" s="25"/>
      <c r="E443" s="23">
        <f>IFERROR(E404-E429-E442, "NA")</f>
        <v>-155833.47000000003</v>
      </c>
      <c r="F443" s="24" t="str">
        <f>IFERROR(E443/E444, "NA")</f>
        <v>NA</v>
      </c>
      <c r="G443" s="25"/>
      <c r="H443" s="23">
        <f>IFERROR(B443-E443, "NA")</f>
        <v>43175.900000000038</v>
      </c>
      <c r="I443" s="24" t="str">
        <f>IFERROR(H443/H444, "NA")</f>
        <v>NA</v>
      </c>
      <c r="J443" s="25"/>
      <c r="K443" s="23">
        <f>IFERROR(K404-K429-K442, "NA")</f>
        <v>-163679.12999999998</v>
      </c>
      <c r="L443" s="24" t="str">
        <f>IFERROR(K443/K444, "NA")</f>
        <v>NA</v>
      </c>
      <c r="M443" s="25"/>
      <c r="N443" s="23">
        <f>IFERROR(B443-K443, "NA")</f>
        <v>51021.559999999983</v>
      </c>
      <c r="O443" s="24" t="str">
        <f>IFERROR(N443/N444, "NA")</f>
        <v>NA</v>
      </c>
      <c r="P443" s="25"/>
      <c r="Q443" s="23">
        <f>IFERROR(Q404-Q429-Q442, "NA")</f>
        <v>-1255647.97</v>
      </c>
      <c r="R443" s="24" t="str">
        <f>IFERROR(Q443/Q444, "NA")</f>
        <v>NA</v>
      </c>
      <c r="S443" s="25"/>
      <c r="T443" s="23">
        <f>IFERROR(T404-T429-T442, "NA")</f>
        <v>-1807698.8</v>
      </c>
      <c r="U443" s="24" t="str">
        <f>IFERROR(T443/T444, "NA")</f>
        <v>NA</v>
      </c>
      <c r="V443" s="25"/>
      <c r="W443" s="23">
        <f>IFERROR(Q443-T443, "NA")</f>
        <v>552050.83000000007</v>
      </c>
      <c r="X443" s="24" t="str">
        <f>IFERROR(W443/W444, "NA")</f>
        <v>NA</v>
      </c>
      <c r="Y443" s="25"/>
      <c r="Z443" s="23">
        <f>IFERROR(Z404-Z429-Z442, "NA")</f>
        <v>-1751680.43</v>
      </c>
      <c r="AA443" s="24" t="str">
        <f>IFERROR(Z443/Z444, "NA")</f>
        <v>NA</v>
      </c>
      <c r="AB443" s="25"/>
      <c r="AC443" s="23">
        <f>IFERROR(Q443-Z443, "NA")</f>
        <v>496032.45999999996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47150.2</v>
      </c>
      <c r="F10" s="8">
        <f>IFERROR(E10/E444, "NA")</f>
        <v>0.56400003636379292</v>
      </c>
      <c r="G10" s="9"/>
      <c r="H10" s="10">
        <f t="shared" ref="H10:H19" si="0">IFERROR(B10-E10, "NA")</f>
        <v>-47150.2</v>
      </c>
      <c r="I10" s="8">
        <f>IFERROR(H10/H444, "NA")</f>
        <v>-1.1118484100753083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581052.86</v>
      </c>
      <c r="U10" s="8">
        <f>IFERROR(T10/T444, "NA")</f>
        <v>0.56399999856343541</v>
      </c>
      <c r="V10" s="9"/>
      <c r="W10" s="10">
        <f t="shared" ref="W10:W19" si="2">IFERROR(Q10-T10, "NA")</f>
        <v>-581052.86</v>
      </c>
      <c r="X10" s="8">
        <f>IFERROR(W10/W444, "NA")</f>
        <v>12.748521108621139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34141.58</v>
      </c>
      <c r="C11" s="8">
        <f>IFERROR(B11/B444, "NA")</f>
        <v>0.27095055595465262</v>
      </c>
      <c r="D11" s="9"/>
      <c r="E11" s="7">
        <v>0</v>
      </c>
      <c r="F11" s="8">
        <f>IFERROR(E11/E444, "NA")</f>
        <v>0</v>
      </c>
      <c r="G11" s="9"/>
      <c r="H11" s="10">
        <f t="shared" si="0"/>
        <v>34141.58</v>
      </c>
      <c r="I11" s="8">
        <f>IFERROR(H11/H444, "NA")</f>
        <v>0.80509226769894826</v>
      </c>
      <c r="J11" s="9"/>
      <c r="K11" s="7">
        <v>35420.589999999997</v>
      </c>
      <c r="L11" s="8">
        <f>IFERROR(K11/K444, "NA")</f>
        <v>0.47030015059445102</v>
      </c>
      <c r="M11" s="9"/>
      <c r="N11" s="10">
        <f t="shared" si="1"/>
        <v>-1279.0099999999948</v>
      </c>
      <c r="O11" s="8">
        <f>IFERROR(N11/N444, "NA")</f>
        <v>-2.5231092511572774E-2</v>
      </c>
      <c r="P11" s="9"/>
      <c r="Q11" s="7">
        <v>431734.91</v>
      </c>
      <c r="R11" s="8">
        <f>IFERROR(Q11/Q444, "NA")</f>
        <v>0.43846200898828258</v>
      </c>
      <c r="S11" s="9"/>
      <c r="T11" s="7">
        <v>0</v>
      </c>
      <c r="U11" s="8">
        <f>IFERROR(T11/T444, "NA")</f>
        <v>0</v>
      </c>
      <c r="V11" s="9"/>
      <c r="W11" s="10">
        <f t="shared" si="2"/>
        <v>431734.91</v>
      </c>
      <c r="X11" s="8">
        <f>IFERROR(W11/W444, "NA")</f>
        <v>-9.4724284008577939</v>
      </c>
      <c r="Y11" s="9"/>
      <c r="Z11" s="7">
        <v>478801.05</v>
      </c>
      <c r="AA11" s="8">
        <f>IFERROR(Z11/Z444, "NA")</f>
        <v>0.5189972860013472</v>
      </c>
      <c r="AB11" s="9"/>
      <c r="AC11" s="10">
        <f t="shared" si="3"/>
        <v>-47066.140000000014</v>
      </c>
      <c r="AD11" s="8">
        <f>IFERROR(AC11/AC444, "NA")</f>
        <v>-0.75781965118115679</v>
      </c>
    </row>
    <row r="12" spans="1:30" ht="16.5" customHeight="1" x14ac:dyDescent="0.45">
      <c r="A12" s="12" t="s">
        <v>14</v>
      </c>
      <c r="B12" s="7">
        <v>3559.55</v>
      </c>
      <c r="C12" s="8">
        <f>IFERROR(B12/B444, "NA")</f>
        <v>2.8248899185344779E-2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3559.55</v>
      </c>
      <c r="I12" s="8">
        <f>IFERROR(H12/H444, "NA")</f>
        <v>8.3937714115392179E-2</v>
      </c>
      <c r="J12" s="9"/>
      <c r="K12" s="7">
        <v>3288.7</v>
      </c>
      <c r="L12" s="8">
        <f>IFERROR(K12/K444, "NA")</f>
        <v>4.3666017569441141E-2</v>
      </c>
      <c r="M12" s="9"/>
      <c r="N12" s="10">
        <f t="shared" si="1"/>
        <v>270.85000000000036</v>
      </c>
      <c r="O12" s="8">
        <f>IFERROR(N12/N444, "NA")</f>
        <v>5.3430711306084568E-3</v>
      </c>
      <c r="P12" s="9"/>
      <c r="Q12" s="7">
        <v>45218.35</v>
      </c>
      <c r="R12" s="8">
        <f>IFERROR(Q12/Q444, "NA")</f>
        <v>4.5922921971112571E-2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45218.35</v>
      </c>
      <c r="X12" s="8">
        <f>IFERROR(W12/W444, "NA")</f>
        <v>-0.99210782556344124</v>
      </c>
      <c r="Y12" s="9"/>
      <c r="Z12" s="7">
        <v>45191.45</v>
      </c>
      <c r="AA12" s="8">
        <f>IFERROR(Z12/Z444, "NA")</f>
        <v>4.8985356027238407E-2</v>
      </c>
      <c r="AB12" s="9"/>
      <c r="AC12" s="10">
        <f t="shared" si="3"/>
        <v>26.900000000001455</v>
      </c>
      <c r="AD12" s="8">
        <f>IFERROR(AC12/AC444, "NA")</f>
        <v>4.3312131856944748E-4</v>
      </c>
    </row>
    <row r="13" spans="1:30" ht="16.5" customHeight="1" x14ac:dyDescent="0.45">
      <c r="A13" s="12" t="s">
        <v>15</v>
      </c>
      <c r="B13" s="7">
        <v>195.5</v>
      </c>
      <c r="C13" s="8">
        <f>IFERROR(B13/B444, "NA")</f>
        <v>1.5515050471927362E-3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195.5</v>
      </c>
      <c r="I13" s="8">
        <f>IFERROR(H13/H444, "NA")</f>
        <v>4.6100836087593008E-3</v>
      </c>
      <c r="J13" s="9"/>
      <c r="K13" s="7">
        <v>134</v>
      </c>
      <c r="L13" s="8">
        <f>IFERROR(K13/K444, "NA")</f>
        <v>1.7791973589275742E-3</v>
      </c>
      <c r="M13" s="9"/>
      <c r="N13" s="10">
        <f t="shared" si="1"/>
        <v>61.5</v>
      </c>
      <c r="O13" s="8">
        <f>IFERROR(N13/N444, "NA")</f>
        <v>1.213213492827837E-3</v>
      </c>
      <c r="P13" s="9"/>
      <c r="Q13" s="7">
        <v>2272.5</v>
      </c>
      <c r="R13" s="8">
        <f>IFERROR(Q13/Q444, "NA")</f>
        <v>2.3079090718558576E-3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2272.5</v>
      </c>
      <c r="X13" s="8">
        <f>IFERROR(W13/W444, "NA")</f>
        <v>-4.9859515740687581E-2</v>
      </c>
      <c r="Y13" s="9"/>
      <c r="Z13" s="7">
        <v>2049.77</v>
      </c>
      <c r="AA13" s="8">
        <f>IFERROR(Z13/Z444, "NA")</f>
        <v>2.2218519924444222E-3</v>
      </c>
      <c r="AB13" s="9"/>
      <c r="AC13" s="10">
        <f t="shared" si="3"/>
        <v>222.73000000000002</v>
      </c>
      <c r="AD13" s="8">
        <f>IFERROR(AC13/AC444, "NA")</f>
        <v>3.5862123154263132E-3</v>
      </c>
    </row>
    <row r="14" spans="1:30" ht="16.5" customHeight="1" x14ac:dyDescent="0.45">
      <c r="A14" s="12" t="s">
        <v>16</v>
      </c>
      <c r="B14" s="7">
        <v>60</v>
      </c>
      <c r="C14" s="8">
        <f>IFERROR(B14/B444, "NA")</f>
        <v>4.7616523187500858E-4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60</v>
      </c>
      <c r="I14" s="8">
        <f>IFERROR(H14/H444, "NA")</f>
        <v>1.414859419568072E-3</v>
      </c>
      <c r="J14" s="9"/>
      <c r="K14" s="7">
        <v>145</v>
      </c>
      <c r="L14" s="8">
        <f>IFERROR(K14/K444, "NA")</f>
        <v>1.925250873466405E-3</v>
      </c>
      <c r="M14" s="9"/>
      <c r="N14" s="10">
        <f t="shared" si="1"/>
        <v>-85</v>
      </c>
      <c r="O14" s="8">
        <f>IFERROR(N14/N444, "NA")</f>
        <v>-1.676799136428718E-3</v>
      </c>
      <c r="P14" s="9"/>
      <c r="Q14" s="7">
        <v>2005</v>
      </c>
      <c r="R14" s="8">
        <f>IFERROR(Q14/Q444, "NA")</f>
        <v>2.0362410072919668E-3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2005</v>
      </c>
      <c r="X14" s="8">
        <f>IFERROR(W14/W444, "NA")</f>
        <v>-4.3990463832817864E-2</v>
      </c>
      <c r="Y14" s="9"/>
      <c r="Z14" s="7">
        <v>3789.99</v>
      </c>
      <c r="AA14" s="8">
        <f>IFERROR(Z14/Z444, "NA")</f>
        <v>4.1081666883818358E-3</v>
      </c>
      <c r="AB14" s="9"/>
      <c r="AC14" s="10">
        <f t="shared" si="3"/>
        <v>-1784.9899999999998</v>
      </c>
      <c r="AD14" s="8">
        <f>IFERROR(AC14/AC444, "NA")</f>
        <v>-2.8740417190826623E-2</v>
      </c>
    </row>
    <row r="15" spans="1:30" ht="16.5" customHeight="1" x14ac:dyDescent="0.45">
      <c r="A15" s="12" t="s">
        <v>17</v>
      </c>
      <c r="B15" s="7">
        <v>0</v>
      </c>
      <c r="C15" s="8">
        <f>IFERROR(B15/B444, "NA")</f>
        <v>0</v>
      </c>
      <c r="D15" s="9"/>
      <c r="E15" s="7">
        <v>0</v>
      </c>
      <c r="F15" s="8">
        <f>IFERROR(E15/E444, "NA")</f>
        <v>0</v>
      </c>
      <c r="G15" s="9"/>
      <c r="H15" s="10">
        <f t="shared" si="0"/>
        <v>0</v>
      </c>
      <c r="I15" s="8">
        <f>IFERROR(H15/H444, "NA")</f>
        <v>0</v>
      </c>
      <c r="J15" s="9"/>
      <c r="K15" s="7">
        <v>21</v>
      </c>
      <c r="L15" s="8">
        <f>IFERROR(K15/K444, "NA")</f>
        <v>2.7882943684685862E-4</v>
      </c>
      <c r="M15" s="9"/>
      <c r="N15" s="10">
        <f t="shared" si="1"/>
        <v>-21</v>
      </c>
      <c r="O15" s="8">
        <f>IFERROR(N15/N444, "NA")</f>
        <v>-4.1426802194121265E-4</v>
      </c>
      <c r="P15" s="9"/>
      <c r="Q15" s="7">
        <v>534</v>
      </c>
      <c r="R15" s="8">
        <f>IFERROR(Q15/Q444, "NA")</f>
        <v>5.4232054757801017E-4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534</v>
      </c>
      <c r="X15" s="8">
        <f>IFERROR(W15/W444, "NA")</f>
        <v>-1.1716163434775431E-2</v>
      </c>
      <c r="Y15" s="9"/>
      <c r="Z15" s="7">
        <v>462</v>
      </c>
      <c r="AA15" s="8">
        <f>IFERROR(Z15/Z444, "NA")</f>
        <v>5.007857566992019E-4</v>
      </c>
      <c r="AB15" s="9"/>
      <c r="AC15" s="10">
        <f t="shared" si="3"/>
        <v>72</v>
      </c>
      <c r="AD15" s="8">
        <f>IFERROR(AC15/AC444, "NA")</f>
        <v>1.1592838266542204E-3</v>
      </c>
    </row>
    <row r="16" spans="1:30" ht="16.5" customHeight="1" x14ac:dyDescent="0.45">
      <c r="A16" s="12" t="s">
        <v>18</v>
      </c>
      <c r="B16" s="7">
        <v>0.28000000000000003</v>
      </c>
      <c r="C16" s="8">
        <f>IFERROR(B16/B444, "NA")</f>
        <v>2.2221044154167066E-6</v>
      </c>
      <c r="D16" s="9"/>
      <c r="E16" s="7">
        <v>0</v>
      </c>
      <c r="F16" s="8">
        <f>IFERROR(E16/E444, "NA")</f>
        <v>0</v>
      </c>
      <c r="G16" s="9"/>
      <c r="H16" s="10">
        <f t="shared" si="0"/>
        <v>0.28000000000000003</v>
      </c>
      <c r="I16" s="8">
        <f>IFERROR(H16/H444, "NA")</f>
        <v>6.6026772913176698E-6</v>
      </c>
      <c r="J16" s="9"/>
      <c r="K16" s="7">
        <v>0</v>
      </c>
      <c r="L16" s="8">
        <f>IFERROR(K16/K444, "NA")</f>
        <v>0</v>
      </c>
      <c r="M16" s="9"/>
      <c r="N16" s="10">
        <f t="shared" si="1"/>
        <v>0.28000000000000003</v>
      </c>
      <c r="O16" s="8">
        <f>IFERROR(N16/N444, "NA")</f>
        <v>5.5235736258828365E-6</v>
      </c>
      <c r="P16" s="9"/>
      <c r="Q16" s="7">
        <v>9.0399999999999991</v>
      </c>
      <c r="R16" s="8">
        <f>IFERROR(Q16/Q444, "NA")</f>
        <v>9.1808572099348522E-6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9.0399999999999991</v>
      </c>
      <c r="X16" s="8">
        <f>IFERROR(W16/W444, "NA")</f>
        <v>-1.9834104391455037E-4</v>
      </c>
      <c r="Y16" s="9"/>
      <c r="Z16" s="7">
        <v>0</v>
      </c>
      <c r="AA16" s="8">
        <f>IFERROR(Z16/Z444, "NA")</f>
        <v>0</v>
      </c>
      <c r="AB16" s="9"/>
      <c r="AC16" s="10">
        <f t="shared" si="3"/>
        <v>9.0399999999999991</v>
      </c>
      <c r="AD16" s="8">
        <f>IFERROR(AC16/AC444, "NA")</f>
        <v>1.4555452490214101E-4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37956.910000000003</v>
      </c>
      <c r="C18" s="15">
        <f>IFERROR(B18/B444, "NA")</f>
        <v>0.30122934752348057</v>
      </c>
      <c r="D18" s="2"/>
      <c r="E18" s="14">
        <f>IFERROR(E10+E11+E12+E13+E14+E15+E16+E17, "NA")</f>
        <v>47150.2</v>
      </c>
      <c r="F18" s="15">
        <f>IFERROR(E18/E444, "NA")</f>
        <v>0.56400003636379292</v>
      </c>
      <c r="G18" s="2"/>
      <c r="H18" s="14">
        <f t="shared" si="0"/>
        <v>-9193.2899999999936</v>
      </c>
      <c r="I18" s="15">
        <f>IFERROR(H18/H444, "NA")</f>
        <v>-0.21678688255534917</v>
      </c>
      <c r="J18" s="2"/>
      <c r="K18" s="14">
        <f>IFERROR(K10+K11+K12+K13+K14+K15+K16+K17, "NA")</f>
        <v>39009.289999999994</v>
      </c>
      <c r="L18" s="15">
        <f>IFERROR(K18/K444, "NA")</f>
        <v>0.51794944583313296</v>
      </c>
      <c r="M18" s="2"/>
      <c r="N18" s="14">
        <f t="shared" si="1"/>
        <v>-1052.3799999999901</v>
      </c>
      <c r="O18" s="15">
        <f>IFERROR(N18/N444, "NA")</f>
        <v>-2.0760351472880443E-2</v>
      </c>
      <c r="P18" s="2"/>
      <c r="Q18" s="14">
        <f>IFERROR(Q10+Q11+Q12+Q13+Q14+Q15+Q16+Q17, "NA")</f>
        <v>481773.79999999993</v>
      </c>
      <c r="R18" s="15">
        <f>IFERROR(Q18/Q444, "NA")</f>
        <v>0.48928058244333089</v>
      </c>
      <c r="S18" s="2"/>
      <c r="T18" s="14">
        <f>IFERROR(T10+T11+T12+T13+T14+T15+T16+T17, "NA")</f>
        <v>581052.86</v>
      </c>
      <c r="U18" s="15">
        <f>IFERROR(T18/T444, "NA")</f>
        <v>0.56399999856343541</v>
      </c>
      <c r="V18" s="2"/>
      <c r="W18" s="14">
        <f t="shared" si="2"/>
        <v>-99279.060000000056</v>
      </c>
      <c r="X18" s="15">
        <f>IFERROR(W18/W444, "NA")</f>
        <v>2.1782203981477095</v>
      </c>
      <c r="Y18" s="2"/>
      <c r="Z18" s="14">
        <f>IFERROR(Z10+Z11+Z12+Z13+Z14+Z15+Z16+Z17, "NA")</f>
        <v>530294.26</v>
      </c>
      <c r="AA18" s="15">
        <f>IFERROR(Z18/Z444, "NA")</f>
        <v>0.57481344646611099</v>
      </c>
      <c r="AB18" s="2"/>
      <c r="AC18" s="14">
        <f t="shared" si="3"/>
        <v>-48520.460000000079</v>
      </c>
      <c r="AD18" s="15">
        <f>IFERROR(AC18/AC444, "NA")</f>
        <v>-0.78123589638643243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8861.56</v>
      </c>
      <c r="F21" s="8">
        <f>IFERROR(E21/E444, "NA")</f>
        <v>0.10599997799033584</v>
      </c>
      <c r="G21" s="9"/>
      <c r="H21" s="10">
        <f t="shared" ref="H21:H29" si="4">IFERROR(B21-E21, "NA")</f>
        <v>-8861.56</v>
      </c>
      <c r="I21" s="8">
        <f>IFERROR(H21/H444, "NA")</f>
        <v>-0.20896436063446072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109204.96</v>
      </c>
      <c r="U21" s="8">
        <f>IFERROR(T21/T444, "NA")</f>
        <v>0.10599998988580836</v>
      </c>
      <c r="V21" s="9"/>
      <c r="W21" s="10">
        <f t="shared" ref="W21:W29" si="6">IFERROR(Q21-T21, "NA")</f>
        <v>-109204.96</v>
      </c>
      <c r="X21" s="8">
        <f>IFERROR(W21/W444, "NA")</f>
        <v>2.3959984255582651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5951.42</v>
      </c>
      <c r="C22" s="8">
        <f>IFERROR(B22/B444, "NA")</f>
        <v>4.7230988071426061E-2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5951.42</v>
      </c>
      <c r="I22" s="8">
        <f>IFERROR(H22/H444, "NA")</f>
        <v>0.14034037744676359</v>
      </c>
      <c r="J22" s="9"/>
      <c r="K22" s="7">
        <v>6764.55</v>
      </c>
      <c r="L22" s="8">
        <f>IFERROR(K22/K444, "NA")</f>
        <v>8.9816936524877031E-2</v>
      </c>
      <c r="M22" s="9"/>
      <c r="N22" s="10">
        <f t="shared" si="5"/>
        <v>-813.13000000000011</v>
      </c>
      <c r="O22" s="8">
        <f>IFERROR(N22/N444, "NA")</f>
        <v>-1.6040655080050394E-2</v>
      </c>
      <c r="P22" s="9"/>
      <c r="Q22" s="7">
        <v>74955.72</v>
      </c>
      <c r="R22" s="8">
        <f>IFERROR(Q22/Q444, "NA")</f>
        <v>7.6123646281842705E-2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74955.72</v>
      </c>
      <c r="X22" s="8">
        <f>IFERROR(W22/W444, "NA")</f>
        <v>-1.6445570522308344</v>
      </c>
      <c r="Y22" s="9"/>
      <c r="Z22" s="7">
        <v>82606.94</v>
      </c>
      <c r="AA22" s="8">
        <f>IFERROR(Z22/Z444, "NA")</f>
        <v>8.9541945793302088E-2</v>
      </c>
      <c r="AB22" s="9"/>
      <c r="AC22" s="10">
        <f t="shared" si="7"/>
        <v>-7651.2200000000012</v>
      </c>
      <c r="AD22" s="8">
        <f>IFERROR(AC22/AC444, "NA")</f>
        <v>-0.12319355000240703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650.71</v>
      </c>
      <c r="C24" s="8">
        <f>IFERROR(B24/B444, "NA")</f>
        <v>5.1640913005564469E-3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650.71</v>
      </c>
      <c r="I24" s="8">
        <f>IFERROR(H24/H444, "NA")</f>
        <v>1.5344386215119002E-2</v>
      </c>
      <c r="J24" s="9"/>
      <c r="K24" s="7">
        <v>1370.62</v>
      </c>
      <c r="L24" s="8">
        <f>IFERROR(K24/K444, "NA")</f>
        <v>1.8198533463382922E-2</v>
      </c>
      <c r="M24" s="9"/>
      <c r="N24" s="10">
        <f t="shared" si="5"/>
        <v>-719.90999999999985</v>
      </c>
      <c r="O24" s="8">
        <f>IFERROR(N24/N444, "NA")</f>
        <v>-1.4201699603604684E-2</v>
      </c>
      <c r="P24" s="9"/>
      <c r="Q24" s="7">
        <v>6864.71</v>
      </c>
      <c r="R24" s="8">
        <f>IFERROR(Q24/Q444, "NA")</f>
        <v>6.9716728205322888E-3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6864.71</v>
      </c>
      <c r="X24" s="8">
        <f>IFERROR(W24/W444, "NA")</f>
        <v>-0.15061435260737313</v>
      </c>
      <c r="Y24" s="9"/>
      <c r="Z24" s="7">
        <v>5764.3</v>
      </c>
      <c r="AA24" s="8">
        <f>IFERROR(Z24/Z444, "NA")</f>
        <v>6.2482236738987213E-3</v>
      </c>
      <c r="AB24" s="9"/>
      <c r="AC24" s="10">
        <f t="shared" si="7"/>
        <v>1100.4099999999999</v>
      </c>
      <c r="AD24" s="8">
        <f>IFERROR(AC24/AC444, "NA")</f>
        <v>1.7717882162341259E-2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3041.56</v>
      </c>
      <c r="AA27" s="8">
        <f>IFERROR(Z27/Z444, "NA")</f>
        <v>3.2969046020476719E-3</v>
      </c>
      <c r="AB27" s="9"/>
      <c r="AC27" s="10">
        <f t="shared" si="7"/>
        <v>-3041.56</v>
      </c>
      <c r="AD27" s="8">
        <f>IFERROR(AC27/AC444, "NA")</f>
        <v>-4.8972657163866819E-2</v>
      </c>
    </row>
    <row r="28" spans="1:30" ht="16.5" customHeight="1" x14ac:dyDescent="0.45">
      <c r="A28" s="12" t="s">
        <v>29</v>
      </c>
      <c r="B28" s="7">
        <v>832.61</v>
      </c>
      <c r="C28" s="8">
        <f>IFERROR(B28/B444, "NA")</f>
        <v>6.6076655618575149E-3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832.61</v>
      </c>
      <c r="I28" s="8">
        <f>IFERROR(H28/H444, "NA")</f>
        <v>1.9633768355442872E-2</v>
      </c>
      <c r="J28" s="9"/>
      <c r="K28" s="7">
        <v>796.67</v>
      </c>
      <c r="L28" s="8">
        <f>IFERROR(K28/K444, "NA")</f>
        <v>1.057785940251366E-2</v>
      </c>
      <c r="M28" s="9"/>
      <c r="N28" s="10">
        <f t="shared" si="5"/>
        <v>35.940000000000055</v>
      </c>
      <c r="O28" s="8">
        <f>IFERROR(N28/N444, "NA")</f>
        <v>7.0899012897939081E-4</v>
      </c>
      <c r="P28" s="9"/>
      <c r="Q28" s="7">
        <v>9356.3799999999992</v>
      </c>
      <c r="R28" s="8">
        <f>IFERROR(Q28/Q444, "NA")</f>
        <v>9.502166900651577E-3</v>
      </c>
      <c r="S28" s="9"/>
      <c r="T28" s="7">
        <v>0</v>
      </c>
      <c r="U28" s="8">
        <f>IFERROR(T28/T444, "NA")</f>
        <v>0</v>
      </c>
      <c r="V28" s="9"/>
      <c r="W28" s="10">
        <f t="shared" si="6"/>
        <v>9356.3799999999992</v>
      </c>
      <c r="X28" s="8">
        <f>IFERROR(W28/W444, "NA")</f>
        <v>-0.20528254164394033</v>
      </c>
      <c r="Y28" s="9"/>
      <c r="Z28" s="7">
        <v>9357.5300000000007</v>
      </c>
      <c r="AA28" s="8">
        <f>IFERROR(Z28/Z444, "NA")</f>
        <v>1.0143111995423122E-2</v>
      </c>
      <c r="AB28" s="9"/>
      <c r="AC28" s="10">
        <f t="shared" si="7"/>
        <v>-1.1500000000014552</v>
      </c>
      <c r="AD28" s="8">
        <f>IFERROR(AC28/AC444, "NA")</f>
        <v>-1.8516338897972785E-5</v>
      </c>
    </row>
    <row r="29" spans="1:30" ht="16.5" customHeight="1" x14ac:dyDescent="0.45">
      <c r="A29" s="13" t="s">
        <v>30</v>
      </c>
      <c r="B29" s="14">
        <f>IFERROR(B21+B22+B23+B24+B25+B26+B27+B28, "NA")</f>
        <v>7434.74</v>
      </c>
      <c r="C29" s="15">
        <f>IFERROR(B29/B444, "NA")</f>
        <v>5.9002744933840015E-2</v>
      </c>
      <c r="D29" s="2"/>
      <c r="E29" s="14">
        <f>IFERROR(E21+E22+E23+E24+E25+E26+E27+E28, "NA")</f>
        <v>8861.56</v>
      </c>
      <c r="F29" s="15">
        <f>IFERROR(E29/E444, "NA")</f>
        <v>0.10599997799033584</v>
      </c>
      <c r="G29" s="2"/>
      <c r="H29" s="14">
        <f t="shared" si="4"/>
        <v>-1426.8199999999997</v>
      </c>
      <c r="I29" s="15">
        <f>IFERROR(H29/H444, "NA")</f>
        <v>-3.3645828617135269E-2</v>
      </c>
      <c r="J29" s="2"/>
      <c r="K29" s="14">
        <f>IFERROR(K21+K22+K23+K24+K25+K26+K27+K28, "NA")</f>
        <v>8931.84</v>
      </c>
      <c r="L29" s="15">
        <f>IFERROR(K29/K444, "NA")</f>
        <v>0.11859332939077362</v>
      </c>
      <c r="M29" s="2"/>
      <c r="N29" s="14">
        <f t="shared" si="5"/>
        <v>-1497.1000000000004</v>
      </c>
      <c r="O29" s="15">
        <f>IFERROR(N29/N444, "NA")</f>
        <v>-2.9533364554675697E-2</v>
      </c>
      <c r="P29" s="2"/>
      <c r="Q29" s="14">
        <f>IFERROR(Q21+Q22+Q23+Q24+Q25+Q26+Q27+Q28, "NA")</f>
        <v>91176.810000000012</v>
      </c>
      <c r="R29" s="15">
        <f>IFERROR(Q29/Q444, "NA")</f>
        <v>9.2597486003026586E-2</v>
      </c>
      <c r="S29" s="2"/>
      <c r="T29" s="14">
        <f>IFERROR(T21+T22+T23+T24+T25+T26+T27+T28, "NA")</f>
        <v>109204.96</v>
      </c>
      <c r="U29" s="15">
        <f>IFERROR(T29/T444, "NA")</f>
        <v>0.10599998988580836</v>
      </c>
      <c r="V29" s="2"/>
      <c r="W29" s="14">
        <f t="shared" si="6"/>
        <v>-18028.149999999994</v>
      </c>
      <c r="X29" s="15">
        <f>IFERROR(W29/W444, "NA")</f>
        <v>0.39554447907611728</v>
      </c>
      <c r="Y29" s="2"/>
      <c r="Z29" s="14">
        <f>IFERROR(Z21+Z22+Z23+Z24+Z25+Z26+Z27+Z28, "NA")</f>
        <v>100770.33</v>
      </c>
      <c r="AA29" s="15">
        <f>IFERROR(Z29/Z444, "NA")</f>
        <v>0.10923018606467161</v>
      </c>
      <c r="AB29" s="2"/>
      <c r="AC29" s="14">
        <f t="shared" si="7"/>
        <v>-9593.5199999999895</v>
      </c>
      <c r="AD29" s="15">
        <f>IFERROR(AC29/AC444, "NA")</f>
        <v>-0.15446684134283034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17973.919999999998</v>
      </c>
      <c r="F31" s="8">
        <f>IFERROR(E31/E444, "NA")</f>
        <v>0.21499996889938758</v>
      </c>
      <c r="G31" s="9"/>
      <c r="H31" s="10">
        <f t="shared" ref="H31:H40" si="8">IFERROR(B31-E31, "NA")</f>
        <v>-17973.919999999998</v>
      </c>
      <c r="I31" s="8">
        <f>IFERROR(H31/H444, "NA")</f>
        <v>-0.42384283364271597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221500.65</v>
      </c>
      <c r="U31" s="8">
        <f>IFERROR(T31/T444, "NA")</f>
        <v>0.21500000237809688</v>
      </c>
      <c r="V31" s="9"/>
      <c r="W31" s="10">
        <f t="shared" ref="W31:W40" si="10">IFERROR(Q31-T31, "NA")</f>
        <v>-221500.65</v>
      </c>
      <c r="X31" s="8">
        <f>IFERROR(W31/W444, "NA")</f>
        <v>4.8598086447733904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4413.6000000000004</v>
      </c>
      <c r="C33" s="8">
        <f>IFERROR(B33/B444, "NA")</f>
        <v>3.502671445672563E-2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4413.6000000000004</v>
      </c>
      <c r="I33" s="8">
        <f>IFERROR(H33/H444, "NA")</f>
        <v>0.10407705890342737</v>
      </c>
      <c r="J33" s="9"/>
      <c r="K33" s="7">
        <v>8043.83</v>
      </c>
      <c r="L33" s="8">
        <f>IFERROR(K33/K444, "NA")</f>
        <v>0.10680269471389843</v>
      </c>
      <c r="M33" s="9"/>
      <c r="N33" s="10">
        <f t="shared" si="9"/>
        <v>-3630.2299999999996</v>
      </c>
      <c r="O33" s="8">
        <f>IFERROR(N33/N444, "NA")</f>
        <v>-7.1613723871030877E-2</v>
      </c>
      <c r="P33" s="9"/>
      <c r="Q33" s="7">
        <v>56523.63</v>
      </c>
      <c r="R33" s="8">
        <f>IFERROR(Q33/Q444, "NA")</f>
        <v>5.7404355754113935E-2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56523.63</v>
      </c>
      <c r="X33" s="8">
        <f>IFERROR(W33/W444, "NA")</f>
        <v>-1.2401499756681191</v>
      </c>
      <c r="Y33" s="9"/>
      <c r="Z33" s="7">
        <v>53938.37</v>
      </c>
      <c r="AA33" s="8">
        <f>IFERROR(Z33/Z444, "NA")</f>
        <v>5.8466596180890756E-2</v>
      </c>
      <c r="AB33" s="9"/>
      <c r="AC33" s="10">
        <f t="shared" si="11"/>
        <v>2585.2599999999948</v>
      </c>
      <c r="AD33" s="8">
        <f>IFERROR(AC33/AC444, "NA")</f>
        <v>4.1625695912445609E-2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329.65</v>
      </c>
      <c r="C35" s="8">
        <f>IFERROR(B35/B444, "NA")</f>
        <v>2.6161311447932762E-3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329.65</v>
      </c>
      <c r="I35" s="8">
        <f>IFERROR(H35/H444, "NA")</f>
        <v>7.7734734610102477E-3</v>
      </c>
      <c r="J35" s="9"/>
      <c r="K35" s="7">
        <v>475.68</v>
      </c>
      <c r="L35" s="8">
        <f>IFERROR(K35/K444, "NA")</f>
        <v>6.3158850723482726E-3</v>
      </c>
      <c r="M35" s="9"/>
      <c r="N35" s="10">
        <f t="shared" si="9"/>
        <v>-146.03000000000003</v>
      </c>
      <c r="O35" s="8">
        <f>IFERROR(N35/N444, "NA")</f>
        <v>-2.8807409163845378E-3</v>
      </c>
      <c r="P35" s="9"/>
      <c r="Q35" s="7">
        <v>6033.5</v>
      </c>
      <c r="R35" s="8">
        <f>IFERROR(Q35/Q444, "NA")</f>
        <v>6.1275112805466748E-3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6033.5</v>
      </c>
      <c r="X35" s="8">
        <f>IFERROR(W35/W444, "NA")</f>
        <v>-0.13237728854628758</v>
      </c>
      <c r="Y35" s="9"/>
      <c r="Z35" s="7">
        <v>2843.67</v>
      </c>
      <c r="AA35" s="8">
        <f>IFERROR(Z35/Z444, "NA")</f>
        <v>3.0824013695948472E-3</v>
      </c>
      <c r="AB35" s="9"/>
      <c r="AC35" s="10">
        <f t="shared" si="11"/>
        <v>3189.83</v>
      </c>
      <c r="AD35" s="8">
        <f>IFERROR(AC35/AC444, "NA")</f>
        <v>5.1359976788561558E-2</v>
      </c>
    </row>
    <row r="36" spans="1:30" ht="16.5" customHeight="1" x14ac:dyDescent="0.45">
      <c r="A36" s="12" t="s">
        <v>36</v>
      </c>
      <c r="B36" s="7">
        <v>11529.43</v>
      </c>
      <c r="C36" s="8">
        <f>IFERROR(B36/B444, "NA")</f>
        <v>9.1498561822278002E-2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11529.43</v>
      </c>
      <c r="I36" s="8">
        <f>IFERROR(H36/H444, "NA")</f>
        <v>0.27187537729584527</v>
      </c>
      <c r="J36" s="9"/>
      <c r="K36" s="7">
        <v>11604.26</v>
      </c>
      <c r="L36" s="8">
        <f>IFERROR(K36/K444, "NA")</f>
        <v>0.1540766324202156</v>
      </c>
      <c r="M36" s="9"/>
      <c r="N36" s="10">
        <f t="shared" si="9"/>
        <v>-74.829999999999927</v>
      </c>
      <c r="O36" s="8">
        <f>IFERROR(N36/N444, "NA")</f>
        <v>-1.4761750515171863E-3</v>
      </c>
      <c r="P36" s="9"/>
      <c r="Q36" s="7">
        <v>104491.8</v>
      </c>
      <c r="R36" s="8">
        <f>IFERROR(Q36/Q444, "NA")</f>
        <v>0.10611994418241932</v>
      </c>
      <c r="S36" s="9"/>
      <c r="T36" s="7">
        <v>0</v>
      </c>
      <c r="U36" s="8">
        <f>IFERROR(T36/T444, "NA")</f>
        <v>0</v>
      </c>
      <c r="V36" s="9"/>
      <c r="W36" s="10">
        <f t="shared" si="10"/>
        <v>104491.8</v>
      </c>
      <c r="X36" s="8">
        <f>IFERROR(W36/W444, "NA")</f>
        <v>-2.2925898996139842</v>
      </c>
      <c r="Y36" s="9"/>
      <c r="Z36" s="7">
        <v>136021.03</v>
      </c>
      <c r="AA36" s="8">
        <f>IFERROR(Z36/Z444, "NA")</f>
        <v>0.14744024769600614</v>
      </c>
      <c r="AB36" s="9"/>
      <c r="AC36" s="10">
        <f t="shared" si="11"/>
        <v>-31529.229999999996</v>
      </c>
      <c r="AD36" s="8">
        <f>IFERROR(AC36/AC444, "NA")</f>
        <v>-0.50765731119251445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187.65</v>
      </c>
      <c r="C39" s="8">
        <f>IFERROR(B39/B444, "NA")</f>
        <v>1.4892067626890893E-3</v>
      </c>
      <c r="D39" s="9"/>
      <c r="E39" s="7">
        <v>0</v>
      </c>
      <c r="F39" s="8">
        <f>IFERROR(E39/E444, "NA")</f>
        <v>0</v>
      </c>
      <c r="G39" s="9"/>
      <c r="H39" s="10">
        <f t="shared" si="8"/>
        <v>187.65</v>
      </c>
      <c r="I39" s="8">
        <f>IFERROR(H39/H444, "NA")</f>
        <v>4.424972834699145E-3</v>
      </c>
      <c r="J39" s="9"/>
      <c r="K39" s="7">
        <v>614.1</v>
      </c>
      <c r="L39" s="8">
        <f>IFERROR(K39/K444, "NA")</f>
        <v>8.1537693889359945E-3</v>
      </c>
      <c r="M39" s="9"/>
      <c r="N39" s="10">
        <f t="shared" si="9"/>
        <v>-426.45000000000005</v>
      </c>
      <c r="O39" s="8">
        <f>IFERROR(N39/N444, "NA")</f>
        <v>-8.4125999027061978E-3</v>
      </c>
      <c r="P39" s="9"/>
      <c r="Q39" s="7">
        <v>6420.08</v>
      </c>
      <c r="R39" s="8">
        <f>IFERROR(Q39/Q444, "NA")</f>
        <v>6.520114796057362E-3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6420.08</v>
      </c>
      <c r="X39" s="8">
        <f>IFERROR(W39/W444, "NA")</f>
        <v>-0.14085900101935028</v>
      </c>
      <c r="Y39" s="9"/>
      <c r="Z39" s="7">
        <v>10736.56</v>
      </c>
      <c r="AA39" s="8">
        <f>IFERROR(Z39/Z444, "NA")</f>
        <v>1.1637914121096066E-2</v>
      </c>
      <c r="AB39" s="9"/>
      <c r="AC39" s="10">
        <f t="shared" si="11"/>
        <v>-4316.4799999999996</v>
      </c>
      <c r="AD39" s="8">
        <f>IFERROR(AC39/AC444, "NA")</f>
        <v>-6.9500353501061235E-2</v>
      </c>
    </row>
    <row r="40" spans="1:30" ht="16.5" customHeight="1" x14ac:dyDescent="0.45">
      <c r="A40" s="13" t="s">
        <v>40</v>
      </c>
      <c r="B40" s="14">
        <f>IFERROR(B31+B32+B33+B34+B35+B36+B37+B38+B39, "NA")</f>
        <v>16460.330000000002</v>
      </c>
      <c r="C40" s="15">
        <f>IFERROR(B40/B444, "NA")</f>
        <v>0.130630614186486</v>
      </c>
      <c r="D40" s="2"/>
      <c r="E40" s="14">
        <f>IFERROR(E31+E32+E33+E34+E35+E36+E37+E38+E39, "NA")</f>
        <v>17973.919999999998</v>
      </c>
      <c r="F40" s="15">
        <f>IFERROR(E40/E444, "NA")</f>
        <v>0.21499996889938758</v>
      </c>
      <c r="G40" s="2"/>
      <c r="H40" s="14">
        <f t="shared" si="8"/>
        <v>-1513.5899999999965</v>
      </c>
      <c r="I40" s="15">
        <f>IFERROR(H40/H444, "NA")</f>
        <v>-3.5691951147733887E-2</v>
      </c>
      <c r="J40" s="2"/>
      <c r="K40" s="14">
        <f>IFERROR(K31+K32+K33+K34+K35+K36+K37+K38+K39, "NA")</f>
        <v>20737.87</v>
      </c>
      <c r="L40" s="15">
        <f>IFERROR(K40/K444, "NA")</f>
        <v>0.27534898159539828</v>
      </c>
      <c r="M40" s="2"/>
      <c r="N40" s="14">
        <f t="shared" si="9"/>
        <v>-4277.5399999999972</v>
      </c>
      <c r="O40" s="15">
        <f>IFERROR(N40/N444, "NA")</f>
        <v>-8.4383239741638749E-2</v>
      </c>
      <c r="P40" s="2"/>
      <c r="Q40" s="14">
        <f>IFERROR(Q31+Q32+Q33+Q34+Q35+Q36+Q37+Q38+Q39, "NA")</f>
        <v>173469.00999999998</v>
      </c>
      <c r="R40" s="15">
        <f>IFERROR(Q40/Q444, "NA")</f>
        <v>0.17617192601313728</v>
      </c>
      <c r="S40" s="2"/>
      <c r="T40" s="14">
        <f>IFERROR(T31+T32+T33+T34+T35+T36+T37+T38+T39, "NA")</f>
        <v>221500.65</v>
      </c>
      <c r="U40" s="15">
        <f>IFERROR(T40/T444, "NA")</f>
        <v>0.21500000237809688</v>
      </c>
      <c r="V40" s="2"/>
      <c r="W40" s="14">
        <f t="shared" si="10"/>
        <v>-48031.640000000014</v>
      </c>
      <c r="X40" s="15">
        <f>IFERROR(W40/W444, "NA")</f>
        <v>1.0538324799256502</v>
      </c>
      <c r="Y40" s="2"/>
      <c r="Z40" s="14">
        <f>IFERROR(Z31+Z32+Z33+Z34+Z35+Z36+Z37+Z38+Z39, "NA")</f>
        <v>203539.63</v>
      </c>
      <c r="AA40" s="15">
        <f>IFERROR(Z40/Z444, "NA")</f>
        <v>0.22062715936758781</v>
      </c>
      <c r="AB40" s="2"/>
      <c r="AC40" s="14">
        <f t="shared" si="11"/>
        <v>-30070.620000000024</v>
      </c>
      <c r="AD40" s="15">
        <f>IFERROR(AC40/AC444, "NA")</f>
        <v>-0.48417199199256894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2148.79</v>
      </c>
      <c r="C43" s="8">
        <f>IFERROR(B43/B444, "NA")</f>
        <v>1.7052984810011659E-2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2148.79</v>
      </c>
      <c r="I43" s="8">
        <f>IFERROR(H43/H444, "NA")</f>
        <v>5.0670596202894623E-2</v>
      </c>
      <c r="J43" s="9"/>
      <c r="K43" s="7">
        <v>4460.82</v>
      </c>
      <c r="L43" s="8">
        <f>IFERROR(K43/K444, "NA")</f>
        <v>5.9228948975009708E-2</v>
      </c>
      <c r="M43" s="9"/>
      <c r="N43" s="10">
        <f>IFERROR(B43-K43, "NA")</f>
        <v>-2312.0299999999997</v>
      </c>
      <c r="O43" s="8">
        <f>IFERROR(N43/N444, "NA")</f>
        <v>-4.5609528322321041E-2</v>
      </c>
      <c r="P43" s="9"/>
      <c r="Q43" s="7">
        <v>47931.37</v>
      </c>
      <c r="R43" s="8">
        <f>IFERROR(Q43/Q444, "NA")</f>
        <v>4.8678215027273798E-2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47931.37</v>
      </c>
      <c r="X43" s="8">
        <f>IFERROR(W43/W444, "NA")</f>
        <v>-1.0516325179263897</v>
      </c>
      <c r="Y43" s="9"/>
      <c r="Z43" s="7">
        <v>13492.67</v>
      </c>
      <c r="AA43" s="8">
        <f>IFERROR(Z43/Z444, "NA")</f>
        <v>1.4625404666326017E-2</v>
      </c>
      <c r="AB43" s="9"/>
      <c r="AC43" s="10">
        <f>IFERROR(Q43-Z43, "NA")</f>
        <v>34438.700000000004</v>
      </c>
      <c r="AD43" s="8">
        <f>IFERROR(AC43/AC444, "NA")</f>
        <v>0.55450316556939871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12289.15</v>
      </c>
      <c r="F46" s="8">
        <f>IFERROR(E46/E444, "NA")</f>
        <v>0.14700003492838007</v>
      </c>
      <c r="G46" s="9"/>
      <c r="H46" s="10">
        <f t="shared" ref="H46:H62" si="12">IFERROR(B46-E46, "NA")</f>
        <v>-12289.15</v>
      </c>
      <c r="I46" s="8">
        <f>IFERROR(H46/H444, "NA")</f>
        <v>-0.28979032726641618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151444.64000000001</v>
      </c>
      <c r="U46" s="8">
        <f>IFERROR(T46/T444, "NA")</f>
        <v>0.14700001088100659</v>
      </c>
      <c r="V46" s="9"/>
      <c r="W46" s="10">
        <f t="shared" ref="W46:W62" si="14">IFERROR(Q46-T46, "NA")</f>
        <v>-151444.64000000001</v>
      </c>
      <c r="X46" s="8">
        <f>IFERROR(W46/W444, "NA")</f>
        <v>3.322753096555672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323.02</v>
      </c>
      <c r="C47" s="8">
        <f>IFERROR(B47/B444, "NA")</f>
        <v>2.5635148866710875E-3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323.02</v>
      </c>
      <c r="I47" s="8">
        <f>IFERROR(H47/H444, "NA")</f>
        <v>7.6171314951479765E-3</v>
      </c>
      <c r="J47" s="9"/>
      <c r="K47" s="7">
        <v>0</v>
      </c>
      <c r="L47" s="8">
        <f>IFERROR(K47/K444, "NA")</f>
        <v>0</v>
      </c>
      <c r="M47" s="9"/>
      <c r="N47" s="10">
        <f t="shared" si="13"/>
        <v>323.02</v>
      </c>
      <c r="O47" s="8">
        <f>IFERROR(N47/N444, "NA")</f>
        <v>6.3722312594024048E-3</v>
      </c>
      <c r="P47" s="9"/>
      <c r="Q47" s="7">
        <v>9038.98</v>
      </c>
      <c r="R47" s="8">
        <f>IFERROR(Q47/Q444, "NA")</f>
        <v>9.179821316754086E-3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9038.98</v>
      </c>
      <c r="X47" s="8">
        <f>IFERROR(W47/W444, "NA")</f>
        <v>-0.1983186647259671</v>
      </c>
      <c r="Y47" s="9"/>
      <c r="Z47" s="7">
        <v>4473.6000000000004</v>
      </c>
      <c r="AA47" s="8">
        <f>IFERROR(Z47/Z444, "NA")</f>
        <v>4.8491670155185055E-3</v>
      </c>
      <c r="AB47" s="9"/>
      <c r="AC47" s="10">
        <f t="shared" si="15"/>
        <v>4565.3799999999992</v>
      </c>
      <c r="AD47" s="8">
        <f>IFERROR(AC47/AC444, "NA")</f>
        <v>7.3507933285147833E-2</v>
      </c>
    </row>
    <row r="48" spans="1:30" ht="16.5" customHeight="1" x14ac:dyDescent="0.45">
      <c r="A48" s="17" t="s">
        <v>46</v>
      </c>
      <c r="B48" s="7">
        <v>1387.33</v>
      </c>
      <c r="C48" s="8">
        <f>IFERROR(B48/B444, "NA")</f>
        <v>1.1009971852285926E-2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1387.33</v>
      </c>
      <c r="I48" s="8">
        <f>IFERROR(H48/H444, "NA")</f>
        <v>3.2714615309156217E-2</v>
      </c>
      <c r="J48" s="9"/>
      <c r="K48" s="7">
        <v>1803.73</v>
      </c>
      <c r="L48" s="8">
        <f>IFERROR(K48/K444, "NA")</f>
        <v>2.394919143446592E-2</v>
      </c>
      <c r="M48" s="9"/>
      <c r="N48" s="10">
        <f t="shared" si="13"/>
        <v>-416.40000000000009</v>
      </c>
      <c r="O48" s="8">
        <f>IFERROR(N48/N444, "NA")</f>
        <v>-8.2143430636343329E-3</v>
      </c>
      <c r="P48" s="9"/>
      <c r="Q48" s="7">
        <v>45409.89</v>
      </c>
      <c r="R48" s="8">
        <f>IFERROR(Q48/Q444, "NA")</f>
        <v>4.6117446461155814E-2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45409.89</v>
      </c>
      <c r="X48" s="8">
        <f>IFERROR(W48/W444, "NA")</f>
        <v>-0.99631028613328565</v>
      </c>
      <c r="Y48" s="9"/>
      <c r="Z48" s="7">
        <v>65186.95</v>
      </c>
      <c r="AA48" s="8">
        <f>IFERROR(Z48/Z444, "NA")</f>
        <v>7.0659515330439474E-2</v>
      </c>
      <c r="AB48" s="9"/>
      <c r="AC48" s="10">
        <f t="shared" si="15"/>
        <v>-19777.059999999998</v>
      </c>
      <c r="AD48" s="8">
        <f>IFERROR(AC48/AC444, "NA")</f>
        <v>-0.31843369162180718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2.7928492618717751E-5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-6.0336047650997075E-4</v>
      </c>
      <c r="Y49" s="9"/>
      <c r="Z49" s="7">
        <v>420</v>
      </c>
      <c r="AA49" s="8">
        <f>IFERROR(Z49/Z444, "NA")</f>
        <v>4.5525977881745623E-4</v>
      </c>
      <c r="AB49" s="9"/>
      <c r="AC49" s="10">
        <f t="shared" si="15"/>
        <v>-392.5</v>
      </c>
      <c r="AD49" s="8">
        <f>IFERROR(AC49/AC444, "NA")</f>
        <v>-6.3197069716914101E-3</v>
      </c>
    </row>
    <row r="50" spans="1:30" ht="16.5" customHeight="1" x14ac:dyDescent="0.45">
      <c r="A50" s="17" t="s">
        <v>48</v>
      </c>
      <c r="B50" s="7">
        <v>3665.75</v>
      </c>
      <c r="C50" s="8">
        <f>IFERROR(B50/B444, "NA")</f>
        <v>2.9091711645763543E-2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3665.75</v>
      </c>
      <c r="I50" s="8">
        <f>IFERROR(H50/H444, "NA")</f>
        <v>8.6442015288027668E-2</v>
      </c>
      <c r="J50" s="9"/>
      <c r="K50" s="7">
        <v>1522</v>
      </c>
      <c r="L50" s="8">
        <f>IFERROR(K50/K444, "NA")</f>
        <v>2.0208495375281851E-2</v>
      </c>
      <c r="M50" s="9"/>
      <c r="N50" s="10">
        <f t="shared" si="13"/>
        <v>2143.75</v>
      </c>
      <c r="O50" s="8">
        <f>IFERROR(N50/N444, "NA")</f>
        <v>4.2289860573165458E-2</v>
      </c>
      <c r="P50" s="9"/>
      <c r="Q50" s="7">
        <v>30250.82</v>
      </c>
      <c r="R50" s="8">
        <f>IFERROR(Q50/Q444, "NA")</f>
        <v>3.0722174657460338E-2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30250.82</v>
      </c>
      <c r="X50" s="8">
        <f>IFERROR(W50/W444, "NA")</f>
        <v>-0.66371451527335823</v>
      </c>
      <c r="Y50" s="9"/>
      <c r="Z50" s="7">
        <v>27439.59</v>
      </c>
      <c r="AA50" s="8">
        <f>IFERROR(Z50/Z444, "NA")</f>
        <v>2.9743194462480201E-2</v>
      </c>
      <c r="AB50" s="9"/>
      <c r="AC50" s="10">
        <f t="shared" si="15"/>
        <v>2811.2299999999996</v>
      </c>
      <c r="AD50" s="8">
        <f>IFERROR(AC50/AC444, "NA")</f>
        <v>4.5264076000071443E-2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52470</v>
      </c>
      <c r="C52" s="8">
        <f>IFERROR(B52/B444, "NA")</f>
        <v>0.41640649527469498</v>
      </c>
      <c r="D52" s="9"/>
      <c r="E52" s="7">
        <v>0</v>
      </c>
      <c r="F52" s="8">
        <f>IFERROR(E52/E444, "NA")</f>
        <v>0</v>
      </c>
      <c r="G52" s="9"/>
      <c r="H52" s="10">
        <f t="shared" si="12"/>
        <v>52470</v>
      </c>
      <c r="I52" s="8">
        <f>IFERROR(H52/H444, "NA")</f>
        <v>1.2372945624122789</v>
      </c>
      <c r="J52" s="9"/>
      <c r="K52" s="7">
        <v>0</v>
      </c>
      <c r="L52" s="8">
        <f>IFERROR(K52/K444, "NA")</f>
        <v>0</v>
      </c>
      <c r="M52" s="9"/>
      <c r="N52" s="10">
        <f t="shared" si="13"/>
        <v>52470</v>
      </c>
      <c r="O52" s="8">
        <f>IFERROR(N52/N444, "NA")</f>
        <v>1.0350782433931156</v>
      </c>
      <c r="P52" s="9"/>
      <c r="Q52" s="7">
        <v>52470</v>
      </c>
      <c r="R52" s="8">
        <f>IFERROR(Q52/Q444, "NA")</f>
        <v>5.3287563916513465E-2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52470</v>
      </c>
      <c r="X52" s="8">
        <f>IFERROR(W52/W444, "NA")</f>
        <v>-1.1512117891810241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52470</v>
      </c>
      <c r="AD52" s="8">
        <f>IFERROR(AC52/AC444, "NA")</f>
        <v>0.84482808867426318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1377.7</v>
      </c>
      <c r="AA54" s="8">
        <f>IFERROR(Z54/Z444, "NA")</f>
        <v>1.4933604697066893E-3</v>
      </c>
      <c r="AB54" s="9"/>
      <c r="AC54" s="10">
        <f t="shared" si="15"/>
        <v>-1377.7</v>
      </c>
      <c r="AD54" s="8">
        <f>IFERROR(AC54/AC444, "NA")</f>
        <v>-2.2182573999743327E-2</v>
      </c>
    </row>
    <row r="55" spans="1:30" ht="16.5" customHeight="1" x14ac:dyDescent="0.45">
      <c r="A55" s="17" t="s">
        <v>53</v>
      </c>
      <c r="B55" s="7">
        <v>2117.0100000000002</v>
      </c>
      <c r="C55" s="8">
        <f>IFERROR(B55/B444, "NA")</f>
        <v>1.6800775958861865E-2</v>
      </c>
      <c r="D55" s="9"/>
      <c r="E55" s="7">
        <v>0</v>
      </c>
      <c r="F55" s="8">
        <f>IFERROR(E55/E444, "NA")</f>
        <v>0</v>
      </c>
      <c r="G55" s="9"/>
      <c r="H55" s="10">
        <f t="shared" si="12"/>
        <v>2117.0100000000002</v>
      </c>
      <c r="I55" s="8">
        <f>IFERROR(H55/H444, "NA")</f>
        <v>4.9921192330330072E-2</v>
      </c>
      <c r="J55" s="9"/>
      <c r="K55" s="7">
        <v>253.37</v>
      </c>
      <c r="L55" s="8">
        <f>IFERROR(K55/K444, "NA")</f>
        <v>3.3641435435185036E-3</v>
      </c>
      <c r="M55" s="9"/>
      <c r="N55" s="10">
        <f t="shared" si="13"/>
        <v>1863.6400000000003</v>
      </c>
      <c r="O55" s="8">
        <f>IFERROR(N55/N444, "NA")</f>
        <v>3.6764116971929606E-2</v>
      </c>
      <c r="P55" s="9"/>
      <c r="Q55" s="7">
        <v>5246.89</v>
      </c>
      <c r="R55" s="8">
        <f>IFERROR(Q55/Q444, "NA")</f>
        <v>5.3286446776808719E-3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5246.89</v>
      </c>
      <c r="X55" s="8">
        <f>IFERROR(W55/W444, "NA")</f>
        <v>-0.11511876547619639</v>
      </c>
      <c r="Y55" s="9"/>
      <c r="Z55" s="7">
        <v>3187.37</v>
      </c>
      <c r="AA55" s="8">
        <f>IFERROR(Z55/Z444, "NA")</f>
        <v>3.4549556219271322E-3</v>
      </c>
      <c r="AB55" s="9"/>
      <c r="AC55" s="10">
        <f t="shared" si="15"/>
        <v>2059.5200000000004</v>
      </c>
      <c r="AD55" s="8">
        <f>IFERROR(AC55/AC444, "NA")</f>
        <v>3.3160669814873624E-2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54.95</v>
      </c>
      <c r="R56" s="8">
        <f>IFERROR(Q56/Q444, "NA")</f>
        <v>5.580620615994693E-5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-1.2056239339717416E-3</v>
      </c>
      <c r="Y56" s="9"/>
      <c r="Z56" s="7">
        <v>1372.05</v>
      </c>
      <c r="AA56" s="8">
        <f>IFERROR(Z56/Z444, "NA")</f>
        <v>1.48723614172974E-3</v>
      </c>
      <c r="AB56" s="9"/>
      <c r="AC56" s="10">
        <f t="shared" si="15"/>
        <v>-1317.1</v>
      </c>
      <c r="AD56" s="8">
        <f>IFERROR(AC56/AC444, "NA")</f>
        <v>-2.1206843445642689E-2</v>
      </c>
    </row>
    <row r="57" spans="1:30" ht="16.5" customHeight="1" x14ac:dyDescent="0.45">
      <c r="A57" s="17" t="s">
        <v>55</v>
      </c>
      <c r="B57" s="7">
        <v>1923.7</v>
      </c>
      <c r="C57" s="8">
        <f>IFERROR(B57/B444, "NA")</f>
        <v>1.5266650942632567E-2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1923.7</v>
      </c>
      <c r="I57" s="8">
        <f>IFERROR(H57/H444, "NA")</f>
        <v>4.5362751090384998E-2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1923.7</v>
      </c>
      <c r="O57" s="8">
        <f>IFERROR(N57/N444, "NA")</f>
        <v>3.7948923514681467E-2</v>
      </c>
      <c r="P57" s="9"/>
      <c r="Q57" s="7">
        <v>12386.21</v>
      </c>
      <c r="R57" s="8">
        <f>IFERROR(Q57/Q444, "NA")</f>
        <v>1.2579206347595927E-2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12386.21</v>
      </c>
      <c r="X57" s="8">
        <f>IFERROR(W57/W444, "NA")</f>
        <v>-0.27175816610009323</v>
      </c>
      <c r="Y57" s="9"/>
      <c r="Z57" s="7">
        <v>14356.41</v>
      </c>
      <c r="AA57" s="8">
        <f>IFERROR(Z57/Z444, "NA")</f>
        <v>1.5561657240982659E-2</v>
      </c>
      <c r="AB57" s="9"/>
      <c r="AC57" s="10">
        <f t="shared" si="15"/>
        <v>-1970.2000000000007</v>
      </c>
      <c r="AD57" s="8">
        <f>IFERROR(AC57/AC444, "NA")</f>
        <v>-3.172251382325203E-2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61886.81</v>
      </c>
      <c r="C61" s="15">
        <f>IFERROR(B61/B444, "NA")</f>
        <v>0.49113912056090997</v>
      </c>
      <c r="D61" s="2"/>
      <c r="E61" s="14">
        <f>IFERROR(E46+E47+E48+E49+E50+E51+E52+E53+E54+E55+E56+E57+E58+E59+E60, "NA")</f>
        <v>12289.15</v>
      </c>
      <c r="F61" s="15">
        <f>IFERROR(E61/E444, "NA")</f>
        <v>0.14700003492838007</v>
      </c>
      <c r="G61" s="2"/>
      <c r="H61" s="14">
        <f t="shared" si="12"/>
        <v>49597.659999999996</v>
      </c>
      <c r="I61" s="15">
        <f>IFERROR(H61/H444, "NA")</f>
        <v>1.1695619406589095</v>
      </c>
      <c r="J61" s="2"/>
      <c r="K61" s="14">
        <f>IFERROR(K46+K47+K48+K49+K50+K51+K52+K53+K54+K55+K56+K57+K58+K59+K60, "NA")</f>
        <v>3579.1</v>
      </c>
      <c r="L61" s="15">
        <f>IFERROR(K61/K444, "NA")</f>
        <v>4.7521830353266271E-2</v>
      </c>
      <c r="M61" s="2"/>
      <c r="N61" s="14">
        <f t="shared" si="13"/>
        <v>58307.71</v>
      </c>
      <c r="O61" s="15">
        <f>IFERROR(N61/N444, "NA")</f>
        <v>1.1502390326486602</v>
      </c>
      <c r="P61" s="2"/>
      <c r="Q61" s="14">
        <f>IFERROR(Q46+Q47+Q48+Q49+Q50+Q51+Q52+Q53+Q54+Q55+Q56+Q57+Q58+Q59+Q60, "NA")</f>
        <v>154885.24000000002</v>
      </c>
      <c r="R61" s="15">
        <f>IFERROR(Q61/Q444, "NA")</f>
        <v>0.15729859207593919</v>
      </c>
      <c r="S61" s="2"/>
      <c r="T61" s="14">
        <f>IFERROR(T46+T47+T48+T49+T50+T51+T52+T53+T54+T55+T56+T57+T58+T59+T60, "NA")</f>
        <v>151444.64000000001</v>
      </c>
      <c r="U61" s="15">
        <f>IFERROR(T61/T444, "NA")</f>
        <v>0.14700001088100659</v>
      </c>
      <c r="V61" s="2"/>
      <c r="W61" s="14">
        <f t="shared" si="14"/>
        <v>3440.6000000000058</v>
      </c>
      <c r="X61" s="15">
        <f>IFERROR(W61/W444, "NA")</f>
        <v>-7.5488074744734859E-2</v>
      </c>
      <c r="Y61" s="2"/>
      <c r="Z61" s="14">
        <f>IFERROR(Z46+Z47+Z48+Z49+Z50+Z51+Z52+Z53+Z54+Z55+Z56+Z57+Z58+Z59+Z60, "NA")</f>
        <v>117813.67</v>
      </c>
      <c r="AA61" s="15">
        <f>IFERROR(Z61/Z444, "NA")</f>
        <v>0.12770434606160186</v>
      </c>
      <c r="AB61" s="2"/>
      <c r="AC61" s="14">
        <f t="shared" si="15"/>
        <v>37071.570000000022</v>
      </c>
      <c r="AD61" s="15">
        <f>IFERROR(AC61/AC444, "NA")</f>
        <v>0.59689543791221977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64035.6</v>
      </c>
      <c r="C62" s="15">
        <f>IFERROR(B62/B444, "NA")</f>
        <v>0.50819210537092163</v>
      </c>
      <c r="D62" s="2"/>
      <c r="E62" s="14">
        <f>IFERROR(E42+E43+E44+E46+E47+E48+E49+E50+E51+E52+E53+E54+E55+E56+E57+E58+E59+E60, "NA")</f>
        <v>12289.15</v>
      </c>
      <c r="F62" s="15">
        <f>IFERROR(E62/E444, "NA")</f>
        <v>0.14700003492838007</v>
      </c>
      <c r="G62" s="2"/>
      <c r="H62" s="14">
        <f t="shared" si="12"/>
        <v>51746.45</v>
      </c>
      <c r="I62" s="15">
        <f>IFERROR(H62/H444, "NA")</f>
        <v>1.2202325368618041</v>
      </c>
      <c r="J62" s="2"/>
      <c r="K62" s="14">
        <f>IFERROR(K42+K43+K44+K46+K47+K48+K49+K50+K51+K52+K53+K54+K55+K56+K57+K58+K59+K60, "NA")</f>
        <v>8039.9199999999992</v>
      </c>
      <c r="L62" s="15">
        <f>IFERROR(K62/K444, "NA")</f>
        <v>0.10675077932827598</v>
      </c>
      <c r="M62" s="2"/>
      <c r="N62" s="14">
        <f t="shared" si="13"/>
        <v>55995.68</v>
      </c>
      <c r="O62" s="15">
        <f>IFERROR(N62/N444, "NA")</f>
        <v>1.1046295043263392</v>
      </c>
      <c r="P62" s="2"/>
      <c r="Q62" s="14">
        <f>IFERROR(Q42+Q43+Q44+Q46+Q47+Q48+Q49+Q50+Q51+Q52+Q53+Q54+Q55+Q56+Q57+Q58+Q59+Q60, "NA")</f>
        <v>202816.61000000002</v>
      </c>
      <c r="R62" s="15">
        <f>IFERROR(Q62/Q444, "NA")</f>
        <v>0.20597680710321298</v>
      </c>
      <c r="S62" s="2"/>
      <c r="T62" s="14">
        <f>IFERROR(T42+T43+T44+T46+T47+T48+T49+T50+T51+T52+T53+T54+T55+T56+T57+T58+T59+T60, "NA")</f>
        <v>151444.64000000001</v>
      </c>
      <c r="U62" s="15">
        <f>IFERROR(T62/T444, "NA")</f>
        <v>0.14700001088100659</v>
      </c>
      <c r="V62" s="2"/>
      <c r="W62" s="14">
        <f t="shared" si="14"/>
        <v>51371.97</v>
      </c>
      <c r="X62" s="15">
        <f>IFERROR(W62/W444, "NA")</f>
        <v>-1.1271205926711245</v>
      </c>
      <c r="Y62" s="2"/>
      <c r="Z62" s="14">
        <f>IFERROR(Z42+Z43+Z44+Z46+Z47+Z48+Z49+Z50+Z51+Z52+Z53+Z54+Z55+Z56+Z57+Z58+Z59+Z60, "NA")</f>
        <v>131306.34</v>
      </c>
      <c r="AA62" s="15">
        <f>IFERROR(Z62/Z444, "NA")</f>
        <v>0.14232975072792786</v>
      </c>
      <c r="AB62" s="2"/>
      <c r="AC62" s="14">
        <f t="shared" si="15"/>
        <v>71510.270000000019</v>
      </c>
      <c r="AD62" s="15">
        <f>IFERROR(AC62/AC444, "NA")</f>
        <v>1.1513986034816184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3478.75</v>
      </c>
      <c r="C65" s="8">
        <f>IFERROR(B65/B444, "NA")</f>
        <v>2.7607663339753102E-2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3478.75</v>
      </c>
      <c r="I65" s="8">
        <f>IFERROR(H65/H444, "NA")</f>
        <v>8.2032370097040508E-2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3478.75</v>
      </c>
      <c r="O65" s="8">
        <f>IFERROR(N65/N444, "NA")</f>
        <v>6.862547053942826E-2</v>
      </c>
      <c r="P65" s="9"/>
      <c r="Q65" s="7">
        <v>47009.22</v>
      </c>
      <c r="R65" s="8">
        <f>IFERROR(Q65/Q444, "NA")</f>
        <v>4.774169650115196E-2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47009.22</v>
      </c>
      <c r="X65" s="8">
        <f>IFERROR(W65/W444, "NA")</f>
        <v>-1.0314001956204382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47009.22</v>
      </c>
      <c r="AD65" s="8">
        <f>IFERROR(AC65/AC444, "NA")</f>
        <v>0.75690317291152942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2047.97</v>
      </c>
      <c r="L66" s="8">
        <f>IFERROR(K66/K444, "NA")</f>
        <v>2.7192110560917197E-2</v>
      </c>
      <c r="M66" s="9"/>
      <c r="N66" s="10">
        <f t="shared" si="17"/>
        <v>-2047.97</v>
      </c>
      <c r="O66" s="8">
        <f>IFERROR(N66/N444, "NA")</f>
        <v>-4.0400403852140256E-2</v>
      </c>
      <c r="P66" s="9"/>
      <c r="Q66" s="7">
        <v>6889.38</v>
      </c>
      <c r="R66" s="8">
        <f>IFERROR(Q66/Q444, "NA")</f>
        <v>6.9967272173651531E-3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-0.15115562180575498</v>
      </c>
      <c r="Y66" s="9"/>
      <c r="Z66" s="7">
        <v>3538.07</v>
      </c>
      <c r="AA66" s="8">
        <f>IFERROR(Z66/Z444, "NA")</f>
        <v>3.8350975372397084E-3</v>
      </c>
      <c r="AB66" s="9"/>
      <c r="AC66" s="10">
        <f t="shared" si="19"/>
        <v>3351.31</v>
      </c>
      <c r="AD66" s="8">
        <f>IFERROR(AC66/AC444, "NA")</f>
        <v>5.3959992793118826E-2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15554.45</v>
      </c>
      <c r="R68" s="8">
        <f>IFERROR(Q68/Q444, "NA")</f>
        <v>1.5796812436844158E-2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15554.45</v>
      </c>
      <c r="X68" s="8">
        <f>IFERROR(W68/W444, "NA")</f>
        <v>-0.34127055868547324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15554.45</v>
      </c>
      <c r="AD68" s="8">
        <f>IFERROR(AC68/AC444, "NA")</f>
        <v>0.2504447544097464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customHeight="1" x14ac:dyDescent="0.45">
      <c r="A70" s="12" t="s">
        <v>67</v>
      </c>
      <c r="B70" s="7">
        <v>2213.5</v>
      </c>
      <c r="C70" s="8">
        <f>IFERROR(B70/B444, "NA")</f>
        <v>1.7566529012588858E-2</v>
      </c>
      <c r="D70" s="9"/>
      <c r="E70" s="7">
        <v>0</v>
      </c>
      <c r="F70" s="8">
        <f>IFERROR(E70/E444, "NA")</f>
        <v>0</v>
      </c>
      <c r="G70" s="9"/>
      <c r="H70" s="10">
        <f t="shared" si="16"/>
        <v>2213.5</v>
      </c>
      <c r="I70" s="8">
        <f>IFERROR(H70/H444, "NA")</f>
        <v>5.2196522086898789E-2</v>
      </c>
      <c r="J70" s="9"/>
      <c r="K70" s="7">
        <v>0</v>
      </c>
      <c r="L70" s="8">
        <f>IFERROR(K70/K444, "NA")</f>
        <v>0</v>
      </c>
      <c r="M70" s="9"/>
      <c r="N70" s="10">
        <f t="shared" si="17"/>
        <v>2213.5</v>
      </c>
      <c r="O70" s="8">
        <f>IFERROR(N70/N444, "NA")</f>
        <v>4.3665822217470202E-2</v>
      </c>
      <c r="P70" s="9"/>
      <c r="Q70" s="7">
        <v>15693.04</v>
      </c>
      <c r="R70" s="8">
        <f>IFERROR(Q70/Q444, "NA")</f>
        <v>1.5937561883826997E-2</v>
      </c>
      <c r="S70" s="9"/>
      <c r="T70" s="7">
        <v>0</v>
      </c>
      <c r="U70" s="8">
        <f>IFERROR(T70/T444, "NA")</f>
        <v>0</v>
      </c>
      <c r="V70" s="9"/>
      <c r="W70" s="10">
        <f t="shared" si="18"/>
        <v>15693.04</v>
      </c>
      <c r="X70" s="8">
        <f>IFERROR(W70/W444, "NA")</f>
        <v>-0.34431127608327389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15693.04</v>
      </c>
      <c r="AD70" s="8">
        <f>IFERROR(AC70/AC444, "NA")</f>
        <v>0.25267621476441321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5692.25</v>
      </c>
      <c r="C73" s="15">
        <f>IFERROR(B73/B444, "NA")</f>
        <v>4.5174192352341956E-2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5692.25</v>
      </c>
      <c r="I73" s="15">
        <f>IFERROR(H73/H444, "NA")</f>
        <v>0.1342288921839393</v>
      </c>
      <c r="J73" s="2"/>
      <c r="K73" s="14">
        <f>IFERROR(K64+K65+K66+K67+K68+K69+K70+K71+K72, "NA")</f>
        <v>2047.97</v>
      </c>
      <c r="L73" s="15">
        <f>IFERROR(K73/K444, "NA")</f>
        <v>2.7192110560917197E-2</v>
      </c>
      <c r="M73" s="2"/>
      <c r="N73" s="14">
        <f t="shared" si="17"/>
        <v>3644.2799999999997</v>
      </c>
      <c r="O73" s="15">
        <f>IFERROR(N73/N444, "NA")</f>
        <v>7.1890888904758213E-2</v>
      </c>
      <c r="P73" s="2"/>
      <c r="Q73" s="14">
        <f>IFERROR(Q64+Q65+Q66+Q67+Q68+Q69+Q70+Q71+Q72, "NA")</f>
        <v>85146.09</v>
      </c>
      <c r="R73" s="15">
        <f>IFERROR(Q73/Q444, "NA")</f>
        <v>8.6472798039188267E-2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85146.09</v>
      </c>
      <c r="X73" s="15">
        <f>IFERROR(W73/W444, "NA")</f>
        <v>-1.86813765219494</v>
      </c>
      <c r="Y73" s="2"/>
      <c r="Z73" s="14">
        <f>IFERROR(Z64+Z65+Z66+Z67+Z68+Z69+Z70+Z71+Z72, "NA")</f>
        <v>3538.07</v>
      </c>
      <c r="AA73" s="15">
        <f>IFERROR(Z73/Z444, "NA")</f>
        <v>3.8350975372397084E-3</v>
      </c>
      <c r="AB73" s="2"/>
      <c r="AC73" s="14">
        <f t="shared" si="19"/>
        <v>81608.01999999999</v>
      </c>
      <c r="AD73" s="15">
        <f>IFERROR(AC73/AC444, "NA")</f>
        <v>1.3139841348788075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668.8</v>
      </c>
      <c r="F75" s="8">
        <f>IFERROR(E75/E444, "NA")</f>
        <v>8.0000344499091148E-3</v>
      </c>
      <c r="G75" s="9"/>
      <c r="H75" s="10">
        <f t="shared" ref="H75:H92" si="20">IFERROR(B75-E75, "NA")</f>
        <v>-668.8</v>
      </c>
      <c r="I75" s="8">
        <f>IFERROR(H75/H444, "NA")</f>
        <v>-1.5770966330118773E-2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8241.9</v>
      </c>
      <c r="U75" s="8">
        <f>IFERROR(T75/T444, "NA")</f>
        <v>8.0000149868636357E-3</v>
      </c>
      <c r="V75" s="9"/>
      <c r="W75" s="10">
        <f t="shared" ref="W75:W92" si="22">IFERROR(Q75-T75, "NA")</f>
        <v>-8241.9</v>
      </c>
      <c r="X75" s="8">
        <f>IFERROR(W75/W444, "NA")</f>
        <v>0.18083042586718281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169.2</v>
      </c>
      <c r="C77" s="8">
        <f>IFERROR(B77/B444, "NA")</f>
        <v>1.3427859538875241E-3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169.2</v>
      </c>
      <c r="I77" s="8">
        <f>IFERROR(H77/H444, "NA")</f>
        <v>3.9899035631819624E-3</v>
      </c>
      <c r="J77" s="9"/>
      <c r="K77" s="7">
        <v>270.48</v>
      </c>
      <c r="L77" s="8">
        <f>IFERROR(K77/K444, "NA")</f>
        <v>3.5913231465875394E-3</v>
      </c>
      <c r="M77" s="9"/>
      <c r="N77" s="10">
        <f t="shared" si="21"/>
        <v>-101.28000000000003</v>
      </c>
      <c r="O77" s="8">
        <f>IFERROR(N77/N444, "NA")</f>
        <v>-1.9979554886764778E-3</v>
      </c>
      <c r="P77" s="9"/>
      <c r="Q77" s="7">
        <v>2345.48</v>
      </c>
      <c r="R77" s="8">
        <f>IFERROR(Q77/Q444, "NA")</f>
        <v>2.3820262133581859E-3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2345.48</v>
      </c>
      <c r="X77" s="8">
        <f>IFERROR(W77/W444, "NA")</f>
        <v>-5.1460724743440225E-2</v>
      </c>
      <c r="Y77" s="9"/>
      <c r="Z77" s="7">
        <v>1244.48</v>
      </c>
      <c r="AA77" s="8">
        <f>IFERROR(Z77/Z444, "NA")</f>
        <v>1.3489564036732093E-3</v>
      </c>
      <c r="AB77" s="9"/>
      <c r="AC77" s="10">
        <f t="shared" si="23"/>
        <v>1101</v>
      </c>
      <c r="AD77" s="8">
        <f>IFERROR(AC77/AC444, "NA")</f>
        <v>1.7727381849254122E-2</v>
      </c>
    </row>
    <row r="78" spans="1:30" ht="16.5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475</v>
      </c>
      <c r="R78" s="8">
        <f>IFERROR(Q78/Q444, "NA")</f>
        <v>4.8240123614148839E-4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475</v>
      </c>
      <c r="X78" s="8">
        <f>IFERROR(W78/W444, "NA")</f>
        <v>-1.0421680957899495E-2</v>
      </c>
      <c r="Y78" s="9"/>
      <c r="Z78" s="7">
        <v>300</v>
      </c>
      <c r="AA78" s="8">
        <f>IFERROR(Z78/Z444, "NA")</f>
        <v>3.2518555629818305E-4</v>
      </c>
      <c r="AB78" s="9"/>
      <c r="AC78" s="10">
        <f t="shared" si="23"/>
        <v>175</v>
      </c>
      <c r="AD78" s="8">
        <f>IFERROR(AC78/AC444, "NA")</f>
        <v>2.8177037453401194E-3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100</v>
      </c>
      <c r="L79" s="8">
        <f>IFERROR(K79/K444, "NA")</f>
        <v>1.3277592230802793E-3</v>
      </c>
      <c r="M79" s="9"/>
      <c r="N79" s="10">
        <f t="shared" si="21"/>
        <v>-100</v>
      </c>
      <c r="O79" s="8">
        <f>IFERROR(N79/N444, "NA")</f>
        <v>-1.9727048663867272E-3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150.83000000000001</v>
      </c>
      <c r="AA79" s="8">
        <f>IFERROR(Z79/Z444, "NA")</f>
        <v>1.6349245818818317E-4</v>
      </c>
      <c r="AB79" s="9"/>
      <c r="AC79" s="10">
        <f t="shared" si="23"/>
        <v>-150.83000000000001</v>
      </c>
      <c r="AD79" s="8">
        <f>IFERROR(AC79/AC444, "NA")</f>
        <v>-2.4285386051980011E-3</v>
      </c>
    </row>
    <row r="80" spans="1:30" ht="16.5" customHeight="1" x14ac:dyDescent="0.45">
      <c r="A80" s="12" t="s">
        <v>76</v>
      </c>
      <c r="B80" s="7">
        <v>138.74</v>
      </c>
      <c r="C80" s="8">
        <f>IFERROR(B80/B444, "NA")</f>
        <v>1.1010527378389782E-3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138.74</v>
      </c>
      <c r="I80" s="8">
        <f>IFERROR(H80/H444, "NA")</f>
        <v>3.271626597847905E-3</v>
      </c>
      <c r="J80" s="9"/>
      <c r="K80" s="7">
        <v>170.81</v>
      </c>
      <c r="L80" s="8">
        <f>IFERROR(K80/K444, "NA")</f>
        <v>2.267945528943425E-3</v>
      </c>
      <c r="M80" s="9"/>
      <c r="N80" s="10">
        <f t="shared" si="21"/>
        <v>-32.069999999999993</v>
      </c>
      <c r="O80" s="8">
        <f>IFERROR(N80/N444, "NA")</f>
        <v>-6.3264645065022325E-4</v>
      </c>
      <c r="P80" s="9"/>
      <c r="Q80" s="7">
        <v>4275.74</v>
      </c>
      <c r="R80" s="8">
        <f>IFERROR(Q80/Q444, "NA")</f>
        <v>4.3423626556202263E-3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4275.74</v>
      </c>
      <c r="X80" s="8">
        <f>IFERROR(W80/W444, "NA")</f>
        <v>-9.3811364503008809E-2</v>
      </c>
      <c r="Y80" s="9"/>
      <c r="Z80" s="7">
        <v>5495.18</v>
      </c>
      <c r="AA80" s="8">
        <f>IFERROR(Z80/Z444, "NA")</f>
        <v>5.9565105508621648E-3</v>
      </c>
      <c r="AB80" s="9"/>
      <c r="AC80" s="10">
        <f t="shared" si="23"/>
        <v>-1219.4400000000005</v>
      </c>
      <c r="AD80" s="8">
        <f>IFERROR(AC80/AC444, "NA")</f>
        <v>-1.9634403744100321E-2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3.3193980577006982E-4</v>
      </c>
      <c r="M82" s="9"/>
      <c r="N82" s="10">
        <f t="shared" si="21"/>
        <v>-25</v>
      </c>
      <c r="O82" s="8">
        <f>IFERROR(N82/N444, "NA")</f>
        <v>-4.9317621659668179E-4</v>
      </c>
      <c r="P82" s="9"/>
      <c r="Q82" s="7">
        <v>25</v>
      </c>
      <c r="R82" s="8">
        <f>IFERROR(Q82/Q444, "NA")</f>
        <v>2.5389538744288866E-5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-5.4850952409997336E-4</v>
      </c>
      <c r="Y82" s="9"/>
      <c r="Z82" s="7">
        <v>125</v>
      </c>
      <c r="AA82" s="8">
        <f>IFERROR(Z82/Z444, "NA")</f>
        <v>1.354939817909096E-4</v>
      </c>
      <c r="AB82" s="9"/>
      <c r="AC82" s="10">
        <f t="shared" si="23"/>
        <v>-100</v>
      </c>
      <c r="AD82" s="8">
        <f>IFERROR(AC82/AC444, "NA")</f>
        <v>-1.6101164259086395E-3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145.97999999999999</v>
      </c>
      <c r="AA85" s="8">
        <f>IFERROR(Z85/Z444, "NA")</f>
        <v>1.5823529169469586E-4</v>
      </c>
      <c r="AB85" s="9"/>
      <c r="AC85" s="10">
        <f t="shared" si="23"/>
        <v>-145.97999999999999</v>
      </c>
      <c r="AD85" s="8">
        <f>IFERROR(AC85/AC444, "NA")</f>
        <v>-2.3504479585414319E-3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175</v>
      </c>
      <c r="R86" s="8">
        <f>IFERROR(Q86/Q444, "NA")</f>
        <v>1.7772677121002204E-4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175</v>
      </c>
      <c r="X86" s="8">
        <f>IFERROR(W86/W444, "NA")</f>
        <v>-3.8395666686998138E-3</v>
      </c>
      <c r="Y86" s="9"/>
      <c r="Z86" s="7">
        <v>820</v>
      </c>
      <c r="AA86" s="8">
        <f>IFERROR(Z86/Z444, "NA")</f>
        <v>8.8884052054836701E-4</v>
      </c>
      <c r="AB86" s="9"/>
      <c r="AC86" s="10">
        <f t="shared" si="23"/>
        <v>-645</v>
      </c>
      <c r="AD86" s="8">
        <f>IFERROR(AC86/AC444, "NA")</f>
        <v>-1.0385250947110725E-2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307.94</v>
      </c>
      <c r="C88" s="15">
        <f>IFERROR(B88/B444, "NA")</f>
        <v>2.4438386917265023E-3</v>
      </c>
      <c r="D88" s="2"/>
      <c r="E88" s="14">
        <f>IFERROR(E75+E76+E77+E78+E79+E80+E81+E82+E83+E84+E85+E86+E87, "NA")</f>
        <v>668.8</v>
      </c>
      <c r="F88" s="15">
        <f>IFERROR(E88/E444, "NA")</f>
        <v>8.0000344499091148E-3</v>
      </c>
      <c r="G88" s="2"/>
      <c r="H88" s="14">
        <f t="shared" si="20"/>
        <v>-360.85999999999996</v>
      </c>
      <c r="I88" s="15">
        <f>IFERROR(H88/H444, "NA")</f>
        <v>-8.5094361690889065E-3</v>
      </c>
      <c r="J88" s="2"/>
      <c r="K88" s="14">
        <f>IFERROR(K75+K76+K77+K78+K79+K80+K81+K82+K83+K84+K85+K86+K87, "NA")</f>
        <v>566.29</v>
      </c>
      <c r="L88" s="15">
        <f>IFERROR(K88/K444, "NA")</f>
        <v>7.5189677043813125E-3</v>
      </c>
      <c r="M88" s="2"/>
      <c r="N88" s="14">
        <f t="shared" si="21"/>
        <v>-258.34999999999997</v>
      </c>
      <c r="O88" s="15">
        <f>IFERROR(N88/N444, "NA")</f>
        <v>-5.0964830223101084E-3</v>
      </c>
      <c r="P88" s="2"/>
      <c r="Q88" s="14">
        <f>IFERROR(Q75+Q76+Q77+Q78+Q79+Q80+Q81+Q82+Q83+Q84+Q85+Q86+Q87, "NA")</f>
        <v>7296.2199999999993</v>
      </c>
      <c r="R88" s="15">
        <f>IFERROR(Q88/Q444, "NA")</f>
        <v>7.4099064150742111E-3</v>
      </c>
      <c r="S88" s="2"/>
      <c r="T88" s="14">
        <f>IFERROR(T75+T76+T77+T78+T79+T80+T81+T82+T83+T84+T85+T86+T87, "NA")</f>
        <v>8241.9</v>
      </c>
      <c r="U88" s="15">
        <f>IFERROR(T88/T444, "NA")</f>
        <v>8.0000149868636357E-3</v>
      </c>
      <c r="V88" s="2"/>
      <c r="W88" s="14">
        <f t="shared" si="22"/>
        <v>-945.68000000000029</v>
      </c>
      <c r="X88" s="15">
        <f>IFERROR(W88/W444, "NA")</f>
        <v>2.0748579470034521E-2</v>
      </c>
      <c r="Y88" s="2"/>
      <c r="Z88" s="14">
        <f>IFERROR(Z75+Z76+Z77+Z78+Z79+Z80+Z81+Z82+Z83+Z84+Z85+Z86+Z87, "NA")</f>
        <v>8281.4699999999993</v>
      </c>
      <c r="AA88" s="15">
        <f>IFERROR(Z88/Z444, "NA")</f>
        <v>8.9767147630557126E-3</v>
      </c>
      <c r="AB88" s="2"/>
      <c r="AC88" s="14">
        <f t="shared" si="23"/>
        <v>-985.25</v>
      </c>
      <c r="AD88" s="15">
        <f>IFERROR(AC88/AC444, "NA")</f>
        <v>-1.5863672086264873E-2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-164.16</v>
      </c>
      <c r="L89" s="8">
        <f>IFERROR(K89/K444, "NA")</f>
        <v>-2.1796495406085862E-3</v>
      </c>
      <c r="M89" s="9"/>
      <c r="N89" s="10">
        <f t="shared" si="21"/>
        <v>164.16</v>
      </c>
      <c r="O89" s="8">
        <f>IFERROR(N89/N444, "NA")</f>
        <v>3.238392308660451E-3</v>
      </c>
      <c r="P89" s="9"/>
      <c r="Q89" s="7">
        <v>-726.06</v>
      </c>
      <c r="R89" s="8">
        <f>IFERROR(Q89/Q444, "NA")</f>
        <v>-7.373731400271349E-4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-726.06</v>
      </c>
      <c r="X89" s="8">
        <f>IFERROR(W89/W444, "NA")</f>
        <v>1.5930033002721066E-2</v>
      </c>
      <c r="Y89" s="9"/>
      <c r="Z89" s="7">
        <v>-2552.15</v>
      </c>
      <c r="AA89" s="8">
        <f>IFERROR(Z89/Z444, "NA")</f>
        <v>-2.7664077250213596E-3</v>
      </c>
      <c r="AB89" s="9"/>
      <c r="AC89" s="10">
        <f t="shared" si="23"/>
        <v>1826.0900000000001</v>
      </c>
      <c r="AD89" s="8">
        <f>IFERROR(AC89/AC444, "NA")</f>
        <v>2.9402175041875079E-2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-3343.99</v>
      </c>
      <c r="F94" s="8">
        <f>IFERROR(E94/E444, "NA")</f>
        <v>-4.0000052631805588E-2</v>
      </c>
      <c r="G94" s="9"/>
      <c r="H94" s="10">
        <f t="shared" ref="H94:H124" si="24">IFERROR(B94-E94, "NA")</f>
        <v>3343.99</v>
      </c>
      <c r="I94" s="8">
        <f>IFERROR(H94/H444, "NA")</f>
        <v>7.8854595840690614E-2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-41209.440000000002</v>
      </c>
      <c r="U94" s="8">
        <f>IFERROR(T94/T444, "NA")</f>
        <v>-4.0000016695210791E-2</v>
      </c>
      <c r="V94" s="9"/>
      <c r="W94" s="10">
        <f t="shared" ref="W94:W124" si="26">IFERROR(Q94-T94, "NA")</f>
        <v>41209.440000000002</v>
      </c>
      <c r="X94" s="8">
        <f>IFERROR(W94/W444, "NA")</f>
        <v>-0.90415081291305632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-1783.56</v>
      </c>
      <c r="C96" s="8">
        <f>IFERROR(B96/B444, "NA")</f>
        <v>-1.4154487682716503E-2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-1783.56</v>
      </c>
      <c r="I96" s="8">
        <f>IFERROR(H96/H444, "NA")</f>
        <v>-4.2058111106080508E-2</v>
      </c>
      <c r="J96" s="9"/>
      <c r="K96" s="7">
        <v>-897.75</v>
      </c>
      <c r="L96" s="8">
        <f>IFERROR(K96/K444, "NA")</f>
        <v>-1.1919958425203207E-2</v>
      </c>
      <c r="M96" s="9"/>
      <c r="N96" s="10">
        <f t="shared" si="25"/>
        <v>-885.81</v>
      </c>
      <c r="O96" s="8">
        <f>IFERROR(N96/N444, "NA")</f>
        <v>-1.7474416976940264E-2</v>
      </c>
      <c r="P96" s="9"/>
      <c r="Q96" s="7">
        <v>-13938.77</v>
      </c>
      <c r="R96" s="8">
        <f>IFERROR(Q96/Q444, "NA")</f>
        <v>-1.4155957638509253E-2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-13938.77</v>
      </c>
      <c r="X96" s="8">
        <f>IFERROR(W96/W444, "NA")</f>
        <v>0.30582192396955943</v>
      </c>
      <c r="Y96" s="9"/>
      <c r="Z96" s="7">
        <v>-10856.65</v>
      </c>
      <c r="AA96" s="8">
        <f>IFERROR(Z96/Z444, "NA")</f>
        <v>-1.176808589928223E-2</v>
      </c>
      <c r="AB96" s="9"/>
      <c r="AC96" s="10">
        <f t="shared" si="27"/>
        <v>-3082.1200000000008</v>
      </c>
      <c r="AD96" s="8">
        <f>IFERROR(AC96/AC444, "NA")</f>
        <v>-4.9625720386215377E-2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-1427.14</v>
      </c>
      <c r="C98" s="8">
        <f>IFERROR(B98/B444, "NA")</f>
        <v>-1.1325907483634996E-2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-1427.14</v>
      </c>
      <c r="I98" s="8">
        <f>IFERROR(H98/H444, "NA")</f>
        <v>-3.3653374534039639E-2</v>
      </c>
      <c r="J98" s="9"/>
      <c r="K98" s="7">
        <v>-1846.36</v>
      </c>
      <c r="L98" s="8">
        <f>IFERROR(K98/K444, "NA")</f>
        <v>-2.4515215191265042E-2</v>
      </c>
      <c r="M98" s="9"/>
      <c r="N98" s="10">
        <f t="shared" si="25"/>
        <v>419.2199999999998</v>
      </c>
      <c r="O98" s="8">
        <f>IFERROR(N98/N444, "NA")</f>
        <v>8.2699733408664322E-3</v>
      </c>
      <c r="P98" s="9"/>
      <c r="Q98" s="7">
        <v>-20885.080000000002</v>
      </c>
      <c r="R98" s="8">
        <f>IFERROR(Q98/Q444, "NA")</f>
        <v>-2.1210501913502901E-2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-20885.080000000002</v>
      </c>
      <c r="X98" s="8">
        <f>IFERROR(W98/W444, "NA")</f>
        <v>0.45822661166359491</v>
      </c>
      <c r="Y98" s="9"/>
      <c r="Z98" s="7">
        <v>-23088.41</v>
      </c>
      <c r="AA98" s="8">
        <f>IFERROR(Z98/Z444, "NA")</f>
        <v>-2.5026724832968441E-2</v>
      </c>
      <c r="AB98" s="9"/>
      <c r="AC98" s="10">
        <f t="shared" si="27"/>
        <v>2203.3299999999981</v>
      </c>
      <c r="AD98" s="8">
        <f>IFERROR(AC98/AC444, "NA")</f>
        <v>3.54761782469728E-2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-33</v>
      </c>
      <c r="C100" s="8">
        <f>IFERROR(B100/B444, "NA")</f>
        <v>-2.6189087753125472E-4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-33</v>
      </c>
      <c r="I100" s="8">
        <f>IFERROR(H100/H444, "NA")</f>
        <v>-7.7817268076243952E-4</v>
      </c>
      <c r="J100" s="9"/>
      <c r="K100" s="7">
        <v>-169.8</v>
      </c>
      <c r="L100" s="8">
        <f>IFERROR(K100/K444, "NA")</f>
        <v>-2.2545351607903144E-3</v>
      </c>
      <c r="M100" s="9"/>
      <c r="N100" s="10">
        <f t="shared" si="25"/>
        <v>136.80000000000001</v>
      </c>
      <c r="O100" s="8">
        <f>IFERROR(N100/N444, "NA")</f>
        <v>2.6986602572170427E-3</v>
      </c>
      <c r="P100" s="9"/>
      <c r="Q100" s="7">
        <v>-2682.61</v>
      </c>
      <c r="R100" s="8">
        <f>IFERROR(Q100/Q444, "NA")</f>
        <v>-2.7244092212326703E-3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-2682.61</v>
      </c>
      <c r="X100" s="8">
        <f>IFERROR(W100/W444, "NA")</f>
        <v>5.8857485377833189E-2</v>
      </c>
      <c r="Y100" s="9"/>
      <c r="Z100" s="7">
        <v>-2766.23</v>
      </c>
      <c r="AA100" s="8">
        <f>IFERROR(Z100/Z444, "NA")</f>
        <v>-2.998460137995743E-3</v>
      </c>
      <c r="AB100" s="9"/>
      <c r="AC100" s="10">
        <f t="shared" si="27"/>
        <v>83.619999999999891</v>
      </c>
      <c r="AD100" s="8">
        <f>IFERROR(AC100/AC444, "NA")</f>
        <v>1.3463793553448026E-3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-1964.76</v>
      </c>
      <c r="C102" s="8">
        <f>IFERROR(B102/B444, "NA")</f>
        <v>-1.559250668297903E-2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-1964.76</v>
      </c>
      <c r="I102" s="8">
        <f>IFERROR(H102/H444, "NA")</f>
        <v>-4.6330986553176086E-2</v>
      </c>
      <c r="J102" s="9"/>
      <c r="K102" s="7">
        <v>-265.5</v>
      </c>
      <c r="L102" s="8">
        <f>IFERROR(K102/K444, "NA")</f>
        <v>-3.5252007372781414E-3</v>
      </c>
      <c r="M102" s="9"/>
      <c r="N102" s="10">
        <f t="shared" si="25"/>
        <v>-1699.26</v>
      </c>
      <c r="O102" s="8">
        <f>IFERROR(N102/N444, "NA")</f>
        <v>-3.35213847125631E-2</v>
      </c>
      <c r="P102" s="9"/>
      <c r="Q102" s="7">
        <v>-12119.88</v>
      </c>
      <c r="R102" s="8">
        <f>IFERROR(Q102/Q444, "NA")</f>
        <v>-1.2308726513445268E-2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-12119.88</v>
      </c>
      <c r="X102" s="8">
        <f>IFERROR(W102/W444, "NA")</f>
        <v>0.26591478443795141</v>
      </c>
      <c r="Y102" s="9"/>
      <c r="Z102" s="7">
        <v>-4004.18</v>
      </c>
      <c r="AA102" s="8">
        <f>IFERROR(Z102/Z444, "NA")</f>
        <v>-4.3403383360601953E-3</v>
      </c>
      <c r="AB102" s="9"/>
      <c r="AC102" s="10">
        <f t="shared" si="27"/>
        <v>-8115.6999999999989</v>
      </c>
      <c r="AD102" s="8">
        <f>IFERROR(AC102/AC444, "NA")</f>
        <v>-0.13067221877746746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-596.37</v>
      </c>
      <c r="C104" s="8">
        <f>IFERROR(B104/B444, "NA")</f>
        <v>-4.7328443222216477E-3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-596.37</v>
      </c>
      <c r="I104" s="8">
        <f>IFERROR(H104/H444, "NA")</f>
        <v>-1.4062995200796851E-2</v>
      </c>
      <c r="J104" s="9"/>
      <c r="K104" s="7">
        <v>-674.75</v>
      </c>
      <c r="L104" s="8">
        <f>IFERROR(K104/K444, "NA")</f>
        <v>-8.9590553577341848E-3</v>
      </c>
      <c r="M104" s="9"/>
      <c r="N104" s="10">
        <f t="shared" si="25"/>
        <v>78.38</v>
      </c>
      <c r="O104" s="8">
        <f>IFERROR(N104/N444, "NA")</f>
        <v>1.5462060742739165E-3</v>
      </c>
      <c r="P104" s="9"/>
      <c r="Q104" s="7">
        <v>-5371.79</v>
      </c>
      <c r="R104" s="8">
        <f>IFERROR(Q104/Q444, "NA")</f>
        <v>-5.4554908132473387E-3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-5371.79</v>
      </c>
      <c r="X104" s="8">
        <f>IFERROR(W104/W444, "NA")</f>
        <v>0.11785911905859985</v>
      </c>
      <c r="Y104" s="9"/>
      <c r="Z104" s="7">
        <v>-6131.4</v>
      </c>
      <c r="AA104" s="8">
        <f>IFERROR(Z104/Z444, "NA")</f>
        <v>-6.6461423996222648E-3</v>
      </c>
      <c r="AB104" s="9"/>
      <c r="AC104" s="10">
        <f t="shared" si="27"/>
        <v>759.60999999999967</v>
      </c>
      <c r="AD104" s="8">
        <f>IFERROR(AC104/AC444, "NA")</f>
        <v>1.2230605382844612E-2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-76.260000000000005</v>
      </c>
      <c r="C106" s="8">
        <f>IFERROR(B106/B444, "NA")</f>
        <v>-6.0520600971313595E-4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-76.260000000000005</v>
      </c>
      <c r="I106" s="8">
        <f>IFERROR(H106/H444, "NA")</f>
        <v>-1.7982863222710196E-3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-76.260000000000005</v>
      </c>
      <c r="O106" s="8">
        <f>IFERROR(N106/N444, "NA")</f>
        <v>-1.5043847311065181E-3</v>
      </c>
      <c r="P106" s="9"/>
      <c r="Q106" s="7">
        <v>-1296.8399999999999</v>
      </c>
      <c r="R106" s="8">
        <f>IFERROR(Q106/Q444, "NA")</f>
        <v>-1.3170467770057428E-3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-1296.8399999999999</v>
      </c>
      <c r="X106" s="8">
        <f>IFERROR(W106/W444, "NA")</f>
        <v>2.8453163649352377E-2</v>
      </c>
      <c r="Y106" s="9"/>
      <c r="Z106" s="7">
        <v>-5623.68</v>
      </c>
      <c r="AA106" s="8">
        <f>IFERROR(Z106/Z444, "NA")</f>
        <v>-6.0957983641432203E-3</v>
      </c>
      <c r="AB106" s="9"/>
      <c r="AC106" s="10">
        <f t="shared" si="27"/>
        <v>4326.84</v>
      </c>
      <c r="AD106" s="8">
        <f>IFERROR(AC106/AC444, "NA")</f>
        <v>6.9667161562785379E-2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-157.19999999999999</v>
      </c>
      <c r="AA108" s="8">
        <f>IFERROR(Z108/Z444, "NA")</f>
        <v>-1.703972315002479E-4</v>
      </c>
      <c r="AB108" s="9"/>
      <c r="AC108" s="10">
        <f t="shared" si="27"/>
        <v>157.19999999999999</v>
      </c>
      <c r="AD108" s="8">
        <f>IFERROR(AC108/AC444, "NA")</f>
        <v>2.5311030215283813E-3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-5881.09</v>
      </c>
      <c r="C118" s="15">
        <f>IFERROR(B118/B444, "NA")</f>
        <v>-4.667284305879657E-2</v>
      </c>
      <c r="D118" s="2"/>
      <c r="E118" s="14">
        <f>IFERROR(E94+E95+E96+E97+E98+E99+E100+E101+E102+E103+E104+E105+E106+E107+E108+E109+E110+E111+E112+E113+E114+E115+E116+E117, "NA")</f>
        <v>-3343.99</v>
      </c>
      <c r="F118" s="15">
        <f>IFERROR(E118/E444, "NA")</f>
        <v>-4.0000052631805588E-2</v>
      </c>
      <c r="G118" s="2"/>
      <c r="H118" s="14">
        <f t="shared" si="24"/>
        <v>-2537.1000000000004</v>
      </c>
      <c r="I118" s="15">
        <f>IFERROR(H118/H444, "NA")</f>
        <v>-5.982733055643593E-2</v>
      </c>
      <c r="J118" s="2"/>
      <c r="K118" s="14">
        <f>IFERROR(K94+K95+K96+K97+K98+K99+K100+K101+K102+K103+K104+K105+K106+K107+K108+K109+K110+K111+K112+K113+K114+K115+K116+K117, "NA")</f>
        <v>-3854.16</v>
      </c>
      <c r="L118" s="15">
        <f>IFERROR(K118/K444, "NA")</f>
        <v>-5.117396487227089E-2</v>
      </c>
      <c r="M118" s="2"/>
      <c r="N118" s="14">
        <f t="shared" si="25"/>
        <v>-2026.9300000000003</v>
      </c>
      <c r="O118" s="15">
        <f>IFERROR(N118/N444, "NA")</f>
        <v>-3.9985346748252493E-2</v>
      </c>
      <c r="P118" s="2"/>
      <c r="Q118" s="14">
        <f>IFERROR(Q94+Q95+Q96+Q97+Q98+Q99+Q100+Q101+Q102+Q103+Q104+Q105+Q106+Q107+Q108+Q109+Q110+Q111+Q112+Q113+Q114+Q115+Q116+Q117, "NA")</f>
        <v>-56294.97</v>
      </c>
      <c r="R118" s="15">
        <f>IFERROR(Q118/Q444, "NA")</f>
        <v>-5.7172132876943171E-2</v>
      </c>
      <c r="S118" s="2"/>
      <c r="T118" s="14">
        <f>IFERROR(T94+T95+T96+T97+T98+T99+T100+T101+T102+T103+T104+T105+T106+T107+T108+T109+T110+T111+T112+T113+T114+T115+T116+T117, "NA")</f>
        <v>-41209.440000000002</v>
      </c>
      <c r="U118" s="15">
        <f>IFERROR(T118/T444, "NA")</f>
        <v>-4.0000016695210791E-2</v>
      </c>
      <c r="V118" s="2"/>
      <c r="W118" s="14">
        <f t="shared" si="26"/>
        <v>-15085.529999999999</v>
      </c>
      <c r="X118" s="15">
        <f>IFERROR(W118/W444, "NA")</f>
        <v>0.33098227524383483</v>
      </c>
      <c r="Y118" s="2"/>
      <c r="Z118" s="14">
        <f>IFERROR(Z94+Z95+Z96+Z97+Z98+Z99+Z100+Z101+Z102+Z103+Z104+Z105+Z106+Z107+Z108+Z109+Z110+Z111+Z112+Z113+Z114+Z115+Z116+Z117, "NA")</f>
        <v>-52627.75</v>
      </c>
      <c r="AA118" s="15">
        <f>IFERROR(Z118/Z444, "NA")</f>
        <v>-5.7045947201572342E-2</v>
      </c>
      <c r="AB118" s="2"/>
      <c r="AC118" s="14">
        <f t="shared" si="27"/>
        <v>-3667.2200000000012</v>
      </c>
      <c r="AD118" s="15">
        <f>IFERROR(AC118/AC444, "NA")</f>
        <v>-5.9046511594206832E-2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126006.68000000001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83599.639999999985</v>
      </c>
      <c r="F122" s="15">
        <f>IFERROR(E122/E444, "NA")</f>
        <v>0.99999999999999978</v>
      </c>
      <c r="G122" s="2"/>
      <c r="H122" s="14">
        <f t="shared" si="24"/>
        <v>42407.040000000023</v>
      </c>
      <c r="I122" s="15">
        <f>IFERROR(H122/H444, "NA")</f>
        <v>1.0000000000000007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75314.859999999986</v>
      </c>
      <c r="L122" s="15">
        <f>IFERROR(K122/K444, "NA")</f>
        <v>0.99999999999999978</v>
      </c>
      <c r="M122" s="2"/>
      <c r="N122" s="14">
        <f t="shared" si="25"/>
        <v>50691.820000000022</v>
      </c>
      <c r="O122" s="15">
        <f>IFERROR(N122/N444, "NA")</f>
        <v>1.0000000000000007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984657.50999999966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1030235.5699999998</v>
      </c>
      <c r="U122" s="15">
        <f>IFERROR(T122/T444, "NA")</f>
        <v>0.99999999999999989</v>
      </c>
      <c r="V122" s="2"/>
      <c r="W122" s="14">
        <f t="shared" si="26"/>
        <v>-45578.060000000172</v>
      </c>
      <c r="X122" s="15">
        <f>IFERROR(W122/W444, "NA")</f>
        <v>1.0000000000000051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922550.2</v>
      </c>
      <c r="AA122" s="15">
        <f>IFERROR(Z122/Z444, "NA")</f>
        <v>1</v>
      </c>
      <c r="AB122" s="2"/>
      <c r="AC122" s="14">
        <f t="shared" si="27"/>
        <v>62107.309999999707</v>
      </c>
      <c r="AD122" s="15">
        <f>IFERROR(AC122/AC444, "NA")</f>
        <v>0.99999999999999434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126006.68000000001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83599.639999999985</v>
      </c>
      <c r="F124" s="15">
        <f>IFERROR(E124/E444, "NA")</f>
        <v>0.99999999999999978</v>
      </c>
      <c r="G124" s="2"/>
      <c r="H124" s="14">
        <f t="shared" si="24"/>
        <v>42407.040000000023</v>
      </c>
      <c r="I124" s="15">
        <f>IFERROR(H124/H444, "NA")</f>
        <v>1.0000000000000007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75314.859999999986</v>
      </c>
      <c r="L124" s="15">
        <f>IFERROR(K124/K444, "NA")</f>
        <v>0.99999999999999978</v>
      </c>
      <c r="M124" s="2"/>
      <c r="N124" s="14">
        <f t="shared" si="25"/>
        <v>50691.820000000022</v>
      </c>
      <c r="O124" s="15">
        <f>IFERROR(N124/N444, "NA")</f>
        <v>1.0000000000000007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984657.50999999966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1030235.5699999998</v>
      </c>
      <c r="U124" s="15">
        <f>IFERROR(T124/T444, "NA")</f>
        <v>0.99999999999999989</v>
      </c>
      <c r="V124" s="2"/>
      <c r="W124" s="14">
        <f t="shared" si="26"/>
        <v>-45578.060000000172</v>
      </c>
      <c r="X124" s="15">
        <f>IFERROR(W124/W444, "NA")</f>
        <v>1.0000000000000051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922550.2</v>
      </c>
      <c r="AA124" s="15">
        <f>IFERROR(Z124/Z444, "NA")</f>
        <v>1</v>
      </c>
      <c r="AB124" s="2"/>
      <c r="AC124" s="14">
        <f t="shared" si="27"/>
        <v>62107.309999999707</v>
      </c>
      <c r="AD124" s="15">
        <f>IFERROR(AC124/AC444, "NA")</f>
        <v>0.99999999999999434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20063.919999999998</v>
      </c>
      <c r="F129" s="8">
        <f>IFERROR(E129/E444, "NA")</f>
        <v>0.24000007655535358</v>
      </c>
      <c r="G129" s="9"/>
      <c r="H129" s="10">
        <f t="shared" ref="H129:H141" si="28">IFERROR(-(B129-E129), "NA")</f>
        <v>20063.919999999998</v>
      </c>
      <c r="I129" s="8">
        <f>IFERROR(H129/H444, "NA")</f>
        <v>0.47312710342433711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256878.51</v>
      </c>
      <c r="U129" s="8">
        <f>IFERROR(T129/T444, "NA")</f>
        <v>0.24933958550858423</v>
      </c>
      <c r="V129" s="9"/>
      <c r="W129" s="10">
        <f t="shared" ref="W129:W141" si="30">IFERROR(-(Q129-T129), "NA")</f>
        <v>256878.51</v>
      </c>
      <c r="X129" s="8">
        <f>IFERROR(W129/W444, "NA")</f>
        <v>-5.6360123708644103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5426.65</v>
      </c>
      <c r="C130" s="8">
        <f>IFERROR(B130/B444, "NA")</f>
        <v>4.3066367592575247E-2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-5426.65</v>
      </c>
      <c r="I130" s="8">
        <f>IFERROR(H130/H444, "NA")</f>
        <v>-0.12796578115331794</v>
      </c>
      <c r="J130" s="9"/>
      <c r="K130" s="7">
        <v>4705.49</v>
      </c>
      <c r="L130" s="8">
        <f>IFERROR(K130/K444, "NA")</f>
        <v>6.2477577466120225E-2</v>
      </c>
      <c r="M130" s="9"/>
      <c r="N130" s="10">
        <f t="shared" si="29"/>
        <v>-721.15999999999985</v>
      </c>
      <c r="O130" s="8">
        <f>IFERROR(N130/N444, "NA")</f>
        <v>-1.4226358414434518E-2</v>
      </c>
      <c r="P130" s="9"/>
      <c r="Q130" s="7">
        <v>50435.46</v>
      </c>
      <c r="R130" s="8">
        <f>IFERROR(Q130/Q444, "NA")</f>
        <v>5.1221322630241248E-2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-50435.46</v>
      </c>
      <c r="X130" s="8">
        <f>IFERROR(W130/W444, "NA")</f>
        <v>1.1065732064945297</v>
      </c>
      <c r="Y130" s="9"/>
      <c r="Z130" s="7">
        <v>60301.42</v>
      </c>
      <c r="AA130" s="8">
        <f>IFERROR(Z130/Z444, "NA")</f>
        <v>6.5363836027567929E-2</v>
      </c>
      <c r="AB130" s="9"/>
      <c r="AC130" s="10">
        <f t="shared" si="31"/>
        <v>9865.9599999999991</v>
      </c>
      <c r="AD130" s="8">
        <f>IFERROR(AC130/AC444, "NA")</f>
        <v>0.158853442533576</v>
      </c>
    </row>
    <row r="131" spans="1:30" ht="16.5" customHeight="1" x14ac:dyDescent="0.45">
      <c r="A131" s="12" t="s">
        <v>123</v>
      </c>
      <c r="B131" s="7">
        <v>3595.41</v>
      </c>
      <c r="C131" s="8">
        <f>IFERROR(B131/B444, "NA")</f>
        <v>2.8533487272262074E-2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-3595.41</v>
      </c>
      <c r="I131" s="8">
        <f>IFERROR(H131/H444, "NA")</f>
        <v>-8.4783328428487362E-2</v>
      </c>
      <c r="J131" s="9"/>
      <c r="K131" s="7">
        <v>2342.17</v>
      </c>
      <c r="L131" s="8">
        <f>IFERROR(K131/K444, "NA")</f>
        <v>3.1098378195219378E-2</v>
      </c>
      <c r="M131" s="9"/>
      <c r="N131" s="10">
        <f t="shared" si="29"/>
        <v>-1253.2399999999998</v>
      </c>
      <c r="O131" s="8">
        <f>IFERROR(N131/N444, "NA")</f>
        <v>-2.4722726467505014E-2</v>
      </c>
      <c r="P131" s="9"/>
      <c r="Q131" s="7">
        <v>29084.89</v>
      </c>
      <c r="R131" s="8">
        <f>IFERROR(Q131/Q444, "NA")</f>
        <v>2.9538077661135188E-2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-29084.89</v>
      </c>
      <c r="X131" s="8">
        <f>IFERROR(W131/W444, "NA")</f>
        <v>0.63813356689600298</v>
      </c>
      <c r="Y131" s="9"/>
      <c r="Z131" s="7">
        <v>29294.5</v>
      </c>
      <c r="AA131" s="8">
        <f>IFERROR(Z131/Z444, "NA")</f>
        <v>3.1753827596590407E-2</v>
      </c>
      <c r="AB131" s="9"/>
      <c r="AC131" s="10">
        <f t="shared" si="31"/>
        <v>209.61000000000058</v>
      </c>
      <c r="AD131" s="8">
        <f>IFERROR(AC131/AC444, "NA")</f>
        <v>3.3749650403471086E-3</v>
      </c>
    </row>
    <row r="132" spans="1:30" ht="16.5" customHeight="1" x14ac:dyDescent="0.45">
      <c r="A132" s="12" t="s">
        <v>124</v>
      </c>
      <c r="B132" s="7">
        <v>4110.3</v>
      </c>
      <c r="C132" s="8">
        <f>IFERROR(B132/B444, "NA")</f>
        <v>3.2619699209597459E-2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-4110.3</v>
      </c>
      <c r="I132" s="8">
        <f>IFERROR(H132/H444, "NA")</f>
        <v>-9.6924944537510771E-2</v>
      </c>
      <c r="J132" s="9"/>
      <c r="K132" s="7">
        <v>2987.29</v>
      </c>
      <c r="L132" s="8">
        <f>IFERROR(K132/K444, "NA")</f>
        <v>3.9664018495154871E-2</v>
      </c>
      <c r="M132" s="9"/>
      <c r="N132" s="10">
        <f t="shared" si="29"/>
        <v>-1123.0100000000002</v>
      </c>
      <c r="O132" s="8">
        <f>IFERROR(N132/N444, "NA")</f>
        <v>-2.2153672920009589E-2</v>
      </c>
      <c r="P132" s="9"/>
      <c r="Q132" s="7">
        <v>46553</v>
      </c>
      <c r="R132" s="8">
        <f>IFERROR(Q132/Q444, "NA")</f>
        <v>4.7278367886515182E-2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-46553</v>
      </c>
      <c r="X132" s="8">
        <f>IFERROR(W132/W444, "NA")</f>
        <v>1.0213905550170423</v>
      </c>
      <c r="Y132" s="9"/>
      <c r="Z132" s="7">
        <v>34115.300000000003</v>
      </c>
      <c r="AA132" s="8">
        <f>IFERROR(Z132/Z444, "NA")</f>
        <v>3.6979342695931346E-2</v>
      </c>
      <c r="AB132" s="9"/>
      <c r="AC132" s="10">
        <f t="shared" si="31"/>
        <v>-12437.699999999997</v>
      </c>
      <c r="AD132" s="8">
        <f>IFERROR(AC132/AC444, "NA")</f>
        <v>-0.20026145070523882</v>
      </c>
    </row>
    <row r="133" spans="1:30" ht="16.5" customHeight="1" x14ac:dyDescent="0.45">
      <c r="A133" s="12" t="s">
        <v>125</v>
      </c>
      <c r="B133" s="7">
        <v>2313.11</v>
      </c>
      <c r="C133" s="8">
        <f>IFERROR(B133/B444, "NA")</f>
        <v>1.8357042658373353E-2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-2313.11</v>
      </c>
      <c r="I133" s="8">
        <f>IFERROR(H133/H444, "NA")</f>
        <v>-5.454542453328505E-2</v>
      </c>
      <c r="J133" s="9"/>
      <c r="K133" s="7">
        <v>1576.35</v>
      </c>
      <c r="L133" s="8">
        <f>IFERROR(K133/K444, "NA")</f>
        <v>2.093013251302598E-2</v>
      </c>
      <c r="M133" s="9"/>
      <c r="N133" s="10">
        <f t="shared" si="29"/>
        <v>-736.76000000000022</v>
      </c>
      <c r="O133" s="8">
        <f>IFERROR(N133/N444, "NA")</f>
        <v>-1.4534100373590854E-2</v>
      </c>
      <c r="P133" s="9"/>
      <c r="Q133" s="7">
        <v>20694.14</v>
      </c>
      <c r="R133" s="8">
        <f>IFERROR(Q133/Q444, "NA")</f>
        <v>2.1016586772389517E-2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-20694.14</v>
      </c>
      <c r="X133" s="8">
        <f>IFERROR(W133/W444, "NA")</f>
        <v>0.45403731532232894</v>
      </c>
      <c r="Y133" s="9"/>
      <c r="Z133" s="7">
        <v>19110.759999999998</v>
      </c>
      <c r="AA133" s="8">
        <f>IFERROR(Z133/Z444, "NA")</f>
        <v>2.0715143739603547E-2</v>
      </c>
      <c r="AB133" s="9"/>
      <c r="AC133" s="10">
        <f t="shared" si="31"/>
        <v>-1583.380000000001</v>
      </c>
      <c r="AD133" s="8">
        <f>IFERROR(AC133/AC444, "NA")</f>
        <v>-2.5494261464552234E-2</v>
      </c>
    </row>
    <row r="134" spans="1:30" ht="16.5" customHeight="1" x14ac:dyDescent="0.45">
      <c r="A134" s="12" t="s">
        <v>126</v>
      </c>
      <c r="B134" s="7">
        <v>822.01</v>
      </c>
      <c r="C134" s="8">
        <f>IFERROR(B134/B444, "NA")</f>
        <v>6.5235430375595966E-3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-822.01</v>
      </c>
      <c r="I134" s="8">
        <f>IFERROR(H134/H444, "NA")</f>
        <v>-1.9383809857985847E-2</v>
      </c>
      <c r="J134" s="9"/>
      <c r="K134" s="7">
        <v>702.37</v>
      </c>
      <c r="L134" s="8">
        <f>IFERROR(K134/K444, "NA")</f>
        <v>9.3257824551489579E-3</v>
      </c>
      <c r="M134" s="9"/>
      <c r="N134" s="10">
        <f t="shared" si="29"/>
        <v>-119.63999999999999</v>
      </c>
      <c r="O134" s="8">
        <f>IFERROR(N134/N444, "NA")</f>
        <v>-2.3601441021450799E-3</v>
      </c>
      <c r="P134" s="9"/>
      <c r="Q134" s="7">
        <v>7959.62</v>
      </c>
      <c r="R134" s="8">
        <f>IFERROR(Q134/Q444, "NA")</f>
        <v>8.0836432151926603E-3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-7959.62</v>
      </c>
      <c r="X134" s="8">
        <f>IFERROR(W134/W444, "NA")</f>
        <v>0.17463709512866521</v>
      </c>
      <c r="Y134" s="9"/>
      <c r="Z134" s="7">
        <v>9653.1299999999992</v>
      </c>
      <c r="AA134" s="8">
        <f>IFERROR(Z134/Z444, "NA")</f>
        <v>1.0463528163562264E-2</v>
      </c>
      <c r="AB134" s="9"/>
      <c r="AC134" s="10">
        <f t="shared" si="31"/>
        <v>1693.5099999999993</v>
      </c>
      <c r="AD134" s="8">
        <f>IFERROR(AC134/AC444, "NA")</f>
        <v>2.7267482684405393E-2</v>
      </c>
    </row>
    <row r="135" spans="1:30" ht="16.5" customHeight="1" x14ac:dyDescent="0.45">
      <c r="A135" s="12" t="s">
        <v>127</v>
      </c>
      <c r="B135" s="7">
        <v>978.29</v>
      </c>
      <c r="C135" s="8">
        <f>IFERROR(B135/B444, "NA")</f>
        <v>7.763794744850035E-3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-978.29</v>
      </c>
      <c r="I135" s="8">
        <f>IFERROR(H135/H444, "NA")</f>
        <v>-2.3069047026154151E-2</v>
      </c>
      <c r="J135" s="9"/>
      <c r="K135" s="7">
        <v>679.2</v>
      </c>
      <c r="L135" s="8">
        <f>IFERROR(K135/K444, "NA")</f>
        <v>9.0181406431612578E-3</v>
      </c>
      <c r="M135" s="9"/>
      <c r="N135" s="10">
        <f t="shared" si="29"/>
        <v>-299.08999999999992</v>
      </c>
      <c r="O135" s="8">
        <f>IFERROR(N135/N444, "NA")</f>
        <v>-5.9001629848760605E-3</v>
      </c>
      <c r="P135" s="9"/>
      <c r="Q135" s="7">
        <v>7843.31</v>
      </c>
      <c r="R135" s="8">
        <f>IFERROR(Q135/Q444, "NA")</f>
        <v>7.9655209251387315E-3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-7843.31</v>
      </c>
      <c r="X135" s="8">
        <f>IFERROR(W135/W444, "NA")</f>
        <v>0.1720852094187425</v>
      </c>
      <c r="Y135" s="9"/>
      <c r="Z135" s="7">
        <v>8297.4</v>
      </c>
      <c r="AA135" s="8">
        <f>IFERROR(Z135/Z444, "NA")</f>
        <v>8.9939821160951467E-3</v>
      </c>
      <c r="AB135" s="9"/>
      <c r="AC135" s="10">
        <f t="shared" si="31"/>
        <v>454.08999999999924</v>
      </c>
      <c r="AD135" s="8">
        <f>IFERROR(AC135/AC444, "NA")</f>
        <v>7.311377678408529E-3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1163.96</v>
      </c>
      <c r="L136" s="8">
        <f>IFERROR(K136/K444, "NA")</f>
        <v>1.5454586252965219E-2</v>
      </c>
      <c r="M136" s="9"/>
      <c r="N136" s="10">
        <f t="shared" si="29"/>
        <v>1163.96</v>
      </c>
      <c r="O136" s="8">
        <f>IFERROR(N136/N444, "NA")</f>
        <v>2.2961495562794948E-2</v>
      </c>
      <c r="P136" s="9"/>
      <c r="Q136" s="7">
        <v>4916.55</v>
      </c>
      <c r="R136" s="8">
        <f>IFERROR(Q136/Q444, "NA")</f>
        <v>4.9931574685293367E-3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0.10787098002854897</v>
      </c>
      <c r="Y136" s="9"/>
      <c r="Z136" s="7">
        <v>12012.02</v>
      </c>
      <c r="AA136" s="8">
        <f>IFERROR(Z136/Z444, "NA")</f>
        <v>1.3020451353216335E-2</v>
      </c>
      <c r="AB136" s="9"/>
      <c r="AC136" s="10">
        <f t="shared" si="31"/>
        <v>7095.47</v>
      </c>
      <c r="AD136" s="8">
        <f>IFERROR(AC136/AC444, "NA")</f>
        <v>0.11424532796541975</v>
      </c>
    </row>
    <row r="137" spans="1:30" ht="16.5" customHeight="1" x14ac:dyDescent="0.45">
      <c r="A137" s="12" t="s">
        <v>129</v>
      </c>
      <c r="B137" s="7">
        <v>579.21</v>
      </c>
      <c r="C137" s="8">
        <f>IFERROR(B137/B444, "NA")</f>
        <v>4.596661065905395E-3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-579.21</v>
      </c>
      <c r="I137" s="8">
        <f>IFERROR(H137/H444, "NA")</f>
        <v>-1.3658345406800384E-2</v>
      </c>
      <c r="J137" s="9"/>
      <c r="K137" s="7">
        <v>368.68</v>
      </c>
      <c r="L137" s="8">
        <f>IFERROR(K137/K444, "NA")</f>
        <v>4.8951827036523739E-3</v>
      </c>
      <c r="M137" s="9"/>
      <c r="N137" s="10">
        <f t="shared" si="29"/>
        <v>-210.53000000000003</v>
      </c>
      <c r="O137" s="8">
        <f>IFERROR(N137/N444, "NA")</f>
        <v>-4.1531355552039771E-3</v>
      </c>
      <c r="P137" s="9"/>
      <c r="Q137" s="7">
        <v>5466.09</v>
      </c>
      <c r="R137" s="8">
        <f>IFERROR(Q137/Q444, "NA")</f>
        <v>5.5512601533907972E-3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-5466.09</v>
      </c>
      <c r="X137" s="8">
        <f>IFERROR(W137/W444, "NA")</f>
        <v>0.11992809698350494</v>
      </c>
      <c r="Y137" s="9"/>
      <c r="Z137" s="7">
        <v>5166.16</v>
      </c>
      <c r="AA137" s="8">
        <f>IFERROR(Z137/Z444, "NA")</f>
        <v>5.5998687117514044E-3</v>
      </c>
      <c r="AB137" s="9"/>
      <c r="AC137" s="10">
        <f t="shared" si="31"/>
        <v>-299.93000000000029</v>
      </c>
      <c r="AD137" s="8">
        <f>IFERROR(AC137/AC444, "NA")</f>
        <v>-4.8292221962277877E-3</v>
      </c>
    </row>
    <row r="138" spans="1:30" ht="16.5" customHeight="1" x14ac:dyDescent="0.45">
      <c r="A138" s="12" t="s">
        <v>130</v>
      </c>
      <c r="B138" s="7">
        <v>8738.89</v>
      </c>
      <c r="C138" s="8">
        <f>IFERROR(B138/B444, "NA")</f>
        <v>6.9352593053003217E-2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-8738.89</v>
      </c>
      <c r="I138" s="8">
        <f>IFERROR(H138/H444, "NA")</f>
        <v>-0.2060716805511538</v>
      </c>
      <c r="J138" s="9"/>
      <c r="K138" s="7">
        <v>2323.16</v>
      </c>
      <c r="L138" s="8">
        <f>IFERROR(K138/K444, "NA")</f>
        <v>3.0845971166911814E-2</v>
      </c>
      <c r="M138" s="9"/>
      <c r="N138" s="10">
        <f t="shared" si="29"/>
        <v>-6415.73</v>
      </c>
      <c r="O138" s="8">
        <f>IFERROR(N138/N444, "NA")</f>
        <v>-0.12656341792423315</v>
      </c>
      <c r="P138" s="9"/>
      <c r="Q138" s="7">
        <v>58057.39</v>
      </c>
      <c r="R138" s="8">
        <f>IFERROR(Q138/Q444, "NA")</f>
        <v>5.8962014111891552E-2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-58057.39</v>
      </c>
      <c r="X138" s="8">
        <f>IFERROR(W138/W444, "NA")</f>
        <v>1.2738012543754622</v>
      </c>
      <c r="Y138" s="9"/>
      <c r="Z138" s="7">
        <v>46799.44</v>
      </c>
      <c r="AA138" s="8">
        <f>IFERROR(Z138/Z444, "NA")</f>
        <v>5.0728339769478131E-2</v>
      </c>
      <c r="AB138" s="9"/>
      <c r="AC138" s="10">
        <f t="shared" si="31"/>
        <v>-11257.949999999997</v>
      </c>
      <c r="AD138" s="8">
        <f>IFERROR(AC138/AC444, "NA")</f>
        <v>-0.18126610217058164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26563.87</v>
      </c>
      <c r="C141" s="15">
        <f>IFERROR(B141/B444, "NA")</f>
        <v>0.21081318863412637</v>
      </c>
      <c r="D141" s="2"/>
      <c r="E141" s="14">
        <f>IFERROR(E129+E130+E131+E132+E133+E134+E135+E136+E137+E138+E139+E140, "NA")</f>
        <v>20063.919999999998</v>
      </c>
      <c r="F141" s="15">
        <f>IFERROR(E141/E444, "NA")</f>
        <v>0.24000007655535358</v>
      </c>
      <c r="G141" s="2"/>
      <c r="H141" s="14">
        <f t="shared" si="28"/>
        <v>-6499.9500000000007</v>
      </c>
      <c r="I141" s="15">
        <f>IFERROR(H141/H444, "NA")</f>
        <v>-0.15327525807035816</v>
      </c>
      <c r="J141" s="2"/>
      <c r="K141" s="14">
        <f>IFERROR(K129+K130+K131+K132+K133+K134+K135+K136+K137+K138+K139+K140, "NA")</f>
        <v>16848.670000000002</v>
      </c>
      <c r="L141" s="15">
        <f>IFERROR(K141/K444, "NA")</f>
        <v>0.2237097698913601</v>
      </c>
      <c r="M141" s="2"/>
      <c r="N141" s="14">
        <f t="shared" si="29"/>
        <v>-9715.1999999999971</v>
      </c>
      <c r="O141" s="15">
        <f>IFERROR(N141/N444, "NA")</f>
        <v>-0.19165222317920325</v>
      </c>
      <c r="P141" s="2"/>
      <c r="Q141" s="14">
        <f>IFERROR(Q129+Q130+Q131+Q132+Q133+Q134+Q135+Q136+Q137+Q138+Q139+Q140, "NA")</f>
        <v>231010.44999999995</v>
      </c>
      <c r="R141" s="15">
        <f>IFERROR(Q141/Q444, "NA")</f>
        <v>0.23460995082442418</v>
      </c>
      <c r="S141" s="2"/>
      <c r="T141" s="14">
        <f>IFERROR(T129+T130+T131+T132+T133+T134+T135+T136+T137+T138+T139+T140, "NA")</f>
        <v>256878.51</v>
      </c>
      <c r="U141" s="15">
        <f>IFERROR(T141/T444, "NA")</f>
        <v>0.24933958550858423</v>
      </c>
      <c r="V141" s="2"/>
      <c r="W141" s="14">
        <f t="shared" si="30"/>
        <v>25868.060000000056</v>
      </c>
      <c r="X141" s="15">
        <f>IFERROR(W141/W444, "NA")</f>
        <v>-0.56755509119958358</v>
      </c>
      <c r="Y141" s="2"/>
      <c r="Z141" s="14">
        <f>IFERROR(Z129+Z130+Z131+Z132+Z133+Z134+Z135+Z136+Z137+Z138+Z139+Z140, "NA")</f>
        <v>224750.13</v>
      </c>
      <c r="AA141" s="15">
        <f>IFERROR(Z141/Z444, "NA")</f>
        <v>0.24361832017379653</v>
      </c>
      <c r="AB141" s="2"/>
      <c r="AC141" s="14">
        <f t="shared" si="31"/>
        <v>-6260.3199999999488</v>
      </c>
      <c r="AD141" s="15">
        <f>IFERROR(AC141/AC444, "NA")</f>
        <v>-0.10079844063444292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1794.46</v>
      </c>
      <c r="C144" s="8">
        <f>IFERROR(B144/B444, "NA")</f>
        <v>1.4240991033173798E-2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-1794.46</v>
      </c>
      <c r="I144" s="8">
        <f>IFERROR(H144/H444, "NA")</f>
        <v>-4.2315143900635371E-2</v>
      </c>
      <c r="J144" s="9"/>
      <c r="K144" s="7">
        <v>544.16</v>
      </c>
      <c r="L144" s="8">
        <f>IFERROR(K144/K444, "NA")</f>
        <v>7.2251345883136472E-3</v>
      </c>
      <c r="M144" s="9"/>
      <c r="N144" s="10">
        <f t="shared" si="33"/>
        <v>-1250.3000000000002</v>
      </c>
      <c r="O144" s="8">
        <f>IFERROR(N144/N444, "NA")</f>
        <v>-2.4664728944433251E-2</v>
      </c>
      <c r="P144" s="9"/>
      <c r="Q144" s="7">
        <v>13808.7</v>
      </c>
      <c r="R144" s="8">
        <f>IFERROR(Q144/Q444, "NA")</f>
        <v>1.4023860946330466E-2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-13808.7</v>
      </c>
      <c r="X144" s="8">
        <f>IFERROR(W144/W444, "NA")</f>
        <v>0.3029681386175721</v>
      </c>
      <c r="Y144" s="9"/>
      <c r="Z144" s="7">
        <v>10843.96</v>
      </c>
      <c r="AA144" s="8">
        <f>IFERROR(Z144/Z444, "NA")</f>
        <v>1.1754330550250816E-2</v>
      </c>
      <c r="AB144" s="9"/>
      <c r="AC144" s="10">
        <f t="shared" si="35"/>
        <v>-2964.7400000000016</v>
      </c>
      <c r="AD144" s="8">
        <f>IFERROR(AC144/AC444, "NA")</f>
        <v>-4.7735765725483825E-2</v>
      </c>
    </row>
    <row r="145" spans="1:30" ht="16.5" customHeight="1" x14ac:dyDescent="0.45">
      <c r="A145" s="12" t="s">
        <v>136</v>
      </c>
      <c r="B145" s="7">
        <v>76.34</v>
      </c>
      <c r="C145" s="8">
        <f>IFERROR(B145/B444, "NA")</f>
        <v>6.0584089668896924E-4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-76.34</v>
      </c>
      <c r="I145" s="8">
        <f>IFERROR(H145/H444, "NA")</f>
        <v>-1.8001728014971103E-3</v>
      </c>
      <c r="J145" s="9"/>
      <c r="K145" s="7">
        <v>96.45</v>
      </c>
      <c r="L145" s="8">
        <f>IFERROR(K145/K444, "NA")</f>
        <v>1.2806237706609294E-3</v>
      </c>
      <c r="M145" s="9"/>
      <c r="N145" s="10">
        <f t="shared" si="33"/>
        <v>20.11</v>
      </c>
      <c r="O145" s="8">
        <f>IFERROR(N145/N444, "NA")</f>
        <v>3.967109486303708E-4</v>
      </c>
      <c r="P145" s="9"/>
      <c r="Q145" s="7">
        <v>1421.74</v>
      </c>
      <c r="R145" s="8">
        <f>IFERROR(Q145/Q444, "NA")</f>
        <v>1.4438929125722101E-3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-1421.74</v>
      </c>
      <c r="X145" s="8">
        <f>IFERROR(W145/W444, "NA")</f>
        <v>3.1193517231755848E-2</v>
      </c>
      <c r="Y145" s="9"/>
      <c r="Z145" s="7">
        <v>1567.21</v>
      </c>
      <c r="AA145" s="8">
        <f>IFERROR(Z145/Z444, "NA")</f>
        <v>1.6987801856202514E-3</v>
      </c>
      <c r="AB145" s="9"/>
      <c r="AC145" s="10">
        <f t="shared" si="35"/>
        <v>145.47000000000003</v>
      </c>
      <c r="AD145" s="8">
        <f>IFERROR(AC145/AC444, "NA")</f>
        <v>2.3422363647692982E-3</v>
      </c>
    </row>
    <row r="146" spans="1:30" ht="16.5" customHeight="1" x14ac:dyDescent="0.45">
      <c r="A146" s="12" t="s">
        <v>137</v>
      </c>
      <c r="B146" s="7">
        <v>65.319999999999993</v>
      </c>
      <c r="C146" s="8">
        <f>IFERROR(B146/B444, "NA")</f>
        <v>5.1838521576792588E-4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-65.319999999999993</v>
      </c>
      <c r="I146" s="8">
        <f>IFERROR(H146/H444, "NA")</f>
        <v>-1.5403102881031074E-3</v>
      </c>
      <c r="J146" s="9"/>
      <c r="K146" s="7">
        <v>230.8</v>
      </c>
      <c r="L146" s="8">
        <f>IFERROR(K146/K444, "NA")</f>
        <v>3.0644682868692847E-3</v>
      </c>
      <c r="M146" s="9"/>
      <c r="N146" s="10">
        <f t="shared" si="33"/>
        <v>165.48000000000002</v>
      </c>
      <c r="O146" s="8">
        <f>IFERROR(N146/N444, "NA")</f>
        <v>3.264432012896756E-3</v>
      </c>
      <c r="P146" s="9"/>
      <c r="Q146" s="7">
        <v>1092.52</v>
      </c>
      <c r="R146" s="8">
        <f>IFERROR(Q146/Q444, "NA")</f>
        <v>1.1095431547564188E-3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-1092.52</v>
      </c>
      <c r="X146" s="8">
        <f>IFERROR(W146/W444, "NA")</f>
        <v>2.3970305010788118E-2</v>
      </c>
      <c r="Y146" s="9"/>
      <c r="Z146" s="7">
        <v>3720.62</v>
      </c>
      <c r="AA146" s="8">
        <f>IFERROR(Z146/Z444, "NA")</f>
        <v>4.0329729482471528E-3</v>
      </c>
      <c r="AB146" s="9"/>
      <c r="AC146" s="10">
        <f t="shared" si="35"/>
        <v>2628.1</v>
      </c>
      <c r="AD146" s="8">
        <f>IFERROR(AC146/AC444, "NA")</f>
        <v>4.2315469789304956E-2</v>
      </c>
    </row>
    <row r="147" spans="1:30" ht="16.5" customHeight="1" x14ac:dyDescent="0.45">
      <c r="A147" s="12" t="s">
        <v>138</v>
      </c>
      <c r="B147" s="7">
        <v>0</v>
      </c>
      <c r="C147" s="8">
        <f>IFERROR(B147/B444, "NA")</f>
        <v>0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0</v>
      </c>
      <c r="I147" s="8">
        <f>IFERROR(H147/H444, "NA")</f>
        <v>0</v>
      </c>
      <c r="J147" s="9"/>
      <c r="K147" s="7">
        <v>14.55</v>
      </c>
      <c r="L147" s="8">
        <f>IFERROR(K147/K444, "NA")</f>
        <v>1.9318896695818063E-4</v>
      </c>
      <c r="M147" s="9"/>
      <c r="N147" s="10">
        <f t="shared" si="33"/>
        <v>14.55</v>
      </c>
      <c r="O147" s="8">
        <f>IFERROR(N147/N444, "NA")</f>
        <v>2.8702855805926882E-4</v>
      </c>
      <c r="P147" s="9"/>
      <c r="Q147" s="7">
        <v>326.75</v>
      </c>
      <c r="R147" s="8">
        <f>IFERROR(Q147/Q444, "NA")</f>
        <v>3.3184127138785548E-4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-326.75</v>
      </c>
      <c r="X147" s="8">
        <f>IFERROR(W147/W444, "NA")</f>
        <v>7.1690194799866524E-3</v>
      </c>
      <c r="Y147" s="9"/>
      <c r="Z147" s="7">
        <v>251.25</v>
      </c>
      <c r="AA147" s="8">
        <f>IFERROR(Z147/Z444, "NA")</f>
        <v>2.723429033997283E-4</v>
      </c>
      <c r="AB147" s="9"/>
      <c r="AC147" s="10">
        <f t="shared" si="35"/>
        <v>-75.5</v>
      </c>
      <c r="AD147" s="8">
        <f>IFERROR(AC147/AC444, "NA")</f>
        <v>-1.215637901561023E-3</v>
      </c>
    </row>
    <row r="148" spans="1:30" ht="16.5" customHeight="1" x14ac:dyDescent="0.45">
      <c r="A148" s="13" t="s">
        <v>139</v>
      </c>
      <c r="B148" s="14">
        <f>IFERROR(B143+B144+B145+B146+B147, "NA")</f>
        <v>1936.12</v>
      </c>
      <c r="C148" s="15">
        <f>IFERROR(B148/B444, "NA")</f>
        <v>1.5365217145630692E-2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-1936.12</v>
      </c>
      <c r="I148" s="15">
        <f>IFERROR(H148/H444, "NA")</f>
        <v>-4.5655626990235586E-2</v>
      </c>
      <c r="J148" s="2"/>
      <c r="K148" s="14">
        <f>IFERROR(K143+K144+K145+K146+K147, "NA")</f>
        <v>885.96</v>
      </c>
      <c r="L148" s="15">
        <f>IFERROR(K148/K444, "NA")</f>
        <v>1.1763415612802043E-2</v>
      </c>
      <c r="M148" s="2"/>
      <c r="N148" s="14">
        <f t="shared" si="33"/>
        <v>-1050.1599999999999</v>
      </c>
      <c r="O148" s="15">
        <f>IFERROR(N148/N444, "NA")</f>
        <v>-2.0716557424846849E-2</v>
      </c>
      <c r="P148" s="2"/>
      <c r="Q148" s="14">
        <f>IFERROR(Q143+Q144+Q145+Q146+Q147, "NA")</f>
        <v>16649.71</v>
      </c>
      <c r="R148" s="15">
        <f>IFERROR(Q148/Q444, "NA")</f>
        <v>1.6909138285046948E-2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-16649.71</v>
      </c>
      <c r="X148" s="15">
        <f>IFERROR(W148/W444, "NA")</f>
        <v>0.36530098034010272</v>
      </c>
      <c r="Y148" s="2"/>
      <c r="Z148" s="14">
        <f>IFERROR(Z143+Z144+Z145+Z146+Z147, "NA")</f>
        <v>16383.039999999997</v>
      </c>
      <c r="AA148" s="15">
        <f>IFERROR(Z148/Z444, "NA")</f>
        <v>1.7758426587517945E-2</v>
      </c>
      <c r="AB148" s="2"/>
      <c r="AC148" s="14">
        <f t="shared" si="35"/>
        <v>-266.67000000000189</v>
      </c>
      <c r="AD148" s="15">
        <f>IFERROR(AC148/AC444, "NA")</f>
        <v>-4.2936974729705993E-3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28499.989999999998</v>
      </c>
      <c r="C149" s="15">
        <f>IFERROR(B149/B444, "NA")</f>
        <v>0.22617840577975706</v>
      </c>
      <c r="D149" s="2"/>
      <c r="E149" s="14">
        <f>IFERROR(E127+E129+E130+E131+E132+E133+E134+E135+E136+E137+E138+E139+E140+E143+E144+E145+E146+E147, "NA")</f>
        <v>20063.919999999998</v>
      </c>
      <c r="F149" s="15">
        <f>IFERROR(E149/E444, "NA")</f>
        <v>0.24000007655535358</v>
      </c>
      <c r="G149" s="2"/>
      <c r="H149" s="14">
        <f t="shared" si="32"/>
        <v>-8436.07</v>
      </c>
      <c r="I149" s="15">
        <f>IFERROR(H149/H444, "NA")</f>
        <v>-0.19893088506059373</v>
      </c>
      <c r="J149" s="2"/>
      <c r="K149" s="14">
        <f>IFERROR(K127+K129+K130+K131+K132+K133+K134+K135+K136+K137+K138+K139+K140+K143+K144+K145+K146+K147, "NA")</f>
        <v>17734.63</v>
      </c>
      <c r="L149" s="15">
        <f>IFERROR(K149/K444, "NA")</f>
        <v>0.23547318550416213</v>
      </c>
      <c r="M149" s="2"/>
      <c r="N149" s="14">
        <f t="shared" si="33"/>
        <v>-10765.359999999997</v>
      </c>
      <c r="O149" s="15">
        <f>IFERROR(N149/N444, "NA")</f>
        <v>-0.21236878060405009</v>
      </c>
      <c r="P149" s="2"/>
      <c r="Q149" s="14">
        <f>IFERROR(Q127+Q129+Q130+Q131+Q132+Q133+Q134+Q135+Q136+Q137+Q138+Q139+Q140+Q143+Q144+Q145+Q146+Q147, "NA")</f>
        <v>247660.15999999995</v>
      </c>
      <c r="R149" s="15">
        <f>IFERROR(Q149/Q444, "NA")</f>
        <v>0.25151908910947113</v>
      </c>
      <c r="S149" s="2"/>
      <c r="T149" s="14">
        <f>IFERROR(T127+T129+T130+T131+T132+T133+T134+T135+T136+T137+T138+T139+T140+T143+T144+T145+T146+T147, "NA")</f>
        <v>256878.51</v>
      </c>
      <c r="U149" s="15">
        <f>IFERROR(T149/T444, "NA")</f>
        <v>0.24933958550858423</v>
      </c>
      <c r="V149" s="2"/>
      <c r="W149" s="14">
        <f t="shared" si="34"/>
        <v>9218.350000000064</v>
      </c>
      <c r="X149" s="15">
        <f>IFERROR(W149/W444, "NA")</f>
        <v>-0.202254110859481</v>
      </c>
      <c r="Y149" s="2"/>
      <c r="Z149" s="14">
        <f>IFERROR(Z127+Z129+Z130+Z131+Z132+Z133+Z134+Z135+Z136+Z137+Z138+Z139+Z140+Z143+Z144+Z145+Z146+Z147, "NA")</f>
        <v>241133.16999999998</v>
      </c>
      <c r="AA149" s="15">
        <f>IFERROR(Z149/Z444, "NA")</f>
        <v>0.26137674676131445</v>
      </c>
      <c r="AB149" s="2"/>
      <c r="AC149" s="14">
        <f t="shared" si="35"/>
        <v>-6526.9899999999616</v>
      </c>
      <c r="AD149" s="15">
        <f>IFERROR(AC149/AC444, "NA")</f>
        <v>-0.10509213810741369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1253.99</v>
      </c>
      <c r="F153" s="8">
        <f>IFERROR(E153/E444, "NA")</f>
        <v>1.499994497583961E-2</v>
      </c>
      <c r="G153" s="9"/>
      <c r="H153" s="10">
        <f t="shared" ref="H153:H158" si="36">IFERROR(-(B153-E153), "NA")</f>
        <v>1253.99</v>
      </c>
      <c r="I153" s="8">
        <f>IFERROR(H153/H444, "NA")</f>
        <v>2.9570326059069441E-2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16020.88</v>
      </c>
      <c r="U153" s="8">
        <f>IFERROR(T153/T444, "NA")</f>
        <v>1.5550695847164352E-2</v>
      </c>
      <c r="V153" s="9"/>
      <c r="W153" s="10">
        <f t="shared" ref="W153:W158" si="38">IFERROR(-(Q153-T153), "NA")</f>
        <v>16020.88</v>
      </c>
      <c r="X153" s="8">
        <f>IFERROR(W153/W444, "NA")</f>
        <v>-0.35150421057851128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2812.03</v>
      </c>
      <c r="C154" s="8">
        <f>IFERROR(B154/B444, "NA")</f>
        <v>2.2316515283158006E-2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-2812.03</v>
      </c>
      <c r="I154" s="8">
        <f>IFERROR(H154/H444, "NA")</f>
        <v>-6.6310452226800098E-2</v>
      </c>
      <c r="J154" s="9"/>
      <c r="K154" s="7">
        <v>2812.29</v>
      </c>
      <c r="L154" s="8">
        <f>IFERROR(K154/K444, "NA")</f>
        <v>3.7340439854764387E-2</v>
      </c>
      <c r="M154" s="9"/>
      <c r="N154" s="10">
        <f t="shared" si="37"/>
        <v>0.25999999999976353</v>
      </c>
      <c r="O154" s="8">
        <f>IFERROR(N154/N444, "NA")</f>
        <v>5.1290326526008257E-6</v>
      </c>
      <c r="P154" s="9"/>
      <c r="Q154" s="7">
        <v>32553.47</v>
      </c>
      <c r="R154" s="8">
        <f>IFERROR(Q154/Q444, "NA")</f>
        <v>3.3060703513041807E-2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-32553.47</v>
      </c>
      <c r="X154" s="8">
        <f>IFERROR(W154/W444, "NA")</f>
        <v>0.71423553350011049</v>
      </c>
      <c r="Y154" s="9"/>
      <c r="Z154" s="7">
        <v>34739.089999999997</v>
      </c>
      <c r="AA154" s="8">
        <f>IFERROR(Z154/Z444, "NA")</f>
        <v>3.7655501023142156E-2</v>
      </c>
      <c r="AB154" s="9"/>
      <c r="AC154" s="10">
        <f t="shared" si="39"/>
        <v>2185.6199999999953</v>
      </c>
      <c r="AD154" s="8">
        <f>IFERROR(AC154/AC444, "NA")</f>
        <v>3.5191026627944336E-2</v>
      </c>
    </row>
    <row r="155" spans="1:30" ht="16.5" customHeight="1" x14ac:dyDescent="0.45">
      <c r="A155" s="12" t="s">
        <v>144</v>
      </c>
      <c r="B155" s="7">
        <v>1816.26</v>
      </c>
      <c r="C155" s="8">
        <f>IFERROR(B155/B444, "NA")</f>
        <v>1.4413997734088383E-2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-1816.26</v>
      </c>
      <c r="I155" s="8">
        <f>IFERROR(H155/H444, "NA")</f>
        <v>-4.2829209489745106E-2</v>
      </c>
      <c r="J155" s="9"/>
      <c r="K155" s="7">
        <v>404.3</v>
      </c>
      <c r="L155" s="8">
        <f>IFERROR(K155/K444, "NA")</f>
        <v>5.3681305389135688E-3</v>
      </c>
      <c r="M155" s="9"/>
      <c r="N155" s="10">
        <f t="shared" si="37"/>
        <v>-1411.96</v>
      </c>
      <c r="O155" s="8">
        <f>IFERROR(N155/N444, "NA")</f>
        <v>-2.785380363143403E-2</v>
      </c>
      <c r="P155" s="9"/>
      <c r="Q155" s="7">
        <v>8716.73</v>
      </c>
      <c r="R155" s="8">
        <f>IFERROR(Q155/Q444, "NA")</f>
        <v>8.8525501623402027E-3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-8716.73</v>
      </c>
      <c r="X155" s="8">
        <f>IFERROR(W155/W444, "NA")</f>
        <v>0.19124837696031843</v>
      </c>
      <c r="Y155" s="9"/>
      <c r="Z155" s="7">
        <v>5700.44</v>
      </c>
      <c r="AA155" s="8">
        <f>IFERROR(Z155/Z444, "NA")</f>
        <v>6.1790025084813814E-3</v>
      </c>
      <c r="AB155" s="9"/>
      <c r="AC155" s="10">
        <f t="shared" si="39"/>
        <v>-3016.29</v>
      </c>
      <c r="AD155" s="8">
        <f>IFERROR(AC155/AC444, "NA")</f>
        <v>-4.8565780743039702E-2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21.14</v>
      </c>
      <c r="R156" s="8">
        <f>IFERROR(Q156/Q444, "NA")</f>
        <v>2.1469393962170663E-5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-21.14</v>
      </c>
      <c r="X156" s="8">
        <f>IFERROR(W156/W444, "NA")</f>
        <v>4.6381965357893752E-4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-21.14</v>
      </c>
      <c r="AD156" s="8">
        <f>IFERROR(AC156/AC444, "NA")</f>
        <v>-3.4037861243708641E-4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4628.29</v>
      </c>
      <c r="C158" s="15">
        <f>IFERROR(B158/B444, "NA")</f>
        <v>3.6730513017246391E-2</v>
      </c>
      <c r="D158" s="2"/>
      <c r="E158" s="14">
        <f>IFERROR(E153+E154+E155+E156+E157, "NA")</f>
        <v>1253.99</v>
      </c>
      <c r="F158" s="15">
        <f>IFERROR(E158/E444, "NA")</f>
        <v>1.499994497583961E-2</v>
      </c>
      <c r="G158" s="2"/>
      <c r="H158" s="14">
        <f t="shared" si="36"/>
        <v>-3374.3</v>
      </c>
      <c r="I158" s="15">
        <f>IFERROR(H158/H444, "NA")</f>
        <v>-7.9569335657475759E-2</v>
      </c>
      <c r="J158" s="2"/>
      <c r="K158" s="14">
        <f>IFERROR(K153+K154+K155+K156+K157, "NA")</f>
        <v>3216.59</v>
      </c>
      <c r="L158" s="15">
        <f>IFERROR(K158/K444, "NA")</f>
        <v>4.2708570393677953E-2</v>
      </c>
      <c r="M158" s="2"/>
      <c r="N158" s="14">
        <f t="shared" si="37"/>
        <v>-1411.6999999999998</v>
      </c>
      <c r="O158" s="15">
        <f>IFERROR(N158/N444, "NA")</f>
        <v>-2.7848674598781421E-2</v>
      </c>
      <c r="P158" s="2"/>
      <c r="Q158" s="14">
        <f>IFERROR(Q153+Q154+Q155+Q156+Q157, "NA")</f>
        <v>41291.339999999997</v>
      </c>
      <c r="R158" s="15">
        <f>IFERROR(Q158/Q444, "NA")</f>
        <v>4.1934723069344176E-2</v>
      </c>
      <c r="S158" s="2"/>
      <c r="T158" s="14">
        <f>IFERROR(T153+T154+T155+T156+T157, "NA")</f>
        <v>16020.88</v>
      </c>
      <c r="U158" s="15">
        <f>IFERROR(T158/T444, "NA")</f>
        <v>1.5550695847164352E-2</v>
      </c>
      <c r="V158" s="2"/>
      <c r="W158" s="14">
        <f t="shared" si="38"/>
        <v>-25270.46</v>
      </c>
      <c r="X158" s="15">
        <f>IFERROR(W158/W444, "NA")</f>
        <v>0.55444351953549653</v>
      </c>
      <c r="Y158" s="2"/>
      <c r="Z158" s="14">
        <f>IFERROR(Z153+Z154+Z155+Z156+Z157, "NA")</f>
        <v>40439.53</v>
      </c>
      <c r="AA158" s="15">
        <f>IFERROR(Z158/Z444, "NA")</f>
        <v>4.3834503531623541E-2</v>
      </c>
      <c r="AB158" s="2"/>
      <c r="AC158" s="14">
        <f t="shared" si="39"/>
        <v>-851.80999999999767</v>
      </c>
      <c r="AD158" s="15">
        <f>IFERROR(AC158/AC444, "NA")</f>
        <v>-1.3715132727532345E-2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462.58</v>
      </c>
      <c r="C161" s="8">
        <f>IFERROR(B161/B444, "NA")</f>
        <v>3.6710752160123575E-3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-462.58</v>
      </c>
      <c r="I161" s="8">
        <f>IFERROR(H161/H444, "NA")</f>
        <v>-1.0908094505063311E-2</v>
      </c>
      <c r="J161" s="9"/>
      <c r="K161" s="7">
        <v>448.84</v>
      </c>
      <c r="L161" s="8">
        <f>IFERROR(K161/K444, "NA")</f>
        <v>5.9595144968735249E-3</v>
      </c>
      <c r="M161" s="9"/>
      <c r="N161" s="10">
        <f t="shared" si="41"/>
        <v>-13.740000000000009</v>
      </c>
      <c r="O161" s="8">
        <f>IFERROR(N161/N444, "NA")</f>
        <v>-2.7104964864153646E-4</v>
      </c>
      <c r="P161" s="9"/>
      <c r="Q161" s="7">
        <v>3505.2</v>
      </c>
      <c r="R161" s="8">
        <f>IFERROR(Q161/Q444, "NA")</f>
        <v>3.559816448259253E-3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-3505.2</v>
      </c>
      <c r="X161" s="8">
        <f>IFERROR(W161/W444, "NA")</f>
        <v>7.6905423355009064E-2</v>
      </c>
      <c r="Y161" s="9"/>
      <c r="Z161" s="7">
        <v>2773.07</v>
      </c>
      <c r="AA161" s="8">
        <f>IFERROR(Z161/Z444, "NA")</f>
        <v>3.0058743686793418E-3</v>
      </c>
      <c r="AB161" s="9"/>
      <c r="AC161" s="10">
        <f t="shared" si="43"/>
        <v>-732.12999999999965</v>
      </c>
      <c r="AD161" s="8">
        <f>IFERROR(AC161/AC444, "NA")</f>
        <v>-1.1788145389004917E-2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462.58</v>
      </c>
      <c r="C166" s="15">
        <f>IFERROR(B166/B444, "NA")</f>
        <v>3.6710752160123575E-3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-462.58</v>
      </c>
      <c r="I166" s="15">
        <f>IFERROR(H166/H444, "NA")</f>
        <v>-1.0908094505063311E-2</v>
      </c>
      <c r="J166" s="2"/>
      <c r="K166" s="14">
        <f>IFERROR(K160+K161+K162+K163+K164+K165, "NA")</f>
        <v>448.84</v>
      </c>
      <c r="L166" s="15">
        <f>IFERROR(K166/K444, "NA")</f>
        <v>5.9595144968735249E-3</v>
      </c>
      <c r="M166" s="2"/>
      <c r="N166" s="14">
        <f t="shared" si="41"/>
        <v>-13.740000000000009</v>
      </c>
      <c r="O166" s="15">
        <f>IFERROR(N166/N444, "NA")</f>
        <v>-2.7104964864153646E-4</v>
      </c>
      <c r="P166" s="2"/>
      <c r="Q166" s="14">
        <f>IFERROR(Q160+Q161+Q162+Q163+Q164+Q165, "NA")</f>
        <v>3505.2</v>
      </c>
      <c r="R166" s="15">
        <f>IFERROR(Q166/Q444, "NA")</f>
        <v>3.559816448259253E-3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-3505.2</v>
      </c>
      <c r="X166" s="15">
        <f>IFERROR(W166/W444, "NA")</f>
        <v>7.6905423355009064E-2</v>
      </c>
      <c r="Y166" s="2"/>
      <c r="Z166" s="14">
        <f>IFERROR(Z160+Z161+Z162+Z163+Z164+Z165, "NA")</f>
        <v>2773.07</v>
      </c>
      <c r="AA166" s="15">
        <f>IFERROR(Z166/Z444, "NA")</f>
        <v>3.0058743686793418E-3</v>
      </c>
      <c r="AB166" s="2"/>
      <c r="AC166" s="14">
        <f t="shared" si="43"/>
        <v>-732.12999999999965</v>
      </c>
      <c r="AD166" s="15">
        <f>IFERROR(AC166/AC444, "NA")</f>
        <v>-1.1788145389004917E-2</v>
      </c>
    </row>
    <row r="167" spans="1:30" ht="16.5" customHeight="1" x14ac:dyDescent="0.45">
      <c r="A167" s="6" t="s">
        <v>155</v>
      </c>
      <c r="B167" s="7">
        <v>79.349999999999994</v>
      </c>
      <c r="C167" s="8">
        <f>IFERROR(B167/B444, "NA")</f>
        <v>6.297285191546988E-4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-79.349999999999994</v>
      </c>
      <c r="I167" s="8">
        <f>IFERROR(H167/H444, "NA")</f>
        <v>-1.8711515823787749E-3</v>
      </c>
      <c r="J167" s="9"/>
      <c r="K167" s="7">
        <v>69.150000000000006</v>
      </c>
      <c r="L167" s="8">
        <f>IFERROR(K167/K444, "NA")</f>
        <v>9.1814550276001319E-4</v>
      </c>
      <c r="M167" s="9"/>
      <c r="N167" s="10">
        <f t="shared" si="41"/>
        <v>-10.199999999999989</v>
      </c>
      <c r="O167" s="8">
        <f>IFERROR(N167/N444, "NA")</f>
        <v>-2.0121589637144593E-4</v>
      </c>
      <c r="P167" s="9"/>
      <c r="Q167" s="7">
        <v>890.19</v>
      </c>
      <c r="R167" s="8">
        <f>IFERROR(Q167/Q444, "NA")</f>
        <v>9.0406053979114021E-4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-890.19</v>
      </c>
      <c r="X167" s="8">
        <f>IFERROR(W167/W444, "NA")</f>
        <v>1.9531107730342213E-2</v>
      </c>
      <c r="Y167" s="9"/>
      <c r="Z167" s="7">
        <v>1160.78</v>
      </c>
      <c r="AA167" s="8">
        <f>IFERROR(Z167/Z444, "NA")</f>
        <v>1.2582296334660162E-3</v>
      </c>
      <c r="AB167" s="9"/>
      <c r="AC167" s="10">
        <f t="shared" si="43"/>
        <v>270.58999999999992</v>
      </c>
      <c r="AD167" s="8">
        <f>IFERROR(AC167/AC444, "NA")</f>
        <v>4.3568140368661868E-3</v>
      </c>
    </row>
    <row r="168" spans="1:30" ht="16.5" customHeight="1" x14ac:dyDescent="0.45">
      <c r="A168" s="6" t="s">
        <v>156</v>
      </c>
      <c r="B168" s="7">
        <v>116.45</v>
      </c>
      <c r="C168" s="8">
        <f>IFERROR(B168/B444, "NA")</f>
        <v>9.241573541974125E-4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-116.45</v>
      </c>
      <c r="I168" s="8">
        <f>IFERROR(H168/H444, "NA")</f>
        <v>-2.7460063234783665E-3</v>
      </c>
      <c r="J168" s="9"/>
      <c r="K168" s="7">
        <v>36</v>
      </c>
      <c r="L168" s="8">
        <f>IFERROR(K168/K444, "NA")</f>
        <v>4.7799332030890051E-4</v>
      </c>
      <c r="M168" s="9"/>
      <c r="N168" s="10">
        <f t="shared" si="41"/>
        <v>-80.45</v>
      </c>
      <c r="O168" s="8">
        <f>IFERROR(N168/N444, "NA")</f>
        <v>-1.5870410650081219E-3</v>
      </c>
      <c r="P168" s="9"/>
      <c r="Q168" s="7">
        <v>517.91999999999996</v>
      </c>
      <c r="R168" s="8">
        <f>IFERROR(Q168/Q444, "NA")</f>
        <v>5.2598999625768348E-4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-517.91999999999996</v>
      </c>
      <c r="X168" s="8">
        <f>IFERROR(W168/W444, "NA")</f>
        <v>1.1363362108874328E-2</v>
      </c>
      <c r="Y168" s="9"/>
      <c r="Z168" s="7">
        <v>490.69</v>
      </c>
      <c r="AA168" s="8">
        <f>IFERROR(Z168/Z444, "NA")</f>
        <v>5.3188433539985138E-4</v>
      </c>
      <c r="AB168" s="9"/>
      <c r="AC168" s="10">
        <f t="shared" si="43"/>
        <v>-27.229999999999961</v>
      </c>
      <c r="AD168" s="8">
        <f>IFERROR(AC168/AC444, "NA")</f>
        <v>-4.3843470277492194E-4</v>
      </c>
    </row>
    <row r="169" spans="1:30" ht="16.5" customHeight="1" x14ac:dyDescent="0.45">
      <c r="A169" s="6" t="s">
        <v>157</v>
      </c>
      <c r="B169" s="7">
        <v>-1470.27</v>
      </c>
      <c r="C169" s="8">
        <f>IFERROR(B169/B444, "NA")</f>
        <v>-1.1668190924481146E-2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1470.27</v>
      </c>
      <c r="I169" s="8">
        <f>IFERROR(H169/H444, "NA")</f>
        <v>3.4670422646805817E-2</v>
      </c>
      <c r="J169" s="9"/>
      <c r="K169" s="7">
        <v>-1793.86</v>
      </c>
      <c r="L169" s="8">
        <f>IFERROR(K169/K444, "NA")</f>
        <v>-2.3818141599147895E-2</v>
      </c>
      <c r="M169" s="9"/>
      <c r="N169" s="10">
        <f t="shared" si="41"/>
        <v>-323.58999999999992</v>
      </c>
      <c r="O169" s="8">
        <f>IFERROR(N169/N444, "NA")</f>
        <v>-6.3834756771408083E-3</v>
      </c>
      <c r="P169" s="9"/>
      <c r="Q169" s="7">
        <v>-16895.98</v>
      </c>
      <c r="R169" s="8">
        <f>IFERROR(Q169/Q444, "NA")</f>
        <v>-1.715924555330919E-2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16895.98</v>
      </c>
      <c r="X169" s="8">
        <f>IFERROR(W169/W444, "NA")</f>
        <v>-0.37070423796010671</v>
      </c>
      <c r="Y169" s="9"/>
      <c r="Z169" s="7">
        <v>-25128.98</v>
      </c>
      <c r="AA169" s="8">
        <f>IFERROR(Z169/Z444, "NA")</f>
        <v>-2.723860446835305E-2</v>
      </c>
      <c r="AB169" s="9"/>
      <c r="AC169" s="10">
        <f t="shared" si="43"/>
        <v>-8233</v>
      </c>
      <c r="AD169" s="8">
        <f>IFERROR(AC169/AC444, "NA")</f>
        <v>-0.1325608853450583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3816.4</v>
      </c>
      <c r="C170" s="15">
        <f>IFERROR(B170/B444, "NA")</f>
        <v>3.0287283182129712E-2</v>
      </c>
      <c r="D170" s="2"/>
      <c r="E170" s="14">
        <f>IFERROR(E151+E153+E154+E155+E156+E157+E160+E161+E162+E163+E164+E165+E167+E168+E169, "NA")</f>
        <v>1253.99</v>
      </c>
      <c r="F170" s="15">
        <f>IFERROR(E170/E444, "NA")</f>
        <v>1.499994497583961E-2</v>
      </c>
      <c r="G170" s="2"/>
      <c r="H170" s="14">
        <f t="shared" si="40"/>
        <v>-2562.41</v>
      </c>
      <c r="I170" s="15">
        <f>IFERROR(H170/H444, "NA")</f>
        <v>-6.0424165421590383E-2</v>
      </c>
      <c r="J170" s="2"/>
      <c r="K170" s="14">
        <f>IFERROR(K151+K153+K154+K155+K156+K157+K160+K161+K162+K163+K164+K165+K167+K168+K169, "NA")</f>
        <v>1976.7200000000005</v>
      </c>
      <c r="L170" s="15">
        <f>IFERROR(K170/K444, "NA")</f>
        <v>2.6246082114472501E-2</v>
      </c>
      <c r="M170" s="2"/>
      <c r="N170" s="14">
        <f t="shared" si="41"/>
        <v>-1839.6799999999996</v>
      </c>
      <c r="O170" s="15">
        <f>IFERROR(N170/N444, "NA")</f>
        <v>-3.6291456885943332E-2</v>
      </c>
      <c r="P170" s="2"/>
      <c r="Q170" s="14">
        <f>IFERROR(Q151+Q153+Q154+Q155+Q156+Q157+Q160+Q161+Q162+Q163+Q164+Q165+Q167+Q168+Q169, "NA")</f>
        <v>29308.669999999995</v>
      </c>
      <c r="R170" s="15">
        <f>IFERROR(Q170/Q444, "NA")</f>
        <v>2.9765344500343061E-2</v>
      </c>
      <c r="S170" s="2"/>
      <c r="T170" s="14">
        <f>IFERROR(T151+T153+T154+T155+T156+T157+T160+T161+T162+T163+T164+T165+T167+T168+T169, "NA")</f>
        <v>16020.88</v>
      </c>
      <c r="U170" s="15">
        <f>IFERROR(T170/T444, "NA")</f>
        <v>1.5550695847164352E-2</v>
      </c>
      <c r="V170" s="2"/>
      <c r="W170" s="14">
        <f t="shared" si="42"/>
        <v>-13287.789999999995</v>
      </c>
      <c r="X170" s="15">
        <f>IFERROR(W170/W444, "NA")</f>
        <v>0.29153917476961533</v>
      </c>
      <c r="Y170" s="2"/>
      <c r="Z170" s="14">
        <f>IFERROR(Z151+Z153+Z154+Z155+Z156+Z157+Z160+Z161+Z162+Z163+Z164+Z165+Z167+Z168+Z169, "NA")</f>
        <v>19735.09</v>
      </c>
      <c r="AA170" s="15">
        <f>IFERROR(Z170/Z444, "NA")</f>
        <v>2.1391887400815698E-2</v>
      </c>
      <c r="AB170" s="2"/>
      <c r="AC170" s="14">
        <f t="shared" si="43"/>
        <v>-9573.5799999999945</v>
      </c>
      <c r="AD170" s="15">
        <f>IFERROR(AC170/AC444, "NA")</f>
        <v>-0.15414578412750424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32316.389999999996</v>
      </c>
      <c r="C171" s="15">
        <f>IFERROR(B171/B444, "NA")</f>
        <v>0.25646568896188676</v>
      </c>
      <c r="D171" s="2"/>
      <c r="E171" s="14">
        <f>IFERROR(E127+E129+E130+E131+E132+E133+E134+E135+E136+E137+E138+E139+E140+E143+E144+E145+E146+E147+E151+E153+E154+E155+E156+E157+E160+E161+E162+E163+E164+E165+E167+E168+E169, "NA")</f>
        <v>21317.91</v>
      </c>
      <c r="F171" s="15">
        <f>IFERROR(E171/E444, "NA")</f>
        <v>0.25500002153119322</v>
      </c>
      <c r="G171" s="2"/>
      <c r="H171" s="14">
        <f t="shared" si="40"/>
        <v>-10998.479999999996</v>
      </c>
      <c r="I171" s="15">
        <f>IFERROR(H171/H444, "NA")</f>
        <v>-0.25935505048218405</v>
      </c>
      <c r="J171" s="2"/>
      <c r="K171" s="14">
        <f>IFERROR(K127+K129+K130+K131+K132+K133+K134+K135+K136+K137+K138+K139+K140+K143+K144+K145+K146+K147+K151+K153+K154+K155+K156+K157+K160+K161+K162+K163+K164+K165+K167+K168+K169, "NA")</f>
        <v>19711.350000000002</v>
      </c>
      <c r="L171" s="15">
        <f>IFERROR(K171/K444, "NA")</f>
        <v>0.26171926761863468</v>
      </c>
      <c r="M171" s="2"/>
      <c r="N171" s="14">
        <f t="shared" si="41"/>
        <v>-12605.039999999994</v>
      </c>
      <c r="O171" s="15">
        <f>IFERROR(N171/N444, "NA")</f>
        <v>-0.24866023748999336</v>
      </c>
      <c r="P171" s="2"/>
      <c r="Q171" s="14">
        <f>IFERROR(Q127+Q129+Q130+Q131+Q132+Q133+Q134+Q135+Q136+Q137+Q138+Q139+Q140+Q143+Q144+Q145+Q146+Q147+Q151+Q153+Q154+Q155+Q156+Q157+Q160+Q161+Q162+Q163+Q164+Q165+Q167+Q168+Q169, "NA")</f>
        <v>276968.82999999996</v>
      </c>
      <c r="R171" s="15">
        <f>IFERROR(Q171/Q444, "NA")</f>
        <v>0.2812844336098142</v>
      </c>
      <c r="S171" s="2"/>
      <c r="T171" s="14">
        <f>IFERROR(T127+T129+T130+T131+T132+T133+T134+T135+T136+T137+T138+T139+T140+T143+T144+T145+T146+T147+T151+T153+T154+T155+T156+T157+T160+T161+T162+T163+T164+T165+T167+T168+T169, "NA")</f>
        <v>272899.39</v>
      </c>
      <c r="U171" s="15">
        <f>IFERROR(T171/T444, "NA")</f>
        <v>0.2648902813557486</v>
      </c>
      <c r="V171" s="2"/>
      <c r="W171" s="14">
        <f t="shared" si="42"/>
        <v>-4069.4399999999441</v>
      </c>
      <c r="X171" s="15">
        <f>IFERROR(W171/W444, "NA")</f>
        <v>8.9285063910134604E-2</v>
      </c>
      <c r="Y171" s="2"/>
      <c r="Z171" s="14">
        <f>IFERROR(Z127+Z129+Z130+Z131+Z132+Z133+Z134+Z135+Z136+Z137+Z138+Z139+Z140+Z143+Z144+Z145+Z146+Z147+Z151+Z153+Z154+Z155+Z156+Z157+Z160+Z161+Z162+Z163+Z164+Z165+Z167+Z168+Z169, "NA")</f>
        <v>260868.26000000004</v>
      </c>
      <c r="AA171" s="15">
        <f>IFERROR(Z171/Z444, "NA")</f>
        <v>0.28276863416213022</v>
      </c>
      <c r="AB171" s="2"/>
      <c r="AC171" s="14">
        <f t="shared" si="43"/>
        <v>-16100.56999999992</v>
      </c>
      <c r="AD171" s="15">
        <f>IFERROR(AC171/AC444, "NA")</f>
        <v>-0.25923792223491737</v>
      </c>
    </row>
    <row r="172" spans="1:30" ht="16.5" customHeight="1" x14ac:dyDescent="0.45">
      <c r="A172" s="22" t="s">
        <v>160</v>
      </c>
      <c r="B172" s="23">
        <f>IFERROR(B124-B171, "NA")</f>
        <v>93690.290000000008</v>
      </c>
      <c r="C172" s="24">
        <f>IFERROR(B172/B444, "NA")</f>
        <v>0.74353431103811329</v>
      </c>
      <c r="D172" s="25"/>
      <c r="E172" s="23">
        <f>IFERROR(E124-E171, "NA")</f>
        <v>62281.729999999981</v>
      </c>
      <c r="F172" s="24">
        <f>IFERROR(E172/E444, "NA")</f>
        <v>0.74499997846880661</v>
      </c>
      <c r="G172" s="25"/>
      <c r="H172" s="23">
        <f>IFERROR(B172-E172, "NA")</f>
        <v>31408.560000000027</v>
      </c>
      <c r="I172" s="24">
        <f>IFERROR(H172/H444, "NA")</f>
        <v>0.74064494951781668</v>
      </c>
      <c r="J172" s="25"/>
      <c r="K172" s="23">
        <f>IFERROR(K124-K171, "NA")</f>
        <v>55603.50999999998</v>
      </c>
      <c r="L172" s="24">
        <f>IFERROR(K172/K444, "NA")</f>
        <v>0.73828073238136516</v>
      </c>
      <c r="M172" s="25"/>
      <c r="N172" s="23">
        <f>IFERROR(B172-K172, "NA")</f>
        <v>38086.780000000028</v>
      </c>
      <c r="O172" s="24">
        <f>IFERROR(N172/N444, "NA")</f>
        <v>0.75133976251000723</v>
      </c>
      <c r="P172" s="25"/>
      <c r="Q172" s="23">
        <f>IFERROR(Q124-Q171, "NA")</f>
        <v>707688.6799999997</v>
      </c>
      <c r="R172" s="24">
        <f>IFERROR(Q172/Q444, "NA")</f>
        <v>0.71871556639018541</v>
      </c>
      <c r="S172" s="25"/>
      <c r="T172" s="23">
        <f>IFERROR(T124-T171, "NA")</f>
        <v>757336.17999999982</v>
      </c>
      <c r="U172" s="24">
        <f>IFERROR(T172/T444, "NA")</f>
        <v>0.73510971864425134</v>
      </c>
      <c r="V172" s="25"/>
      <c r="W172" s="23">
        <f>IFERROR(Q172-T172, "NA")</f>
        <v>-49647.500000000116</v>
      </c>
      <c r="X172" s="24">
        <f>IFERROR(W172/W444, "NA")</f>
        <v>1.0892850639101397</v>
      </c>
      <c r="Y172" s="25"/>
      <c r="Z172" s="23">
        <f>IFERROR(Z124-Z171, "NA")</f>
        <v>661681.93999999994</v>
      </c>
      <c r="AA172" s="24">
        <f>IFERROR(Z172/Z444, "NA")</f>
        <v>0.71723136583786984</v>
      </c>
      <c r="AB172" s="25"/>
      <c r="AC172" s="23">
        <f>IFERROR(Q172-Z172, "NA")</f>
        <v>46006.739999999758</v>
      </c>
      <c r="AD172" s="24">
        <f>IFERROR(AC172/AC444, "NA")</f>
        <v>0.74076207776507652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5076.92</v>
      </c>
      <c r="C178" s="8">
        <f>IFERROR(B178/B444, "NA")</f>
        <v>4.0290879816847806E-2</v>
      </c>
      <c r="D178" s="9"/>
      <c r="E178" s="7">
        <v>5000</v>
      </c>
      <c r="F178" s="8">
        <f>IFERROR(E178/E444, "NA")</f>
        <v>5.9808869990349241E-2</v>
      </c>
      <c r="G178" s="9"/>
      <c r="H178" s="10">
        <f t="shared" si="44"/>
        <v>-76.920000000000073</v>
      </c>
      <c r="I178" s="8">
        <f>IFERROR(H178/H444, "NA")</f>
        <v>-1.8138497758862699E-3</v>
      </c>
      <c r="J178" s="9"/>
      <c r="K178" s="7">
        <v>5307.68</v>
      </c>
      <c r="L178" s="8">
        <f>IFERROR(K178/K444, "NA")</f>
        <v>7.0473210731587368E-2</v>
      </c>
      <c r="M178" s="9"/>
      <c r="N178" s="10">
        <f t="shared" si="45"/>
        <v>230.76000000000022</v>
      </c>
      <c r="O178" s="8">
        <f>IFERROR(N178/N444, "NA")</f>
        <v>4.5522137496740158E-3</v>
      </c>
      <c r="P178" s="9"/>
      <c r="Q178" s="7">
        <v>56378.93</v>
      </c>
      <c r="R178" s="8">
        <f>IFERROR(Q178/Q444, "NA")</f>
        <v>5.7257401103861988E-2</v>
      </c>
      <c r="S178" s="9"/>
      <c r="T178" s="7">
        <v>58750</v>
      </c>
      <c r="U178" s="8">
        <f>IFERROR(T178/T444, "NA")</f>
        <v>5.7025792654392629E-2</v>
      </c>
      <c r="V178" s="9"/>
      <c r="W178" s="10">
        <f t="shared" si="46"/>
        <v>2371.0699999999997</v>
      </c>
      <c r="X178" s="8">
        <f>IFERROR(W178/W444, "NA")</f>
        <v>-5.2022179092308947E-2</v>
      </c>
      <c r="Y178" s="9"/>
      <c r="Z178" s="7">
        <v>62365.24</v>
      </c>
      <c r="AA178" s="8">
        <f>IFERROR(Z178/Z444, "NA")</f>
        <v>6.7600917543565647E-2</v>
      </c>
      <c r="AB178" s="9"/>
      <c r="AC178" s="10">
        <f t="shared" si="47"/>
        <v>5986.3099999999977</v>
      </c>
      <c r="AD178" s="8">
        <f>IFERROR(AC178/AC444, "NA")</f>
        <v>9.638656061581144E-2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20550.669999999998</v>
      </c>
      <c r="C180" s="8">
        <f>IFERROR(B180/B444, "NA")</f>
        <v>0.16309190909561302</v>
      </c>
      <c r="D180" s="9"/>
      <c r="E180" s="7">
        <v>18224.72</v>
      </c>
      <c r="F180" s="8">
        <f>IFERROR(E180/E444, "NA")</f>
        <v>0.21799998181810354</v>
      </c>
      <c r="G180" s="9"/>
      <c r="H180" s="10">
        <f t="shared" si="44"/>
        <v>-2325.9499999999971</v>
      </c>
      <c r="I180" s="8">
        <f>IFERROR(H180/H444, "NA")</f>
        <v>-5.4848204449072548E-2</v>
      </c>
      <c r="J180" s="9"/>
      <c r="K180" s="7">
        <v>16844.98</v>
      </c>
      <c r="L180" s="8">
        <f>IFERROR(K180/K444, "NA")</f>
        <v>0.22366077557602843</v>
      </c>
      <c r="M180" s="9"/>
      <c r="N180" s="10">
        <f t="shared" si="45"/>
        <v>-3705.6899999999987</v>
      </c>
      <c r="O180" s="8">
        <f>IFERROR(N180/N444, "NA")</f>
        <v>-7.3102326963206274E-2</v>
      </c>
      <c r="P180" s="9"/>
      <c r="Q180" s="7">
        <v>204974.86</v>
      </c>
      <c r="R180" s="8">
        <f>IFERROR(Q180/Q444, "NA")</f>
        <v>0.20816868598300742</v>
      </c>
      <c r="S180" s="9"/>
      <c r="T180" s="7">
        <v>197580.46</v>
      </c>
      <c r="U180" s="8">
        <f>IFERROR(T180/T444, "NA")</f>
        <v>0.19178182714075773</v>
      </c>
      <c r="V180" s="9"/>
      <c r="W180" s="10">
        <f t="shared" si="46"/>
        <v>-7394.3999999999942</v>
      </c>
      <c r="X180" s="8">
        <f>IFERROR(W180/W444, "NA")</f>
        <v>0.16223595300019361</v>
      </c>
      <c r="Y180" s="9"/>
      <c r="Z180" s="7">
        <v>183910.59</v>
      </c>
      <c r="AA180" s="8">
        <f>IFERROR(Z180/Z444, "NA")</f>
        <v>0.19935022506092351</v>
      </c>
      <c r="AB180" s="9"/>
      <c r="AC180" s="10">
        <f t="shared" si="47"/>
        <v>-21064.26999999999</v>
      </c>
      <c r="AD180" s="8">
        <f>IFERROR(AC180/AC444, "NA")</f>
        <v>-0.33915927126774564</v>
      </c>
    </row>
    <row r="181" spans="1:30" ht="16.5" customHeight="1" x14ac:dyDescent="0.45">
      <c r="A181" s="12" t="s">
        <v>166</v>
      </c>
      <c r="B181" s="7">
        <v>1063.4100000000001</v>
      </c>
      <c r="C181" s="8">
        <f>IFERROR(B181/B444, "NA")</f>
        <v>8.4393144871367145E-3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-1063.4100000000001</v>
      </c>
      <c r="I181" s="8">
        <f>IFERROR(H181/H444, "NA")</f>
        <v>-2.5076260922714724E-2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-1063.4100000000001</v>
      </c>
      <c r="O181" s="8">
        <f>IFERROR(N181/N444, "NA")</f>
        <v>-2.0977940819643093E-2</v>
      </c>
      <c r="P181" s="9"/>
      <c r="Q181" s="7">
        <v>3018.98</v>
      </c>
      <c r="R181" s="8">
        <f>IFERROR(Q181/Q444, "NA")</f>
        <v>3.0660203871293278E-3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-3018.98</v>
      </c>
      <c r="X181" s="8">
        <f>IFERROR(W181/W444, "NA")</f>
        <v>6.6237571322693506E-2</v>
      </c>
      <c r="Y181" s="9"/>
      <c r="Z181" s="7">
        <v>376.78</v>
      </c>
      <c r="AA181" s="8">
        <f>IFERROR(Z181/Z444, "NA")</f>
        <v>4.0841137967343133E-4</v>
      </c>
      <c r="AB181" s="9"/>
      <c r="AC181" s="10">
        <f t="shared" si="47"/>
        <v>-2642.2</v>
      </c>
      <c r="AD181" s="8">
        <f>IFERROR(AC181/AC444, "NA")</f>
        <v>-4.254249620535807E-2</v>
      </c>
    </row>
    <row r="182" spans="1:30" ht="16.5" customHeight="1" x14ac:dyDescent="0.45">
      <c r="A182" s="13" t="s">
        <v>167</v>
      </c>
      <c r="B182" s="14">
        <f>IFERROR(B177+B178+B179+B180+B181, "NA")</f>
        <v>26690.999999999996</v>
      </c>
      <c r="C182" s="15">
        <f>IFERROR(B182/B444, "NA")</f>
        <v>0.21182210339959753</v>
      </c>
      <c r="D182" s="2"/>
      <c r="E182" s="14">
        <f>IFERROR(E177+E178+E179+E180+E181, "NA")</f>
        <v>23224.720000000001</v>
      </c>
      <c r="F182" s="15">
        <f>IFERROR(E182/E444, "NA")</f>
        <v>0.27780885180845277</v>
      </c>
      <c r="G182" s="2"/>
      <c r="H182" s="14">
        <f t="shared" si="44"/>
        <v>-3466.2799999999952</v>
      </c>
      <c r="I182" s="15">
        <f>IFERROR(H182/H444, "NA")</f>
        <v>-8.173831514767349E-2</v>
      </c>
      <c r="J182" s="2"/>
      <c r="K182" s="14">
        <f>IFERROR(K177+K178+K179+K180+K181, "NA")</f>
        <v>22152.66</v>
      </c>
      <c r="L182" s="15">
        <f>IFERROR(K182/K444, "NA")</f>
        <v>0.29413398630761578</v>
      </c>
      <c r="M182" s="2"/>
      <c r="N182" s="14">
        <f t="shared" si="45"/>
        <v>-4538.3399999999965</v>
      </c>
      <c r="O182" s="15">
        <f>IFERROR(N182/N444, "NA")</f>
        <v>-8.9528054033175319E-2</v>
      </c>
      <c r="P182" s="2"/>
      <c r="Q182" s="14">
        <f>IFERROR(Q177+Q178+Q179+Q180+Q181, "NA")</f>
        <v>264372.76999999996</v>
      </c>
      <c r="R182" s="15">
        <f>IFERROR(Q182/Q444, "NA")</f>
        <v>0.26849210747399871</v>
      </c>
      <c r="S182" s="2"/>
      <c r="T182" s="14">
        <f>IFERROR(T177+T178+T179+T180+T181, "NA")</f>
        <v>256330.46</v>
      </c>
      <c r="U182" s="15">
        <f>IFERROR(T182/T444, "NA")</f>
        <v>0.24880761979515034</v>
      </c>
      <c r="V182" s="2"/>
      <c r="W182" s="14">
        <f t="shared" si="46"/>
        <v>-8042.3099999999686</v>
      </c>
      <c r="X182" s="15">
        <f>IFERROR(W182/W444, "NA")</f>
        <v>0.17645134523057759</v>
      </c>
      <c r="Y182" s="2"/>
      <c r="Z182" s="14">
        <f>IFERROR(Z177+Z178+Z179+Z180+Z181, "NA")</f>
        <v>246652.61</v>
      </c>
      <c r="AA182" s="15">
        <f>IFERROR(Z182/Z444, "NA")</f>
        <v>0.26735955398416261</v>
      </c>
      <c r="AB182" s="2"/>
      <c r="AC182" s="14">
        <f t="shared" si="47"/>
        <v>-17720.159999999974</v>
      </c>
      <c r="AD182" s="15">
        <f>IFERROR(AC182/AC444, "NA")</f>
        <v>-0.28531520685729195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-100</v>
      </c>
      <c r="C184" s="8">
        <f>IFERROR(B184/B444, "NA")</f>
        <v>-7.9360871979168091E-4</v>
      </c>
      <c r="D184" s="9"/>
      <c r="E184" s="7">
        <v>300</v>
      </c>
      <c r="F184" s="8">
        <f>IFERROR(E184/E444, "NA")</f>
        <v>3.5885321994209543E-3</v>
      </c>
      <c r="G184" s="9"/>
      <c r="H184" s="10">
        <f t="shared" si="44"/>
        <v>400</v>
      </c>
      <c r="I184" s="8">
        <f>IFERROR(H184/H444, "NA")</f>
        <v>9.4323961304538136E-3</v>
      </c>
      <c r="J184" s="9"/>
      <c r="K184" s="7">
        <v>0</v>
      </c>
      <c r="L184" s="8">
        <f>IFERROR(K184/K444, "NA")</f>
        <v>0</v>
      </c>
      <c r="M184" s="9"/>
      <c r="N184" s="10">
        <f t="shared" si="45"/>
        <v>100</v>
      </c>
      <c r="O184" s="8">
        <f>IFERROR(N184/N444, "NA")</f>
        <v>1.9727048663867272E-3</v>
      </c>
      <c r="P184" s="9"/>
      <c r="Q184" s="7">
        <v>1900</v>
      </c>
      <c r="R184" s="8">
        <f>IFERROR(Q184/Q444, "NA")</f>
        <v>1.9296049445659536E-3</v>
      </c>
      <c r="S184" s="9"/>
      <c r="T184" s="7">
        <v>3300</v>
      </c>
      <c r="U184" s="8">
        <f>IFERROR(T184/T444, "NA")</f>
        <v>3.2031509065446073E-3</v>
      </c>
      <c r="V184" s="9"/>
      <c r="W184" s="10">
        <f t="shared" si="46"/>
        <v>1400</v>
      </c>
      <c r="X184" s="8">
        <f>IFERROR(W184/W444, "NA")</f>
        <v>-3.0716533349598511E-2</v>
      </c>
      <c r="Y184" s="9"/>
      <c r="Z184" s="7">
        <v>2550</v>
      </c>
      <c r="AA184" s="8">
        <f>IFERROR(Z184/Z444, "NA")</f>
        <v>2.7640772285345556E-3</v>
      </c>
      <c r="AB184" s="9"/>
      <c r="AC184" s="10">
        <f t="shared" si="47"/>
        <v>650</v>
      </c>
      <c r="AD184" s="8">
        <f>IFERROR(AC184/AC444, "NA")</f>
        <v>1.0465756768406158E-2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2689.06</v>
      </c>
      <c r="C186" s="8">
        <f>IFERROR(B186/B444, "NA")</f>
        <v>2.1340614640430175E-2</v>
      </c>
      <c r="D186" s="9"/>
      <c r="E186" s="7">
        <v>2118.8000000000002</v>
      </c>
      <c r="F186" s="8">
        <f>IFERROR(E186/E444, "NA")</f>
        <v>2.5344606747110397E-2</v>
      </c>
      <c r="G186" s="9"/>
      <c r="H186" s="10">
        <f t="shared" ref="H186:H197" si="48">IFERROR(-(B186-E186), "NA")</f>
        <v>-570.25999999999976</v>
      </c>
      <c r="I186" s="8">
        <f>IFERROR(H186/H444, "NA")</f>
        <v>-1.3447295543381473E-2</v>
      </c>
      <c r="J186" s="9"/>
      <c r="K186" s="7">
        <v>2801.16</v>
      </c>
      <c r="L186" s="8">
        <f>IFERROR(K186/K444, "NA")</f>
        <v>3.7192660253235546E-2</v>
      </c>
      <c r="M186" s="9"/>
      <c r="N186" s="10">
        <f t="shared" ref="N186:N197" si="49">IFERROR(-(B186-K186), "NA")</f>
        <v>112.09999999999991</v>
      </c>
      <c r="O186" s="8">
        <f>IFERROR(N186/N444, "NA")</f>
        <v>2.211402155219519E-3</v>
      </c>
      <c r="P186" s="9"/>
      <c r="Q186" s="7">
        <v>29816.9</v>
      </c>
      <c r="R186" s="8">
        <f>IFERROR(Q186/Q444, "NA")</f>
        <v>3.0281493511383466E-2</v>
      </c>
      <c r="S186" s="9"/>
      <c r="T186" s="7">
        <v>27173.21</v>
      </c>
      <c r="U186" s="8">
        <f>IFERROR(T186/T444, "NA")</f>
        <v>2.6375724922796055E-2</v>
      </c>
      <c r="V186" s="9"/>
      <c r="W186" s="10">
        <f t="shared" ref="W186:W197" si="50">IFERROR(-(Q186-T186), "NA")</f>
        <v>-2643.6900000000023</v>
      </c>
      <c r="X186" s="8">
        <f>IFERROR(W186/W444, "NA")</f>
        <v>5.80035657507144E-2</v>
      </c>
      <c r="Y186" s="9"/>
      <c r="Z186" s="7">
        <v>30827.34</v>
      </c>
      <c r="AA186" s="8">
        <f>IFERROR(Z186/Z444, "NA")</f>
        <v>3.3415352356977429E-2</v>
      </c>
      <c r="AB186" s="9"/>
      <c r="AC186" s="10">
        <f t="shared" ref="AC186:AC197" si="51">IFERROR(-(Q186-Z186), "NA")</f>
        <v>1010.4399999999987</v>
      </c>
      <c r="AD186" s="8">
        <f>IFERROR(AC186/AC444, "NA")</f>
        <v>1.6269260413951235E-2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5.4197592716363844E-8</v>
      </c>
      <c r="AB187" s="9"/>
      <c r="AC187" s="10">
        <f t="shared" si="51"/>
        <v>0.05</v>
      </c>
      <c r="AD187" s="8">
        <f>IFERROR(AC187/AC444, "NA")</f>
        <v>8.0505821295431979E-7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2689.06</v>
      </c>
      <c r="C193" s="15">
        <f>IFERROR(B193/B444, "NA")</f>
        <v>2.1340614640430175E-2</v>
      </c>
      <c r="D193" s="2"/>
      <c r="E193" s="14">
        <f>IFERROR(E186+E187+E188+E189+E190+E191+E192, "NA")</f>
        <v>2118.8000000000002</v>
      </c>
      <c r="F193" s="15">
        <f>IFERROR(E193/E444, "NA")</f>
        <v>2.5344606747110397E-2</v>
      </c>
      <c r="G193" s="2"/>
      <c r="H193" s="14">
        <f t="shared" si="48"/>
        <v>-570.25999999999976</v>
      </c>
      <c r="I193" s="15">
        <f>IFERROR(H193/H444, "NA")</f>
        <v>-1.3447295543381473E-2</v>
      </c>
      <c r="J193" s="2"/>
      <c r="K193" s="14">
        <f>IFERROR(K186+K187+K188+K189+K190+K191+K192, "NA")</f>
        <v>2801.16</v>
      </c>
      <c r="L193" s="15">
        <f>IFERROR(K193/K444, "NA")</f>
        <v>3.7192660253235546E-2</v>
      </c>
      <c r="M193" s="2"/>
      <c r="N193" s="14">
        <f t="shared" si="49"/>
        <v>112.09999999999991</v>
      </c>
      <c r="O193" s="15">
        <f>IFERROR(N193/N444, "NA")</f>
        <v>2.211402155219519E-3</v>
      </c>
      <c r="P193" s="2"/>
      <c r="Q193" s="14">
        <f>IFERROR(Q186+Q187+Q188+Q189+Q190+Q191+Q192, "NA")</f>
        <v>29816.9</v>
      </c>
      <c r="R193" s="15">
        <f>IFERROR(Q193/Q444, "NA")</f>
        <v>3.0281493511383466E-2</v>
      </c>
      <c r="S193" s="2"/>
      <c r="T193" s="14">
        <f>IFERROR(T186+T187+T188+T189+T190+T191+T192, "NA")</f>
        <v>27173.21</v>
      </c>
      <c r="U193" s="15">
        <f>IFERROR(T193/T444, "NA")</f>
        <v>2.6375724922796055E-2</v>
      </c>
      <c r="V193" s="2"/>
      <c r="W193" s="14">
        <f t="shared" si="50"/>
        <v>-2643.6900000000023</v>
      </c>
      <c r="X193" s="15">
        <f>IFERROR(W193/W444, "NA")</f>
        <v>5.80035657507144E-2</v>
      </c>
      <c r="Y193" s="2"/>
      <c r="Z193" s="14">
        <f>IFERROR(Z186+Z187+Z188+Z189+Z190+Z191+Z192, "NA")</f>
        <v>30827.39</v>
      </c>
      <c r="AA193" s="15">
        <f>IFERROR(Z193/Z444, "NA")</f>
        <v>3.3415406554570148E-2</v>
      </c>
      <c r="AB193" s="2"/>
      <c r="AC193" s="14">
        <f t="shared" si="51"/>
        <v>1010.489999999998</v>
      </c>
      <c r="AD193" s="15">
        <f>IFERROR(AC193/AC444, "NA")</f>
        <v>1.627006547216418E-2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2.187185631745873E-3</v>
      </c>
      <c r="D194" s="9"/>
      <c r="E194" s="7">
        <v>188.2</v>
      </c>
      <c r="F194" s="8">
        <f>IFERROR(E194/E444, "NA")</f>
        <v>2.2512058664367453E-3</v>
      </c>
      <c r="G194" s="9"/>
      <c r="H194" s="10">
        <f t="shared" si="48"/>
        <v>-87.400000000000034</v>
      </c>
      <c r="I194" s="8">
        <f>IFERROR(H194/H444, "NA")</f>
        <v>-2.0609785545041589E-3</v>
      </c>
      <c r="J194" s="9"/>
      <c r="K194" s="7">
        <v>224.72</v>
      </c>
      <c r="L194" s="8">
        <f>IFERROR(K194/K444, "NA")</f>
        <v>2.9837405261060033E-3</v>
      </c>
      <c r="M194" s="9"/>
      <c r="N194" s="10">
        <f t="shared" si="49"/>
        <v>-50.880000000000024</v>
      </c>
      <c r="O194" s="8">
        <f>IFERROR(N194/N444, "NA")</f>
        <v>-1.0037122360175672E-3</v>
      </c>
      <c r="P194" s="9"/>
      <c r="Q194" s="7">
        <v>2663.78</v>
      </c>
      <c r="R194" s="8">
        <f>IFERROR(Q194/Q444, "NA")</f>
        <v>2.705285820650472E-3</v>
      </c>
      <c r="S194" s="9"/>
      <c r="T194" s="7">
        <v>2077.0500000000002</v>
      </c>
      <c r="U194" s="8">
        <f>IFERROR(T194/T444, "NA")</f>
        <v>2.0160923001328718E-3</v>
      </c>
      <c r="V194" s="9"/>
      <c r="W194" s="10">
        <f t="shared" si="50"/>
        <v>-586.73</v>
      </c>
      <c r="X194" s="8">
        <f>IFERROR(W194/W444, "NA")</f>
        <v>1.2873079723007096E-2</v>
      </c>
      <c r="Y194" s="9"/>
      <c r="Z194" s="7">
        <v>2320.34</v>
      </c>
      <c r="AA194" s="8">
        <f>IFERROR(Z194/Z444, "NA")</f>
        <v>2.5151368456697537E-3</v>
      </c>
      <c r="AB194" s="9"/>
      <c r="AC194" s="10">
        <f t="shared" si="51"/>
        <v>-343.44000000000005</v>
      </c>
      <c r="AD194" s="8">
        <f>IFERROR(AC194/AC444, "NA")</f>
        <v>-5.5297838531406327E-3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164.67</v>
      </c>
      <c r="F195" s="8">
        <f>IFERROR(E195/E444, "NA")</f>
        <v>1.9697453242621616E-3</v>
      </c>
      <c r="G195" s="9"/>
      <c r="H195" s="10">
        <f t="shared" si="48"/>
        <v>164.67</v>
      </c>
      <c r="I195" s="8">
        <f>IFERROR(H195/H444, "NA")</f>
        <v>3.8830816770045731E-3</v>
      </c>
      <c r="J195" s="9"/>
      <c r="K195" s="7">
        <v>202.75</v>
      </c>
      <c r="L195" s="8">
        <f>IFERROR(K195/K444, "NA")</f>
        <v>2.6920318247952661E-3</v>
      </c>
      <c r="M195" s="9"/>
      <c r="N195" s="10">
        <f t="shared" si="49"/>
        <v>202.75</v>
      </c>
      <c r="O195" s="8">
        <f>IFERROR(N195/N444, "NA")</f>
        <v>3.9996591165990889E-3</v>
      </c>
      <c r="P195" s="9"/>
      <c r="Q195" s="7">
        <v>0</v>
      </c>
      <c r="R195" s="8">
        <f>IFERROR(Q195/Q444, "NA")</f>
        <v>0</v>
      </c>
      <c r="S195" s="9"/>
      <c r="T195" s="7">
        <v>1817.41</v>
      </c>
      <c r="U195" s="8">
        <f>IFERROR(T195/T444, "NA")</f>
        <v>1.7640722694131014E-3</v>
      </c>
      <c r="V195" s="9"/>
      <c r="W195" s="10">
        <f t="shared" si="50"/>
        <v>1817.41</v>
      </c>
      <c r="X195" s="8">
        <f>IFERROR(W195/W444, "NA")</f>
        <v>-3.9874667767781306E-2</v>
      </c>
      <c r="Y195" s="9"/>
      <c r="Z195" s="7">
        <v>2071.0700000000002</v>
      </c>
      <c r="AA195" s="8">
        <f>IFERROR(Z195/Z444, "NA")</f>
        <v>2.2449401669415933E-3</v>
      </c>
      <c r="AB195" s="9"/>
      <c r="AC195" s="10">
        <f t="shared" si="51"/>
        <v>2071.0700000000002</v>
      </c>
      <c r="AD195" s="8">
        <f>IFERROR(AC195/AC444, "NA")</f>
        <v>3.3346638262066061E-2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29555.659999999996</v>
      </c>
      <c r="C196" s="15">
        <f>IFERROR(B196/B444, "NA")</f>
        <v>0.23455629495198188</v>
      </c>
      <c r="D196" s="2"/>
      <c r="E196" s="14">
        <f>IFERROR(E175+E177+E178+E179+E180+E181+E183+E184+E186+E187+E188+E189+E190+E191+E192+E194+E195, "NA")</f>
        <v>25996.39</v>
      </c>
      <c r="F196" s="15">
        <f>IFERROR(E196/E444, "NA")</f>
        <v>0.31096294194568302</v>
      </c>
      <c r="G196" s="2"/>
      <c r="H196" s="14">
        <f t="shared" si="48"/>
        <v>-3559.2699999999968</v>
      </c>
      <c r="I196" s="15">
        <f>IFERROR(H196/H444, "NA")</f>
        <v>-8.3931111438100781E-2</v>
      </c>
      <c r="J196" s="2"/>
      <c r="K196" s="14">
        <f>IFERROR(K175+K177+K178+K179+K180+K181+K183+K184+K186+K187+K188+K189+K190+K191+K192+K194+K195, "NA")</f>
        <v>25381.29</v>
      </c>
      <c r="L196" s="15">
        <f>IFERROR(K196/K444, "NA")</f>
        <v>0.33700241891175264</v>
      </c>
      <c r="M196" s="2"/>
      <c r="N196" s="14">
        <f t="shared" si="49"/>
        <v>-4174.3699999999953</v>
      </c>
      <c r="O196" s="15">
        <f>IFERROR(N196/N444, "NA")</f>
        <v>-8.2348000130987517E-2</v>
      </c>
      <c r="P196" s="2"/>
      <c r="Q196" s="14">
        <f>IFERROR(Q175+Q177+Q178+Q179+Q180+Q181+Q183+Q184+Q186+Q187+Q188+Q189+Q190+Q191+Q192+Q194+Q195, "NA")</f>
        <v>298753.45</v>
      </c>
      <c r="R196" s="15">
        <f>IFERROR(Q196/Q444, "NA")</f>
        <v>0.30340849175059864</v>
      </c>
      <c r="S196" s="2"/>
      <c r="T196" s="14">
        <f>IFERROR(T175+T177+T178+T179+T180+T181+T183+T184+T186+T187+T188+T189+T190+T191+T192+T194+T195, "NA")</f>
        <v>290698.12999999995</v>
      </c>
      <c r="U196" s="15">
        <f>IFERROR(T196/T444, "NA")</f>
        <v>0.28216666019403697</v>
      </c>
      <c r="V196" s="2"/>
      <c r="W196" s="14">
        <f t="shared" si="50"/>
        <v>-8055.3200000000652</v>
      </c>
      <c r="X196" s="15">
        <f>IFERROR(W196/W444, "NA")</f>
        <v>0.17673678958692135</v>
      </c>
      <c r="Y196" s="2"/>
      <c r="Z196" s="14">
        <f>IFERROR(Z175+Z177+Z178+Z179+Z180+Z181+Z183+Z184+Z186+Z187+Z188+Z189+Z190+Z191+Z192+Z194+Z195, "NA")</f>
        <v>284421.41000000003</v>
      </c>
      <c r="AA196" s="15">
        <f>IFERROR(Z196/Z444, "NA")</f>
        <v>0.3082991147798787</v>
      </c>
      <c r="AB196" s="2"/>
      <c r="AC196" s="14">
        <f t="shared" si="51"/>
        <v>-14332.039999999979</v>
      </c>
      <c r="AD196" s="15">
        <f>IFERROR(AC196/AC444, "NA")</f>
        <v>-0.23076253020779625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29555.659999999996</v>
      </c>
      <c r="C197" s="15">
        <f>IFERROR(B197/B444, "NA")</f>
        <v>0.23455629495198188</v>
      </c>
      <c r="D197" s="2"/>
      <c r="E197" s="14">
        <f>IFERROR(E175+E177+E178+E179+E180+E181+E183+E184+E186+E187+E188+E189+E190+E191+E192+E194+E195, "NA")</f>
        <v>25996.39</v>
      </c>
      <c r="F197" s="15">
        <f>IFERROR(E197/E444, "NA")</f>
        <v>0.31096294194568302</v>
      </c>
      <c r="G197" s="2"/>
      <c r="H197" s="14">
        <f t="shared" si="48"/>
        <v>-3559.2699999999968</v>
      </c>
      <c r="I197" s="15">
        <f>IFERROR(H197/H444, "NA")</f>
        <v>-8.3931111438100781E-2</v>
      </c>
      <c r="J197" s="2"/>
      <c r="K197" s="14">
        <f>IFERROR(K175+K177+K178+K179+K180+K181+K183+K184+K186+K187+K188+K189+K190+K191+K192+K194+K195, "NA")</f>
        <v>25381.29</v>
      </c>
      <c r="L197" s="15">
        <f>IFERROR(K197/K444, "NA")</f>
        <v>0.33700241891175264</v>
      </c>
      <c r="M197" s="2"/>
      <c r="N197" s="14">
        <f t="shared" si="49"/>
        <v>-4174.3699999999953</v>
      </c>
      <c r="O197" s="15">
        <f>IFERROR(N197/N444, "NA")</f>
        <v>-8.2348000130987517E-2</v>
      </c>
      <c r="P197" s="2"/>
      <c r="Q197" s="14">
        <f>IFERROR(Q175+Q177+Q178+Q179+Q180+Q181+Q183+Q184+Q186+Q187+Q188+Q189+Q190+Q191+Q192+Q194+Q195, "NA")</f>
        <v>298753.45</v>
      </c>
      <c r="R197" s="15">
        <f>IFERROR(Q197/Q444, "NA")</f>
        <v>0.30340849175059864</v>
      </c>
      <c r="S197" s="2"/>
      <c r="T197" s="14">
        <f>IFERROR(T175+T177+T178+T179+T180+T181+T183+T184+T186+T187+T188+T189+T190+T191+T192+T194+T195, "NA")</f>
        <v>290698.12999999995</v>
      </c>
      <c r="U197" s="15">
        <f>IFERROR(T197/T444, "NA")</f>
        <v>0.28216666019403697</v>
      </c>
      <c r="V197" s="2"/>
      <c r="W197" s="14">
        <f t="shared" si="50"/>
        <v>-8055.3200000000652</v>
      </c>
      <c r="X197" s="15">
        <f>IFERROR(W197/W444, "NA")</f>
        <v>0.17673678958692135</v>
      </c>
      <c r="Y197" s="2"/>
      <c r="Z197" s="14">
        <f>IFERROR(Z175+Z177+Z178+Z179+Z180+Z181+Z183+Z184+Z186+Z187+Z188+Z189+Z190+Z191+Z192+Z194+Z195, "NA")</f>
        <v>284421.41000000003</v>
      </c>
      <c r="AA197" s="15">
        <f>IFERROR(Z197/Z444, "NA")</f>
        <v>0.3082991147798787</v>
      </c>
      <c r="AB197" s="2"/>
      <c r="AC197" s="14">
        <f t="shared" si="51"/>
        <v>-14332.039999999979</v>
      </c>
      <c r="AD197" s="15">
        <f>IFERROR(AC197/AC444, "NA")</f>
        <v>-0.23076253020779625</v>
      </c>
    </row>
    <row r="198" spans="1:30" ht="16.5" customHeight="1" x14ac:dyDescent="0.45">
      <c r="A198" s="22" t="s">
        <v>181</v>
      </c>
      <c r="B198" s="23">
        <f>IFERROR(B172-B197, "NA")</f>
        <v>64134.630000000012</v>
      </c>
      <c r="C198" s="24">
        <f>IFERROR(B198/B444, "NA")</f>
        <v>0.50897801608613147</v>
      </c>
      <c r="D198" s="25"/>
      <c r="E198" s="23">
        <f>IFERROR(E172-E197, "NA")</f>
        <v>36285.339999999982</v>
      </c>
      <c r="F198" s="24">
        <f>IFERROR(E198/E444, "NA")</f>
        <v>0.43403703652312359</v>
      </c>
      <c r="G198" s="25"/>
      <c r="H198" s="23">
        <f>IFERROR(B198-E198, "NA")</f>
        <v>27849.29000000003</v>
      </c>
      <c r="I198" s="24">
        <f>IFERROR(H198/H444, "NA")</f>
        <v>0.65671383807971584</v>
      </c>
      <c r="J198" s="25"/>
      <c r="K198" s="23">
        <f>IFERROR(K172-K197, "NA")</f>
        <v>30222.219999999979</v>
      </c>
      <c r="L198" s="24">
        <f>IFERROR(K198/K444, "NA")</f>
        <v>0.40127831346961251</v>
      </c>
      <c r="M198" s="25"/>
      <c r="N198" s="23">
        <f>IFERROR(B198-K198, "NA")</f>
        <v>33912.410000000033</v>
      </c>
      <c r="O198" s="24">
        <f>IFERROR(N198/N444, "NA")</f>
        <v>0.66899176237901969</v>
      </c>
      <c r="P198" s="25"/>
      <c r="Q198" s="23">
        <f>IFERROR(Q172-Q197, "NA")</f>
        <v>408935.22999999969</v>
      </c>
      <c r="R198" s="24">
        <f>IFERROR(Q198/Q444, "NA")</f>
        <v>0.41530707463958683</v>
      </c>
      <c r="S198" s="25"/>
      <c r="T198" s="23">
        <f>IFERROR(T172-T197, "NA")</f>
        <v>466638.04999999987</v>
      </c>
      <c r="U198" s="24">
        <f>IFERROR(T198/T444, "NA")</f>
        <v>0.45294305845021438</v>
      </c>
      <c r="V198" s="25"/>
      <c r="W198" s="23">
        <f>IFERROR(Q198-T198, "NA")</f>
        <v>-57702.820000000182</v>
      </c>
      <c r="X198" s="24">
        <f>IFERROR(W198/W444, "NA")</f>
        <v>1.2660218534970611</v>
      </c>
      <c r="Y198" s="25"/>
      <c r="Z198" s="23">
        <f>IFERROR(Z172-Z197, "NA")</f>
        <v>377260.52999999991</v>
      </c>
      <c r="AA198" s="24">
        <f>IFERROR(Z198/Z444, "NA")</f>
        <v>0.40893225105799114</v>
      </c>
      <c r="AB198" s="25"/>
      <c r="AC198" s="23">
        <f>IFERROR(Q198-Z198, "NA")</f>
        <v>31674.699999999779</v>
      </c>
      <c r="AD198" s="24">
        <f>IFERROR(AC198/AC444, "NA")</f>
        <v>0.50999954755728028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1839.19</v>
      </c>
      <c r="F201" s="8">
        <f>IFERROR(E201/E444, "NA")</f>
        <v>2.1999975119510084E-2</v>
      </c>
      <c r="G201" s="9"/>
      <c r="H201" s="10">
        <f t="shared" ref="H201:H209" si="52">IFERROR(-(B201-E201), "NA")</f>
        <v>1839.19</v>
      </c>
      <c r="I201" s="8">
        <f>IFERROR(H201/H444, "NA")</f>
        <v>4.3369921597923369E-2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22892.1</v>
      </c>
      <c r="U201" s="8">
        <f>IFERROR(T201/T444, "NA")</f>
        <v>2.222025783869994E-2</v>
      </c>
      <c r="V201" s="9"/>
      <c r="W201" s="10">
        <f t="shared" ref="W201:W209" si="54">IFERROR(-(Q201-T201), "NA")</f>
        <v>22892.1</v>
      </c>
      <c r="X201" s="8">
        <f>IFERROR(W201/W444, "NA")</f>
        <v>-0.50226139506596001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554.12</v>
      </c>
      <c r="C202" s="8">
        <f>IFERROR(B202/B444, "NA")</f>
        <v>4.3975446381096621E-3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-554.12</v>
      </c>
      <c r="I202" s="8">
        <f>IFERROR(H202/H444, "NA")</f>
        <v>-1.3066698359517667E-2</v>
      </c>
      <c r="J202" s="9"/>
      <c r="K202" s="7">
        <v>492.35</v>
      </c>
      <c r="L202" s="8">
        <f>IFERROR(K202/K444, "NA")</f>
        <v>6.5372225348357552E-3</v>
      </c>
      <c r="M202" s="9"/>
      <c r="N202" s="10">
        <f t="shared" si="53"/>
        <v>-61.769999999999982</v>
      </c>
      <c r="O202" s="8">
        <f>IFERROR(N202/N444, "NA")</f>
        <v>-1.2185397959670809E-3</v>
      </c>
      <c r="P202" s="9"/>
      <c r="Q202" s="7">
        <v>7551.12</v>
      </c>
      <c r="R202" s="8">
        <f>IFERROR(Q202/Q444, "NA")</f>
        <v>7.6687781521109812E-3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-7551.12</v>
      </c>
      <c r="X202" s="8">
        <f>IFERROR(W202/W444, "NA")</f>
        <v>0.16567444950487165</v>
      </c>
      <c r="Y202" s="9"/>
      <c r="Z202" s="7">
        <v>8196.86</v>
      </c>
      <c r="AA202" s="8">
        <f>IFERROR(Z202/Z444, "NA")</f>
        <v>8.8850015966610817E-3</v>
      </c>
      <c r="AB202" s="9"/>
      <c r="AC202" s="10">
        <f t="shared" si="55"/>
        <v>645.74000000000069</v>
      </c>
      <c r="AD202" s="8">
        <f>IFERROR(AC202/AC444, "NA")</f>
        <v>1.039716580866246E-2</v>
      </c>
    </row>
    <row r="203" spans="1:30" ht="16.5" customHeight="1" x14ac:dyDescent="0.45">
      <c r="A203" s="6" t="s">
        <v>185</v>
      </c>
      <c r="B203" s="7">
        <v>518.22</v>
      </c>
      <c r="C203" s="8">
        <f>IFERROR(B203/B444, "NA")</f>
        <v>4.1126391077044491E-3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-518.22</v>
      </c>
      <c r="I203" s="8">
        <f>IFERROR(H203/H444, "NA")</f>
        <v>-1.2220140806809438E-2</v>
      </c>
      <c r="J203" s="9"/>
      <c r="K203" s="7">
        <v>582.9</v>
      </c>
      <c r="L203" s="8">
        <f>IFERROR(K203/K444, "NA")</f>
        <v>7.7395085113349475E-3</v>
      </c>
      <c r="M203" s="9"/>
      <c r="N203" s="10">
        <f t="shared" si="53"/>
        <v>64.67999999999995</v>
      </c>
      <c r="O203" s="8">
        <f>IFERROR(N203/N444, "NA")</f>
        <v>1.2759455075789341E-3</v>
      </c>
      <c r="P203" s="9"/>
      <c r="Q203" s="7">
        <v>9135.7000000000007</v>
      </c>
      <c r="R203" s="8">
        <f>IFERROR(Q203/Q444, "NA")</f>
        <v>9.2780483642479917E-3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-9135.7000000000007</v>
      </c>
      <c r="X203" s="8">
        <f>IFERROR(W203/W444, "NA")</f>
        <v>0.2004407383728051</v>
      </c>
      <c r="Y203" s="9"/>
      <c r="Z203" s="7">
        <v>8530.8700000000008</v>
      </c>
      <c r="AA203" s="8">
        <f>IFERROR(Z203/Z444, "NA")</f>
        <v>9.2470523555249363E-3</v>
      </c>
      <c r="AB203" s="9"/>
      <c r="AC203" s="10">
        <f t="shared" si="55"/>
        <v>-604.82999999999993</v>
      </c>
      <c r="AD203" s="8">
        <f>IFERROR(AC203/AC444, "NA")</f>
        <v>-9.7384671788232242E-3</v>
      </c>
    </row>
    <row r="204" spans="1:30" ht="16.5" customHeight="1" x14ac:dyDescent="0.45">
      <c r="A204" s="6" t="s">
        <v>186</v>
      </c>
      <c r="B204" s="7">
        <v>398.91</v>
      </c>
      <c r="C204" s="8">
        <f>IFERROR(B204/B444, "NA")</f>
        <v>3.1657845441209944E-3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-398.91</v>
      </c>
      <c r="I204" s="8">
        <f>IFERROR(H204/H444, "NA")</f>
        <v>-9.4066928509983268E-3</v>
      </c>
      <c r="J204" s="9"/>
      <c r="K204" s="7">
        <v>242.83</v>
      </c>
      <c r="L204" s="8">
        <f>IFERROR(K204/K444, "NA")</f>
        <v>3.2241977214058424E-3</v>
      </c>
      <c r="M204" s="9"/>
      <c r="N204" s="10">
        <f t="shared" si="53"/>
        <v>-156.08000000000001</v>
      </c>
      <c r="O204" s="8">
        <f>IFERROR(N204/N444, "NA")</f>
        <v>-3.0789977554564036E-3</v>
      </c>
      <c r="P204" s="9"/>
      <c r="Q204" s="7">
        <v>3065</v>
      </c>
      <c r="R204" s="8">
        <f>IFERROR(Q204/Q444, "NA")</f>
        <v>3.1127574500498145E-3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-3065</v>
      </c>
      <c r="X204" s="8">
        <f>IFERROR(W204/W444, "NA")</f>
        <v>6.7247267654656731E-2</v>
      </c>
      <c r="Y204" s="9"/>
      <c r="Z204" s="7">
        <v>2146.31</v>
      </c>
      <c r="AA204" s="8">
        <f>IFERROR(Z204/Z444, "NA")</f>
        <v>2.3264967044611773E-3</v>
      </c>
      <c r="AB204" s="9"/>
      <c r="AC204" s="10">
        <f t="shared" si="55"/>
        <v>-918.69</v>
      </c>
      <c r="AD204" s="8">
        <f>IFERROR(AC204/AC444, "NA")</f>
        <v>-1.4791978593180082E-2</v>
      </c>
    </row>
    <row r="205" spans="1:30" ht="16.5" customHeight="1" x14ac:dyDescent="0.45">
      <c r="A205" s="6" t="s">
        <v>187</v>
      </c>
      <c r="B205" s="7">
        <v>265.7</v>
      </c>
      <c r="C205" s="8">
        <f>IFERROR(B205/B444, "NA")</f>
        <v>2.1086183684864961E-3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-265.7</v>
      </c>
      <c r="I205" s="8">
        <f>IFERROR(H205/H444, "NA")</f>
        <v>-6.2654691296539448E-3</v>
      </c>
      <c r="J205" s="9"/>
      <c r="K205" s="7">
        <v>284.92</v>
      </c>
      <c r="L205" s="8">
        <f>IFERROR(K205/K444, "NA")</f>
        <v>3.7830515784003319E-3</v>
      </c>
      <c r="M205" s="9"/>
      <c r="N205" s="10">
        <f t="shared" si="53"/>
        <v>19.220000000000027</v>
      </c>
      <c r="O205" s="8">
        <f>IFERROR(N205/N444, "NA")</f>
        <v>3.7915387531952944E-4</v>
      </c>
      <c r="P205" s="9"/>
      <c r="Q205" s="7">
        <v>3845.45</v>
      </c>
      <c r="R205" s="8">
        <f>IFERROR(Q205/Q444, "NA")</f>
        <v>3.9053680705690244E-3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-3845.45</v>
      </c>
      <c r="X205" s="8">
        <f>IFERROR(W205/W444, "NA")</f>
        <v>8.4370637978009699E-2</v>
      </c>
      <c r="Y205" s="9"/>
      <c r="Z205" s="7">
        <v>4627.76</v>
      </c>
      <c r="AA205" s="8">
        <f>IFERROR(Z205/Z444, "NA")</f>
        <v>5.016269033381599E-3</v>
      </c>
      <c r="AB205" s="9"/>
      <c r="AC205" s="10">
        <f t="shared" si="55"/>
        <v>782.3100000000004</v>
      </c>
      <c r="AD205" s="8">
        <f>IFERROR(AC205/AC444, "NA")</f>
        <v>1.2596101811525885E-2</v>
      </c>
    </row>
    <row r="206" spans="1:30" ht="16.5" customHeight="1" x14ac:dyDescent="0.45">
      <c r="A206" s="6" t="s">
        <v>188</v>
      </c>
      <c r="B206" s="7">
        <v>77.17</v>
      </c>
      <c r="C206" s="8">
        <f>IFERROR(B206/B444, "NA")</f>
        <v>6.124278490632402E-4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-77.17</v>
      </c>
      <c r="I206" s="8">
        <f>IFERROR(H206/H444, "NA")</f>
        <v>-1.8197450234678019E-3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-77.17</v>
      </c>
      <c r="O206" s="8">
        <f>IFERROR(N206/N444, "NA")</f>
        <v>-1.5223363453906373E-3</v>
      </c>
      <c r="P206" s="9"/>
      <c r="Q206" s="7">
        <v>602.58000000000004</v>
      </c>
      <c r="R206" s="8">
        <f>IFERROR(Q206/Q444, "NA")</f>
        <v>6.1196913026134335E-4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-602.58000000000004</v>
      </c>
      <c r="X206" s="8">
        <f>IFERROR(W206/W444, "NA")</f>
        <v>1.3220834761286479E-2</v>
      </c>
      <c r="Y206" s="9"/>
      <c r="Z206" s="7">
        <v>649.73</v>
      </c>
      <c r="AA206" s="8">
        <f>IFERROR(Z206/Z444, "NA")</f>
        <v>7.0427603831206152E-4</v>
      </c>
      <c r="AB206" s="9"/>
      <c r="AC206" s="10">
        <f t="shared" si="55"/>
        <v>47.149999999999977</v>
      </c>
      <c r="AD206" s="8">
        <f>IFERROR(AC206/AC444, "NA")</f>
        <v>7.5916989481592315E-4</v>
      </c>
    </row>
    <row r="207" spans="1:30" ht="16.5" customHeight="1" x14ac:dyDescent="0.45">
      <c r="A207" s="6" t="s">
        <v>189</v>
      </c>
      <c r="B207" s="7">
        <v>159.38</v>
      </c>
      <c r="C207" s="8">
        <f>IFERROR(B207/B444, "NA")</f>
        <v>1.2648535776039809E-3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-159.38</v>
      </c>
      <c r="I207" s="8">
        <f>IFERROR(H207/H444, "NA")</f>
        <v>-3.7583382381793217E-3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-159.38</v>
      </c>
      <c r="O207" s="8">
        <f>IFERROR(N207/N444, "NA")</f>
        <v>-3.1440970160471655E-3</v>
      </c>
      <c r="P207" s="9"/>
      <c r="Q207" s="7">
        <v>1007.06</v>
      </c>
      <c r="R207" s="8">
        <f>IFERROR(Q207/Q444, "NA")</f>
        <v>1.0227515555129418E-3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-1007.06</v>
      </c>
      <c r="X207" s="8">
        <f>IFERROR(W207/W444, "NA")</f>
        <v>2.2095280053604768E-2</v>
      </c>
      <c r="Y207" s="9"/>
      <c r="Z207" s="7">
        <v>574.41999999999996</v>
      </c>
      <c r="AA207" s="8">
        <f>IFERROR(Z207/Z444, "NA")</f>
        <v>6.2264362416267433E-4</v>
      </c>
      <c r="AB207" s="9"/>
      <c r="AC207" s="10">
        <f t="shared" si="55"/>
        <v>-432.64</v>
      </c>
      <c r="AD207" s="8">
        <f>IFERROR(AC207/AC444, "NA")</f>
        <v>-6.9660077050511379E-3</v>
      </c>
    </row>
    <row r="208" spans="1:30" ht="16.5" customHeight="1" x14ac:dyDescent="0.45">
      <c r="A208" s="6" t="s">
        <v>190</v>
      </c>
      <c r="B208" s="7">
        <v>678.04</v>
      </c>
      <c r="C208" s="8">
        <f>IFERROR(B208/B444, "NA")</f>
        <v>5.3809845636755135E-3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-678.04</v>
      </c>
      <c r="I208" s="8">
        <f>IFERROR(H208/H444, "NA")</f>
        <v>-1.5988854680732259E-2</v>
      </c>
      <c r="J208" s="9"/>
      <c r="K208" s="7">
        <v>86.48</v>
      </c>
      <c r="L208" s="8">
        <f>IFERROR(K208/K444, "NA")</f>
        <v>1.1482461761198254E-3</v>
      </c>
      <c r="M208" s="9"/>
      <c r="N208" s="10">
        <f t="shared" si="53"/>
        <v>-591.55999999999995</v>
      </c>
      <c r="O208" s="8">
        <f>IFERROR(N208/N444, "NA")</f>
        <v>-1.1669732907597321E-2</v>
      </c>
      <c r="P208" s="9"/>
      <c r="Q208" s="7">
        <v>2540.4299999999998</v>
      </c>
      <c r="R208" s="8">
        <f>IFERROR(Q208/Q444, "NA")</f>
        <v>2.5800138364861502E-3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-2540.4299999999998</v>
      </c>
      <c r="X208" s="8">
        <f>IFERROR(W208/W444, "NA")</f>
        <v>5.5738002012371814E-2</v>
      </c>
      <c r="Y208" s="9"/>
      <c r="Z208" s="7">
        <v>1065.1500000000001</v>
      </c>
      <c r="AA208" s="8">
        <f>IFERROR(Z208/Z444, "NA")</f>
        <v>1.1545713176366989E-3</v>
      </c>
      <c r="AB208" s="9"/>
      <c r="AC208" s="10">
        <f t="shared" si="55"/>
        <v>-1475.2799999999997</v>
      </c>
      <c r="AD208" s="8">
        <f>IFERROR(AC208/AC444, "NA")</f>
        <v>-2.3753725608144975E-2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2651.5400000000004</v>
      </c>
      <c r="C209" s="15">
        <f>IFERROR(B209/B444, "NA")</f>
        <v>2.1042852648764338E-2</v>
      </c>
      <c r="D209" s="2"/>
      <c r="E209" s="14">
        <f>IFERROR(E201+E202+E203+E204+E205+E206+E207+E208, "NA")</f>
        <v>1839.19</v>
      </c>
      <c r="F209" s="15">
        <f>IFERROR(E209/E444, "NA")</f>
        <v>2.1999975119510084E-2</v>
      </c>
      <c r="G209" s="2"/>
      <c r="H209" s="14">
        <f t="shared" si="52"/>
        <v>-812.35000000000036</v>
      </c>
      <c r="I209" s="15">
        <f>IFERROR(H209/H444, "NA")</f>
        <v>-1.9156017491435397E-2</v>
      </c>
      <c r="J209" s="2"/>
      <c r="K209" s="14">
        <f>IFERROR(K201+K202+K203+K204+K205+K206+K207+K208, "NA")</f>
        <v>1689.48</v>
      </c>
      <c r="L209" s="15">
        <f>IFERROR(K209/K444, "NA")</f>
        <v>2.2432226522096702E-2</v>
      </c>
      <c r="M209" s="2"/>
      <c r="N209" s="14">
        <f t="shared" si="53"/>
        <v>-962.0600000000004</v>
      </c>
      <c r="O209" s="15">
        <f>IFERROR(N209/N444, "NA")</f>
        <v>-1.8978604437560154E-2</v>
      </c>
      <c r="P209" s="2"/>
      <c r="Q209" s="14">
        <f>IFERROR(Q201+Q202+Q203+Q204+Q205+Q206+Q207+Q208, "NA")</f>
        <v>27747.340000000004</v>
      </c>
      <c r="R209" s="15">
        <f>IFERROR(Q209/Q444, "NA")</f>
        <v>2.8179686559238252E-2</v>
      </c>
      <c r="S209" s="2"/>
      <c r="T209" s="14">
        <f>IFERROR(T201+T202+T203+T204+T205+T206+T207+T208, "NA")</f>
        <v>22892.1</v>
      </c>
      <c r="U209" s="15">
        <f>IFERROR(T209/T444, "NA")</f>
        <v>2.222025783869994E-2</v>
      </c>
      <c r="V209" s="2"/>
      <c r="W209" s="14">
        <f t="shared" si="54"/>
        <v>-4855.2400000000052</v>
      </c>
      <c r="X209" s="15">
        <f>IFERROR(W209/W444, "NA")</f>
        <v>0.10652581527164631</v>
      </c>
      <c r="Y209" s="2"/>
      <c r="Z209" s="14">
        <f>IFERROR(Z201+Z202+Z203+Z204+Z205+Z206+Z207+Z208, "NA")</f>
        <v>25791.100000000002</v>
      </c>
      <c r="AA209" s="15">
        <f>IFERROR(Z209/Z444, "NA")</f>
        <v>2.795631067014023E-2</v>
      </c>
      <c r="AB209" s="2"/>
      <c r="AC209" s="14">
        <f t="shared" si="55"/>
        <v>-1956.2400000000016</v>
      </c>
      <c r="AD209" s="15">
        <f>IFERROR(AC209/AC444, "NA")</f>
        <v>-3.1497741570195199E-2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4072.25</v>
      </c>
      <c r="F213" s="8">
        <f>IFERROR(E213/E444, "NA")</f>
        <v>4.8711334163639937E-2</v>
      </c>
      <c r="G213" s="9"/>
      <c r="H213" s="10">
        <f t="shared" ref="H213:H227" si="56">IFERROR(-(B213-E213), "NA")</f>
        <v>4072.25</v>
      </c>
      <c r="I213" s="8">
        <f>IFERROR(H213/H444, "NA")</f>
        <v>9.6027687855601354E-2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36003.97</v>
      </c>
      <c r="U213" s="8">
        <f>IFERROR(T213/T444, "NA")</f>
        <v>3.4947317922637833E-2</v>
      </c>
      <c r="V213" s="9"/>
      <c r="W213" s="10">
        <f t="shared" ref="W213:W227" si="58">IFERROR(-(Q213-T213), "NA")</f>
        <v>36003.97</v>
      </c>
      <c r="X213" s="8">
        <f>IFERROR(W213/W444, "NA")</f>
        <v>-0.78994081801638882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646.1</v>
      </c>
      <c r="C214" s="8">
        <f>IFERROR(B214/B444, "NA")</f>
        <v>5.127505938574051E-3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-646.1</v>
      </c>
      <c r="I214" s="8">
        <f>IFERROR(H214/H444, "NA")</f>
        <v>-1.5235677849715521E-2</v>
      </c>
      <c r="J214" s="9"/>
      <c r="K214" s="7">
        <v>2638.08</v>
      </c>
      <c r="L214" s="8">
        <f>IFERROR(K214/K444, "NA")</f>
        <v>3.5027350512236231E-2</v>
      </c>
      <c r="M214" s="9"/>
      <c r="N214" s="10">
        <f t="shared" si="57"/>
        <v>1991.98</v>
      </c>
      <c r="O214" s="8">
        <f>IFERROR(N214/N444, "NA")</f>
        <v>3.9295886397450325E-2</v>
      </c>
      <c r="P214" s="9"/>
      <c r="Q214" s="7">
        <v>10894.44</v>
      </c>
      <c r="R214" s="8">
        <f>IFERROR(Q214/Q444, "NA")</f>
        <v>1.1064192259093216E-2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-10894.44</v>
      </c>
      <c r="X214" s="8">
        <f>IFERROR(W214/W444, "NA")</f>
        <v>0.23902816398942858</v>
      </c>
      <c r="Y214" s="9"/>
      <c r="Z214" s="7">
        <v>9031.0400000000009</v>
      </c>
      <c r="AA214" s="8">
        <f>IFERROR(Z214/Z444, "NA")</f>
        <v>9.7892125545038112E-3</v>
      </c>
      <c r="AB214" s="9"/>
      <c r="AC214" s="10">
        <f t="shared" si="59"/>
        <v>-1863.3999999999996</v>
      </c>
      <c r="AD214" s="8">
        <f>IFERROR(AC214/AC444, "NA")</f>
        <v>-3.0002909480381583E-2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44</v>
      </c>
      <c r="L216" s="8">
        <f>IFERROR(K216/K444, "NA")</f>
        <v>5.842140581553229E-4</v>
      </c>
      <c r="M216" s="9"/>
      <c r="N216" s="10">
        <f t="shared" si="57"/>
        <v>44</v>
      </c>
      <c r="O216" s="8">
        <f>IFERROR(N216/N444, "NA")</f>
        <v>8.679901412101599E-4</v>
      </c>
      <c r="P216" s="9"/>
      <c r="Q216" s="7">
        <v>61.09</v>
      </c>
      <c r="R216" s="8">
        <f>IFERROR(Q216/Q444, "NA")</f>
        <v>6.2041876875544274E-5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1.340337873090695E-3</v>
      </c>
      <c r="Y216" s="9"/>
      <c r="Z216" s="7">
        <v>285.79000000000002</v>
      </c>
      <c r="AA216" s="8">
        <f>IFERROR(Z216/Z444, "NA")</f>
        <v>3.0978260044819245E-4</v>
      </c>
      <c r="AB216" s="9"/>
      <c r="AC216" s="10">
        <f t="shared" si="59"/>
        <v>224.70000000000002</v>
      </c>
      <c r="AD216" s="8">
        <f>IFERROR(AC216/AC444, "NA")</f>
        <v>3.6179316090167134E-3</v>
      </c>
    </row>
    <row r="217" spans="1:30" ht="16.5" customHeight="1" x14ac:dyDescent="0.45">
      <c r="A217" s="12" t="s">
        <v>197</v>
      </c>
      <c r="B217" s="7">
        <v>1833.66</v>
      </c>
      <c r="C217" s="8">
        <f>IFERROR(B217/B444, "NA")</f>
        <v>1.4552085651332137E-2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-1833.66</v>
      </c>
      <c r="I217" s="8">
        <f>IFERROR(H217/H444, "NA")</f>
        <v>-4.3239518721419845E-2</v>
      </c>
      <c r="J217" s="9"/>
      <c r="K217" s="7">
        <v>2366.71</v>
      </c>
      <c r="L217" s="8">
        <f>IFERROR(K217/K444, "NA")</f>
        <v>3.142421030856328E-2</v>
      </c>
      <c r="M217" s="9"/>
      <c r="N217" s="10">
        <f t="shared" si="57"/>
        <v>533.04999999999995</v>
      </c>
      <c r="O217" s="8">
        <f>IFERROR(N217/N444, "NA")</f>
        <v>1.0515503290274448E-2</v>
      </c>
      <c r="P217" s="9"/>
      <c r="Q217" s="7">
        <v>17779.59</v>
      </c>
      <c r="R217" s="8">
        <f>IFERROR(Q217/Q444, "NA")</f>
        <v>1.8056623566502835E-2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-17779.59</v>
      </c>
      <c r="X217" s="8">
        <f>IFERROR(W217/W444, "NA")</f>
        <v>0.39009097798370584</v>
      </c>
      <c r="Y217" s="9"/>
      <c r="Z217" s="7">
        <v>28803.27</v>
      </c>
      <c r="AA217" s="8">
        <f>IFERROR(Z217/Z444, "NA")</f>
        <v>3.1221357927189223E-2</v>
      </c>
      <c r="AB217" s="9"/>
      <c r="AC217" s="10">
        <f t="shared" si="59"/>
        <v>11023.68</v>
      </c>
      <c r="AD217" s="8">
        <f>IFERROR(AC217/AC444, "NA")</f>
        <v>0.17749408241960551</v>
      </c>
    </row>
    <row r="218" spans="1:30" ht="16.5" customHeight="1" x14ac:dyDescent="0.45">
      <c r="A218" s="13" t="s">
        <v>198</v>
      </c>
      <c r="B218" s="14">
        <f>IFERROR(B213+B214+B215+B216+B217, "NA")</f>
        <v>2479.7600000000002</v>
      </c>
      <c r="C218" s="15">
        <f>IFERROR(B218/B444, "NA")</f>
        <v>1.967959158990619E-2</v>
      </c>
      <c r="D218" s="2"/>
      <c r="E218" s="14">
        <f>IFERROR(E213+E214+E215+E216+E217, "NA")</f>
        <v>4072.25</v>
      </c>
      <c r="F218" s="15">
        <f>IFERROR(E218/E444, "NA")</f>
        <v>4.8711334163639937E-2</v>
      </c>
      <c r="G218" s="2"/>
      <c r="H218" s="14">
        <f t="shared" si="56"/>
        <v>1592.4899999999998</v>
      </c>
      <c r="I218" s="15">
        <f>IFERROR(H218/H444, "NA")</f>
        <v>3.7552491284465979E-2</v>
      </c>
      <c r="J218" s="2"/>
      <c r="K218" s="14">
        <f>IFERROR(K213+K214+K215+K216+K217, "NA")</f>
        <v>5048.79</v>
      </c>
      <c r="L218" s="15">
        <f>IFERROR(K218/K444, "NA")</f>
        <v>6.7035774878954832E-2</v>
      </c>
      <c r="M218" s="2"/>
      <c r="N218" s="14">
        <f t="shared" si="57"/>
        <v>2569.0299999999997</v>
      </c>
      <c r="O218" s="15">
        <f>IFERROR(N218/N444, "NA")</f>
        <v>5.0679379828934924E-2</v>
      </c>
      <c r="P218" s="2"/>
      <c r="Q218" s="14">
        <f>IFERROR(Q213+Q214+Q215+Q216+Q217, "NA")</f>
        <v>28735.120000000003</v>
      </c>
      <c r="R218" s="15">
        <f>IFERROR(Q218/Q444, "NA")</f>
        <v>2.9182857702471594E-2</v>
      </c>
      <c r="S218" s="2"/>
      <c r="T218" s="14">
        <f>IFERROR(T213+T214+T215+T216+T217, "NA")</f>
        <v>36003.97</v>
      </c>
      <c r="U218" s="15">
        <f>IFERROR(T218/T444, "NA")</f>
        <v>3.4947317922637833E-2</v>
      </c>
      <c r="V218" s="2"/>
      <c r="W218" s="14">
        <f t="shared" si="58"/>
        <v>7268.8499999999985</v>
      </c>
      <c r="X218" s="15">
        <f>IFERROR(W218/W444, "NA")</f>
        <v>-0.15948133817016363</v>
      </c>
      <c r="Y218" s="2"/>
      <c r="Z218" s="14">
        <f>IFERROR(Z213+Z214+Z215+Z216+Z217, "NA")</f>
        <v>38120.100000000006</v>
      </c>
      <c r="AA218" s="15">
        <f>IFERROR(Z218/Z444, "NA")</f>
        <v>4.1320353082141228E-2</v>
      </c>
      <c r="AB218" s="2"/>
      <c r="AC218" s="14">
        <f t="shared" si="59"/>
        <v>9384.9800000000032</v>
      </c>
      <c r="AD218" s="15">
        <f>IFERROR(AC218/AC444, "NA")</f>
        <v>0.1511091045482407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66.67</v>
      </c>
      <c r="C222" s="8">
        <f>IFERROR(B222/B444, "NA")</f>
        <v>5.2909893348511373E-4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-66.67</v>
      </c>
      <c r="I222" s="8">
        <f>IFERROR(H222/H444, "NA")</f>
        <v>-1.5721446250433894E-3</v>
      </c>
      <c r="J222" s="9"/>
      <c r="K222" s="7">
        <v>62.5</v>
      </c>
      <c r="L222" s="8">
        <f>IFERROR(K222/K444, "NA")</f>
        <v>8.2984951442517457E-4</v>
      </c>
      <c r="M222" s="9"/>
      <c r="N222" s="10">
        <f t="shared" si="57"/>
        <v>-4.1700000000000017</v>
      </c>
      <c r="O222" s="8">
        <f>IFERROR(N222/N444, "NA")</f>
        <v>-8.2261792928326545E-5</v>
      </c>
      <c r="P222" s="9"/>
      <c r="Q222" s="7">
        <v>1734.38</v>
      </c>
      <c r="R222" s="8">
        <f>IFERROR(Q222/Q444, "NA")</f>
        <v>1.7614043282927888E-3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-1734.38</v>
      </c>
      <c r="X222" s="8">
        <f>IFERROR(W222/W444, "NA")</f>
        <v>3.8052957936340476E-2</v>
      </c>
      <c r="Y222" s="9"/>
      <c r="Z222" s="7">
        <v>867.78</v>
      </c>
      <c r="AA222" s="8">
        <f>IFERROR(Z222/Z444, "NA")</f>
        <v>9.4063174014812425E-4</v>
      </c>
      <c r="AB222" s="9"/>
      <c r="AC222" s="10">
        <f t="shared" si="59"/>
        <v>-866.60000000000014</v>
      </c>
      <c r="AD222" s="8">
        <f>IFERROR(AC222/AC444, "NA")</f>
        <v>-1.3953268946924273E-2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83.6</v>
      </c>
      <c r="F226" s="8">
        <f>IFERROR(E226/E444, "NA")</f>
        <v>1.0000043062386393E-3</v>
      </c>
      <c r="G226" s="9"/>
      <c r="H226" s="10">
        <f t="shared" si="56"/>
        <v>83.6</v>
      </c>
      <c r="I226" s="8">
        <f>IFERROR(H226/H444, "NA")</f>
        <v>1.9713707912648467E-3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1030.24</v>
      </c>
      <c r="U226" s="8">
        <f>IFERROR(T226/T444, "NA")</f>
        <v>1.0000042999874291E-3</v>
      </c>
      <c r="V226" s="9"/>
      <c r="W226" s="10">
        <f t="shared" si="58"/>
        <v>1030.24</v>
      </c>
      <c r="X226" s="8">
        <f>IFERROR(W226/W444, "NA")</f>
        <v>-2.2603858084350264E-2</v>
      </c>
      <c r="Y226" s="9"/>
      <c r="Z226" s="7">
        <v>1554.17</v>
      </c>
      <c r="AA226" s="8">
        <f>IFERROR(Z226/Z444, "NA")</f>
        <v>1.6846454534398239E-3</v>
      </c>
      <c r="AB226" s="9"/>
      <c r="AC226" s="10">
        <f t="shared" si="59"/>
        <v>1554.17</v>
      </c>
      <c r="AD226" s="8">
        <f>IFERROR(AC226/AC444, "NA")</f>
        <v>2.5023946456544304E-2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2546.4300000000003</v>
      </c>
      <c r="C227" s="15">
        <f>IFERROR(B227/B444, "NA")</f>
        <v>2.0208690523391304E-2</v>
      </c>
      <c r="D227" s="2"/>
      <c r="E227" s="14">
        <f>IFERROR(E211+E213+E214+E215+E216+E217+E219+E220+E221+E222+E223+E224+E225+E226, "NA")</f>
        <v>4155.8500000000004</v>
      </c>
      <c r="F227" s="15">
        <f>IFERROR(E227/E444, "NA")</f>
        <v>4.9711338469878581E-2</v>
      </c>
      <c r="G227" s="2"/>
      <c r="H227" s="14">
        <f t="shared" si="56"/>
        <v>1609.42</v>
      </c>
      <c r="I227" s="15">
        <f>IFERROR(H227/H444, "NA")</f>
        <v>3.7951717450687442E-2</v>
      </c>
      <c r="J227" s="2"/>
      <c r="K227" s="14">
        <f>IFERROR(K211+K213+K214+K215+K216+K217+K219+K220+K221+K222+K223+K224+K225+K226, "NA")</f>
        <v>5111.29</v>
      </c>
      <c r="L227" s="15">
        <f>IFERROR(K227/K444, "NA")</f>
        <v>6.7865624393380009E-2</v>
      </c>
      <c r="M227" s="2"/>
      <c r="N227" s="14">
        <f t="shared" si="57"/>
        <v>2564.8599999999997</v>
      </c>
      <c r="O227" s="15">
        <f>IFERROR(N227/N444, "NA")</f>
        <v>5.0597118036006597E-2</v>
      </c>
      <c r="P227" s="2"/>
      <c r="Q227" s="14">
        <f>IFERROR(Q211+Q213+Q214+Q215+Q216+Q217+Q219+Q220+Q221+Q222+Q223+Q224+Q225+Q226, "NA")</f>
        <v>30469.500000000004</v>
      </c>
      <c r="R227" s="15">
        <f>IFERROR(Q227/Q444, "NA")</f>
        <v>3.0944262030764384E-2</v>
      </c>
      <c r="S227" s="2"/>
      <c r="T227" s="14">
        <f>IFERROR(T211+T213+T214+T215+T216+T217+T219+T220+T221+T222+T223+T224+T225+T226, "NA")</f>
        <v>37034.21</v>
      </c>
      <c r="U227" s="15">
        <f>IFERROR(T227/T444, "NA")</f>
        <v>3.5947322222625262E-2</v>
      </c>
      <c r="V227" s="2"/>
      <c r="W227" s="14">
        <f t="shared" si="58"/>
        <v>6564.7099999999955</v>
      </c>
      <c r="X227" s="15">
        <f>IFERROR(W227/W444, "NA")</f>
        <v>-0.14403223831817336</v>
      </c>
      <c r="Y227" s="2"/>
      <c r="Z227" s="14">
        <f>IFERROR(Z211+Z213+Z214+Z215+Z216+Z217+Z219+Z220+Z221+Z222+Z223+Z224+Z225+Z226, "NA")</f>
        <v>40542.050000000003</v>
      </c>
      <c r="AA227" s="15">
        <f>IFERROR(Z227/Z444, "NA")</f>
        <v>4.3945630275729175E-2</v>
      </c>
      <c r="AB227" s="2"/>
      <c r="AC227" s="14">
        <f t="shared" si="59"/>
        <v>10072.549999999999</v>
      </c>
      <c r="AD227" s="15">
        <f>IFERROR(AC227/AC444, "NA")</f>
        <v>0.16217978205786066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684.68</v>
      </c>
      <c r="F229" s="8">
        <f>IFERROR(E229/E444, "NA")</f>
        <v>8.1899874209984628E-3</v>
      </c>
      <c r="G229" s="9"/>
      <c r="H229" s="10">
        <f t="shared" ref="H229:H236" si="60">IFERROR(-(B229-E229), "NA")</f>
        <v>684.68</v>
      </c>
      <c r="I229" s="8">
        <f>IFERROR(H229/H444, "NA")</f>
        <v>1.6145432456497789E-2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8437.64</v>
      </c>
      <c r="U229" s="8">
        <f>IFERROR(T229/T444, "NA")</f>
        <v>8.190010368211223E-3</v>
      </c>
      <c r="V229" s="9"/>
      <c r="W229" s="10">
        <f t="shared" ref="W229:W236" si="62">IFERROR(-(Q229-T229), "NA")</f>
        <v>8437.64</v>
      </c>
      <c r="X229" s="8">
        <f>IFERROR(W229/W444, "NA")</f>
        <v>-0.18512503603707597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8.5258071103322004E-5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1.8418949819277108E-3</v>
      </c>
      <c r="Y230" s="9"/>
      <c r="Z230" s="7">
        <v>730</v>
      </c>
      <c r="AA230" s="8">
        <f>IFERROR(Z230/Z444, "NA")</f>
        <v>7.9128485365891207E-4</v>
      </c>
      <c r="AB230" s="9"/>
      <c r="AC230" s="10">
        <f t="shared" si="63"/>
        <v>646.04999999999995</v>
      </c>
      <c r="AD230" s="8">
        <f>IFERROR(AC230/AC444, "NA")</f>
        <v>1.0402157169582765E-2</v>
      </c>
    </row>
    <row r="231" spans="1:30" ht="16.5" customHeight="1" x14ac:dyDescent="0.45">
      <c r="A231" s="6" t="s">
        <v>210</v>
      </c>
      <c r="B231" s="7">
        <v>63</v>
      </c>
      <c r="C231" s="8">
        <f>IFERROR(B231/B444, "NA")</f>
        <v>4.9997349346875904E-4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-63</v>
      </c>
      <c r="I231" s="8">
        <f>IFERROR(H231/H444, "NA")</f>
        <v>-1.4856023905464755E-3</v>
      </c>
      <c r="J231" s="9"/>
      <c r="K231" s="7">
        <v>144.94999999999999</v>
      </c>
      <c r="L231" s="8">
        <f>IFERROR(K231/K444, "NA")</f>
        <v>1.9245869938548646E-3</v>
      </c>
      <c r="M231" s="9"/>
      <c r="N231" s="10">
        <f t="shared" si="61"/>
        <v>81.949999999999989</v>
      </c>
      <c r="O231" s="8">
        <f>IFERROR(N231/N444, "NA")</f>
        <v>1.6166316380039226E-3</v>
      </c>
      <c r="P231" s="9"/>
      <c r="Q231" s="7">
        <v>1035.05</v>
      </c>
      <c r="R231" s="8">
        <f>IFERROR(Q231/Q444, "NA")</f>
        <v>1.0511776830910474E-3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-1035.05</v>
      </c>
      <c r="X231" s="8">
        <f>IFERROR(W231/W444, "NA")</f>
        <v>2.2709391316787099E-2</v>
      </c>
      <c r="Y231" s="9"/>
      <c r="Z231" s="7">
        <v>2318.2800000000002</v>
      </c>
      <c r="AA231" s="8">
        <f>IFERROR(Z231/Z444, "NA")</f>
        <v>2.5129039048498395E-3</v>
      </c>
      <c r="AB231" s="9"/>
      <c r="AC231" s="10">
        <f t="shared" si="63"/>
        <v>1283.2300000000002</v>
      </c>
      <c r="AD231" s="8">
        <f>IFERROR(AC231/AC444, "NA")</f>
        <v>2.0661497012187439E-2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4.25</v>
      </c>
      <c r="L233" s="8">
        <f>IFERROR(K233/K444, "NA")</f>
        <v>5.6429766980911865E-5</v>
      </c>
      <c r="M233" s="9"/>
      <c r="N233" s="10">
        <f t="shared" si="61"/>
        <v>4.25</v>
      </c>
      <c r="O233" s="8">
        <f>IFERROR(N233/N444, "NA")</f>
        <v>8.3839956821435893E-5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25.5</v>
      </c>
      <c r="AA233" s="8">
        <f>IFERROR(Z233/Z444, "NA")</f>
        <v>2.7640772285345557E-5</v>
      </c>
      <c r="AB233" s="9"/>
      <c r="AC233" s="10">
        <f t="shared" si="63"/>
        <v>25.5</v>
      </c>
      <c r="AD233" s="8">
        <f>IFERROR(AC233/AC444, "NA")</f>
        <v>4.1057968860670307E-4</v>
      </c>
    </row>
    <row r="234" spans="1:30" ht="16.5" customHeight="1" x14ac:dyDescent="0.45">
      <c r="A234" s="6" t="s">
        <v>213</v>
      </c>
      <c r="B234" s="7">
        <v>333.93</v>
      </c>
      <c r="C234" s="8">
        <f>IFERROR(B234/B444, "NA")</f>
        <v>2.6500975980003603E-3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-333.93</v>
      </c>
      <c r="I234" s="8">
        <f>IFERROR(H234/H444, "NA")</f>
        <v>-7.8744000996061048E-3</v>
      </c>
      <c r="J234" s="9"/>
      <c r="K234" s="7">
        <v>470.58</v>
      </c>
      <c r="L234" s="8">
        <f>IFERROR(K234/K444, "NA")</f>
        <v>6.2481693519711775E-3</v>
      </c>
      <c r="M234" s="9"/>
      <c r="N234" s="10">
        <f t="shared" si="61"/>
        <v>136.64999999999998</v>
      </c>
      <c r="O234" s="8">
        <f>IFERROR(N234/N444, "NA")</f>
        <v>2.6957011999174619E-3</v>
      </c>
      <c r="P234" s="9"/>
      <c r="Q234" s="7">
        <v>5737.36</v>
      </c>
      <c r="R234" s="8">
        <f>IFERROR(Q234/Q444, "NA")</f>
        <v>5.8267569603973257E-3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-5737.36</v>
      </c>
      <c r="X234" s="8">
        <f>IFERROR(W234/W444, "NA")</f>
        <v>0.12587986412760893</v>
      </c>
      <c r="Y234" s="9"/>
      <c r="Z234" s="7">
        <v>6740.06</v>
      </c>
      <c r="AA234" s="8">
        <f>IFERROR(Z234/Z444, "NA")</f>
        <v>7.3059005352771053E-3</v>
      </c>
      <c r="AB234" s="9"/>
      <c r="AC234" s="10">
        <f t="shared" si="63"/>
        <v>1002.7000000000007</v>
      </c>
      <c r="AD234" s="8">
        <f>IFERROR(AC234/AC444, "NA")</f>
        <v>1.614463740258594E-2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396.93</v>
      </c>
      <c r="C236" s="15">
        <f>IFERROR(B236/B444, "NA")</f>
        <v>3.1500710914691191E-3</v>
      </c>
      <c r="D236" s="2"/>
      <c r="E236" s="14">
        <f>IFERROR(E229+E230+E231+E232+E233+E234+E235, "NA")</f>
        <v>684.68</v>
      </c>
      <c r="F236" s="15">
        <f>IFERROR(E236/E444, "NA")</f>
        <v>8.1899874209984628E-3</v>
      </c>
      <c r="G236" s="2"/>
      <c r="H236" s="14">
        <f t="shared" si="60"/>
        <v>287.74999999999994</v>
      </c>
      <c r="I236" s="15">
        <f>IFERROR(H236/H444, "NA")</f>
        <v>6.7854299663452104E-3</v>
      </c>
      <c r="J236" s="2"/>
      <c r="K236" s="14">
        <f>IFERROR(K229+K230+K231+K232+K233+K234+K235, "NA")</f>
        <v>619.78</v>
      </c>
      <c r="L236" s="15">
        <f>IFERROR(K236/K444, "NA")</f>
        <v>8.2291861128069542E-3</v>
      </c>
      <c r="M236" s="2"/>
      <c r="N236" s="14">
        <f t="shared" si="61"/>
        <v>222.84999999999997</v>
      </c>
      <c r="O236" s="15">
        <f>IFERROR(N236/N444, "NA")</f>
        <v>4.3961727947428204E-3</v>
      </c>
      <c r="P236" s="2"/>
      <c r="Q236" s="14">
        <f>IFERROR(Q229+Q230+Q231+Q232+Q233+Q234+Q235, "NA")</f>
        <v>6856.36</v>
      </c>
      <c r="R236" s="15">
        <f>IFERROR(Q236/Q444, "NA")</f>
        <v>6.9631927145916957E-3</v>
      </c>
      <c r="S236" s="2"/>
      <c r="T236" s="14">
        <f>IFERROR(T229+T230+T231+T232+T233+T234+T235, "NA")</f>
        <v>8437.64</v>
      </c>
      <c r="U236" s="15">
        <f>IFERROR(T236/T444, "NA")</f>
        <v>8.190010368211223E-3</v>
      </c>
      <c r="V236" s="2"/>
      <c r="W236" s="14">
        <f t="shared" si="62"/>
        <v>1581.2799999999997</v>
      </c>
      <c r="X236" s="15">
        <f>IFERROR(W236/W444, "NA")</f>
        <v>-3.4693885610752234E-2</v>
      </c>
      <c r="Y236" s="2"/>
      <c r="Z236" s="14">
        <f>IFERROR(Z229+Z230+Z231+Z232+Z233+Z234+Z235, "NA")</f>
        <v>9813.84</v>
      </c>
      <c r="AA236" s="15">
        <f>IFERROR(Z236/Z444, "NA")</f>
        <v>1.0637730066071202E-2</v>
      </c>
      <c r="AB236" s="2"/>
      <c r="AC236" s="14">
        <f t="shared" si="63"/>
        <v>2957.4800000000005</v>
      </c>
      <c r="AD236" s="15">
        <f>IFERROR(AC236/AC444, "NA")</f>
        <v>4.761887127296284E-2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4184.66</v>
      </c>
      <c r="F240" s="8">
        <f>IFERROR(E240/E444, "NA")</f>
        <v>5.0055957178762968E-2</v>
      </c>
      <c r="G240" s="9"/>
      <c r="H240" s="10">
        <f t="shared" ref="H240:H263" si="64">IFERROR(-(B240-E240), "NA")</f>
        <v>4184.66</v>
      </c>
      <c r="I240" s="8">
        <f>IFERROR(H240/H444, "NA")</f>
        <v>9.8678426978162134E-2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51707.57</v>
      </c>
      <c r="U240" s="8">
        <f>IFERROR(T240/T444, "NA")</f>
        <v>5.0190045369914768E-2</v>
      </c>
      <c r="V240" s="9"/>
      <c r="W240" s="10">
        <f t="shared" ref="W240:W263" si="66">IFERROR(-(Q240-T240), "NA")</f>
        <v>51707.57</v>
      </c>
      <c r="X240" s="8">
        <f>IFERROR(W240/W444, "NA")</f>
        <v>-1.1344837845226425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71.069999999999993</v>
      </c>
      <c r="C241" s="8">
        <f>IFERROR(B241/B444, "NA")</f>
        <v>5.6401771715594757E-4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-71.069999999999993</v>
      </c>
      <c r="I241" s="8">
        <f>IFERROR(H241/H444, "NA")</f>
        <v>-1.6759009824783811E-3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-71.069999999999993</v>
      </c>
      <c r="O241" s="8">
        <f>IFERROR(N241/N444, "NA")</f>
        <v>-1.4020013485410467E-3</v>
      </c>
      <c r="P241" s="9"/>
      <c r="Q241" s="7">
        <v>1418.94</v>
      </c>
      <c r="R241" s="8">
        <f>IFERROR(Q241/Q444, "NA")</f>
        <v>1.4410492842328497E-3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-1418.94</v>
      </c>
      <c r="X241" s="8">
        <f>IFERROR(W241/W444, "NA")</f>
        <v>3.113208416505665E-2</v>
      </c>
      <c r="Y241" s="9"/>
      <c r="Z241" s="7">
        <v>759.99</v>
      </c>
      <c r="AA241" s="8">
        <f>IFERROR(Z241/Z444, "NA")</f>
        <v>8.2379256977018703E-4</v>
      </c>
      <c r="AB241" s="9"/>
      <c r="AC241" s="10">
        <f t="shared" si="67"/>
        <v>-658.95</v>
      </c>
      <c r="AD241" s="8">
        <f>IFERROR(AC241/AC444, "NA")</f>
        <v>-1.0609862188524982E-2</v>
      </c>
    </row>
    <row r="242" spans="1:30" ht="16.5" customHeight="1" x14ac:dyDescent="0.45">
      <c r="A242" s="12" t="s">
        <v>219</v>
      </c>
      <c r="B242" s="7">
        <v>523.26</v>
      </c>
      <c r="C242" s="8">
        <f>IFERROR(B242/B444, "NA")</f>
        <v>4.1526369871819494E-3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-523.26</v>
      </c>
      <c r="I242" s="8">
        <f>IFERROR(H242/H444, "NA")</f>
        <v>-1.2338988998053154E-2</v>
      </c>
      <c r="J242" s="9"/>
      <c r="K242" s="7">
        <v>800.56</v>
      </c>
      <c r="L242" s="8">
        <f>IFERROR(K242/K444, "NA")</f>
        <v>1.0629509236291483E-2</v>
      </c>
      <c r="M242" s="9"/>
      <c r="N242" s="10">
        <f t="shared" si="65"/>
        <v>277.29999999999995</v>
      </c>
      <c r="O242" s="8">
        <f>IFERROR(N242/N444, "NA")</f>
        <v>5.4703105944903935E-3</v>
      </c>
      <c r="P242" s="9"/>
      <c r="Q242" s="7">
        <v>6276.92</v>
      </c>
      <c r="R242" s="8">
        <f>IFERROR(Q242/Q444, "NA")</f>
        <v>6.3747241413920665E-3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-6276.92</v>
      </c>
      <c r="X242" s="8">
        <f>IFERROR(W242/W444, "NA")</f>
        <v>0.13771801608054421</v>
      </c>
      <c r="Y242" s="9"/>
      <c r="Z242" s="7">
        <v>6073.12</v>
      </c>
      <c r="AA242" s="8">
        <f>IFERROR(Z242/Z444, "NA")</f>
        <v>6.582969685552071E-3</v>
      </c>
      <c r="AB242" s="9"/>
      <c r="AC242" s="10">
        <f t="shared" si="67"/>
        <v>-203.80000000000018</v>
      </c>
      <c r="AD242" s="8">
        <f>IFERROR(AC242/AC444, "NA")</f>
        <v>-3.2814172760018104E-3</v>
      </c>
    </row>
    <row r="243" spans="1:30" ht="16.5" customHeight="1" x14ac:dyDescent="0.45">
      <c r="A243" s="12" t="s">
        <v>220</v>
      </c>
      <c r="B243" s="7">
        <v>228.91</v>
      </c>
      <c r="C243" s="8">
        <f>IFERROR(B243/B444, "NA")</f>
        <v>1.8166497204751368E-3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-228.91</v>
      </c>
      <c r="I243" s="8">
        <f>IFERROR(H243/H444, "NA")</f>
        <v>-5.3979244955554553E-3</v>
      </c>
      <c r="J243" s="9"/>
      <c r="K243" s="7">
        <v>297.55</v>
      </c>
      <c r="L243" s="8">
        <f>IFERROR(K243/K444, "NA")</f>
        <v>3.9507475682753713E-3</v>
      </c>
      <c r="M243" s="9"/>
      <c r="N243" s="10">
        <f t="shared" si="65"/>
        <v>68.640000000000015</v>
      </c>
      <c r="O243" s="8">
        <f>IFERROR(N243/N444, "NA")</f>
        <v>1.3540646202878496E-3</v>
      </c>
      <c r="P243" s="9"/>
      <c r="Q243" s="7">
        <v>7308.6</v>
      </c>
      <c r="R243" s="8">
        <f>IFERROR(Q243/Q444, "NA")</f>
        <v>7.4224793146603837E-3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-7308.6</v>
      </c>
      <c r="X243" s="8">
        <f>IFERROR(W243/W444, "NA")</f>
        <v>0.16035346831348263</v>
      </c>
      <c r="Y243" s="9"/>
      <c r="Z243" s="7">
        <v>8080.49</v>
      </c>
      <c r="AA243" s="8">
        <f>IFERROR(Z243/Z444, "NA")</f>
        <v>8.7588621193730159E-3</v>
      </c>
      <c r="AB243" s="9"/>
      <c r="AC243" s="10">
        <f t="shared" si="67"/>
        <v>771.88999999999942</v>
      </c>
      <c r="AD243" s="8">
        <f>IFERROR(AC243/AC444, "NA")</f>
        <v>1.2428327679946189E-2</v>
      </c>
    </row>
    <row r="244" spans="1:30" ht="16.5" customHeight="1" x14ac:dyDescent="0.45">
      <c r="A244" s="12" t="s">
        <v>221</v>
      </c>
      <c r="B244" s="7">
        <v>720.75</v>
      </c>
      <c r="C244" s="8">
        <f>IFERROR(B244/B444, "NA")</f>
        <v>5.7199348478985399E-3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-720.75</v>
      </c>
      <c r="I244" s="8">
        <f>IFERROR(H244/H444, "NA")</f>
        <v>-1.6995998777561465E-2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-720.75</v>
      </c>
      <c r="O244" s="8">
        <f>IFERROR(N244/N444, "NA")</f>
        <v>-1.4218270324482335E-2</v>
      </c>
      <c r="P244" s="9"/>
      <c r="Q244" s="7">
        <v>9585.77</v>
      </c>
      <c r="R244" s="8">
        <f>IFERROR(Q244/Q444, "NA")</f>
        <v>9.7351311523536758E-3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-9585.77</v>
      </c>
      <c r="X244" s="8">
        <f>IFERROR(W244/W444, "NA")</f>
        <v>0.21031544563327209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-9585.77</v>
      </c>
      <c r="AD244" s="8">
        <f>IFERROR(AC244/AC444, "NA")</f>
        <v>-0.15434205731982262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32.39</v>
      </c>
      <c r="C246" s="8">
        <f>IFERROR(B246/B444, "NA")</f>
        <v>2.5704986434052545E-4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-32.39</v>
      </c>
      <c r="I246" s="8">
        <f>IFERROR(H246/H444, "NA")</f>
        <v>-7.637882766634975E-4</v>
      </c>
      <c r="J246" s="9"/>
      <c r="K246" s="7">
        <v>130.12</v>
      </c>
      <c r="L246" s="8">
        <f>IFERROR(K246/K444, "NA")</f>
        <v>1.7276803010720593E-3</v>
      </c>
      <c r="M246" s="9"/>
      <c r="N246" s="10">
        <f t="shared" si="65"/>
        <v>97.73</v>
      </c>
      <c r="O246" s="8">
        <f>IFERROR(N246/N444, "NA")</f>
        <v>1.9279244659197484E-3</v>
      </c>
      <c r="P246" s="9"/>
      <c r="Q246" s="7">
        <v>1474.74</v>
      </c>
      <c r="R246" s="8">
        <f>IFERROR(Q246/Q444, "NA")</f>
        <v>1.4977187347101023E-3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-1474.74</v>
      </c>
      <c r="X246" s="8">
        <f>IFERROR(W246/W444, "NA")</f>
        <v>3.2356357422847794E-2</v>
      </c>
      <c r="Y246" s="9"/>
      <c r="Z246" s="7">
        <v>753.44</v>
      </c>
      <c r="AA246" s="8">
        <f>IFERROR(Z246/Z444, "NA")</f>
        <v>8.1669268512434348E-4</v>
      </c>
      <c r="AB246" s="9"/>
      <c r="AC246" s="10">
        <f t="shared" si="67"/>
        <v>-721.3</v>
      </c>
      <c r="AD246" s="8">
        <f>IFERROR(AC246/AC444, "NA")</f>
        <v>-1.1613769780079016E-2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301.69</v>
      </c>
      <c r="AA247" s="8">
        <f>IFERROR(Z247/Z444, "NA")</f>
        <v>3.270174349319961E-4</v>
      </c>
      <c r="AB247" s="9"/>
      <c r="AC247" s="10">
        <f t="shared" si="67"/>
        <v>301.69</v>
      </c>
      <c r="AD247" s="8">
        <f>IFERROR(AC247/AC444, "NA")</f>
        <v>4.8575602453237747E-3</v>
      </c>
    </row>
    <row r="248" spans="1:30" ht="16.5" customHeight="1" x14ac:dyDescent="0.45">
      <c r="A248" s="12" t="s">
        <v>225</v>
      </c>
      <c r="B248" s="7">
        <v>193.21</v>
      </c>
      <c r="C248" s="8">
        <f>IFERROR(B248/B444, "NA")</f>
        <v>1.5333314075095068E-3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-193.21</v>
      </c>
      <c r="I248" s="8">
        <f>IFERROR(H248/H444, "NA")</f>
        <v>-4.5560831409124534E-3</v>
      </c>
      <c r="J248" s="9"/>
      <c r="K248" s="7">
        <v>184.87</v>
      </c>
      <c r="L248" s="8">
        <f>IFERROR(K248/K444, "NA")</f>
        <v>2.4546284757085124E-3</v>
      </c>
      <c r="M248" s="9"/>
      <c r="N248" s="10">
        <f t="shared" si="65"/>
        <v>-8.3400000000000034</v>
      </c>
      <c r="O248" s="8">
        <f>IFERROR(N248/N444, "NA")</f>
        <v>-1.6452358585665309E-4</v>
      </c>
      <c r="P248" s="9"/>
      <c r="Q248" s="7">
        <v>2230.1799999999998</v>
      </c>
      <c r="R248" s="8">
        <f>IFERROR(Q248/Q444, "NA")</f>
        <v>2.2649296606695253E-3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-2230.1799999999998</v>
      </c>
      <c r="X248" s="8">
        <f>IFERROR(W248/W444, "NA")</f>
        <v>4.893099881829114E-2</v>
      </c>
      <c r="Y248" s="9"/>
      <c r="Z248" s="7">
        <v>2241.98</v>
      </c>
      <c r="AA248" s="8">
        <f>IFERROR(Z248/Z444, "NA")</f>
        <v>2.4301983783646679E-3</v>
      </c>
      <c r="AB248" s="9"/>
      <c r="AC248" s="10">
        <f t="shared" si="67"/>
        <v>11.800000000000182</v>
      </c>
      <c r="AD248" s="8">
        <f>IFERROR(AC248/AC444, "NA")</f>
        <v>1.899937382572224E-4</v>
      </c>
    </row>
    <row r="249" spans="1:30" ht="16.5" customHeight="1" x14ac:dyDescent="0.45">
      <c r="A249" s="12" t="s">
        <v>226</v>
      </c>
      <c r="B249" s="7">
        <v>1738.69</v>
      </c>
      <c r="C249" s="8">
        <f>IFERROR(B249/B444, "NA")</f>
        <v>1.3798395450145978E-2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-1738.69</v>
      </c>
      <c r="I249" s="8">
        <f>IFERROR(H249/H444, "NA")</f>
        <v>-4.1000032070146852E-2</v>
      </c>
      <c r="J249" s="9"/>
      <c r="K249" s="7">
        <v>1668.21</v>
      </c>
      <c r="L249" s="8">
        <f>IFERROR(K249/K444, "NA")</f>
        <v>2.2149812135347526E-2</v>
      </c>
      <c r="M249" s="9"/>
      <c r="N249" s="10">
        <f t="shared" si="65"/>
        <v>-70.480000000000018</v>
      </c>
      <c r="O249" s="8">
        <f>IFERROR(N249/N444, "NA")</f>
        <v>-1.3903623898293656E-3</v>
      </c>
      <c r="P249" s="9"/>
      <c r="Q249" s="7">
        <v>15228.12</v>
      </c>
      <c r="R249" s="8">
        <f>IFERROR(Q249/Q444, "NA")</f>
        <v>1.5465397709707207E-2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-15228.12</v>
      </c>
      <c r="X249" s="8">
        <f>IFERROR(W249/W444, "NA")</f>
        <v>0.33411075416549146</v>
      </c>
      <c r="Y249" s="9"/>
      <c r="Z249" s="7">
        <v>18947.3</v>
      </c>
      <c r="AA249" s="8">
        <f>IFERROR(Z249/Z444, "NA")</f>
        <v>2.0537960969495211E-2</v>
      </c>
      <c r="AB249" s="9"/>
      <c r="AC249" s="10">
        <f t="shared" si="67"/>
        <v>3719.1799999999985</v>
      </c>
      <c r="AD249" s="8">
        <f>IFERROR(AC249/AC444, "NA")</f>
        <v>5.9883128089108915E-2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4.9103019001025638E-6</v>
      </c>
      <c r="AB250" s="9"/>
      <c r="AC250" s="10">
        <f t="shared" si="67"/>
        <v>4.53</v>
      </c>
      <c r="AD250" s="8">
        <f>IFERROR(AC250/AC444, "NA")</f>
        <v>7.2938274093661381E-5</v>
      </c>
    </row>
    <row r="251" spans="1:30" ht="16.5" customHeight="1" x14ac:dyDescent="0.45">
      <c r="A251" s="12" t="s">
        <v>228</v>
      </c>
      <c r="B251" s="7">
        <v>104.85</v>
      </c>
      <c r="C251" s="8">
        <f>IFERROR(B251/B444, "NA")</f>
        <v>8.320987427015774E-4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-104.85</v>
      </c>
      <c r="I251" s="8">
        <f>IFERROR(H251/H444, "NA")</f>
        <v>-2.4724668356952057E-3</v>
      </c>
      <c r="J251" s="9"/>
      <c r="K251" s="7">
        <v>42.79</v>
      </c>
      <c r="L251" s="8">
        <f>IFERROR(K251/K444, "NA")</f>
        <v>5.6814817155605146E-4</v>
      </c>
      <c r="M251" s="9"/>
      <c r="N251" s="10">
        <f t="shared" si="65"/>
        <v>-62.059999999999995</v>
      </c>
      <c r="O251" s="8">
        <f>IFERROR(N251/N444, "NA")</f>
        <v>-1.2242606400796026E-3</v>
      </c>
      <c r="P251" s="9"/>
      <c r="Q251" s="7">
        <v>272.94</v>
      </c>
      <c r="R251" s="8">
        <f>IFERROR(Q251/Q444, "NA")</f>
        <v>2.7719282819464811E-4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-272.94</v>
      </c>
      <c r="X251" s="8">
        <f>IFERROR(W251/W444, "NA")</f>
        <v>5.9884075803138693E-3</v>
      </c>
      <c r="Y251" s="9"/>
      <c r="Z251" s="7">
        <v>305.60000000000002</v>
      </c>
      <c r="AA251" s="8">
        <f>IFERROR(Z251/Z444, "NA")</f>
        <v>3.3125568668241582E-4</v>
      </c>
      <c r="AB251" s="9"/>
      <c r="AC251" s="10">
        <f t="shared" si="67"/>
        <v>32.660000000000025</v>
      </c>
      <c r="AD251" s="8">
        <f>IFERROR(AC251/AC444, "NA")</f>
        <v>5.2586402470176214E-4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153.31</v>
      </c>
      <c r="AA252" s="8">
        <f>IFERROR(Z252/Z444, "NA")</f>
        <v>1.6618065878691482E-4</v>
      </c>
      <c r="AB252" s="9"/>
      <c r="AC252" s="10">
        <f t="shared" si="67"/>
        <v>153.31</v>
      </c>
      <c r="AD252" s="8">
        <f>IFERROR(AC252/AC444, "NA")</f>
        <v>2.4684694925605354E-3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2612.73</v>
      </c>
      <c r="R253" s="8">
        <f>IFERROR(Q253/Q444, "NA")</f>
        <v>2.6534403825346337E-3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-2612.73</v>
      </c>
      <c r="X253" s="8">
        <f>IFERROR(W253/W444, "NA")</f>
        <v>5.732429155606894E-2</v>
      </c>
      <c r="Y253" s="9"/>
      <c r="Z253" s="7">
        <v>3664.95</v>
      </c>
      <c r="AA253" s="8">
        <f>IFERROR(Z253/Z444, "NA")</f>
        <v>3.9726293485167529E-3</v>
      </c>
      <c r="AB253" s="9"/>
      <c r="AC253" s="10">
        <f t="shared" si="67"/>
        <v>1052.2199999999998</v>
      </c>
      <c r="AD253" s="8">
        <f>IFERROR(AC253/AC444, "NA")</f>
        <v>1.6941967056695883E-2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375.15</v>
      </c>
      <c r="L254" s="8">
        <f>IFERROR(K254/K444, "NA")</f>
        <v>4.9810887253856672E-3</v>
      </c>
      <c r="M254" s="9"/>
      <c r="N254" s="10">
        <f t="shared" si="65"/>
        <v>375.15</v>
      </c>
      <c r="O254" s="8">
        <f>IFERROR(N254/N444, "NA")</f>
        <v>7.4006023062498059E-3</v>
      </c>
      <c r="P254" s="9"/>
      <c r="Q254" s="7">
        <v>721.84</v>
      </c>
      <c r="R254" s="8">
        <f>IFERROR(Q254/Q444, "NA")</f>
        <v>7.3308738588709896E-4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1.5837444595052992E-2</v>
      </c>
      <c r="Y254" s="9"/>
      <c r="Z254" s="7">
        <v>654.37</v>
      </c>
      <c r="AA254" s="8">
        <f>IFERROR(Z254/Z444, "NA")</f>
        <v>7.0930557491614011E-4</v>
      </c>
      <c r="AB254" s="9"/>
      <c r="AC254" s="10">
        <f t="shared" si="67"/>
        <v>-67.470000000000027</v>
      </c>
      <c r="AD254" s="8">
        <f>IFERROR(AC254/AC444, "NA")</f>
        <v>-1.0863455525605597E-3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294</v>
      </c>
      <c r="AA257" s="8">
        <f>IFERROR(Z257/Z444, "NA")</f>
        <v>3.1868184517221939E-4</v>
      </c>
      <c r="AB257" s="9"/>
      <c r="AC257" s="10">
        <f t="shared" si="67"/>
        <v>294</v>
      </c>
      <c r="AD257" s="8">
        <f>IFERROR(AC257/AC444, "NA")</f>
        <v>4.7337422921714008E-3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2673.02</v>
      </c>
      <c r="R258" s="8">
        <f>IFERROR(Q258/Q444, "NA")</f>
        <v>2.7146697941703608E-3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-2673.02</v>
      </c>
      <c r="X258" s="8">
        <f>IFERROR(W258/W444, "NA")</f>
        <v>5.8647077124388436E-2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-2673.02</v>
      </c>
      <c r="AD258" s="8">
        <f>IFERROR(AC258/AC444, "NA")</f>
        <v>-4.3038734087823119E-2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customHeight="1" x14ac:dyDescent="0.45">
      <c r="A260" s="12" t="s">
        <v>237</v>
      </c>
      <c r="B260" s="7">
        <v>442.7</v>
      </c>
      <c r="C260" s="8">
        <f>IFERROR(B260/B444, "NA")</f>
        <v>3.5133058025177714E-3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-442.7</v>
      </c>
      <c r="I260" s="8">
        <f>IFERROR(H260/H444, "NA")</f>
        <v>-1.0439304417379757E-2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-442.7</v>
      </c>
      <c r="O260" s="8">
        <f>IFERROR(N260/N444, "NA")</f>
        <v>-8.73316444349404E-3</v>
      </c>
      <c r="P260" s="9"/>
      <c r="Q260" s="7">
        <v>3138.61</v>
      </c>
      <c r="R260" s="8">
        <f>IFERROR(Q260/Q444, "NA")</f>
        <v>3.1875144079284989E-3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-3138.61</v>
      </c>
      <c r="X260" s="8">
        <f>IFERROR(W260/W444, "NA")</f>
        <v>6.8862299097416702E-2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-3138.61</v>
      </c>
      <c r="AD260" s="8">
        <f>IFERROR(AC260/AC444, "NA")</f>
        <v>-5.0535275155211154E-2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4055.8299999999995</v>
      </c>
      <c r="C262" s="15">
        <f>IFERROR(B262/B444, "NA")</f>
        <v>3.2187420539926931E-2</v>
      </c>
      <c r="D262" s="2"/>
      <c r="E262" s="14">
        <f>IFERROR(E240+E241+E242+E243+E244+E245+E246+E247+E248+E249+E250+E251+E252+E253+E254+E255+E256+E257+E258+E259+E260+E261, "NA")</f>
        <v>4184.66</v>
      </c>
      <c r="F262" s="15">
        <f>IFERROR(E262/E444, "NA")</f>
        <v>5.0055957178762968E-2</v>
      </c>
      <c r="G262" s="2"/>
      <c r="H262" s="14">
        <f t="shared" si="64"/>
        <v>128.83000000000038</v>
      </c>
      <c r="I262" s="15">
        <f>IFERROR(H262/H444, "NA")</f>
        <v>3.0379389837159208E-3</v>
      </c>
      <c r="J262" s="2"/>
      <c r="K262" s="14">
        <f>IFERROR(K240+K241+K242+K243+K244+K245+K246+K247+K248+K249+K250+K251+K252+K253+K254+K255+K256+K257+K258+K259+K260+K261, "NA")</f>
        <v>3499.25</v>
      </c>
      <c r="L262" s="15">
        <f>IFERROR(K262/K444, "NA")</f>
        <v>4.6461614613636674E-2</v>
      </c>
      <c r="M262" s="2"/>
      <c r="N262" s="14">
        <f t="shared" si="65"/>
        <v>-556.57999999999947</v>
      </c>
      <c r="O262" s="15">
        <f>IFERROR(N262/N444, "NA")</f>
        <v>-1.0979680745335235E-2</v>
      </c>
      <c r="P262" s="2"/>
      <c r="Q262" s="14">
        <f>IFERROR(Q240+Q241+Q242+Q243+Q244+Q245+Q246+Q247+Q248+Q249+Q250+Q251+Q252+Q253+Q254+Q255+Q256+Q257+Q258+Q259+Q260+Q261, "NA")</f>
        <v>52942.41</v>
      </c>
      <c r="R262" s="15">
        <f>IFERROR(Q262/Q444, "NA")</f>
        <v>5.3767334796441052E-2</v>
      </c>
      <c r="S262" s="2"/>
      <c r="T262" s="14">
        <f>IFERROR(T240+T241+T242+T243+T244+T245+T246+T247+T248+T249+T250+T251+T252+T253+T254+T255+T256+T257+T258+T259+T260+T261, "NA")</f>
        <v>51707.57</v>
      </c>
      <c r="U262" s="15">
        <f>IFERROR(T262/T444, "NA")</f>
        <v>5.0190045369914768E-2</v>
      </c>
      <c r="V262" s="2"/>
      <c r="W262" s="14">
        <f t="shared" si="66"/>
        <v>-1234.8400000000038</v>
      </c>
      <c r="X262" s="15">
        <f>IFERROR(W262/W444, "NA")</f>
        <v>2.7092860029584529E-2</v>
      </c>
      <c r="Y262" s="2"/>
      <c r="Z262" s="14">
        <f>IFERROR(Z240+Z241+Z242+Z243+Z244+Z245+Z246+Z247+Z248+Z249+Z250+Z251+Z252+Z253+Z254+Z255+Z256+Z257+Z258+Z259+Z260+Z261, "NA")</f>
        <v>42234.76999999999</v>
      </c>
      <c r="AA262" s="15">
        <f>IFERROR(Z262/Z444, "NA")</f>
        <v>4.5780457258586031E-2</v>
      </c>
      <c r="AB262" s="2"/>
      <c r="AC262" s="14">
        <f t="shared" si="67"/>
        <v>-10707.640000000014</v>
      </c>
      <c r="AD262" s="15">
        <f>IFERROR(AC262/AC444, "NA")</f>
        <v>-0.17240547046716409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4055.8299999999995</v>
      </c>
      <c r="C263" s="15">
        <f>IFERROR(B263/B444, "NA")</f>
        <v>3.2187420539926931E-2</v>
      </c>
      <c r="D263" s="2"/>
      <c r="E263" s="14">
        <f>IFERROR(E238+E240+E241+E242+E243+E244+E245+E246+E247+E248+E249+E250+E251+E252+E253+E254+E255+E256+E257+E258+E259+E260+E261, "NA")</f>
        <v>4184.66</v>
      </c>
      <c r="F263" s="15">
        <f>IFERROR(E263/E444, "NA")</f>
        <v>5.0055957178762968E-2</v>
      </c>
      <c r="G263" s="2"/>
      <c r="H263" s="14">
        <f t="shared" si="64"/>
        <v>128.83000000000038</v>
      </c>
      <c r="I263" s="15">
        <f>IFERROR(H263/H444, "NA")</f>
        <v>3.0379389837159208E-3</v>
      </c>
      <c r="J263" s="2"/>
      <c r="K263" s="14">
        <f>IFERROR(K238+K240+K241+K242+K243+K244+K245+K246+K247+K248+K249+K250+K251+K252+K253+K254+K255+K256+K257+K258+K259+K260+K261, "NA")</f>
        <v>3499.25</v>
      </c>
      <c r="L263" s="15">
        <f>IFERROR(K263/K444, "NA")</f>
        <v>4.6461614613636674E-2</v>
      </c>
      <c r="M263" s="2"/>
      <c r="N263" s="14">
        <f t="shared" si="65"/>
        <v>-556.57999999999947</v>
      </c>
      <c r="O263" s="15">
        <f>IFERROR(N263/N444, "NA")</f>
        <v>-1.0979680745335235E-2</v>
      </c>
      <c r="P263" s="2"/>
      <c r="Q263" s="14">
        <f>IFERROR(Q238+Q240+Q241+Q242+Q243+Q244+Q245+Q246+Q247+Q248+Q249+Q250+Q251+Q252+Q253+Q254+Q255+Q256+Q257+Q258+Q259+Q260+Q261, "NA")</f>
        <v>52942.41</v>
      </c>
      <c r="R263" s="15">
        <f>IFERROR(Q263/Q444, "NA")</f>
        <v>5.3767334796441052E-2</v>
      </c>
      <c r="S263" s="2"/>
      <c r="T263" s="14">
        <f>IFERROR(T238+T240+T241+T242+T243+T244+T245+T246+T247+T248+T249+T250+T251+T252+T253+T254+T255+T256+T257+T258+T259+T260+T261, "NA")</f>
        <v>51707.57</v>
      </c>
      <c r="U263" s="15">
        <f>IFERROR(T263/T444, "NA")</f>
        <v>5.0190045369914768E-2</v>
      </c>
      <c r="V263" s="2"/>
      <c r="W263" s="14">
        <f t="shared" si="66"/>
        <v>-1234.8400000000038</v>
      </c>
      <c r="X263" s="15">
        <f>IFERROR(W263/W444, "NA")</f>
        <v>2.7092860029584529E-2</v>
      </c>
      <c r="Y263" s="2"/>
      <c r="Z263" s="14">
        <f>IFERROR(Z238+Z240+Z241+Z242+Z243+Z244+Z245+Z246+Z247+Z248+Z249+Z250+Z251+Z252+Z253+Z254+Z255+Z256+Z257+Z258+Z259+Z260+Z261, "NA")</f>
        <v>42234.76999999999</v>
      </c>
      <c r="AA263" s="15">
        <f>IFERROR(Z263/Z444, "NA")</f>
        <v>4.5780457258586031E-2</v>
      </c>
      <c r="AB263" s="2"/>
      <c r="AC263" s="14">
        <f t="shared" si="67"/>
        <v>-10707.640000000014</v>
      </c>
      <c r="AD263" s="15">
        <f>IFERROR(AC263/AC444, "NA")</f>
        <v>-0.17240547046716409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1885.41</v>
      </c>
      <c r="C265" s="8">
        <f>IFERROR(B265/B444, "NA")</f>
        <v>1.4962778163824332E-2</v>
      </c>
      <c r="D265" s="9"/>
      <c r="E265" s="7">
        <v>2340.79</v>
      </c>
      <c r="F265" s="8">
        <f>IFERROR(E265/E444, "NA")</f>
        <v>2.8000000956941919E-2</v>
      </c>
      <c r="G265" s="9"/>
      <c r="H265" s="10">
        <f>IFERROR(-(B265-E265), "NA")</f>
        <v>455.37999999999988</v>
      </c>
      <c r="I265" s="8">
        <f>IFERROR(H265/H444, "NA")</f>
        <v>1.0738311374715141E-2</v>
      </c>
      <c r="J265" s="9"/>
      <c r="K265" s="7">
        <v>1933.48</v>
      </c>
      <c r="L265" s="8">
        <f>IFERROR(K265/K444, "NA")</f>
        <v>2.5671959026412582E-2</v>
      </c>
      <c r="M265" s="9"/>
      <c r="N265" s="10">
        <f>IFERROR(-(B265-K265), "NA")</f>
        <v>48.069999999999936</v>
      </c>
      <c r="O265" s="8">
        <f>IFERROR(N265/N444, "NA")</f>
        <v>9.4827922927209838E-4</v>
      </c>
      <c r="P265" s="9"/>
      <c r="Q265" s="7">
        <v>25201.47</v>
      </c>
      <c r="R265" s="8">
        <f>IFERROR(Q265/Q444, "NA")</f>
        <v>2.5594147959121339E-2</v>
      </c>
      <c r="S265" s="9"/>
      <c r="T265" s="7">
        <v>28960.080000000002</v>
      </c>
      <c r="U265" s="8">
        <f>IFERROR(T265/T444, "NA")</f>
        <v>2.8110153486546774E-2</v>
      </c>
      <c r="V265" s="9"/>
      <c r="W265" s="10">
        <f>IFERROR(-(Q265-T265), "NA")</f>
        <v>3758.6100000000006</v>
      </c>
      <c r="X265" s="8">
        <f>IFERROR(W265/W444, "NA")</f>
        <v>-8.2465335295096046E-2</v>
      </c>
      <c r="Y265" s="9"/>
      <c r="Z265" s="7">
        <v>25228.25</v>
      </c>
      <c r="AA265" s="8">
        <f>IFERROR(Z265/Z444, "NA")</f>
        <v>2.7346208368932121E-2</v>
      </c>
      <c r="AB265" s="9"/>
      <c r="AC265" s="10">
        <f>IFERROR(-(Q265-Z265), "NA")</f>
        <v>26.779999999998836</v>
      </c>
      <c r="AD265" s="8">
        <f>IFERROR(AC265/AC444, "NA")</f>
        <v>4.3118917885831494E-4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441.97</v>
      </c>
      <c r="R266" s="8">
        <f>IFERROR(Q266/Q444, "NA")</f>
        <v>4.4885657755253398E-4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9.6969901746586096E-3</v>
      </c>
      <c r="Y266" s="9"/>
      <c r="Z266" s="7">
        <v>328.93</v>
      </c>
      <c r="AA266" s="8">
        <f>IFERROR(Z266/Z444, "NA")</f>
        <v>3.5654428344387116E-4</v>
      </c>
      <c r="AB266" s="9"/>
      <c r="AC266" s="10">
        <f>IFERROR(-(Q266-Z266), "NA")</f>
        <v>-113.04000000000002</v>
      </c>
      <c r="AD266" s="8">
        <f>IFERROR(AC266/AC444, "NA")</f>
        <v>-1.8200756078471266E-3</v>
      </c>
    </row>
    <row r="267" spans="1:30" ht="16.5" customHeight="1" x14ac:dyDescent="0.45">
      <c r="A267" s="19" t="s">
        <v>243</v>
      </c>
      <c r="B267" s="14">
        <f>IFERROR(B265+B266, "NA")</f>
        <v>1885.41</v>
      </c>
      <c r="C267" s="15">
        <f>IFERROR(B267/B444, "NA")</f>
        <v>1.4962778163824332E-2</v>
      </c>
      <c r="D267" s="2"/>
      <c r="E267" s="14">
        <f>IFERROR(E265+E266, "NA")</f>
        <v>2340.79</v>
      </c>
      <c r="F267" s="15">
        <f>IFERROR(E267/E444, "NA")</f>
        <v>2.8000000956941919E-2</v>
      </c>
      <c r="G267" s="2"/>
      <c r="H267" s="14">
        <f>IFERROR(-(B267-E267), "NA")</f>
        <v>455.37999999999988</v>
      </c>
      <c r="I267" s="15">
        <f>IFERROR(H267/H444, "NA")</f>
        <v>1.0738311374715141E-2</v>
      </c>
      <c r="J267" s="2"/>
      <c r="K267" s="14">
        <f>IFERROR(K265+K266, "NA")</f>
        <v>1933.48</v>
      </c>
      <c r="L267" s="15">
        <f>IFERROR(K267/K444, "NA")</f>
        <v>2.5671959026412582E-2</v>
      </c>
      <c r="M267" s="2"/>
      <c r="N267" s="14">
        <f>IFERROR(-(B267-K267), "NA")</f>
        <v>48.069999999999936</v>
      </c>
      <c r="O267" s="15">
        <f>IFERROR(N267/N444, "NA")</f>
        <v>9.4827922927209838E-4</v>
      </c>
      <c r="P267" s="2"/>
      <c r="Q267" s="14">
        <f>IFERROR(Q265+Q266, "NA")</f>
        <v>25643.440000000002</v>
      </c>
      <c r="R267" s="15">
        <f>IFERROR(Q267/Q444, "NA")</f>
        <v>2.6043004536673877E-2</v>
      </c>
      <c r="S267" s="2"/>
      <c r="T267" s="14">
        <f>IFERROR(T265+T266, "NA")</f>
        <v>28960.080000000002</v>
      </c>
      <c r="U267" s="15">
        <f>IFERROR(T267/T444, "NA")</f>
        <v>2.8110153486546774E-2</v>
      </c>
      <c r="V267" s="2"/>
      <c r="W267" s="14">
        <f>IFERROR(-(Q267-T267), "NA")</f>
        <v>3316.6399999999994</v>
      </c>
      <c r="X267" s="15">
        <f>IFERROR(W267/W444, "NA")</f>
        <v>-7.2768345120437422E-2</v>
      </c>
      <c r="Y267" s="2"/>
      <c r="Z267" s="14">
        <f>IFERROR(Z265+Z266, "NA")</f>
        <v>25557.18</v>
      </c>
      <c r="AA267" s="15">
        <f>IFERROR(Z267/Z444, "NA")</f>
        <v>2.7702752652375991E-2</v>
      </c>
      <c r="AB267" s="2"/>
      <c r="AC267" s="14">
        <f>IFERROR(-(Q267-Z267), "NA")</f>
        <v>-86.260000000002037</v>
      </c>
      <c r="AD267" s="15">
        <f>IFERROR(AC267/AC444, "NA")</f>
        <v>-1.3888864289888253E-3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328</v>
      </c>
      <c r="C270" s="8">
        <f>IFERROR(B270/B444, "NA")</f>
        <v>2.6030366009167135E-3</v>
      </c>
      <c r="D270" s="9"/>
      <c r="E270" s="7">
        <v>141.15</v>
      </c>
      <c r="F270" s="8">
        <f>IFERROR(E270/E444, "NA")</f>
        <v>1.6884043998275592E-3</v>
      </c>
      <c r="G270" s="9"/>
      <c r="H270" s="10">
        <f>IFERROR(-(B270-E270), "NA")</f>
        <v>-186.85</v>
      </c>
      <c r="I270" s="8">
        <f>IFERROR(H270/H444, "NA")</f>
        <v>-4.4061080424382375E-3</v>
      </c>
      <c r="J270" s="9"/>
      <c r="K270" s="7">
        <v>216.67</v>
      </c>
      <c r="L270" s="8">
        <f>IFERROR(K270/K444, "NA")</f>
        <v>2.8768559086480407E-3</v>
      </c>
      <c r="M270" s="9"/>
      <c r="N270" s="10">
        <f>IFERROR(-(B270-K270), "NA")</f>
        <v>-111.33000000000001</v>
      </c>
      <c r="O270" s="8">
        <f>IFERROR(N270/N444, "NA")</f>
        <v>-2.1962123277483436E-3</v>
      </c>
      <c r="P270" s="9"/>
      <c r="Q270" s="7">
        <v>2512.66</v>
      </c>
      <c r="R270" s="8">
        <f>IFERROR(Q270/Q444, "NA")</f>
        <v>2.5518111368489941E-3</v>
      </c>
      <c r="S270" s="9"/>
      <c r="T270" s="7">
        <v>1688.84</v>
      </c>
      <c r="U270" s="8">
        <f>IFERROR(T270/T444, "NA")</f>
        <v>1.6392755687905437E-3</v>
      </c>
      <c r="V270" s="9"/>
      <c r="W270" s="10">
        <f>IFERROR(-(Q270-T270), "NA")</f>
        <v>-823.81999999999994</v>
      </c>
      <c r="X270" s="8">
        <f>IFERROR(W270/W444, "NA")</f>
        <v>1.8074924645761603E-2</v>
      </c>
      <c r="Y270" s="9"/>
      <c r="Z270" s="7">
        <v>2045.92</v>
      </c>
      <c r="AA270" s="8">
        <f>IFERROR(Z270/Z444, "NA")</f>
        <v>2.2176787778052623E-3</v>
      </c>
      <c r="AB270" s="9"/>
      <c r="AC270" s="10">
        <f>IFERROR(-(Q270-Z270), "NA")</f>
        <v>-466.73999999999978</v>
      </c>
      <c r="AD270" s="8">
        <f>IFERROR(AC270/AC444, "NA")</f>
        <v>-7.5150574062859809E-3</v>
      </c>
    </row>
    <row r="271" spans="1:30" ht="16.5" customHeight="1" x14ac:dyDescent="0.45">
      <c r="A271" s="6" t="s">
        <v>246</v>
      </c>
      <c r="B271" s="7">
        <v>1078.33</v>
      </c>
      <c r="C271" s="8">
        <f>IFERROR(B271/B444, "NA")</f>
        <v>8.5577209081296318E-3</v>
      </c>
      <c r="D271" s="9"/>
      <c r="E271" s="7">
        <v>1003.2</v>
      </c>
      <c r="F271" s="8">
        <f>IFERROR(E271/E444, "NA")</f>
        <v>1.2000051674863673E-2</v>
      </c>
      <c r="G271" s="9"/>
      <c r="H271" s="10">
        <f>IFERROR(-(B271-E271), "NA")</f>
        <v>-75.129999999999882</v>
      </c>
      <c r="I271" s="8">
        <f>IFERROR(H271/H444, "NA")</f>
        <v>-1.7716398032024845E-3</v>
      </c>
      <c r="J271" s="9"/>
      <c r="K271" s="7">
        <v>1200</v>
      </c>
      <c r="L271" s="8">
        <f>IFERROR(K271/K444, "NA")</f>
        <v>1.593311067696335E-2</v>
      </c>
      <c r="M271" s="9"/>
      <c r="N271" s="10">
        <f>IFERROR(-(B271-K271), "NA")</f>
        <v>121.67000000000007</v>
      </c>
      <c r="O271" s="8">
        <f>IFERROR(N271/N444, "NA")</f>
        <v>2.4001900109327321E-3</v>
      </c>
      <c r="P271" s="9"/>
      <c r="Q271" s="7">
        <v>13083.33</v>
      </c>
      <c r="R271" s="8">
        <f>IFERROR(Q271/Q444, "NA")</f>
        <v>1.3287188557572672E-2</v>
      </c>
      <c r="S271" s="9"/>
      <c r="T271" s="7">
        <v>12362.84</v>
      </c>
      <c r="U271" s="8">
        <f>IFERROR(T271/T444, "NA")</f>
        <v>1.2000012773777555E-2</v>
      </c>
      <c r="V271" s="9"/>
      <c r="W271" s="10">
        <f>IFERROR(-(Q271-T271), "NA")</f>
        <v>-720.48999999999978</v>
      </c>
      <c r="X271" s="8">
        <f>IFERROR(W271/W444, "NA")</f>
        <v>1.5807825080751587E-2</v>
      </c>
      <c r="Y271" s="9"/>
      <c r="Z271" s="7">
        <v>12061.42</v>
      </c>
      <c r="AA271" s="8">
        <f>IFERROR(Z271/Z444, "NA")</f>
        <v>1.3073998574820103E-2</v>
      </c>
      <c r="AB271" s="9"/>
      <c r="AC271" s="10">
        <f>IFERROR(-(Q271-Z271), "NA")</f>
        <v>-1021.9099999999999</v>
      </c>
      <c r="AD271" s="8">
        <f>IFERROR(AC271/AC444, "NA")</f>
        <v>-1.6453940768002977E-2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1406.33</v>
      </c>
      <c r="C273" s="15">
        <f>IFERROR(B273/B444, "NA")</f>
        <v>1.1160757509046345E-2</v>
      </c>
      <c r="D273" s="2"/>
      <c r="E273" s="14">
        <f>IFERROR(E269+E270+E271+E272, "NA")</f>
        <v>1144.3500000000001</v>
      </c>
      <c r="F273" s="15">
        <f>IFERROR(E273/E444, "NA")</f>
        <v>1.3688456074691232E-2</v>
      </c>
      <c r="G273" s="2"/>
      <c r="H273" s="14">
        <f>IFERROR(-(B273-E273), "NA")</f>
        <v>-261.97999999999979</v>
      </c>
      <c r="I273" s="15">
        <f>IFERROR(H273/H444, "NA")</f>
        <v>-6.1777478456407197E-3</v>
      </c>
      <c r="J273" s="2"/>
      <c r="K273" s="14">
        <f>IFERROR(K269+K270+K271+K272, "NA")</f>
        <v>1416.67</v>
      </c>
      <c r="L273" s="15">
        <f>IFERROR(K273/K444, "NA")</f>
        <v>1.8809966585611394E-2</v>
      </c>
      <c r="M273" s="2"/>
      <c r="N273" s="14">
        <f>IFERROR(-(B273-K273), "NA")</f>
        <v>10.340000000000146</v>
      </c>
      <c r="O273" s="15">
        <f>IFERROR(N273/N444, "NA")</f>
        <v>2.0397768318439045E-4</v>
      </c>
      <c r="P273" s="2"/>
      <c r="Q273" s="14">
        <f>IFERROR(Q269+Q270+Q271+Q272, "NA")</f>
        <v>15595.99</v>
      </c>
      <c r="R273" s="15">
        <f>IFERROR(Q273/Q444, "NA")</f>
        <v>1.5838999694421665E-2</v>
      </c>
      <c r="S273" s="2"/>
      <c r="T273" s="14">
        <f>IFERROR(T269+T270+T271+T272, "NA")</f>
        <v>14051.68</v>
      </c>
      <c r="U273" s="15">
        <f>IFERROR(T273/T444, "NA")</f>
        <v>1.36392883425681E-2</v>
      </c>
      <c r="V273" s="2"/>
      <c r="W273" s="14">
        <f>IFERROR(-(Q273-T273), "NA")</f>
        <v>-1544.3099999999995</v>
      </c>
      <c r="X273" s="15">
        <f>IFERROR(W273/W444, "NA")</f>
        <v>3.3882749726513187E-2</v>
      </c>
      <c r="Y273" s="2"/>
      <c r="Z273" s="14">
        <f>IFERROR(Z269+Z270+Z271+Z272, "NA")</f>
        <v>14107.34</v>
      </c>
      <c r="AA273" s="15">
        <f>IFERROR(Z273/Z444, "NA")</f>
        <v>1.5291677352625365E-2</v>
      </c>
      <c r="AB273" s="2"/>
      <c r="AC273" s="14">
        <f>IFERROR(-(Q273-Z273), "NA")</f>
        <v>-1488.6499999999996</v>
      </c>
      <c r="AD273" s="15">
        <f>IFERROR(AC273/AC444, "NA")</f>
        <v>-2.3968998174288957E-2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7.7022107081942005E-3</v>
      </c>
      <c r="D287" s="9"/>
      <c r="E287" s="7">
        <v>1350</v>
      </c>
      <c r="F287" s="8">
        <f>IFERROR(E287/E444, "NA")</f>
        <v>1.6148394897394294E-2</v>
      </c>
      <c r="G287" s="9"/>
      <c r="H287" s="10">
        <f t="shared" si="72"/>
        <v>379.47</v>
      </c>
      <c r="I287" s="8">
        <f>IFERROR(H287/H444, "NA")</f>
        <v>8.9482783990582713E-3</v>
      </c>
      <c r="J287" s="9"/>
      <c r="K287" s="7">
        <v>970.53</v>
      </c>
      <c r="L287" s="8">
        <f>IFERROR(K287/K444, "NA")</f>
        <v>1.2886301587761034E-2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10675.83</v>
      </c>
      <c r="R287" s="8">
        <f>IFERROR(Q287/Q444, "NA")</f>
        <v>1.0842175976497656E-2</v>
      </c>
      <c r="S287" s="9"/>
      <c r="T287" s="7">
        <v>14850</v>
      </c>
      <c r="U287" s="8">
        <f>IFERROR(T287/T444, "NA")</f>
        <v>1.4414179079450733E-2</v>
      </c>
      <c r="V287" s="9"/>
      <c r="W287" s="10">
        <f t="shared" si="74"/>
        <v>4174.17</v>
      </c>
      <c r="X287" s="8">
        <f>IFERROR(W287/W444, "NA")</f>
        <v>-9.1582880008495432E-2</v>
      </c>
      <c r="Y287" s="9"/>
      <c r="Z287" s="7">
        <v>10675.83</v>
      </c>
      <c r="AA287" s="8">
        <f>IFERROR(Z287/Z444, "NA")</f>
        <v>1.1572085724982771E-2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1.4746043622449224E-3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-4.3815838124990573E-3</v>
      </c>
      <c r="J288" s="9"/>
      <c r="K288" s="7">
        <v>165.98</v>
      </c>
      <c r="L288" s="8">
        <f>IFERROR(K288/K444, "NA")</f>
        <v>2.2038147584686474E-3</v>
      </c>
      <c r="M288" s="9"/>
      <c r="N288" s="10">
        <f t="shared" si="73"/>
        <v>-19.830000000000013</v>
      </c>
      <c r="O288" s="8">
        <f>IFERROR(N288/N444, "NA")</f>
        <v>-3.9118737500448822E-4</v>
      </c>
      <c r="P288" s="9"/>
      <c r="Q288" s="7">
        <v>2972.92</v>
      </c>
      <c r="R288" s="8">
        <f>IFERROR(Q288/Q444, "NA")</f>
        <v>3.0192427009468501E-3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-2972.92</v>
      </c>
      <c r="X288" s="8">
        <f>IFERROR(W288/W444, "NA")</f>
        <v>6.5226997375491716E-2</v>
      </c>
      <c r="Y288" s="9"/>
      <c r="Z288" s="7">
        <v>1364.83</v>
      </c>
      <c r="AA288" s="8">
        <f>IFERROR(Z288/Z444, "NA")</f>
        <v>1.479410009341497E-3</v>
      </c>
      <c r="AB288" s="9"/>
      <c r="AC288" s="10">
        <f t="shared" si="75"/>
        <v>-1608.0900000000001</v>
      </c>
      <c r="AD288" s="8">
        <f>IFERROR(AC288/AC444, "NA")</f>
        <v>-2.5892121233394245E-2</v>
      </c>
    </row>
    <row r="289" spans="1:30" ht="16.5" customHeight="1" x14ac:dyDescent="0.45">
      <c r="A289" s="6" t="s">
        <v>262</v>
      </c>
      <c r="B289" s="7">
        <v>223.61</v>
      </c>
      <c r="C289" s="8">
        <f>IFERROR(B289/B444, "NA")</f>
        <v>1.7745884583261779E-3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-223.61</v>
      </c>
      <c r="I289" s="8">
        <f>IFERROR(H289/H444, "NA")</f>
        <v>-5.2729452468269428E-3</v>
      </c>
      <c r="J289" s="9"/>
      <c r="K289" s="7">
        <v>423.16</v>
      </c>
      <c r="L289" s="8">
        <f>IFERROR(K289/K444, "NA")</f>
        <v>5.61854592838651E-3</v>
      </c>
      <c r="M289" s="9"/>
      <c r="N289" s="10">
        <f t="shared" si="73"/>
        <v>199.55</v>
      </c>
      <c r="O289" s="8">
        <f>IFERROR(N289/N444, "NA")</f>
        <v>3.9365325608747143E-3</v>
      </c>
      <c r="P289" s="9"/>
      <c r="Q289" s="7">
        <v>2550.04</v>
      </c>
      <c r="R289" s="8">
        <f>IFERROR(Q289/Q444, "NA")</f>
        <v>2.5897735751794549E-3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-2550.04</v>
      </c>
      <c r="X289" s="8">
        <f>IFERROR(W289/W444, "NA")</f>
        <v>5.5948849073435843E-2</v>
      </c>
      <c r="Y289" s="9"/>
      <c r="Z289" s="7">
        <v>2900.7</v>
      </c>
      <c r="AA289" s="8">
        <f>IFERROR(Z289/Z444, "NA")</f>
        <v>3.1442191438471314E-3</v>
      </c>
      <c r="AB289" s="9"/>
      <c r="AC289" s="10">
        <f t="shared" si="75"/>
        <v>350.65999999999985</v>
      </c>
      <c r="AD289" s="8">
        <f>IFERROR(AC289/AC444, "NA")</f>
        <v>5.6460342590912331E-3</v>
      </c>
    </row>
    <row r="290" spans="1:30" ht="16.5" customHeight="1" x14ac:dyDescent="0.45">
      <c r="A290" s="6" t="s">
        <v>263</v>
      </c>
      <c r="B290" s="7">
        <v>457.2</v>
      </c>
      <c r="C290" s="8">
        <f>IFERROR(B290/B444, "NA")</f>
        <v>3.6283790668875651E-3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-457.2</v>
      </c>
      <c r="I290" s="8">
        <f>IFERROR(H290/H444, "NA")</f>
        <v>-1.0781228777108708E-2</v>
      </c>
      <c r="J290" s="9"/>
      <c r="K290" s="7">
        <v>1183.93</v>
      </c>
      <c r="L290" s="8">
        <f>IFERROR(K290/K444, "NA")</f>
        <v>1.5719739769814351E-2</v>
      </c>
      <c r="M290" s="9"/>
      <c r="N290" s="10">
        <f t="shared" si="73"/>
        <v>726.73</v>
      </c>
      <c r="O290" s="8">
        <f>IFERROR(N290/N444, "NA")</f>
        <v>1.4336238075492261E-2</v>
      </c>
      <c r="P290" s="9"/>
      <c r="Q290" s="7">
        <v>5265.23</v>
      </c>
      <c r="R290" s="8">
        <f>IFERROR(Q290/Q444, "NA")</f>
        <v>5.3472704433036814E-3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-5265.23</v>
      </c>
      <c r="X290" s="8">
        <f>IFERROR(W290/W444, "NA")</f>
        <v>0.1155211520630761</v>
      </c>
      <c r="Y290" s="9"/>
      <c r="Z290" s="7">
        <v>9410.9500000000007</v>
      </c>
      <c r="AA290" s="8">
        <f>IFERROR(Z290/Z444, "NA")</f>
        <v>1.0201016703481286E-2</v>
      </c>
      <c r="AB290" s="9"/>
      <c r="AC290" s="10">
        <f t="shared" si="75"/>
        <v>4145.7200000000012</v>
      </c>
      <c r="AD290" s="8">
        <f>IFERROR(AC290/AC444, "NA")</f>
        <v>6.6750918692179667E-2</v>
      </c>
    </row>
    <row r="291" spans="1:30" ht="16.5" customHeight="1" x14ac:dyDescent="0.45">
      <c r="A291" s="6" t="s">
        <v>264</v>
      </c>
      <c r="B291" s="7">
        <v>590.5</v>
      </c>
      <c r="C291" s="8">
        <f>IFERROR(B291/B444, "NA")</f>
        <v>4.6862594903698757E-3</v>
      </c>
      <c r="D291" s="9"/>
      <c r="E291" s="7">
        <v>1253.99</v>
      </c>
      <c r="F291" s="8">
        <f>IFERROR(E291/E444, "NA")</f>
        <v>1.499994497583961E-2</v>
      </c>
      <c r="G291" s="9"/>
      <c r="H291" s="10">
        <f t="shared" si="72"/>
        <v>663.49</v>
      </c>
      <c r="I291" s="8">
        <f>IFERROR(H291/H444, "NA")</f>
        <v>1.5645751271487002E-2</v>
      </c>
      <c r="J291" s="9"/>
      <c r="K291" s="7">
        <v>4313.96</v>
      </c>
      <c r="L291" s="8">
        <f>IFERROR(K291/K444, "NA")</f>
        <v>5.7279001779994017E-2</v>
      </c>
      <c r="M291" s="9"/>
      <c r="N291" s="10">
        <f t="shared" si="73"/>
        <v>3723.46</v>
      </c>
      <c r="O291" s="8">
        <f>IFERROR(N291/N444, "NA")</f>
        <v>7.3452876617963223E-2</v>
      </c>
      <c r="P291" s="9"/>
      <c r="Q291" s="7">
        <v>4966.05</v>
      </c>
      <c r="R291" s="8">
        <f>IFERROR(Q291/Q444, "NA")</f>
        <v>5.0434287552430287E-3</v>
      </c>
      <c r="S291" s="9"/>
      <c r="T291" s="7">
        <v>15453.52</v>
      </c>
      <c r="U291" s="8">
        <f>IFERROR(T291/T444, "NA")</f>
        <v>1.4999986847668248E-2</v>
      </c>
      <c r="V291" s="9"/>
      <c r="W291" s="10">
        <f t="shared" si="74"/>
        <v>10487.470000000001</v>
      </c>
      <c r="X291" s="8">
        <f>IFERROR(W291/W444, "NA")</f>
        <v>-0.23009908714850993</v>
      </c>
      <c r="Y291" s="9"/>
      <c r="Z291" s="7">
        <v>12241.52</v>
      </c>
      <c r="AA291" s="8">
        <f>IFERROR(Z291/Z444, "NA")</f>
        <v>1.3269218303784445E-2</v>
      </c>
      <c r="AB291" s="9"/>
      <c r="AC291" s="10">
        <f t="shared" si="75"/>
        <v>7275.47</v>
      </c>
      <c r="AD291" s="8">
        <f>IFERROR(AC291/AC444, "NA")</f>
        <v>0.11714353753205531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2893.81</v>
      </c>
      <c r="R292" s="8">
        <f>IFERROR(Q292/Q444, "NA")</f>
        <v>2.9389000445444223E-3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-2893.81</v>
      </c>
      <c r="X292" s="8">
        <f>IFERROR(W292/W444, "NA")</f>
        <v>6.3491293837429755E-2</v>
      </c>
      <c r="Y292" s="9"/>
      <c r="Z292" s="7">
        <v>3594.02</v>
      </c>
      <c r="AA292" s="8">
        <f>IFERROR(Z292/Z444, "NA")</f>
        <v>3.8957446434893192E-3</v>
      </c>
      <c r="AB292" s="9"/>
      <c r="AC292" s="10">
        <f t="shared" si="75"/>
        <v>700.21</v>
      </c>
      <c r="AD292" s="8">
        <f>IFERROR(AC292/AC444, "NA")</f>
        <v>1.1274196225854885E-2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2724.85</v>
      </c>
      <c r="R293" s="8">
        <f>IFERROR(Q293/Q444, "NA")</f>
        <v>2.7673073858950205E-3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-2724.85</v>
      </c>
      <c r="X293" s="8">
        <f>IFERROR(W293/W444, "NA")</f>
        <v>5.9784247069752501E-2</v>
      </c>
      <c r="Y293" s="9"/>
      <c r="Z293" s="7">
        <v>343.94</v>
      </c>
      <c r="AA293" s="8">
        <f>IFERROR(Z293/Z444, "NA")</f>
        <v>3.7281440077732356E-4</v>
      </c>
      <c r="AB293" s="9"/>
      <c r="AC293" s="10">
        <f t="shared" si="75"/>
        <v>-2380.91</v>
      </c>
      <c r="AD293" s="8">
        <f>IFERROR(AC293/AC444, "NA")</f>
        <v>-3.833542299610139E-2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2.5792283393229632E-3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-7.6638218559937233E-3</v>
      </c>
      <c r="J294" s="9"/>
      <c r="K294" s="7">
        <v>408.33</v>
      </c>
      <c r="L294" s="8">
        <f>IFERROR(K294/K444, "NA")</f>
        <v>5.4216392356037039E-3</v>
      </c>
      <c r="M294" s="9"/>
      <c r="N294" s="10">
        <f t="shared" si="73"/>
        <v>83.329999999999984</v>
      </c>
      <c r="O294" s="8">
        <f>IFERROR(N294/N444, "NA")</f>
        <v>1.6438549651600592E-3</v>
      </c>
      <c r="P294" s="9"/>
      <c r="Q294" s="7">
        <v>4044.56</v>
      </c>
      <c r="R294" s="8">
        <f>IFERROR(Q294/Q444, "NA")</f>
        <v>4.1075805129440384E-3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-4044.56</v>
      </c>
      <c r="X294" s="8">
        <f>IFERROR(W294/W444, "NA")</f>
        <v>8.8739187231751532E-2</v>
      </c>
      <c r="Y294" s="9"/>
      <c r="Z294" s="7">
        <v>2058.1</v>
      </c>
      <c r="AA294" s="8">
        <f>IFERROR(Z294/Z444, "NA")</f>
        <v>2.2308813113909682E-3</v>
      </c>
      <c r="AB294" s="9"/>
      <c r="AC294" s="10">
        <f t="shared" si="75"/>
        <v>-1986.46</v>
      </c>
      <c r="AD294" s="8">
        <f>IFERROR(AC294/AC444, "NA")</f>
        <v>-3.1984318754104762E-2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2752.6499999999996</v>
      </c>
      <c r="C295" s="15">
        <f>IFERROR(B295/B444, "NA")</f>
        <v>2.1845270425345703E-2</v>
      </c>
      <c r="D295" s="2"/>
      <c r="E295" s="14">
        <f>IFERROR(E286+E287+E288+E289+E290+E291+E292+E293+E294, "NA")</f>
        <v>2603.9899999999998</v>
      </c>
      <c r="F295" s="15">
        <f>IFERROR(E295/E444, "NA")</f>
        <v>3.1148339873233902E-2</v>
      </c>
      <c r="G295" s="2"/>
      <c r="H295" s="14">
        <f t="shared" si="72"/>
        <v>-148.65999999999985</v>
      </c>
      <c r="I295" s="15">
        <f>IFERROR(H295/H444, "NA")</f>
        <v>-3.5055500218831559E-3</v>
      </c>
      <c r="J295" s="2"/>
      <c r="K295" s="14">
        <f>IFERROR(K286+K287+K288+K289+K290+K291+K292+K293+K294, "NA")</f>
        <v>7465.89</v>
      </c>
      <c r="L295" s="15">
        <f>IFERROR(K295/K444, "NA")</f>
        <v>9.912904306002826E-2</v>
      </c>
      <c r="M295" s="2"/>
      <c r="N295" s="14">
        <f t="shared" si="73"/>
        <v>4713.2400000000007</v>
      </c>
      <c r="O295" s="15">
        <f>IFERROR(N295/N444, "NA")</f>
        <v>9.2978314844485779E-2</v>
      </c>
      <c r="P295" s="2"/>
      <c r="Q295" s="14">
        <f>IFERROR(Q286+Q287+Q288+Q289+Q290+Q291+Q292+Q293+Q294, "NA")</f>
        <v>36093.29</v>
      </c>
      <c r="R295" s="15">
        <f>IFERROR(Q295/Q444, "NA")</f>
        <v>3.6655679394554157E-2</v>
      </c>
      <c r="S295" s="2"/>
      <c r="T295" s="14">
        <f>IFERROR(T286+T287+T288+T289+T290+T291+T292+T293+T294, "NA")</f>
        <v>30303.52</v>
      </c>
      <c r="U295" s="15">
        <f>IFERROR(T295/T444, "NA")</f>
        <v>2.9414165927118981E-2</v>
      </c>
      <c r="V295" s="2"/>
      <c r="W295" s="14">
        <f t="shared" si="74"/>
        <v>-5789.77</v>
      </c>
      <c r="X295" s="15">
        <f>IFERROR(W295/W444, "NA")</f>
        <v>0.12702975949393214</v>
      </c>
      <c r="Y295" s="2"/>
      <c r="Z295" s="14">
        <f>IFERROR(Z286+Z287+Z288+Z289+Z290+Z291+Z292+Z293+Z294, "NA")</f>
        <v>42589.89</v>
      </c>
      <c r="AA295" s="15">
        <f>IFERROR(Z295/Z444, "NA")</f>
        <v>4.6165390241094742E-2</v>
      </c>
      <c r="AB295" s="2"/>
      <c r="AC295" s="14">
        <f t="shared" si="75"/>
        <v>6496.5999999999985</v>
      </c>
      <c r="AD295" s="15">
        <f>IFERROR(AC295/AC444, "NA")</f>
        <v>0.10460282372558065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1086.8</v>
      </c>
      <c r="F297" s="8">
        <f>IFERROR(E297/E444, "NA")</f>
        <v>1.300005598110231E-2</v>
      </c>
      <c r="G297" s="9"/>
      <c r="H297" s="10">
        <f t="shared" ref="H297:H325" si="76">IFERROR(-(B297-E297), "NA")</f>
        <v>1086.8</v>
      </c>
      <c r="I297" s="8">
        <f>IFERROR(H297/H444, "NA")</f>
        <v>2.5627820286443007E-2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13393.07</v>
      </c>
      <c r="U297" s="8">
        <f>IFERROR(T297/T444, "NA")</f>
        <v>1.3000007367247086E-2</v>
      </c>
      <c r="V297" s="9"/>
      <c r="W297" s="10">
        <f t="shared" ref="W297:W325" si="78">IFERROR(-(Q297-T297), "NA")</f>
        <v>13393.07</v>
      </c>
      <c r="X297" s="8">
        <f>IFERROR(W297/W444, "NA")</f>
        <v>-0.29384905807750522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488.76</v>
      </c>
      <c r="C299" s="8">
        <f>IFERROR(B299/B444, "NA")</f>
        <v>3.8788419788538197E-3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-488.76</v>
      </c>
      <c r="I299" s="8">
        <f>IFERROR(H299/H444, "NA")</f>
        <v>-1.1525444831801514E-2</v>
      </c>
      <c r="J299" s="9"/>
      <c r="K299" s="7">
        <v>500.37</v>
      </c>
      <c r="L299" s="8">
        <f>IFERROR(K299/K444, "NA")</f>
        <v>6.6437088245267931E-3</v>
      </c>
      <c r="M299" s="9"/>
      <c r="N299" s="10">
        <f t="shared" si="77"/>
        <v>11.610000000000014</v>
      </c>
      <c r="O299" s="8">
        <f>IFERROR(N299/N444, "NA")</f>
        <v>2.2903103498749926E-4</v>
      </c>
      <c r="P299" s="9"/>
      <c r="Q299" s="7">
        <v>6994.58</v>
      </c>
      <c r="R299" s="8">
        <f>IFERROR(Q299/Q444, "NA")</f>
        <v>7.1035663964011198E-3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-6994.58</v>
      </c>
      <c r="X299" s="8">
        <f>IFERROR(W299/W444, "NA")</f>
        <v>0.15346374988316766</v>
      </c>
      <c r="Y299" s="9"/>
      <c r="Z299" s="7">
        <v>5584.96</v>
      </c>
      <c r="AA299" s="8">
        <f>IFERROR(Z299/Z444, "NA")</f>
        <v>6.0538277483436678E-3</v>
      </c>
      <c r="AB299" s="9"/>
      <c r="AC299" s="10">
        <f t="shared" si="79"/>
        <v>-1409.62</v>
      </c>
      <c r="AD299" s="8">
        <f>IFERROR(AC299/AC444, "NA")</f>
        <v>-2.2696523162893365E-2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58.33</v>
      </c>
      <c r="L305" s="8">
        <f>IFERROR(K305/K444, "NA")</f>
        <v>7.7448195482272689E-4</v>
      </c>
      <c r="M305" s="9"/>
      <c r="N305" s="10">
        <f t="shared" si="77"/>
        <v>58.33</v>
      </c>
      <c r="O305" s="8">
        <f>IFERROR(N305/N444, "NA")</f>
        <v>1.1506787485633778E-3</v>
      </c>
      <c r="P305" s="9"/>
      <c r="Q305" s="7">
        <v>317.35000000000002</v>
      </c>
      <c r="R305" s="8">
        <f>IFERROR(Q305/Q444, "NA")</f>
        <v>3.2229480482000284E-4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-317.35000000000002</v>
      </c>
      <c r="X305" s="8">
        <f>IFERROR(W305/W444, "NA")</f>
        <v>6.9627798989250625E-3</v>
      </c>
      <c r="Y305" s="9"/>
      <c r="Z305" s="7">
        <v>626.19000000000005</v>
      </c>
      <c r="AA305" s="8">
        <f>IFERROR(Z305/Z444, "NA")</f>
        <v>6.7875981166119748E-4</v>
      </c>
      <c r="AB305" s="9"/>
      <c r="AC305" s="10">
        <f t="shared" si="79"/>
        <v>308.84000000000003</v>
      </c>
      <c r="AD305" s="8">
        <f>IFERROR(AC305/AC444, "NA")</f>
        <v>4.972683569776243E-3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39.049999999999997</v>
      </c>
      <c r="C310" s="8">
        <f>IFERROR(B310/B444, "NA")</f>
        <v>3.0990420507865139E-4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-39.049999999999997</v>
      </c>
      <c r="I310" s="8">
        <f>IFERROR(H310/H444, "NA")</f>
        <v>-9.2083767223555344E-4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-39.049999999999997</v>
      </c>
      <c r="O310" s="8">
        <f>IFERROR(N310/N444, "NA")</f>
        <v>-7.7034125032401685E-4</v>
      </c>
      <c r="P310" s="9"/>
      <c r="Q310" s="7">
        <v>947.63</v>
      </c>
      <c r="R310" s="8">
        <f>IFERROR(Q310/Q444, "NA")</f>
        <v>9.6239554401001824E-4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-947.63</v>
      </c>
      <c r="X310" s="8">
        <f>IFERROR(W310/W444, "NA")</f>
        <v>2.0791363212914311E-2</v>
      </c>
      <c r="Y310" s="9"/>
      <c r="Z310" s="7">
        <v>83.34</v>
      </c>
      <c r="AA310" s="8">
        <f>IFERROR(Z310/Z444, "NA")</f>
        <v>9.0336547539635251E-5</v>
      </c>
      <c r="AB310" s="9"/>
      <c r="AC310" s="10">
        <f t="shared" si="79"/>
        <v>-864.29</v>
      </c>
      <c r="AD310" s="8">
        <f>IFERROR(AC310/AC444, "NA")</f>
        <v>-1.3916075257485781E-2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2.7146494825393653E-5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5.8646638316769159E-4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-4.3038412064537939E-4</v>
      </c>
    </row>
    <row r="312" spans="1:30" ht="16.5" customHeight="1" x14ac:dyDescent="0.45">
      <c r="A312" s="6" t="s">
        <v>284</v>
      </c>
      <c r="B312" s="7">
        <v>506.04</v>
      </c>
      <c r="C312" s="8">
        <f>IFERROR(B312/B444, "NA")</f>
        <v>4.0159775656338223E-3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-506.04</v>
      </c>
      <c r="I312" s="8">
        <f>IFERROR(H312/H444, "NA")</f>
        <v>-1.1932924344637118E-2</v>
      </c>
      <c r="J312" s="9"/>
      <c r="K312" s="7">
        <v>47.68</v>
      </c>
      <c r="L312" s="8">
        <f>IFERROR(K312/K444, "NA")</f>
        <v>6.3307559756467708E-4</v>
      </c>
      <c r="M312" s="9"/>
      <c r="N312" s="10">
        <f t="shared" si="77"/>
        <v>-458.36</v>
      </c>
      <c r="O312" s="8">
        <f>IFERROR(N312/N444, "NA")</f>
        <v>-9.0420900255702014E-3</v>
      </c>
      <c r="P312" s="9"/>
      <c r="Q312" s="7">
        <v>4381.22</v>
      </c>
      <c r="R312" s="8">
        <f>IFERROR(Q312/Q444, "NA")</f>
        <v>4.4494861974901309E-3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-4381.22</v>
      </c>
      <c r="X312" s="8">
        <f>IFERROR(W312/W444, "NA")</f>
        <v>9.6125635887091429E-2</v>
      </c>
      <c r="Y312" s="9"/>
      <c r="Z312" s="7">
        <v>453.5</v>
      </c>
      <c r="AA312" s="8">
        <f>IFERROR(Z312/Z444, "NA")</f>
        <v>4.9157216593741996E-4</v>
      </c>
      <c r="AB312" s="9"/>
      <c r="AC312" s="10">
        <f t="shared" si="79"/>
        <v>-3927.7200000000003</v>
      </c>
      <c r="AD312" s="8">
        <f>IFERROR(AC312/AC444, "NA")</f>
        <v>-6.3240864883698816E-2</v>
      </c>
    </row>
    <row r="313" spans="1:30" ht="16.5" customHeight="1" x14ac:dyDescent="0.45">
      <c r="A313" s="6" t="s">
        <v>285</v>
      </c>
      <c r="B313" s="7">
        <v>20</v>
      </c>
      <c r="C313" s="8">
        <f>IFERROR(B313/B444, "NA")</f>
        <v>1.5872174395833619E-4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-20</v>
      </c>
      <c r="I313" s="8">
        <f>IFERROR(H313/H444, "NA")</f>
        <v>-4.7161980652269065E-4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-20</v>
      </c>
      <c r="O313" s="8">
        <f>IFERROR(N313/N444, "NA")</f>
        <v>-3.9454097327734541E-4</v>
      </c>
      <c r="P313" s="9"/>
      <c r="Q313" s="7">
        <v>300.10000000000002</v>
      </c>
      <c r="R313" s="8">
        <f>IFERROR(Q313/Q444, "NA")</f>
        <v>3.0477602308644355E-4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-300.10000000000002</v>
      </c>
      <c r="X313" s="8">
        <f>IFERROR(W313/W444, "NA")</f>
        <v>6.5843083272960814E-3</v>
      </c>
      <c r="Y313" s="9"/>
      <c r="Z313" s="7">
        <v>22.5</v>
      </c>
      <c r="AA313" s="8">
        <f>IFERROR(Z313/Z444, "NA")</f>
        <v>2.4388916722363728E-5</v>
      </c>
      <c r="AB313" s="9"/>
      <c r="AC313" s="10">
        <f t="shared" si="79"/>
        <v>-277.60000000000002</v>
      </c>
      <c r="AD313" s="8">
        <f>IFERROR(AC313/AC444, "NA")</f>
        <v>-4.469683198322384E-3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1.8557255746082981E-5</v>
      </c>
      <c r="AB316" s="9"/>
      <c r="AC316" s="10">
        <f t="shared" si="79"/>
        <v>17.12</v>
      </c>
      <c r="AD316" s="8">
        <f>IFERROR(AC316/AC444, "NA")</f>
        <v>2.7565193211555913E-4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3.2900636696403716E-3</v>
      </c>
      <c r="D318" s="9"/>
      <c r="E318" s="7">
        <v>915</v>
      </c>
      <c r="F318" s="8">
        <f>IFERROR(E318/E444, "NA")</f>
        <v>1.0945023208233911E-2</v>
      </c>
      <c r="G318" s="9"/>
      <c r="H318" s="10">
        <f t="shared" si="76"/>
        <v>500.43</v>
      </c>
      <c r="I318" s="8">
        <f>IFERROR(H318/H444, "NA")</f>
        <v>1.1800634988907504E-2</v>
      </c>
      <c r="J318" s="9"/>
      <c r="K318" s="7">
        <v>414.57</v>
      </c>
      <c r="L318" s="8">
        <f>IFERROR(K318/K444, "NA")</f>
        <v>5.5044914111239138E-3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4560.2700000000004</v>
      </c>
      <c r="R318" s="8">
        <f>IFERROR(Q318/Q444, "NA")</f>
        <v>4.6313260739767274E-3</v>
      </c>
      <c r="S318" s="9"/>
      <c r="T318" s="7">
        <v>10065</v>
      </c>
      <c r="U318" s="8">
        <f>IFERROR(T318/T444, "NA")</f>
        <v>9.7696102649610529E-3</v>
      </c>
      <c r="V318" s="9"/>
      <c r="W318" s="10">
        <f t="shared" si="78"/>
        <v>5504.73</v>
      </c>
      <c r="X318" s="8">
        <f>IFERROR(W318/W444, "NA")</f>
        <v>-0.12077587330395385</v>
      </c>
      <c r="Y318" s="9"/>
      <c r="Z318" s="7">
        <v>4560.2700000000004</v>
      </c>
      <c r="AA318" s="8">
        <f>IFERROR(Z318/Z444, "NA")</f>
        <v>4.943113122733051E-3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149.65</v>
      </c>
      <c r="C319" s="8">
        <f>IFERROR(B319/B444, "NA")</f>
        <v>1.1876354491682506E-3</v>
      </c>
      <c r="D319" s="9"/>
      <c r="E319" s="7">
        <v>149</v>
      </c>
      <c r="F319" s="8">
        <f>IFERROR(E319/E444, "NA")</f>
        <v>1.7823043257124073E-3</v>
      </c>
      <c r="G319" s="9"/>
      <c r="H319" s="10">
        <f t="shared" si="76"/>
        <v>-0.65000000000000568</v>
      </c>
      <c r="I319" s="8">
        <f>IFERROR(H319/H444, "NA")</f>
        <v>-1.5327643711987581E-5</v>
      </c>
      <c r="J319" s="9"/>
      <c r="K319" s="7">
        <v>149.54</v>
      </c>
      <c r="L319" s="8">
        <f>IFERROR(K319/K444, "NA")</f>
        <v>1.9855311421942494E-3</v>
      </c>
      <c r="M319" s="9"/>
      <c r="N319" s="10">
        <f t="shared" si="77"/>
        <v>-0.11000000000001364</v>
      </c>
      <c r="O319" s="8">
        <f>IFERROR(N319/N444, "NA")</f>
        <v>-2.1699753530256687E-6</v>
      </c>
      <c r="P319" s="9"/>
      <c r="Q319" s="7">
        <v>1645.11</v>
      </c>
      <c r="R319" s="8">
        <f>IFERROR(Q319/Q444, "NA")</f>
        <v>1.670743363344682E-3</v>
      </c>
      <c r="S319" s="9"/>
      <c r="T319" s="7">
        <v>1639</v>
      </c>
      <c r="U319" s="8">
        <f>IFERROR(T319/T444, "NA")</f>
        <v>1.5908982835838217E-3</v>
      </c>
      <c r="V319" s="9"/>
      <c r="W319" s="10">
        <f t="shared" si="78"/>
        <v>-6.1099999999999</v>
      </c>
      <c r="X319" s="8">
        <f>IFERROR(W319/W444, "NA")</f>
        <v>1.3405572769003131E-4</v>
      </c>
      <c r="Y319" s="9"/>
      <c r="Z319" s="7">
        <v>1644.03</v>
      </c>
      <c r="AA319" s="8">
        <f>IFERROR(Z319/Z444, "NA")</f>
        <v>1.7820493670696728E-3</v>
      </c>
      <c r="AB319" s="9"/>
      <c r="AC319" s="10">
        <f t="shared" si="79"/>
        <v>-1.0799999999999272</v>
      </c>
      <c r="AD319" s="8">
        <f>IFERROR(AC319/AC444, "NA")</f>
        <v>-1.7389257399812137E-5</v>
      </c>
    </row>
    <row r="320" spans="1:30" ht="16.5" customHeight="1" x14ac:dyDescent="0.45">
      <c r="A320" s="6" t="s">
        <v>292</v>
      </c>
      <c r="B320" s="7">
        <v>1242.1600000000001</v>
      </c>
      <c r="C320" s="8">
        <f>IFERROR(B320/B444, "NA")</f>
        <v>9.8578900737643447E-3</v>
      </c>
      <c r="D320" s="9"/>
      <c r="E320" s="7">
        <v>800</v>
      </c>
      <c r="F320" s="8">
        <f>IFERROR(E320/E444, "NA")</f>
        <v>9.5694191984558793E-3</v>
      </c>
      <c r="G320" s="9"/>
      <c r="H320" s="10">
        <f t="shared" si="76"/>
        <v>-442.16000000000008</v>
      </c>
      <c r="I320" s="8">
        <f>IFERROR(H320/H444, "NA")</f>
        <v>-1.0426570682603647E-2</v>
      </c>
      <c r="J320" s="9"/>
      <c r="K320" s="7">
        <v>1053.8499999999999</v>
      </c>
      <c r="L320" s="8">
        <f>IFERROR(K320/K444, "NA")</f>
        <v>1.3992590572431522E-2</v>
      </c>
      <c r="M320" s="9"/>
      <c r="N320" s="10">
        <f t="shared" si="77"/>
        <v>-188.31000000000017</v>
      </c>
      <c r="O320" s="8">
        <f>IFERROR(N320/N444, "NA")</f>
        <v>-3.7148005338928491E-3</v>
      </c>
      <c r="P320" s="9"/>
      <c r="Q320" s="7">
        <v>12965.91</v>
      </c>
      <c r="R320" s="8">
        <f>IFERROR(Q320/Q444, "NA")</f>
        <v>1.3167938971998496E-2</v>
      </c>
      <c r="S320" s="9"/>
      <c r="T320" s="7">
        <v>8800</v>
      </c>
      <c r="U320" s="8">
        <f>IFERROR(T320/T444, "NA")</f>
        <v>8.5417357507856194E-3</v>
      </c>
      <c r="V320" s="9"/>
      <c r="W320" s="10">
        <f t="shared" si="78"/>
        <v>-4165.91</v>
      </c>
      <c r="X320" s="8">
        <f>IFERROR(W320/W444, "NA")</f>
        <v>9.1401652461732805E-2</v>
      </c>
      <c r="Y320" s="9"/>
      <c r="Z320" s="7">
        <v>7937.95</v>
      </c>
      <c r="AA320" s="8">
        <f>IFERROR(Z320/Z444, "NA")</f>
        <v>8.6043556220572071E-3</v>
      </c>
      <c r="AB320" s="9"/>
      <c r="AC320" s="10">
        <f t="shared" si="79"/>
        <v>-5027.96</v>
      </c>
      <c r="AD320" s="8">
        <f>IFERROR(AC320/AC444, "NA")</f>
        <v>-8.0956009848116031E-2</v>
      </c>
    </row>
    <row r="321" spans="1:30" ht="16.5" customHeight="1" x14ac:dyDescent="0.45">
      <c r="A321" s="6" t="s">
        <v>293</v>
      </c>
      <c r="B321" s="7">
        <v>1470.27</v>
      </c>
      <c r="C321" s="8">
        <f>IFERROR(B321/B444, "NA")</f>
        <v>1.1668190924481146E-2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-1470.27</v>
      </c>
      <c r="I321" s="8">
        <f>IFERROR(H321/H444, "NA")</f>
        <v>-3.4670422646805817E-2</v>
      </c>
      <c r="J321" s="9"/>
      <c r="K321" s="7">
        <v>1793.86</v>
      </c>
      <c r="L321" s="8">
        <f>IFERROR(K321/K444, "NA")</f>
        <v>2.3818141599147895E-2</v>
      </c>
      <c r="M321" s="9"/>
      <c r="N321" s="10">
        <f t="shared" si="77"/>
        <v>323.58999999999992</v>
      </c>
      <c r="O321" s="8">
        <f>IFERROR(N321/N444, "NA")</f>
        <v>6.3834756771408083E-3</v>
      </c>
      <c r="P321" s="9"/>
      <c r="Q321" s="7">
        <v>16895.98</v>
      </c>
      <c r="R321" s="8">
        <f>IFERROR(Q321/Q444, "NA")</f>
        <v>1.715924555330919E-2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-16895.98</v>
      </c>
      <c r="X321" s="8">
        <f>IFERROR(W321/W444, "NA")</f>
        <v>0.37070423796010671</v>
      </c>
      <c r="Y321" s="9"/>
      <c r="Z321" s="7">
        <v>23746.26</v>
      </c>
      <c r="AA321" s="8">
        <f>IFERROR(Z321/Z444, "NA")</f>
        <v>2.5739802560337637E-2</v>
      </c>
      <c r="AB321" s="9"/>
      <c r="AC321" s="10">
        <f t="shared" si="79"/>
        <v>6850.2799999999988</v>
      </c>
      <c r="AD321" s="8">
        <f>IFERROR(AC321/AC444, "NA")</f>
        <v>0.11029748350073433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1.2877888696059608E-3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-3.8264873002218508E-3</v>
      </c>
      <c r="J322" s="9"/>
      <c r="K322" s="7">
        <v>162.27000000000001</v>
      </c>
      <c r="L322" s="8">
        <f>IFERROR(K322/K444, "NA")</f>
        <v>2.1545548912923693E-3</v>
      </c>
      <c r="M322" s="9"/>
      <c r="N322" s="10">
        <f t="shared" si="77"/>
        <v>0</v>
      </c>
      <c r="O322" s="8">
        <f>IFERROR(N322/N444, "NA")</f>
        <v>0</v>
      </c>
      <c r="P322" s="9"/>
      <c r="Q322" s="7">
        <v>2837.79</v>
      </c>
      <c r="R322" s="8">
        <f>IFERROR(Q322/Q444, "NA")</f>
        <v>2.8820071661262198E-3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-2837.79</v>
      </c>
      <c r="X322" s="8">
        <f>IFERROR(W322/W444, "NA")</f>
        <v>6.2262193695826536E-2</v>
      </c>
      <c r="Y322" s="9"/>
      <c r="Z322" s="7">
        <v>2063.5</v>
      </c>
      <c r="AA322" s="8">
        <f>IFERROR(Z322/Z444, "NA")</f>
        <v>2.2367346514043356E-3</v>
      </c>
      <c r="AB322" s="9"/>
      <c r="AC322" s="10">
        <f t="shared" si="79"/>
        <v>-774.29</v>
      </c>
      <c r="AD322" s="8">
        <f>IFERROR(AC322/AC444, "NA")</f>
        <v>-1.2466970474168004E-2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14.25</v>
      </c>
      <c r="R323" s="8">
        <f>IFERROR(Q323/Q444, "NA")</f>
        <v>1.4472037084244653E-5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-14.25</v>
      </c>
      <c r="X323" s="8">
        <f>IFERROR(W323/W444, "NA")</f>
        <v>3.1265042873698481E-4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-14.25</v>
      </c>
      <c r="AD323" s="8">
        <f>IFERROR(AC323/AC444, "NA")</f>
        <v>-2.2944159069198113E-4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4492.7700000000004</v>
      </c>
      <c r="C324" s="15">
        <f>IFERROR(B324/B444, "NA")</f>
        <v>3.565501448018471E-2</v>
      </c>
      <c r="D324" s="2"/>
      <c r="E324" s="14">
        <f>IFERROR(E297+E298+E299+E300+E301+E302+E303+E304+E305+E306+E307+E308+E309+E310+E311+E312+E313+E314+E315+E316+E317+E318+E319+E320+E321+E322+E323, "NA")</f>
        <v>2950.8</v>
      </c>
      <c r="F324" s="15">
        <f>IFERROR(E324/E444, "NA")</f>
        <v>3.5296802713504508E-2</v>
      </c>
      <c r="G324" s="2"/>
      <c r="H324" s="14">
        <f t="shared" si="76"/>
        <v>-1541.9700000000003</v>
      </c>
      <c r="I324" s="15">
        <f>IFERROR(H324/H444, "NA")</f>
        <v>-3.6361179653189669E-2</v>
      </c>
      <c r="J324" s="2"/>
      <c r="K324" s="14">
        <f>IFERROR(K297+K298+K299+K300+K301+K302+K303+K304+K305+K306+K307+K308+K309+K310+K311+K312+K313+K314+K315+K316+K317+K318+K319+K320+K321+K322+K323, "NA")</f>
        <v>4180.47</v>
      </c>
      <c r="L324" s="15">
        <f>IFERROR(K324/K444, "NA")</f>
        <v>5.550657599310415E-2</v>
      </c>
      <c r="M324" s="2"/>
      <c r="N324" s="14">
        <f t="shared" si="77"/>
        <v>-312.30000000000018</v>
      </c>
      <c r="O324" s="15">
        <f>IFERROR(N324/N444, "NA")</f>
        <v>-6.1607572977257523E-3</v>
      </c>
      <c r="P324" s="2"/>
      <c r="Q324" s="14">
        <f>IFERROR(Q297+Q298+Q299+Q300+Q301+Q302+Q303+Q304+Q305+Q306+Q307+Q308+Q309+Q310+Q311+Q312+Q313+Q314+Q315+Q316+Q317+Q318+Q319+Q320+Q321+Q322+Q323, "NA")</f>
        <v>51886.92</v>
      </c>
      <c r="R324" s="15">
        <f>IFERROR(Q324/Q444, "NA")</f>
        <v>5.269539862647267E-2</v>
      </c>
      <c r="S324" s="2"/>
      <c r="T324" s="14">
        <f>IFERROR(T297+T298+T299+T300+T301+T302+T303+T304+T305+T306+T307+T308+T309+T310+T311+T312+T313+T314+T315+T316+T317+T318+T319+T320+T321+T322+T323, "NA")</f>
        <v>33897.07</v>
      </c>
      <c r="U324" s="15">
        <f>IFERROR(T324/T444, "NA")</f>
        <v>3.2902251666577578E-2</v>
      </c>
      <c r="V324" s="2"/>
      <c r="W324" s="14">
        <f t="shared" si="78"/>
        <v>-17989.849999999999</v>
      </c>
      <c r="X324" s="15">
        <f>IFERROR(W324/W444, "NA")</f>
        <v>0.39470416248519624</v>
      </c>
      <c r="Y324" s="2"/>
      <c r="Z324" s="14">
        <f>IFERROR(Z297+Z298+Z299+Z300+Z301+Z302+Z303+Z304+Z305+Z306+Z307+Z308+Z309+Z310+Z311+Z312+Z313+Z314+Z315+Z316+Z317+Z318+Z319+Z320+Z321+Z322+Z323, "NA")</f>
        <v>46739.619999999995</v>
      </c>
      <c r="AA324" s="15">
        <f>IFERROR(Z324/Z444, "NA")</f>
        <v>5.0663497769552264E-2</v>
      </c>
      <c r="AB324" s="2"/>
      <c r="AC324" s="14">
        <f t="shared" si="79"/>
        <v>-5147.3000000000029</v>
      </c>
      <c r="AD324" s="15">
        <f>IFERROR(AC324/AC444, "NA")</f>
        <v>-8.2877522790795452E-2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20187.890000000003</v>
      </c>
      <c r="C325" s="15">
        <f>IFERROR(B325/B444, "NA")</f>
        <v>0.16021285538195279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19904.310000000001</v>
      </c>
      <c r="F325" s="15">
        <f>IFERROR(E325/E444, "NA")</f>
        <v>0.23809085780752168</v>
      </c>
      <c r="G325" s="2"/>
      <c r="H325" s="14">
        <f t="shared" si="76"/>
        <v>-283.58000000000175</v>
      </c>
      <c r="I325" s="15">
        <f>IFERROR(H325/H444, "NA")</f>
        <v>-6.6870972366852716E-3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25916.31</v>
      </c>
      <c r="L325" s="15">
        <f>IFERROR(K325/K444, "NA")</f>
        <v>0.34410619630707673</v>
      </c>
      <c r="M325" s="2"/>
      <c r="N325" s="14">
        <f t="shared" si="77"/>
        <v>5728.4199999999983</v>
      </c>
      <c r="O325" s="15">
        <f>IFERROR(N325/N444, "NA")</f>
        <v>0.11300482010707051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247235.25000000003</v>
      </c>
      <c r="R325" s="15">
        <f>IFERROR(Q325/Q444, "NA")</f>
        <v>0.25108755835315777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227283.86999999997</v>
      </c>
      <c r="U325" s="15">
        <f>IFERROR(T325/T444, "NA")</f>
        <v>0.22061349522226259</v>
      </c>
      <c r="V325" s="2"/>
      <c r="W325" s="14">
        <f t="shared" si="78"/>
        <v>-19951.380000000063</v>
      </c>
      <c r="X325" s="15">
        <f>IFERROR(W325/W444, "NA")</f>
        <v>0.43774087795751049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247375.79</v>
      </c>
      <c r="AA325" s="15">
        <f>IFERROR(Z325/Z444, "NA")</f>
        <v>0.26814344628617504</v>
      </c>
      <c r="AB325" s="2"/>
      <c r="AC325" s="14">
        <f t="shared" si="79"/>
        <v>140.53999999997905</v>
      </c>
      <c r="AD325" s="15">
        <f>IFERROR(AC325/AC444, "NA")</f>
        <v>2.2628576249716648E-3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3.6488224275093989E-2</v>
      </c>
      <c r="D329" s="9"/>
      <c r="E329" s="7">
        <v>4245.91</v>
      </c>
      <c r="F329" s="8">
        <f>IFERROR(E329/E444, "NA")</f>
        <v>5.0788615836144746E-2</v>
      </c>
      <c r="G329" s="9"/>
      <c r="H329" s="10">
        <f t="shared" si="80"/>
        <v>-351.85000000000036</v>
      </c>
      <c r="I329" s="8">
        <f>IFERROR(H329/H444, "NA")</f>
        <v>-8.2969714462504431E-3</v>
      </c>
      <c r="J329" s="9"/>
      <c r="K329" s="7">
        <v>6377.92</v>
      </c>
      <c r="L329" s="8">
        <f>IFERROR(K329/K444, "NA")</f>
        <v>8.4683421040681744E-2</v>
      </c>
      <c r="M329" s="9"/>
      <c r="N329" s="10">
        <f t="shared" si="81"/>
        <v>1780.1599999999999</v>
      </c>
      <c r="O329" s="8">
        <f>IFERROR(N329/N444, "NA")</f>
        <v>3.5117302949469957E-2</v>
      </c>
      <c r="P329" s="9"/>
      <c r="Q329" s="7">
        <v>50575.360000000001</v>
      </c>
      <c r="R329" s="8">
        <f>IFERROR(Q329/Q444, "NA")</f>
        <v>5.1363402489054293E-2</v>
      </c>
      <c r="S329" s="9"/>
      <c r="T329" s="7">
        <v>53239.44</v>
      </c>
      <c r="U329" s="8">
        <f>IFERROR(T329/T444, "NA")</f>
        <v>5.1676957727250679E-2</v>
      </c>
      <c r="V329" s="9"/>
      <c r="W329" s="10">
        <f t="shared" si="82"/>
        <v>2664.0800000000017</v>
      </c>
      <c r="X329" s="8">
        <f>IFERROR(W329/W444, "NA")</f>
        <v>-5.8450930118570325E-2</v>
      </c>
      <c r="Y329" s="9"/>
      <c r="Z329" s="7">
        <v>70157.119999999995</v>
      </c>
      <c r="AA329" s="8">
        <f>IFERROR(Z329/Z444, "NA")</f>
        <v>7.6046940318261272E-2</v>
      </c>
      <c r="AB329" s="9"/>
      <c r="AC329" s="10">
        <f t="shared" si="83"/>
        <v>19581.759999999995</v>
      </c>
      <c r="AD329" s="8">
        <f>IFERROR(AC329/AC444, "NA")</f>
        <v>0.31528913424200755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1.3380401737431699E-2</v>
      </c>
      <c r="D330" s="9"/>
      <c r="E330" s="7">
        <v>1686</v>
      </c>
      <c r="F330" s="8">
        <f>IFERROR(E330/E444, "NA")</f>
        <v>2.0167550960745764E-2</v>
      </c>
      <c r="G330" s="9"/>
      <c r="H330" s="10">
        <f t="shared" si="80"/>
        <v>-1.999999999998181E-2</v>
      </c>
      <c r="I330" s="8">
        <f>IFERROR(H330/H444, "NA")</f>
        <v>-4.7161980652226169E-7</v>
      </c>
      <c r="J330" s="9"/>
      <c r="K330" s="7">
        <v>1636.91</v>
      </c>
      <c r="L330" s="8">
        <f>IFERROR(K330/K444, "NA")</f>
        <v>2.17342234985234E-2</v>
      </c>
      <c r="M330" s="9"/>
      <c r="N330" s="10">
        <f t="shared" si="81"/>
        <v>-49.1099999999999</v>
      </c>
      <c r="O330" s="8">
        <f>IFERROR(N330/N444, "NA")</f>
        <v>-9.6879535988251967E-4</v>
      </c>
      <c r="P330" s="9"/>
      <c r="Q330" s="7">
        <v>19797.330000000002</v>
      </c>
      <c r="R330" s="8">
        <f>IFERROR(Q330/Q444, "NA")</f>
        <v>2.0105803082738891E-2</v>
      </c>
      <c r="S330" s="9"/>
      <c r="T330" s="7">
        <v>18546</v>
      </c>
      <c r="U330" s="8">
        <f>IFERROR(T330/T444, "NA")</f>
        <v>1.8001708094780692E-2</v>
      </c>
      <c r="V330" s="9"/>
      <c r="W330" s="10">
        <f t="shared" si="82"/>
        <v>-1251.3300000000017</v>
      </c>
      <c r="X330" s="8">
        <f>IFERROR(W330/W444, "NA")</f>
        <v>2.7454656911680825E-2</v>
      </c>
      <c r="Y330" s="9"/>
      <c r="Z330" s="7">
        <v>16504.830000000002</v>
      </c>
      <c r="AA330" s="8">
        <f>IFERROR(Z330/Z444, "NA")</f>
        <v>1.789044108385647E-2</v>
      </c>
      <c r="AB330" s="9"/>
      <c r="AC330" s="10">
        <f t="shared" si="83"/>
        <v>-3292.5</v>
      </c>
      <c r="AD330" s="8">
        <f>IFERROR(AC330/AC444, "NA")</f>
        <v>-5.3013083323041957E-2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1.5189432814196836E-2</v>
      </c>
      <c r="D333" s="9"/>
      <c r="E333" s="7">
        <v>1686</v>
      </c>
      <c r="F333" s="8">
        <f>IFERROR(E333/E444, "NA")</f>
        <v>2.0167550960745764E-2</v>
      </c>
      <c r="G333" s="9"/>
      <c r="H333" s="10">
        <f t="shared" si="80"/>
        <v>-227.97000000000003</v>
      </c>
      <c r="I333" s="8">
        <f>IFERROR(H333/H444, "NA")</f>
        <v>-5.3757583646488897E-3</v>
      </c>
      <c r="J333" s="9"/>
      <c r="K333" s="7">
        <v>1853.78</v>
      </c>
      <c r="L333" s="8">
        <f>IFERROR(K333/K444, "NA")</f>
        <v>2.4613734925617602E-2</v>
      </c>
      <c r="M333" s="9"/>
      <c r="N333" s="10">
        <f t="shared" si="81"/>
        <v>-60.190000000000055</v>
      </c>
      <c r="O333" s="8">
        <f>IFERROR(N333/N444, "NA")</f>
        <v>-1.187371059078172E-3</v>
      </c>
      <c r="P333" s="9"/>
      <c r="Q333" s="7">
        <v>20294.93</v>
      </c>
      <c r="R333" s="8">
        <f>IFERROR(Q333/Q444, "NA")</f>
        <v>2.0611156461905217E-2</v>
      </c>
      <c r="S333" s="9"/>
      <c r="T333" s="7">
        <v>18546</v>
      </c>
      <c r="U333" s="8">
        <f>IFERROR(T333/T444, "NA")</f>
        <v>1.8001708094780692E-2</v>
      </c>
      <c r="V333" s="9"/>
      <c r="W333" s="10">
        <f t="shared" si="82"/>
        <v>-1748.9300000000003</v>
      </c>
      <c r="X333" s="8">
        <f>IFERROR(W333/W444, "NA")</f>
        <v>3.8372190479366665E-2</v>
      </c>
      <c r="Y333" s="9"/>
      <c r="Z333" s="7">
        <v>20602.400000000001</v>
      </c>
      <c r="AA333" s="8">
        <f>IFERROR(Z333/Z444, "NA")</f>
        <v>2.2332009683592287E-2</v>
      </c>
      <c r="AB333" s="9"/>
      <c r="AC333" s="10">
        <f t="shared" si="83"/>
        <v>307.47000000000116</v>
      </c>
      <c r="AD333" s="8">
        <f>IFERROR(AC333/AC444, "NA")</f>
        <v>4.9506249747413127E-3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-2.8096129506784877E-3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8.3483780051614078E-3</v>
      </c>
      <c r="J334" s="9"/>
      <c r="K334" s="7">
        <v>-491.1</v>
      </c>
      <c r="L334" s="8">
        <f>IFERROR(K334/K444, "NA")</f>
        <v>-6.5206255445472514E-3</v>
      </c>
      <c r="M334" s="9"/>
      <c r="N334" s="10">
        <f t="shared" si="81"/>
        <v>-137.07000000000005</v>
      </c>
      <c r="O334" s="8">
        <f>IFERROR(N334/N444, "NA")</f>
        <v>-2.7039865603562876E-3</v>
      </c>
      <c r="P334" s="9"/>
      <c r="Q334" s="7">
        <v>-708.06</v>
      </c>
      <c r="R334" s="8">
        <f>IFERROR(Q334/Q444, "NA")</f>
        <v>-7.1909267213124688E-4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708.06</v>
      </c>
      <c r="X334" s="8">
        <f>IFERROR(W334/W444, "NA")</f>
        <v>-1.5535106145369085E-2</v>
      </c>
      <c r="Y334" s="9"/>
      <c r="Z334" s="7">
        <v>-982.2</v>
      </c>
      <c r="AA334" s="8">
        <f>IFERROR(Z334/Z444, "NA")</f>
        <v>-1.0646575113202512E-3</v>
      </c>
      <c r="AB334" s="9"/>
      <c r="AC334" s="10">
        <f t="shared" si="83"/>
        <v>-274.1400000000001</v>
      </c>
      <c r="AD334" s="8">
        <f>IFERROR(AC334/AC444, "NA")</f>
        <v>-4.4139731699859462E-3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2627.53</v>
      </c>
      <c r="F337" s="8">
        <f>IFERROR(E337/E444, "NA")</f>
        <v>3.142992003314847E-2</v>
      </c>
      <c r="G337" s="9"/>
      <c r="H337" s="10">
        <f t="shared" ref="H337:H344" si="84">IFERROR(-(B337-E337), "NA")</f>
        <v>2627.53</v>
      </c>
      <c r="I337" s="8">
        <f>IFERROR(H337/H444, "NA")</f>
        <v>6.1959759511628271E-2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31196.15</v>
      </c>
      <c r="U337" s="8">
        <f>IFERROR(T337/T444, "NA")</f>
        <v>3.02805988343035E-2</v>
      </c>
      <c r="V337" s="9"/>
      <c r="W337" s="10">
        <f t="shared" ref="W337:W344" si="86">IFERROR(-(Q337-T337), "NA")</f>
        <v>31196.15</v>
      </c>
      <c r="X337" s="8">
        <f>IFERROR(W337/W444, "NA")</f>
        <v>-0.68445541561005541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2070.62</v>
      </c>
      <c r="C338" s="8">
        <f>IFERROR(B338/B444, "NA")</f>
        <v>1.6432620873750504E-2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-2070.62</v>
      </c>
      <c r="I338" s="8">
        <f>IFERROR(H338/H444, "NA")</f>
        <v>-4.8827270189100686E-2</v>
      </c>
      <c r="J338" s="9"/>
      <c r="K338" s="7">
        <v>1883.81</v>
      </c>
      <c r="L338" s="8">
        <f>IFERROR(K338/K444, "NA")</f>
        <v>2.5012461020308609E-2</v>
      </c>
      <c r="M338" s="9"/>
      <c r="N338" s="10">
        <f t="shared" si="85"/>
        <v>-186.80999999999995</v>
      </c>
      <c r="O338" s="8">
        <f>IFERROR(N338/N444, "NA")</f>
        <v>-3.6852099608970434E-3</v>
      </c>
      <c r="P338" s="9"/>
      <c r="Q338" s="7">
        <v>28273.21</v>
      </c>
      <c r="R338" s="8">
        <f>IFERROR(Q338/Q444, "NA")</f>
        <v>2.8713750428816614E-2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-28273.21</v>
      </c>
      <c r="X338" s="8">
        <f>IFERROR(W338/W444, "NA")</f>
        <v>0.62032499847514433</v>
      </c>
      <c r="Y338" s="9"/>
      <c r="Z338" s="7">
        <v>24022.5</v>
      </c>
      <c r="AA338" s="8">
        <f>IFERROR(Z338/Z444, "NA")</f>
        <v>2.6039233420577006E-2</v>
      </c>
      <c r="AB338" s="9"/>
      <c r="AC338" s="10">
        <f t="shared" si="87"/>
        <v>-4250.7099999999991</v>
      </c>
      <c r="AD338" s="8">
        <f>IFERROR(AC338/AC444, "NA")</f>
        <v>-6.8441379927741117E-2</v>
      </c>
    </row>
    <row r="339" spans="1:30" ht="16.5" customHeight="1" x14ac:dyDescent="0.45">
      <c r="A339" s="12" t="s">
        <v>309</v>
      </c>
      <c r="B339" s="7">
        <v>387.62</v>
      </c>
      <c r="C339" s="8">
        <f>IFERROR(B339/B444, "NA")</f>
        <v>3.0761861196565137E-3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-387.62</v>
      </c>
      <c r="I339" s="8">
        <f>IFERROR(H339/H444, "NA")</f>
        <v>-9.1404634702162667E-3</v>
      </c>
      <c r="J339" s="9"/>
      <c r="K339" s="7">
        <v>366.25</v>
      </c>
      <c r="L339" s="8">
        <f>IFERROR(K339/K444, "NA")</f>
        <v>4.8629181545315229E-3</v>
      </c>
      <c r="M339" s="9"/>
      <c r="N339" s="10">
        <f t="shared" si="85"/>
        <v>-21.370000000000005</v>
      </c>
      <c r="O339" s="8">
        <f>IFERROR(N339/N444, "NA")</f>
        <v>-4.2156702994684364E-4</v>
      </c>
      <c r="P339" s="9"/>
      <c r="Q339" s="7">
        <v>3704.03</v>
      </c>
      <c r="R339" s="8">
        <f>IFERROR(Q339/Q444, "NA")</f>
        <v>3.7617445278003317E-3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-3704.03</v>
      </c>
      <c r="X339" s="8">
        <f>IFERROR(W339/W444, "NA")</f>
        <v>8.1267829302080985E-2</v>
      </c>
      <c r="Y339" s="9"/>
      <c r="Z339" s="7">
        <v>3468.49</v>
      </c>
      <c r="AA339" s="8">
        <f>IFERROR(Z339/Z444, "NA")</f>
        <v>3.7596761672156159E-3</v>
      </c>
      <c r="AB339" s="9"/>
      <c r="AC339" s="10">
        <f t="shared" si="87"/>
        <v>-235.54000000000042</v>
      </c>
      <c r="AD339" s="8">
        <f>IFERROR(AC339/AC444, "NA")</f>
        <v>-3.7924682295852165E-3</v>
      </c>
    </row>
    <row r="340" spans="1:30" ht="16.5" customHeight="1" x14ac:dyDescent="0.45">
      <c r="A340" s="12" t="s">
        <v>310</v>
      </c>
      <c r="B340" s="7">
        <v>421.6</v>
      </c>
      <c r="C340" s="8">
        <f>IFERROR(B340/B444, "NA")</f>
        <v>3.3458543626417271E-3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-421.6</v>
      </c>
      <c r="I340" s="8">
        <f>IFERROR(H340/H444, "NA")</f>
        <v>-9.9417455214983186E-3</v>
      </c>
      <c r="J340" s="9"/>
      <c r="K340" s="7">
        <v>239.27</v>
      </c>
      <c r="L340" s="8">
        <f>IFERROR(K340/K444, "NA")</f>
        <v>3.1769294930641843E-3</v>
      </c>
      <c r="M340" s="9"/>
      <c r="N340" s="10">
        <f t="shared" si="85"/>
        <v>-182.33</v>
      </c>
      <c r="O340" s="8">
        <f>IFERROR(N340/N444, "NA")</f>
        <v>-3.5968327828829194E-3</v>
      </c>
      <c r="P340" s="9"/>
      <c r="Q340" s="7">
        <v>4358.8</v>
      </c>
      <c r="R340" s="8">
        <f>IFERROR(Q340/Q444, "NA")</f>
        <v>4.4267168591442521E-3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-4358.8</v>
      </c>
      <c r="X340" s="8">
        <f>IFERROR(W340/W444, "NA")</f>
        <v>9.5633732545878564E-2</v>
      </c>
      <c r="Y340" s="9"/>
      <c r="Z340" s="7">
        <v>3917.56</v>
      </c>
      <c r="AA340" s="8">
        <f>IFERROR(Z340/Z444, "NA")</f>
        <v>4.2464464264383665E-3</v>
      </c>
      <c r="AB340" s="9"/>
      <c r="AC340" s="10">
        <f t="shared" si="87"/>
        <v>-441.24000000000024</v>
      </c>
      <c r="AD340" s="8">
        <f>IFERROR(AC340/AC444, "NA")</f>
        <v>-7.1044777176792855E-3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2879.8399999999997</v>
      </c>
      <c r="C342" s="15">
        <f>IFERROR(B342/B444, "NA")</f>
        <v>2.2854661356048741E-2</v>
      </c>
      <c r="D342" s="2"/>
      <c r="E342" s="14">
        <f>IFERROR(E337+E338+E339+E340+E341, "NA")</f>
        <v>2627.53</v>
      </c>
      <c r="F342" s="15">
        <f>IFERROR(E342/E444, "NA")</f>
        <v>3.142992003314847E-2</v>
      </c>
      <c r="G342" s="2"/>
      <c r="H342" s="14">
        <f t="shared" si="84"/>
        <v>-252.30999999999949</v>
      </c>
      <c r="I342" s="15">
        <f>IFERROR(H342/H444, "NA")</f>
        <v>-5.9497196691869914E-3</v>
      </c>
      <c r="J342" s="2"/>
      <c r="K342" s="14">
        <f>IFERROR(K337+K338+K339+K340+K341, "NA")</f>
        <v>2489.33</v>
      </c>
      <c r="L342" s="15">
        <f>IFERROR(K342/K444, "NA")</f>
        <v>3.3052308667904311E-2</v>
      </c>
      <c r="M342" s="2"/>
      <c r="N342" s="14">
        <f t="shared" si="85"/>
        <v>-390.50999999999976</v>
      </c>
      <c r="O342" s="15">
        <f>IFERROR(N342/N444, "NA")</f>
        <v>-7.7036097737268033E-3</v>
      </c>
      <c r="P342" s="2"/>
      <c r="Q342" s="14">
        <f>IFERROR(Q337+Q338+Q339+Q340+Q341, "NA")</f>
        <v>36336.04</v>
      </c>
      <c r="R342" s="15">
        <f>IFERROR(Q342/Q444, "NA")</f>
        <v>3.6902211815761199E-2</v>
      </c>
      <c r="S342" s="2"/>
      <c r="T342" s="14">
        <f>IFERROR(T337+T338+T339+T340+T341, "NA")</f>
        <v>31196.15</v>
      </c>
      <c r="U342" s="15">
        <f>IFERROR(T342/T444, "NA")</f>
        <v>3.02805988343035E-2</v>
      </c>
      <c r="V342" s="2"/>
      <c r="W342" s="14">
        <f t="shared" si="86"/>
        <v>-5139.8899999999994</v>
      </c>
      <c r="X342" s="15">
        <f>IFERROR(W342/W444, "NA")</f>
        <v>0.11277114471304847</v>
      </c>
      <c r="Y342" s="2"/>
      <c r="Z342" s="14">
        <f>IFERROR(Z337+Z338+Z339+Z340+Z341, "NA")</f>
        <v>31408.55</v>
      </c>
      <c r="AA342" s="15">
        <f>IFERROR(Z342/Z444, "NA")</f>
        <v>3.404535601423099E-2</v>
      </c>
      <c r="AB342" s="2"/>
      <c r="AC342" s="14">
        <f t="shared" si="87"/>
        <v>-4927.4900000000016</v>
      </c>
      <c r="AD342" s="15">
        <f>IFERROR(AC342/AC444, "NA")</f>
        <v>-7.9338325875005652E-2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10723.560000000001</v>
      </c>
      <c r="C343" s="15">
        <f>IFERROR(B343/B444, "NA")</f>
        <v>8.5103107232092787E-2</v>
      </c>
      <c r="D343" s="2"/>
      <c r="E343" s="14">
        <f>IFERROR(E328+E329+E330+E331+E332+E333+E334+E335+E337+E338+E339+E340+E341, "NA")</f>
        <v>10245.44</v>
      </c>
      <c r="F343" s="15">
        <f>IFERROR(E343/E444, "NA")</f>
        <v>0.12255363779078475</v>
      </c>
      <c r="G343" s="2"/>
      <c r="H343" s="14">
        <f t="shared" si="84"/>
        <v>-478.1200000000008</v>
      </c>
      <c r="I343" s="15">
        <f>IFERROR(H343/H444, "NA")</f>
        <v>-1.1274543094731462E-2</v>
      </c>
      <c r="J343" s="2"/>
      <c r="K343" s="14">
        <f>IFERROR(K328+K329+K330+K331+K332+K333+K334+K335+K337+K338+K339+K340+K341, "NA")</f>
        <v>11866.84</v>
      </c>
      <c r="L343" s="15">
        <f>IFERROR(K343/K444, "NA")</f>
        <v>0.15756306258817981</v>
      </c>
      <c r="M343" s="2"/>
      <c r="N343" s="14">
        <f t="shared" si="85"/>
        <v>1143.2799999999988</v>
      </c>
      <c r="O343" s="15">
        <f>IFERROR(N343/N444, "NA")</f>
        <v>2.255354019642615E-2</v>
      </c>
      <c r="P343" s="2"/>
      <c r="Q343" s="14">
        <f>IFERROR(Q328+Q329+Q330+Q331+Q332+Q333+Q334+Q335+Q337+Q338+Q339+Q340+Q341, "NA")</f>
        <v>126295.59999999999</v>
      </c>
      <c r="R343" s="15">
        <f>IFERROR(Q343/Q444, "NA")</f>
        <v>0.12826348117732833</v>
      </c>
      <c r="S343" s="2"/>
      <c r="T343" s="14">
        <f>IFERROR(T328+T329+T330+T331+T332+T333+T334+T335+T337+T338+T339+T340+T341, "NA")</f>
        <v>121527.59</v>
      </c>
      <c r="U343" s="15">
        <f>IFERROR(T343/T444, "NA")</f>
        <v>0.11796097275111556</v>
      </c>
      <c r="V343" s="2"/>
      <c r="W343" s="14">
        <f t="shared" si="86"/>
        <v>-4768.0099999999948</v>
      </c>
      <c r="X343" s="15">
        <f>IFERROR(W343/W444, "NA")</f>
        <v>0.10461195584015645</v>
      </c>
      <c r="Y343" s="2"/>
      <c r="Z343" s="14">
        <f>IFERROR(Z328+Z329+Z330+Z331+Z332+Z333+Z334+Z335+Z337+Z338+Z339+Z340+Z341, "NA")</f>
        <v>137690.70000000001</v>
      </c>
      <c r="AA343" s="15">
        <f>IFERROR(Z343/Z444, "NA")</f>
        <v>0.14925008958862079</v>
      </c>
      <c r="AB343" s="2"/>
      <c r="AC343" s="14">
        <f t="shared" si="87"/>
        <v>11395.10000000002</v>
      </c>
      <c r="AD343" s="15">
        <f>IFERROR(AC343/AC444, "NA")</f>
        <v>0.1834743768487157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10723.560000000001</v>
      </c>
      <c r="C344" s="15">
        <f>IFERROR(B344/B444, "NA")</f>
        <v>8.5103107232092787E-2</v>
      </c>
      <c r="D344" s="2"/>
      <c r="E344" s="14">
        <f>IFERROR(E328+E329+E330+E331+E332+E333+E334+E335+E337+E338+E339+E340+E341, "NA")</f>
        <v>10245.44</v>
      </c>
      <c r="F344" s="15">
        <f>IFERROR(E344/E444, "NA")</f>
        <v>0.12255363779078475</v>
      </c>
      <c r="G344" s="2"/>
      <c r="H344" s="14">
        <f t="shared" si="84"/>
        <v>-478.1200000000008</v>
      </c>
      <c r="I344" s="15">
        <f>IFERROR(H344/H444, "NA")</f>
        <v>-1.1274543094731462E-2</v>
      </c>
      <c r="J344" s="2"/>
      <c r="K344" s="14">
        <f>IFERROR(K328+K329+K330+K331+K332+K333+K334+K335+K337+K338+K339+K340+K341, "NA")</f>
        <v>11866.84</v>
      </c>
      <c r="L344" s="15">
        <f>IFERROR(K344/K444, "NA")</f>
        <v>0.15756306258817981</v>
      </c>
      <c r="M344" s="2"/>
      <c r="N344" s="14">
        <f t="shared" si="85"/>
        <v>1143.2799999999988</v>
      </c>
      <c r="O344" s="15">
        <f>IFERROR(N344/N444, "NA")</f>
        <v>2.255354019642615E-2</v>
      </c>
      <c r="P344" s="2"/>
      <c r="Q344" s="14">
        <f>IFERROR(Q328+Q329+Q330+Q331+Q332+Q333+Q334+Q335+Q337+Q338+Q339+Q340+Q341, "NA")</f>
        <v>126295.59999999999</v>
      </c>
      <c r="R344" s="15">
        <f>IFERROR(Q344/Q444, "NA")</f>
        <v>0.12826348117732833</v>
      </c>
      <c r="S344" s="2"/>
      <c r="T344" s="14">
        <f>IFERROR(T328+T329+T330+T331+T332+T333+T334+T335+T337+T338+T339+T340+T341, "NA")</f>
        <v>121527.59</v>
      </c>
      <c r="U344" s="15">
        <f>IFERROR(T344/T444, "NA")</f>
        <v>0.11796097275111556</v>
      </c>
      <c r="V344" s="2"/>
      <c r="W344" s="14">
        <f t="shared" si="86"/>
        <v>-4768.0099999999948</v>
      </c>
      <c r="X344" s="15">
        <f>IFERROR(W344/W444, "NA")</f>
        <v>0.10461195584015645</v>
      </c>
      <c r="Y344" s="2"/>
      <c r="Z344" s="14">
        <f>IFERROR(Z328+Z329+Z330+Z331+Z332+Z333+Z334+Z335+Z337+Z338+Z339+Z340+Z341, "NA")</f>
        <v>137690.70000000001</v>
      </c>
      <c r="AA344" s="15">
        <f>IFERROR(Z344/Z444, "NA")</f>
        <v>0.14925008958862079</v>
      </c>
      <c r="AB344" s="2"/>
      <c r="AC344" s="14">
        <f t="shared" si="87"/>
        <v>11395.10000000002</v>
      </c>
      <c r="AD344" s="15">
        <f>IFERROR(AC344/AC444, "NA")</f>
        <v>0.1834743768487157</v>
      </c>
    </row>
    <row r="345" spans="1:30" ht="16.5" customHeight="1" x14ac:dyDescent="0.45">
      <c r="A345" s="22" t="s">
        <v>315</v>
      </c>
      <c r="B345" s="23">
        <f>IFERROR(B198-B325-B344, "NA")</f>
        <v>33223.180000000008</v>
      </c>
      <c r="C345" s="24">
        <f>IFERROR(B345/B444, "NA")</f>
        <v>0.26366205347208582</v>
      </c>
      <c r="D345" s="25"/>
      <c r="E345" s="23">
        <f>IFERROR(E198-E325-E344, "NA")</f>
        <v>6135.5899999999801</v>
      </c>
      <c r="F345" s="24">
        <f>IFERROR(E345/E444, "NA")</f>
        <v>7.3392540924817146E-2</v>
      </c>
      <c r="G345" s="25"/>
      <c r="H345" s="23">
        <f>IFERROR(B345-E345, "NA")</f>
        <v>27087.590000000026</v>
      </c>
      <c r="I345" s="24">
        <f>IFERROR(H345/H444, "NA")</f>
        <v>0.63875219774829906</v>
      </c>
      <c r="J345" s="25"/>
      <c r="K345" s="23">
        <f>IFERROR(K198-K325-K344, "NA")</f>
        <v>-7560.9300000000221</v>
      </c>
      <c r="L345" s="24">
        <f>IFERROR(K345/K444, "NA")</f>
        <v>-0.10039094542564406</v>
      </c>
      <c r="M345" s="25"/>
      <c r="N345" s="23">
        <f>IFERROR(B345-K345, "NA")</f>
        <v>40784.11000000003</v>
      </c>
      <c r="O345" s="24">
        <f>IFERROR(N345/N444, "NA")</f>
        <v>0.80455012268251636</v>
      </c>
      <c r="P345" s="25"/>
      <c r="Q345" s="23">
        <f>IFERROR(Q198-Q325-Q344, "NA")</f>
        <v>35404.37999999967</v>
      </c>
      <c r="R345" s="24">
        <f>IFERROR(Q345/Q444, "NA")</f>
        <v>3.5956035109100698E-2</v>
      </c>
      <c r="S345" s="25"/>
      <c r="T345" s="23">
        <f>IFERROR(T198-T325-T344, "NA")</f>
        <v>117826.58999999991</v>
      </c>
      <c r="U345" s="24">
        <f>IFERROR(T345/T444, "NA")</f>
        <v>0.1143685904768362</v>
      </c>
      <c r="V345" s="25"/>
      <c r="W345" s="23">
        <f>IFERROR(Q345-T345, "NA")</f>
        <v>-82422.210000000239</v>
      </c>
      <c r="X345" s="24">
        <f>IFERROR(W345/W444, "NA")</f>
        <v>1.8083746872947279</v>
      </c>
      <c r="Y345" s="25"/>
      <c r="Z345" s="23">
        <f>IFERROR(Z198-Z325-Z344, "NA")</f>
        <v>-7805.9600000001083</v>
      </c>
      <c r="AA345" s="24">
        <f>IFERROR(Z345/Z444, "NA")</f>
        <v>-8.4612848168046668E-3</v>
      </c>
      <c r="AB345" s="25"/>
      <c r="AC345" s="23">
        <f>IFERROR(Q345-Z345, "NA")</f>
        <v>43210.339999999778</v>
      </c>
      <c r="AD345" s="24">
        <f>IFERROR(AC345/AC444, "NA")</f>
        <v>0.69573678203096767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33223.180000000008</v>
      </c>
      <c r="C404" s="24">
        <f>IFERROR(B404/B444, "NA")</f>
        <v>0.26366205347208582</v>
      </c>
      <c r="D404" s="25"/>
      <c r="E404" s="23">
        <f>IFERROR(E345-E403, "NA")</f>
        <v>6135.5899999999801</v>
      </c>
      <c r="F404" s="24">
        <f>IFERROR(E404/E444, "NA")</f>
        <v>7.3392540924817146E-2</v>
      </c>
      <c r="G404" s="25"/>
      <c r="H404" s="23">
        <f>IFERROR(B404-E404, "NA")</f>
        <v>27087.590000000026</v>
      </c>
      <c r="I404" s="24">
        <f>IFERROR(H404/H444, "NA")</f>
        <v>0.63875219774829906</v>
      </c>
      <c r="J404" s="25"/>
      <c r="K404" s="23">
        <f>IFERROR(K345-K403, "NA")</f>
        <v>-7560.9300000000221</v>
      </c>
      <c r="L404" s="24">
        <f>IFERROR(K404/K444, "NA")</f>
        <v>-0.10039094542564406</v>
      </c>
      <c r="M404" s="25"/>
      <c r="N404" s="23">
        <f>IFERROR(B404-K404, "NA")</f>
        <v>40784.11000000003</v>
      </c>
      <c r="O404" s="24">
        <f>IFERROR(N404/N444, "NA")</f>
        <v>0.80455012268251636</v>
      </c>
      <c r="P404" s="25"/>
      <c r="Q404" s="23">
        <f>IFERROR(Q345-Q403, "NA")</f>
        <v>35404.37999999967</v>
      </c>
      <c r="R404" s="24">
        <f>IFERROR(Q404/Q444, "NA")</f>
        <v>3.5956035109100698E-2</v>
      </c>
      <c r="S404" s="25"/>
      <c r="T404" s="23">
        <f>IFERROR(T345-T403, "NA")</f>
        <v>117826.58999999991</v>
      </c>
      <c r="U404" s="24">
        <f>IFERROR(T404/T444, "NA")</f>
        <v>0.1143685904768362</v>
      </c>
      <c r="V404" s="25"/>
      <c r="W404" s="23">
        <f>IFERROR(Q404-T404, "NA")</f>
        <v>-82422.210000000239</v>
      </c>
      <c r="X404" s="24">
        <f>IFERROR(W404/W444, "NA")</f>
        <v>1.8083746872947279</v>
      </c>
      <c r="Y404" s="25"/>
      <c r="Z404" s="23">
        <f>IFERROR(Z345-Z403, "NA")</f>
        <v>-7805.9600000001083</v>
      </c>
      <c r="AA404" s="24">
        <f>IFERROR(Z404/Z444, "NA")</f>
        <v>-8.4612848168046668E-3</v>
      </c>
      <c r="AB404" s="25"/>
      <c r="AC404" s="23">
        <f>IFERROR(Q404-Z404, "NA")</f>
        <v>43210.339999999778</v>
      </c>
      <c r="AD404" s="24">
        <f>IFERROR(AC404/AC444, "NA")</f>
        <v>0.69573678203096767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-6.3842943180761336E-2</v>
      </c>
      <c r="AB407" s="9"/>
      <c r="AC407" s="10">
        <f t="shared" ref="AC407:AC429" si="103">IFERROR(-(Q407-Z407), "NA")</f>
        <v>-58898.32</v>
      </c>
      <c r="AD407" s="8">
        <f>IFERROR(AC407/AC444, "NA")</f>
        <v>-0.94833152490423345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2284.3200000000002</v>
      </c>
      <c r="AA408" s="8">
        <f>IFERROR(Z408/Z444, "NA")</f>
        <v>2.4760928998768849E-3</v>
      </c>
      <c r="AB408" s="9"/>
      <c r="AC408" s="10">
        <f t="shared" si="103"/>
        <v>2284.3200000000002</v>
      </c>
      <c r="AD408" s="8">
        <f>IFERROR(AC408/AC444, "NA")</f>
        <v>3.6780211540316236E-2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4837.84</v>
      </c>
      <c r="C410" s="8">
        <f>IFERROR(B410/B444, "NA")</f>
        <v>3.8393520089569859E-2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-4837.84</v>
      </c>
      <c r="I410" s="8">
        <f>IFERROR(H410/H444, "NA")</f>
        <v>-0.11408105823938669</v>
      </c>
      <c r="J410" s="9"/>
      <c r="K410" s="7">
        <v>3786.64</v>
      </c>
      <c r="L410" s="8">
        <f>IFERROR(K410/K444, "NA")</f>
        <v>5.0277461844847084E-2</v>
      </c>
      <c r="M410" s="9"/>
      <c r="N410" s="10">
        <f t="shared" si="101"/>
        <v>-1051.2000000000003</v>
      </c>
      <c r="O410" s="8">
        <f>IFERROR(N410/N444, "NA")</f>
        <v>-2.0737073555457279E-2</v>
      </c>
      <c r="P410" s="9"/>
      <c r="Q410" s="7">
        <v>46966.31</v>
      </c>
      <c r="R410" s="8">
        <f>IFERROR(Q410/Q444, "NA")</f>
        <v>4.7698117896851258E-2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-46966.31</v>
      </c>
      <c r="X410" s="8">
        <f>IFERROR(W410/W444, "NA")</f>
        <v>1.0304587338732727</v>
      </c>
      <c r="Y410" s="9"/>
      <c r="Z410" s="7">
        <v>39671.599999999999</v>
      </c>
      <c r="AA410" s="8">
        <f>IFERROR(Z410/Z444, "NA")</f>
        <v>4.3002104384129991E-2</v>
      </c>
      <c r="AB410" s="9"/>
      <c r="AC410" s="10">
        <f t="shared" si="103"/>
        <v>-7294.7099999999991</v>
      </c>
      <c r="AD410" s="8">
        <f>IFERROR(AC410/AC444, "NA")</f>
        <v>-0.11745332393240011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-28.22</v>
      </c>
      <c r="C417" s="8">
        <f>IFERROR(B417/B444, "NA")</f>
        <v>-2.2395638072521235E-4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28.22</v>
      </c>
      <c r="I417" s="8">
        <f>IFERROR(H417/H444, "NA")</f>
        <v>6.654555470035165E-4</v>
      </c>
      <c r="J417" s="9"/>
      <c r="K417" s="7">
        <v>-13.16</v>
      </c>
      <c r="L417" s="8">
        <f>IFERROR(K417/K444, "NA")</f>
        <v>-1.7473311375736474E-4</v>
      </c>
      <c r="M417" s="9"/>
      <c r="N417" s="10">
        <f t="shared" si="101"/>
        <v>15.059999999999999</v>
      </c>
      <c r="O417" s="8">
        <f>IFERROR(N417/N444, "NA")</f>
        <v>2.9708935287784104E-4</v>
      </c>
      <c r="P417" s="9"/>
      <c r="Q417" s="7">
        <v>-52.78</v>
      </c>
      <c r="R417" s="8">
        <f>IFERROR(Q417/Q444, "NA")</f>
        <v>-5.3602394196942652E-5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52.78</v>
      </c>
      <c r="X417" s="8">
        <f>IFERROR(W417/W444, "NA")</f>
        <v>-1.1580133072798639E-3</v>
      </c>
      <c r="Y417" s="9"/>
      <c r="Z417" s="7">
        <v>-56.46</v>
      </c>
      <c r="AA417" s="8">
        <f>IFERROR(Z417/Z444, "NA")</f>
        <v>-6.1199921695318044E-5</v>
      </c>
      <c r="AB417" s="9"/>
      <c r="AC417" s="10">
        <f t="shared" si="103"/>
        <v>-3.6799999999999997</v>
      </c>
      <c r="AD417" s="8">
        <f>IFERROR(AC417/AC444, "NA")</f>
        <v>-5.9252284473437931E-5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4.3626184792748737E-3</v>
      </c>
      <c r="M424" s="9"/>
      <c r="N424" s="10">
        <f t="shared" si="101"/>
        <v>328.57</v>
      </c>
      <c r="O424" s="8">
        <f>IFERROR(N424/N444, "NA")</f>
        <v>6.4817163794868684E-3</v>
      </c>
      <c r="P424" s="9"/>
      <c r="Q424" s="7">
        <v>239.6</v>
      </c>
      <c r="R424" s="8">
        <f>IFERROR(Q424/Q444, "NA")</f>
        <v>2.4333333932526446E-4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5.256915278974145E-3</v>
      </c>
      <c r="Y424" s="9"/>
      <c r="Z424" s="7">
        <v>1971.42</v>
      </c>
      <c r="AA424" s="8">
        <f>IFERROR(Z424/Z444, "NA")</f>
        <v>2.13692436465788E-3</v>
      </c>
      <c r="AB424" s="9"/>
      <c r="AC424" s="10">
        <f t="shared" si="103"/>
        <v>1731.8200000000002</v>
      </c>
      <c r="AD424" s="8">
        <f>IFERROR(AC424/AC444, "NA")</f>
        <v>2.7884318287171004E-2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-130.18</v>
      </c>
      <c r="C426" s="8">
        <f>IFERROR(B426/B444, "NA")</f>
        <v>-1.0331198314248104E-3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130.18</v>
      </c>
      <c r="I426" s="8">
        <f>IFERROR(H426/H444, "NA")</f>
        <v>3.0697733206561935E-3</v>
      </c>
      <c r="J426" s="9"/>
      <c r="K426" s="7">
        <v>-177.07</v>
      </c>
      <c r="L426" s="8">
        <f>IFERROR(K426/K444, "NA")</f>
        <v>-2.3510632563082503E-3</v>
      </c>
      <c r="M426" s="9"/>
      <c r="N426" s="10">
        <f t="shared" si="101"/>
        <v>-46.889999999999986</v>
      </c>
      <c r="O426" s="8">
        <f>IFERROR(N426/N444, "NA")</f>
        <v>-9.2500131184873602E-4</v>
      </c>
      <c r="P426" s="9"/>
      <c r="Q426" s="7">
        <v>-1468.71</v>
      </c>
      <c r="R426" s="8">
        <f>IFERROR(Q426/Q444, "NA")</f>
        <v>-1.4915947779649799E-3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1468.71</v>
      </c>
      <c r="X426" s="8">
        <f>IFERROR(W426/W444, "NA")</f>
        <v>-3.2224056925634875E-2</v>
      </c>
      <c r="Y426" s="9"/>
      <c r="Z426" s="7">
        <v>-1880.41</v>
      </c>
      <c r="AA426" s="8">
        <f>IFERROR(Z426/Z444, "NA")</f>
        <v>-2.0382739063955547E-3</v>
      </c>
      <c r="AB426" s="9"/>
      <c r="AC426" s="10">
        <f t="shared" si="103"/>
        <v>-411.70000000000005</v>
      </c>
      <c r="AD426" s="8">
        <f>IFERROR(AC426/AC444, "NA")</f>
        <v>-6.6288493254658696E-3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4679.4399999999996</v>
      </c>
      <c r="C428" s="15">
        <f>IFERROR(B428/B444, "NA")</f>
        <v>3.7136443877419829E-2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-4679.4399999999996</v>
      </c>
      <c r="I428" s="15">
        <f>IFERROR(H428/H444, "NA")</f>
        <v>-0.11034582937172696</v>
      </c>
      <c r="J428" s="2"/>
      <c r="K428" s="14">
        <f>IFERROR(K407+K408+K409+K410+K411+K412+K413+K414+K415+K416+K417+K418+K419+K420+K421+K422+K423+K424+K425+K426+K427, "NA")</f>
        <v>3924.98</v>
      </c>
      <c r="L428" s="15">
        <f>IFERROR(K428/K444, "NA")</f>
        <v>5.2114283954056345E-2</v>
      </c>
      <c r="M428" s="2"/>
      <c r="N428" s="14">
        <f t="shared" si="101"/>
        <v>-754.45999999999958</v>
      </c>
      <c r="O428" s="15">
        <f>IFERROR(N428/N444, "NA")</f>
        <v>-1.4883269134941292E-2</v>
      </c>
      <c r="P428" s="2"/>
      <c r="Q428" s="14">
        <f>IFERROR(Q407+Q408+Q409+Q410+Q411+Q412+Q413+Q414+Q415+Q416+Q417+Q418+Q419+Q420+Q421+Q422+Q423+Q424+Q425+Q426+Q427, "NA")</f>
        <v>45684.42</v>
      </c>
      <c r="R428" s="15">
        <f>IFERROR(Q428/Q444, "NA")</f>
        <v>4.6396254064014604E-2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-45684.42</v>
      </c>
      <c r="X428" s="15">
        <f>IFERROR(W428/W444, "NA")</f>
        <v>1.0023335789193322</v>
      </c>
      <c r="Y428" s="2"/>
      <c r="Z428" s="14">
        <f>IFERROR(Z407+Z408+Z409+Z410+Z411+Z412+Z413+Z414+Z415+Z416+Z417+Z418+Z419+Z420+Z421+Z422+Z423+Z424+Z425+Z426+Z427, "NA")</f>
        <v>-16907.850000000002</v>
      </c>
      <c r="AA428" s="15">
        <f>IFERROR(Z428/Z444, "NA")</f>
        <v>-1.832729536018745E-2</v>
      </c>
      <c r="AB428" s="2"/>
      <c r="AC428" s="14">
        <f t="shared" si="103"/>
        <v>-62592.270000000004</v>
      </c>
      <c r="AD428" s="15">
        <f>IFERROR(AC428/AC444, "NA")</f>
        <v>-1.0078084206190856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4679.4399999999996</v>
      </c>
      <c r="C429" s="15">
        <f>IFERROR(B429/B444, "NA")</f>
        <v>3.7136443877419829E-2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-4679.4399999999996</v>
      </c>
      <c r="I429" s="15">
        <f>IFERROR(H429/H444, "NA")</f>
        <v>-0.11034582937172696</v>
      </c>
      <c r="J429" s="2"/>
      <c r="K429" s="14">
        <f>IFERROR(K407+K408+K409+K410+K411+K412+K413+K414+K415+K416+K417+K418+K419+K420+K421+K422+K423+K424+K425+K426+K427, "NA")</f>
        <v>3924.98</v>
      </c>
      <c r="L429" s="15">
        <f>IFERROR(K429/K444, "NA")</f>
        <v>5.2114283954056345E-2</v>
      </c>
      <c r="M429" s="2"/>
      <c r="N429" s="14">
        <f t="shared" si="101"/>
        <v>-754.45999999999958</v>
      </c>
      <c r="O429" s="15">
        <f>IFERROR(N429/N444, "NA")</f>
        <v>-1.4883269134941292E-2</v>
      </c>
      <c r="P429" s="2"/>
      <c r="Q429" s="14">
        <f>IFERROR(Q407+Q408+Q409+Q410+Q411+Q412+Q413+Q414+Q415+Q416+Q417+Q418+Q419+Q420+Q421+Q422+Q423+Q424+Q425+Q426+Q427, "NA")</f>
        <v>45684.42</v>
      </c>
      <c r="R429" s="15">
        <f>IFERROR(Q429/Q444, "NA")</f>
        <v>4.6396254064014604E-2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-45684.42</v>
      </c>
      <c r="X429" s="15">
        <f>IFERROR(W429/W444, "NA")</f>
        <v>1.0023335789193322</v>
      </c>
      <c r="Y429" s="2"/>
      <c r="Z429" s="14">
        <f>IFERROR(Z407+Z408+Z409+Z410+Z411+Z412+Z413+Z414+Z415+Z416+Z417+Z418+Z419+Z420+Z421+Z422+Z423+Z424+Z425+Z426+Z427, "NA")</f>
        <v>-16907.850000000002</v>
      </c>
      <c r="AA429" s="15">
        <f>IFERROR(Z429/Z444, "NA")</f>
        <v>-1.832729536018745E-2</v>
      </c>
      <c r="AB429" s="2"/>
      <c r="AC429" s="14">
        <f t="shared" si="103"/>
        <v>-62592.270000000004</v>
      </c>
      <c r="AD429" s="15">
        <f>IFERROR(AC429/AC444, "NA")</f>
        <v>-1.0078084206190856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28543.740000000009</v>
      </c>
      <c r="C443" s="24">
        <f>IFERROR(B443/B444, "NA")</f>
        <v>0.22652560959466603</v>
      </c>
      <c r="D443" s="25"/>
      <c r="E443" s="23">
        <f>IFERROR(E404-E429-E442, "NA")</f>
        <v>6135.5899999999801</v>
      </c>
      <c r="F443" s="24">
        <f>IFERROR(E443/E444, "NA")</f>
        <v>7.3392540924817146E-2</v>
      </c>
      <c r="G443" s="25"/>
      <c r="H443" s="23">
        <f>IFERROR(B443-E443, "NA")</f>
        <v>22408.150000000031</v>
      </c>
      <c r="I443" s="24">
        <f>IFERROR(H443/H444, "NA")</f>
        <v>0.52840636837657229</v>
      </c>
      <c r="J443" s="25"/>
      <c r="K443" s="23">
        <f>IFERROR(K404-K429-K442, "NA")</f>
        <v>-11485.910000000022</v>
      </c>
      <c r="L443" s="24">
        <f>IFERROR(K443/K444, "NA")</f>
        <v>-0.1525052293797004</v>
      </c>
      <c r="M443" s="25"/>
      <c r="N443" s="23">
        <f>IFERROR(B443-K443, "NA")</f>
        <v>40029.650000000031</v>
      </c>
      <c r="O443" s="24">
        <f>IFERROR(N443/N444, "NA")</f>
        <v>0.78966685354757504</v>
      </c>
      <c r="P443" s="25"/>
      <c r="Q443" s="23">
        <f>IFERROR(Q404-Q429-Q442, "NA")</f>
        <v>-10280.040000000328</v>
      </c>
      <c r="R443" s="24">
        <f>IFERROR(Q443/Q444, "NA")</f>
        <v>-1.0440218954913906E-2</v>
      </c>
      <c r="S443" s="25"/>
      <c r="T443" s="23">
        <f>IFERROR(T404-T429-T442, "NA")</f>
        <v>117826.58999999991</v>
      </c>
      <c r="U443" s="24">
        <f>IFERROR(T443/T444, "NA")</f>
        <v>0.1143685904768362</v>
      </c>
      <c r="V443" s="25"/>
      <c r="W443" s="23">
        <f>IFERROR(Q443-T443, "NA")</f>
        <v>-128106.63000000024</v>
      </c>
      <c r="X443" s="24">
        <f>IFERROR(W443/W444, "NA")</f>
        <v>2.8107082662140601</v>
      </c>
      <c r="Y443" s="25"/>
      <c r="Z443" s="23">
        <f>IFERROR(Z404-Z429-Z442, "NA")</f>
        <v>9101.8899999998939</v>
      </c>
      <c r="AA443" s="24">
        <f>IFERROR(Z443/Z444, "NA")</f>
        <v>9.8660105433827829E-3</v>
      </c>
      <c r="AB443" s="25"/>
      <c r="AC443" s="23">
        <f>IFERROR(Q443-Z443, "NA")</f>
        <v>-19381.930000000222</v>
      </c>
      <c r="AD443" s="24">
        <f>IFERROR(AC443/AC444, "NA")</f>
        <v>-0.31207163858811798</v>
      </c>
    </row>
    <row r="444" spans="1:30" ht="15.75" hidden="1" x14ac:dyDescent="0.45">
      <c r="A444" s="26" t="s">
        <v>117</v>
      </c>
      <c r="B444" s="7">
        <v>126006.68</v>
      </c>
      <c r="C444" s="27"/>
      <c r="D444" s="9"/>
      <c r="E444" s="7">
        <v>83599.64</v>
      </c>
      <c r="F444" s="27"/>
      <c r="G444" s="9"/>
      <c r="H444" s="10">
        <f>IFERROR(B444-E444, "NA")</f>
        <v>42407.039999999994</v>
      </c>
      <c r="I444" s="27"/>
      <c r="J444" s="9"/>
      <c r="K444" s="7">
        <v>75314.86</v>
      </c>
      <c r="L444" s="27"/>
      <c r="M444" s="9"/>
      <c r="N444" s="10">
        <f>IFERROR(B444-K444, "NA")</f>
        <v>50691.819999999992</v>
      </c>
      <c r="O444" s="27"/>
      <c r="P444" s="9"/>
      <c r="Q444" s="7">
        <v>984657.51</v>
      </c>
      <c r="R444" s="27"/>
      <c r="S444" s="9"/>
      <c r="T444" s="7">
        <v>1030235.57</v>
      </c>
      <c r="U444" s="27"/>
      <c r="V444" s="9"/>
      <c r="W444" s="10">
        <f>IFERROR(Q444-T444, "NA")</f>
        <v>-45578.059999999939</v>
      </c>
      <c r="X444" s="27"/>
      <c r="Y444" s="9"/>
      <c r="Z444" s="7">
        <v>922550.2</v>
      </c>
      <c r="AA444" s="27"/>
      <c r="AB444" s="9"/>
      <c r="AC444" s="10">
        <f>IFERROR(Q444-Z444, "NA")</f>
        <v>62107.310000000056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54074.5</v>
      </c>
      <c r="F10" s="8">
        <f>IFERROR(E10/E444, "NA")</f>
        <v>0.24000000710131414</v>
      </c>
      <c r="G10" s="9"/>
      <c r="H10" s="10">
        <f t="shared" ref="H10:H19" si="0">IFERROR(B10-E10, "NA")</f>
        <v>-54074.5</v>
      </c>
      <c r="I10" s="8">
        <f>IFERROR(H10/H444, "NA")</f>
        <v>16.974187695601255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491107.06</v>
      </c>
      <c r="U10" s="8">
        <f>IFERROR(T10/T444, "NA")</f>
        <v>0.23999999726332588</v>
      </c>
      <c r="V10" s="9"/>
      <c r="W10" s="10">
        <f t="shared" ref="W10:W19" si="2">IFERROR(Q10-T10, "NA")</f>
        <v>-491107.06</v>
      </c>
      <c r="X10" s="8">
        <f>IFERROR(W10/W444, "NA")</f>
        <v>404.46299682101375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41920.31</v>
      </c>
      <c r="C11" s="8">
        <f>IFERROR(B11/B444, "NA")</f>
        <v>0.18872419962982956</v>
      </c>
      <c r="D11" s="9"/>
      <c r="E11" s="7">
        <v>0</v>
      </c>
      <c r="F11" s="8">
        <f>IFERROR(E11/E444, "NA")</f>
        <v>0</v>
      </c>
      <c r="G11" s="9"/>
      <c r="H11" s="10">
        <f t="shared" si="0"/>
        <v>41920.31</v>
      </c>
      <c r="I11" s="8">
        <f>IFERROR(H11/H444, "NA")</f>
        <v>-13.158942018840492</v>
      </c>
      <c r="J11" s="9"/>
      <c r="K11" s="7">
        <v>53112.76</v>
      </c>
      <c r="L11" s="8">
        <f>IFERROR(K11/K444, "NA")</f>
        <v>0.26401949715722794</v>
      </c>
      <c r="M11" s="9"/>
      <c r="N11" s="10">
        <f t="shared" si="1"/>
        <v>-11192.450000000004</v>
      </c>
      <c r="O11" s="8">
        <f>IFERROR(N11/N444, "NA")</f>
        <v>-0.53412140751939419</v>
      </c>
      <c r="P11" s="9"/>
      <c r="Q11" s="7">
        <v>550983.53</v>
      </c>
      <c r="R11" s="8">
        <f>IFERROR(Q11/Q444, "NA")</f>
        <v>0.26942100653396278</v>
      </c>
      <c r="S11" s="9"/>
      <c r="T11" s="7">
        <v>0</v>
      </c>
      <c r="U11" s="8">
        <f>IFERROR(T11/T444, "NA")</f>
        <v>0</v>
      </c>
      <c r="V11" s="9"/>
      <c r="W11" s="10">
        <f t="shared" si="2"/>
        <v>550983.53</v>
      </c>
      <c r="X11" s="8">
        <f>IFERROR(W11/W444, "NA")</f>
        <v>-453.77569962610789</v>
      </c>
      <c r="Y11" s="9"/>
      <c r="Z11" s="7">
        <v>456450.99</v>
      </c>
      <c r="AA11" s="8">
        <f>IFERROR(Z11/Z444, "NA")</f>
        <v>0.24522960812646125</v>
      </c>
      <c r="AB11" s="9"/>
      <c r="AC11" s="10">
        <f t="shared" si="3"/>
        <v>94532.540000000037</v>
      </c>
      <c r="AD11" s="8">
        <f>IFERROR(AC11/AC444, "NA")</f>
        <v>0.51447865006345228</v>
      </c>
    </row>
    <row r="12" spans="1:30" ht="16.5" customHeight="1" x14ac:dyDescent="0.45">
      <c r="A12" s="12" t="s">
        <v>14</v>
      </c>
      <c r="B12" s="7">
        <v>4056.25</v>
      </c>
      <c r="C12" s="8">
        <f>IFERROR(B12/B444, "NA")</f>
        <v>1.82611372565827E-2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4056.25</v>
      </c>
      <c r="I12" s="8">
        <f>IFERROR(H12/H444, "NA")</f>
        <v>-1.2732720383967044</v>
      </c>
      <c r="J12" s="9"/>
      <c r="K12" s="7">
        <v>3266</v>
      </c>
      <c r="L12" s="8">
        <f>IFERROR(K12/K444, "NA")</f>
        <v>1.6235038015638924E-2</v>
      </c>
      <c r="M12" s="9"/>
      <c r="N12" s="10">
        <f t="shared" si="1"/>
        <v>790.25</v>
      </c>
      <c r="O12" s="8">
        <f>IFERROR(N12/N444, "NA")</f>
        <v>3.771197926210982E-2</v>
      </c>
      <c r="P12" s="9"/>
      <c r="Q12" s="7">
        <v>53036.94</v>
      </c>
      <c r="R12" s="8">
        <f>IFERROR(Q12/Q444, "NA")</f>
        <v>2.5934106883887059E-2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53036.94</v>
      </c>
      <c r="X12" s="8">
        <f>IFERROR(W12/W444, "NA")</f>
        <v>-43.679843850374084</v>
      </c>
      <c r="Y12" s="9"/>
      <c r="Z12" s="7">
        <v>39475.449999999997</v>
      </c>
      <c r="AA12" s="8">
        <f>IFERROR(Z12/Z444, "NA")</f>
        <v>2.1208299130024266E-2</v>
      </c>
      <c r="AB12" s="9"/>
      <c r="AC12" s="10">
        <f t="shared" si="3"/>
        <v>13561.490000000005</v>
      </c>
      <c r="AD12" s="8">
        <f>IFERROR(AC12/AC444, "NA")</f>
        <v>7.3806300645777714E-2</v>
      </c>
    </row>
    <row r="13" spans="1:30" ht="16.5" customHeight="1" x14ac:dyDescent="0.45">
      <c r="A13" s="12" t="s">
        <v>15</v>
      </c>
      <c r="B13" s="7">
        <v>156</v>
      </c>
      <c r="C13" s="8">
        <f>IFERROR(B13/B444, "NA")</f>
        <v>7.0230814472157805E-4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156</v>
      </c>
      <c r="I13" s="8">
        <f>IFERROR(H13/H444, "NA")</f>
        <v>-4.8968983171620552E-2</v>
      </c>
      <c r="J13" s="9"/>
      <c r="K13" s="7">
        <v>196</v>
      </c>
      <c r="L13" s="8">
        <f>IFERROR(K13/K444, "NA")</f>
        <v>9.7430111790117245E-4</v>
      </c>
      <c r="M13" s="9"/>
      <c r="N13" s="10">
        <f t="shared" si="1"/>
        <v>-40</v>
      </c>
      <c r="O13" s="8">
        <f>IFERROR(N13/N444, "NA")</f>
        <v>-1.9088632337670266E-3</v>
      </c>
      <c r="P13" s="9"/>
      <c r="Q13" s="7">
        <v>3193</v>
      </c>
      <c r="R13" s="8">
        <f>IFERROR(Q13/Q444, "NA")</f>
        <v>1.5613193988991707E-3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3193</v>
      </c>
      <c r="X13" s="8">
        <f>IFERROR(W13/W444, "NA")</f>
        <v>-2.6296717234109743</v>
      </c>
      <c r="Y13" s="9"/>
      <c r="Z13" s="7">
        <v>2713</v>
      </c>
      <c r="AA13" s="8">
        <f>IFERROR(Z13/Z444, "NA")</f>
        <v>1.4575670585073972E-3</v>
      </c>
      <c r="AB13" s="9"/>
      <c r="AC13" s="10">
        <f t="shared" si="3"/>
        <v>480</v>
      </c>
      <c r="AD13" s="8">
        <f>IFERROR(AC13/AC444, "NA")</f>
        <v>2.6123253646887831E-3</v>
      </c>
    </row>
    <row r="14" spans="1:30" ht="16.5" customHeight="1" x14ac:dyDescent="0.45">
      <c r="A14" s="12" t="s">
        <v>16</v>
      </c>
      <c r="B14" s="7">
        <v>45</v>
      </c>
      <c r="C14" s="8">
        <f>IFERROR(B14/B444, "NA")</f>
        <v>2.0258888790045519E-4</v>
      </c>
      <c r="D14" s="9"/>
      <c r="E14" s="7">
        <v>0</v>
      </c>
      <c r="F14" s="8">
        <f>IFERROR(E14/E444, "NA")</f>
        <v>0</v>
      </c>
      <c r="G14" s="9"/>
      <c r="H14" s="10">
        <f t="shared" si="0"/>
        <v>45</v>
      </c>
      <c r="I14" s="8">
        <f>IFERROR(H14/H444, "NA")</f>
        <v>-1.4125668222582852E-2</v>
      </c>
      <c r="J14" s="9"/>
      <c r="K14" s="7">
        <v>365</v>
      </c>
      <c r="L14" s="8">
        <f>IFERROR(K14/K444, "NA")</f>
        <v>1.8143872858873875E-3</v>
      </c>
      <c r="M14" s="9"/>
      <c r="N14" s="10">
        <f t="shared" si="1"/>
        <v>-320</v>
      </c>
      <c r="O14" s="8">
        <f>IFERROR(N14/N444, "NA")</f>
        <v>-1.5270905870136213E-2</v>
      </c>
      <c r="P14" s="9"/>
      <c r="Q14" s="7">
        <v>3315</v>
      </c>
      <c r="R14" s="8">
        <f>IFERROR(Q14/Q444, "NA")</f>
        <v>1.6209751980428282E-3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3315</v>
      </c>
      <c r="X14" s="8">
        <f>IFERROR(W14/W444, "NA")</f>
        <v>-2.7301477491723709</v>
      </c>
      <c r="Y14" s="9"/>
      <c r="Z14" s="7">
        <v>6877</v>
      </c>
      <c r="AA14" s="8">
        <f>IFERROR(Z14/Z444, "NA")</f>
        <v>3.6946880432566793E-3</v>
      </c>
      <c r="AB14" s="9"/>
      <c r="AC14" s="10">
        <f t="shared" si="3"/>
        <v>-3562</v>
      </c>
      <c r="AD14" s="8">
        <f>IFERROR(AC14/AC444, "NA")</f>
        <v>-1.9385631143794678E-2</v>
      </c>
    </row>
    <row r="15" spans="1:30" ht="16.5" customHeight="1" x14ac:dyDescent="0.45">
      <c r="A15" s="12" t="s">
        <v>17</v>
      </c>
      <c r="B15" s="7">
        <v>40</v>
      </c>
      <c r="C15" s="8">
        <f>IFERROR(B15/B444, "NA")</f>
        <v>1.8007901146707128E-4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40</v>
      </c>
      <c r="I15" s="8">
        <f>IFERROR(H15/H444, "NA")</f>
        <v>-1.2556149531184758E-2</v>
      </c>
      <c r="J15" s="9"/>
      <c r="K15" s="7">
        <v>77</v>
      </c>
      <c r="L15" s="8">
        <f>IFERROR(K15/K444, "NA")</f>
        <v>3.8276115346117488E-4</v>
      </c>
      <c r="M15" s="9"/>
      <c r="N15" s="10">
        <f t="shared" si="1"/>
        <v>-37</v>
      </c>
      <c r="O15" s="8">
        <f>IFERROR(N15/N444, "NA")</f>
        <v>-1.7656984912344997E-3</v>
      </c>
      <c r="P15" s="9"/>
      <c r="Q15" s="7">
        <v>894</v>
      </c>
      <c r="R15" s="8">
        <f>IFERROR(Q15/Q444, "NA")</f>
        <v>4.3714987241335999E-4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894</v>
      </c>
      <c r="X15" s="8">
        <f>IFERROR(W15/W444, "NA")</f>
        <v>-0.73627513959580682</v>
      </c>
      <c r="Y15" s="9"/>
      <c r="Z15" s="7">
        <v>958</v>
      </c>
      <c r="AA15" s="8">
        <f>IFERROR(Z15/Z444, "NA")</f>
        <v>5.1468825729822582E-4</v>
      </c>
      <c r="AB15" s="9"/>
      <c r="AC15" s="10">
        <f t="shared" si="3"/>
        <v>-64</v>
      </c>
      <c r="AD15" s="8">
        <f>IFERROR(AC15/AC444, "NA")</f>
        <v>-3.4831004862517111E-4</v>
      </c>
    </row>
    <row r="16" spans="1:30" ht="16.5" customHeight="1" x14ac:dyDescent="0.45">
      <c r="A16" s="12" t="s">
        <v>18</v>
      </c>
      <c r="B16" s="7">
        <v>0.22</v>
      </c>
      <c r="C16" s="8">
        <f>IFERROR(B16/B444, "NA")</f>
        <v>9.9043456306889215E-7</v>
      </c>
      <c r="D16" s="9"/>
      <c r="E16" s="7">
        <v>0</v>
      </c>
      <c r="F16" s="8">
        <f>IFERROR(E16/E444, "NA")</f>
        <v>0</v>
      </c>
      <c r="G16" s="9"/>
      <c r="H16" s="10">
        <f t="shared" si="0"/>
        <v>0.22</v>
      </c>
      <c r="I16" s="8">
        <f>IFERROR(H16/H444, "NA")</f>
        <v>-6.9058822421516172E-5</v>
      </c>
      <c r="J16" s="9"/>
      <c r="K16" s="7">
        <v>1.1000000000000001</v>
      </c>
      <c r="L16" s="8">
        <f>IFERROR(K16/K444, "NA")</f>
        <v>5.4680164780167846E-6</v>
      </c>
      <c r="M16" s="9"/>
      <c r="N16" s="10">
        <f t="shared" si="1"/>
        <v>-0.88000000000000012</v>
      </c>
      <c r="O16" s="8">
        <f>IFERROR(N16/N444, "NA")</f>
        <v>-4.1994991142874593E-5</v>
      </c>
      <c r="P16" s="9"/>
      <c r="Q16" s="7">
        <v>4.33</v>
      </c>
      <c r="R16" s="8">
        <f>IFERROR(Q16/Q444, "NA")</f>
        <v>2.1172918876396521E-6</v>
      </c>
      <c r="S16" s="9"/>
      <c r="T16" s="7">
        <v>0</v>
      </c>
      <c r="U16" s="8">
        <f>IFERROR(T16/T444, "NA")</f>
        <v>0</v>
      </c>
      <c r="V16" s="9"/>
      <c r="W16" s="10">
        <f t="shared" si="2"/>
        <v>4.33</v>
      </c>
      <c r="X16" s="8">
        <f>IFERROR(W16/W444, "NA")</f>
        <v>-3.5660753405479233E-3</v>
      </c>
      <c r="Y16" s="9"/>
      <c r="Z16" s="7">
        <v>2.1</v>
      </c>
      <c r="AA16" s="8">
        <f>IFERROR(Z16/Z444, "NA")</f>
        <v>1.1282310441819145E-6</v>
      </c>
      <c r="AB16" s="9"/>
      <c r="AC16" s="10">
        <f t="shared" si="3"/>
        <v>2.23</v>
      </c>
      <c r="AD16" s="8">
        <f>IFERROR(AC16/AC444, "NA")</f>
        <v>1.2136428256783306E-5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46217.78</v>
      </c>
      <c r="C18" s="15">
        <f>IFERROR(B18/B444, "NA")</f>
        <v>0.20807130336506444</v>
      </c>
      <c r="D18" s="2"/>
      <c r="E18" s="14">
        <f>IFERROR(E10+E11+E12+E13+E14+E15+E16+E17, "NA")</f>
        <v>54074.5</v>
      </c>
      <c r="F18" s="15">
        <f>IFERROR(E18/E444, "NA")</f>
        <v>0.24000000710131414</v>
      </c>
      <c r="G18" s="2"/>
      <c r="H18" s="14">
        <f t="shared" si="0"/>
        <v>-7856.7200000000012</v>
      </c>
      <c r="I18" s="15">
        <f>IFERROR(H18/H444, "NA")</f>
        <v>2.4662537786162479</v>
      </c>
      <c r="J18" s="2"/>
      <c r="K18" s="14">
        <f>IFERROR(K10+K11+K12+K13+K14+K15+K16+K17, "NA")</f>
        <v>57017.86</v>
      </c>
      <c r="L18" s="15">
        <f>IFERROR(K18/K444, "NA")</f>
        <v>0.28343145274659465</v>
      </c>
      <c r="M18" s="2"/>
      <c r="N18" s="14">
        <f t="shared" si="1"/>
        <v>-10800.080000000002</v>
      </c>
      <c r="O18" s="15">
        <f>IFERROR(N18/N444, "NA")</f>
        <v>-0.51539689084356477</v>
      </c>
      <c r="P18" s="2"/>
      <c r="Q18" s="14">
        <f>IFERROR(Q10+Q11+Q12+Q13+Q14+Q15+Q16+Q17, "NA")</f>
        <v>611426.79999999993</v>
      </c>
      <c r="R18" s="15">
        <f>IFERROR(Q18/Q444, "NA")</f>
        <v>0.29897667517909277</v>
      </c>
      <c r="S18" s="2"/>
      <c r="T18" s="14">
        <f>IFERROR(T10+T11+T12+T13+T14+T15+T16+T17, "NA")</f>
        <v>491107.06</v>
      </c>
      <c r="U18" s="15">
        <f>IFERROR(T18/T444, "NA")</f>
        <v>0.23999999726332588</v>
      </c>
      <c r="V18" s="2"/>
      <c r="W18" s="14">
        <f t="shared" si="2"/>
        <v>120319.73999999993</v>
      </c>
      <c r="X18" s="15">
        <f>IFERROR(W18/W444, "NA")</f>
        <v>-99.092207342987848</v>
      </c>
      <c r="Y18" s="2"/>
      <c r="Z18" s="14">
        <f>IFERROR(Z10+Z11+Z12+Z13+Z14+Z15+Z16+Z17, "NA")</f>
        <v>506476.54</v>
      </c>
      <c r="AA18" s="15">
        <f>IFERROR(Z18/Z444, "NA")</f>
        <v>0.27210597884659199</v>
      </c>
      <c r="AB18" s="2"/>
      <c r="AC18" s="14">
        <f t="shared" si="3"/>
        <v>104950.25999999995</v>
      </c>
      <c r="AD18" s="15">
        <f>IFERROR(AC18/AC444, "NA")</f>
        <v>0.57117547130975521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12617.38</v>
      </c>
      <c r="F21" s="8">
        <f>IFERROR(E21/E444, "NA")</f>
        <v>5.5999986862568837E-2</v>
      </c>
      <c r="G21" s="9"/>
      <c r="H21" s="10">
        <f t="shared" ref="H21:H29" si="4">IFERROR(B21-E21, "NA")</f>
        <v>-12617.38</v>
      </c>
      <c r="I21" s="8">
        <f>IFERROR(H21/H444, "NA")</f>
        <v>3.960642749294498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114591.65</v>
      </c>
      <c r="U21" s="8">
        <f>IFERROR(T21/T444, "NA")</f>
        <v>5.600000066462086E-2</v>
      </c>
      <c r="V21" s="9"/>
      <c r="W21" s="10">
        <f t="shared" ref="W21:W29" si="6">IFERROR(Q21-T21, "NA")</f>
        <v>-114591.65</v>
      </c>
      <c r="X21" s="8">
        <f>IFERROR(W21/W444, "NA")</f>
        <v>94.374701454433819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7989.97</v>
      </c>
      <c r="C22" s="8">
        <f>IFERROR(B22/B444, "NA")</f>
        <v>3.5970647481288892E-2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7989.97</v>
      </c>
      <c r="I22" s="8">
        <f>IFERROR(H22/H444, "NA")</f>
        <v>-2.5080814517420071</v>
      </c>
      <c r="J22" s="9"/>
      <c r="K22" s="7">
        <v>6870.3</v>
      </c>
      <c r="L22" s="8">
        <f>IFERROR(K22/K444, "NA")</f>
        <v>3.415173964447156E-2</v>
      </c>
      <c r="M22" s="9"/>
      <c r="N22" s="10">
        <f t="shared" si="5"/>
        <v>1119.67</v>
      </c>
      <c r="O22" s="8">
        <f>IFERROR(N22/N444, "NA")</f>
        <v>5.343242242379817E-2</v>
      </c>
      <c r="P22" s="9"/>
      <c r="Q22" s="7">
        <v>88359.93</v>
      </c>
      <c r="R22" s="8">
        <f>IFERROR(Q22/Q444, "NA")</f>
        <v>4.320641177399711E-2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88359.93</v>
      </c>
      <c r="X22" s="8">
        <f>IFERROR(W22/W444, "NA")</f>
        <v>-72.770939368485145</v>
      </c>
      <c r="Y22" s="9"/>
      <c r="Z22" s="7">
        <v>74502.62</v>
      </c>
      <c r="AA22" s="8">
        <f>IFERROR(Z22/Z444, "NA")</f>
        <v>4.0026747027089707E-2</v>
      </c>
      <c r="AB22" s="9"/>
      <c r="AC22" s="10">
        <f t="shared" si="7"/>
        <v>13857.309999999998</v>
      </c>
      <c r="AD22" s="8">
        <f>IFERROR(AC22/AC444, "NA")</f>
        <v>7.5416254998657326E-2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1435.19</v>
      </c>
      <c r="C24" s="8">
        <f>IFERROR(B24/B444, "NA")</f>
        <v>6.4611899116856514E-3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1435.19</v>
      </c>
      <c r="I24" s="8">
        <f>IFERROR(H24/H444, "NA")</f>
        <v>-0.45051150614152635</v>
      </c>
      <c r="J24" s="9"/>
      <c r="K24" s="7">
        <v>1454.38</v>
      </c>
      <c r="L24" s="8">
        <f>IFERROR(K24/K444, "NA")</f>
        <v>7.2296125502709554E-3</v>
      </c>
      <c r="M24" s="9"/>
      <c r="N24" s="10">
        <f t="shared" si="5"/>
        <v>-19.190000000000055</v>
      </c>
      <c r="O24" s="8">
        <f>IFERROR(N24/N444, "NA")</f>
        <v>-9.1577713639973363E-4</v>
      </c>
      <c r="P24" s="9"/>
      <c r="Q24" s="7">
        <v>16872.009999999998</v>
      </c>
      <c r="R24" s="8">
        <f>IFERROR(Q24/Q444, "NA")</f>
        <v>8.2501085222113357E-3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16872.009999999998</v>
      </c>
      <c r="X24" s="8">
        <f>IFERROR(W24/W444, "NA")</f>
        <v>-13.895348454151955</v>
      </c>
      <c r="Y24" s="9"/>
      <c r="Z24" s="7">
        <v>8499.41</v>
      </c>
      <c r="AA24" s="8">
        <f>IFERROR(Z24/Z444, "NA")</f>
        <v>4.5663324853477171E-3</v>
      </c>
      <c r="AB24" s="9"/>
      <c r="AC24" s="10">
        <f t="shared" si="7"/>
        <v>8372.5999999999985</v>
      </c>
      <c r="AD24" s="8">
        <f>IFERROR(AC24/AC444, "NA")</f>
        <v>4.556657364248605E-2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1557.48</v>
      </c>
      <c r="C26" s="8">
        <f>IFERROR(B26/B444, "NA")</f>
        <v>7.011736469493355E-3</v>
      </c>
      <c r="D26" s="9"/>
      <c r="E26" s="7">
        <v>0</v>
      </c>
      <c r="F26" s="8">
        <f>IFERROR(E26/E444, "NA")</f>
        <v>0</v>
      </c>
      <c r="G26" s="9"/>
      <c r="H26" s="10">
        <f t="shared" si="4"/>
        <v>1557.48</v>
      </c>
      <c r="I26" s="8">
        <f>IFERROR(H26/H444, "NA")</f>
        <v>-0.4888987942957409</v>
      </c>
      <c r="J26" s="9"/>
      <c r="K26" s="7">
        <v>1304.9100000000001</v>
      </c>
      <c r="L26" s="8">
        <f>IFERROR(K26/K444, "NA")</f>
        <v>6.4866085293898935E-3</v>
      </c>
      <c r="M26" s="9"/>
      <c r="N26" s="10">
        <f t="shared" si="5"/>
        <v>252.56999999999994</v>
      </c>
      <c r="O26" s="8">
        <f>IFERROR(N26/N444, "NA")</f>
        <v>1.2053039673813444E-2</v>
      </c>
      <c r="P26" s="9"/>
      <c r="Q26" s="7">
        <v>22093.26</v>
      </c>
      <c r="R26" s="8">
        <f>IFERROR(Q26/Q444, "NA")</f>
        <v>1.0803205581873813E-2</v>
      </c>
      <c r="S26" s="9"/>
      <c r="T26" s="7">
        <v>0</v>
      </c>
      <c r="U26" s="8">
        <f>IFERROR(T26/T444, "NA")</f>
        <v>0</v>
      </c>
      <c r="V26" s="9"/>
      <c r="W26" s="10">
        <f t="shared" si="6"/>
        <v>22093.26</v>
      </c>
      <c r="X26" s="8">
        <f>IFERROR(W26/W444, "NA")</f>
        <v>-18.195434105846147</v>
      </c>
      <c r="Y26" s="9"/>
      <c r="Z26" s="7">
        <v>19315.91</v>
      </c>
      <c r="AA26" s="8">
        <f>IFERROR(Z26/Z444, "NA")</f>
        <v>1.0377528242201851E-2</v>
      </c>
      <c r="AB26" s="9"/>
      <c r="AC26" s="10">
        <f t="shared" si="7"/>
        <v>2777.3499999999985</v>
      </c>
      <c r="AD26" s="8">
        <f>IFERROR(AC26/AC444, "NA")</f>
        <v>1.5115295524204975E-2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179.91</v>
      </c>
      <c r="AA27" s="8">
        <f>IFERROR(Z27/Z444, "NA")</f>
        <v>9.6657165313699165E-5</v>
      </c>
      <c r="AB27" s="9"/>
      <c r="AC27" s="10">
        <f t="shared" si="7"/>
        <v>-179.91</v>
      </c>
      <c r="AD27" s="8">
        <f>IFERROR(AC27/AC444, "NA")</f>
        <v>-9.7913220075241465E-4</v>
      </c>
    </row>
    <row r="28" spans="1:30" ht="16.5" customHeight="1" x14ac:dyDescent="0.45">
      <c r="A28" s="12" t="s">
        <v>29</v>
      </c>
      <c r="B28" s="7">
        <v>844.59</v>
      </c>
      <c r="C28" s="8">
        <f>IFERROR(B28/B444, "NA")</f>
        <v>3.8023233073743437E-3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844.59</v>
      </c>
      <c r="I28" s="8">
        <f>IFERROR(H28/H444, "NA")</f>
        <v>-0.26511995831358337</v>
      </c>
      <c r="J28" s="9"/>
      <c r="K28" s="7">
        <v>652.91</v>
      </c>
      <c r="L28" s="8">
        <f>IFERROR(K28/K444, "NA")</f>
        <v>3.2455660351472168E-3</v>
      </c>
      <c r="M28" s="9"/>
      <c r="N28" s="10">
        <f t="shared" si="5"/>
        <v>191.68000000000006</v>
      </c>
      <c r="O28" s="8">
        <f>IFERROR(N28/N444, "NA")</f>
        <v>9.1472726162115953E-3</v>
      </c>
      <c r="P28" s="9"/>
      <c r="Q28" s="7">
        <v>9200.64</v>
      </c>
      <c r="R28" s="8">
        <f>IFERROR(Q28/Q444, "NA")</f>
        <v>4.4989469822385416E-3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9200.64</v>
      </c>
      <c r="X28" s="8">
        <f>IFERROR(W28/W444, "NA")</f>
        <v>-7.5774077185355297</v>
      </c>
      <c r="Y28" s="9"/>
      <c r="Z28" s="7">
        <v>8087.53</v>
      </c>
      <c r="AA28" s="8">
        <f>IFERROR(Z28/Z444, "NA")</f>
        <v>4.3450487698821708E-3</v>
      </c>
      <c r="AB28" s="9"/>
      <c r="AC28" s="10">
        <f t="shared" si="7"/>
        <v>1113.1099999999997</v>
      </c>
      <c r="AD28" s="8">
        <f>IFERROR(AC28/AC444, "NA")</f>
        <v>6.0579280972681889E-3</v>
      </c>
    </row>
    <row r="29" spans="1:30" ht="16.5" customHeight="1" x14ac:dyDescent="0.45">
      <c r="A29" s="13" t="s">
        <v>30</v>
      </c>
      <c r="B29" s="14">
        <f>IFERROR(B21+B22+B23+B24+B25+B26+B27+B28, "NA")</f>
        <v>11827.23</v>
      </c>
      <c r="C29" s="15">
        <f>IFERROR(B29/B444, "NA")</f>
        <v>5.3245897169842238E-2</v>
      </c>
      <c r="D29" s="2"/>
      <c r="E29" s="14">
        <f>IFERROR(E21+E22+E23+E24+E25+E26+E27+E28, "NA")</f>
        <v>12617.38</v>
      </c>
      <c r="F29" s="15">
        <f>IFERROR(E29/E444, "NA")</f>
        <v>5.5999986862568837E-2</v>
      </c>
      <c r="G29" s="2"/>
      <c r="H29" s="14">
        <f t="shared" si="4"/>
        <v>-790.14999999999964</v>
      </c>
      <c r="I29" s="15">
        <f>IFERROR(H29/H444, "NA")</f>
        <v>0.24803103880164079</v>
      </c>
      <c r="J29" s="2"/>
      <c r="K29" s="14">
        <f>IFERROR(K21+K22+K23+K24+K25+K26+K27+K28, "NA")</f>
        <v>10282.5</v>
      </c>
      <c r="L29" s="15">
        <f>IFERROR(K29/K444, "NA")</f>
        <v>5.1113526759279625E-2</v>
      </c>
      <c r="M29" s="2"/>
      <c r="N29" s="14">
        <f t="shared" si="5"/>
        <v>1544.7299999999996</v>
      </c>
      <c r="O29" s="15">
        <f>IFERROR(N29/N444, "NA")</f>
        <v>7.3716957577423456E-2</v>
      </c>
      <c r="P29" s="2"/>
      <c r="Q29" s="14">
        <f>IFERROR(Q21+Q22+Q23+Q24+Q25+Q26+Q27+Q28, "NA")</f>
        <v>136525.83999999997</v>
      </c>
      <c r="R29" s="15">
        <f>IFERROR(Q29/Q444, "NA")</f>
        <v>6.6758672860320792E-2</v>
      </c>
      <c r="S29" s="2"/>
      <c r="T29" s="14">
        <f>IFERROR(T21+T22+T23+T24+T25+T26+T27+T28, "NA")</f>
        <v>114591.65</v>
      </c>
      <c r="U29" s="15">
        <f>IFERROR(T29/T444, "NA")</f>
        <v>5.600000066462086E-2</v>
      </c>
      <c r="V29" s="2"/>
      <c r="W29" s="14">
        <f t="shared" si="6"/>
        <v>21934.189999999973</v>
      </c>
      <c r="X29" s="15">
        <f>IFERROR(W29/W444, "NA")</f>
        <v>-18.064428192584934</v>
      </c>
      <c r="Y29" s="2"/>
      <c r="Z29" s="14">
        <f>IFERROR(Z21+Z22+Z23+Z24+Z25+Z26+Z27+Z28, "NA")</f>
        <v>110585.38</v>
      </c>
      <c r="AA29" s="15">
        <f>IFERROR(Z29/Z444, "NA")</f>
        <v>5.9412313689835149E-2</v>
      </c>
      <c r="AB29" s="2"/>
      <c r="AC29" s="14">
        <f t="shared" si="7"/>
        <v>25940.459999999963</v>
      </c>
      <c r="AD29" s="15">
        <f>IFERROR(AC29/AC444, "NA")</f>
        <v>0.14117692006186394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60608.5</v>
      </c>
      <c r="F31" s="8">
        <f>IFERROR(E31/E444, "NA")</f>
        <v>0.26899999871288682</v>
      </c>
      <c r="G31" s="9"/>
      <c r="H31" s="10">
        <f t="shared" ref="H31:H40" si="8">IFERROR(B31-E31, "NA")</f>
        <v>-60608.5</v>
      </c>
      <c r="I31" s="8">
        <f>IFERROR(H31/H444, "NA")</f>
        <v>19.025234721520285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550449.18000000005</v>
      </c>
      <c r="U31" s="8">
        <f>IFERROR(T31/T444, "NA")</f>
        <v>0.26900000519968087</v>
      </c>
      <c r="V31" s="9"/>
      <c r="W31" s="10">
        <f t="shared" ref="W31:W40" si="10">IFERROR(Q31-T31, "NA")</f>
        <v>-550449.18000000005</v>
      </c>
      <c r="X31" s="8">
        <f>IFERROR(W31/W444, "NA")</f>
        <v>453.33562286901281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19661.189999999999</v>
      </c>
      <c r="C33" s="8">
        <f>IFERROR(B33/B444, "NA")</f>
        <v>8.8514191486656679E-2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19661.189999999999</v>
      </c>
      <c r="I33" s="8">
        <f>IFERROR(H33/H444, "NA")</f>
        <v>-6.1717210400258606</v>
      </c>
      <c r="J33" s="9"/>
      <c r="K33" s="7">
        <v>26057.01</v>
      </c>
      <c r="L33" s="8">
        <f>IFERROR(K33/K444, "NA")</f>
        <v>0.12952741822531647</v>
      </c>
      <c r="M33" s="9"/>
      <c r="N33" s="10">
        <f t="shared" si="9"/>
        <v>-6395.82</v>
      </c>
      <c r="O33" s="8">
        <f>IFERROR(N33/N444, "NA")</f>
        <v>-0.30521864119479558</v>
      </c>
      <c r="P33" s="9"/>
      <c r="Q33" s="7">
        <v>214402.32</v>
      </c>
      <c r="R33" s="8">
        <f>IFERROR(Q33/Q444, "NA")</f>
        <v>0.10483886670372303</v>
      </c>
      <c r="S33" s="9"/>
      <c r="T33" s="7">
        <v>0</v>
      </c>
      <c r="U33" s="8">
        <f>IFERROR(T33/T444, "NA")</f>
        <v>0</v>
      </c>
      <c r="V33" s="9"/>
      <c r="W33" s="10">
        <f t="shared" si="10"/>
        <v>214402.32</v>
      </c>
      <c r="X33" s="8">
        <f>IFERROR(W33/W444, "NA")</f>
        <v>-176.57617235756695</v>
      </c>
      <c r="Y33" s="9"/>
      <c r="Z33" s="7">
        <v>189739.38</v>
      </c>
      <c r="AA33" s="8">
        <f>IFERROR(Z33/Z444, "NA")</f>
        <v>0.10193802800944242</v>
      </c>
      <c r="AB33" s="9"/>
      <c r="AC33" s="10">
        <f t="shared" si="11"/>
        <v>24662.940000000002</v>
      </c>
      <c r="AD33" s="8">
        <f>IFERROR(AC33/AC444, "NA")</f>
        <v>0.13422421610374496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1552.91</v>
      </c>
      <c r="C35" s="8">
        <f>IFERROR(B35/B444, "NA")</f>
        <v>6.9911624424332424E-3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1552.91</v>
      </c>
      <c r="I35" s="8">
        <f>IFERROR(H35/H444, "NA")</f>
        <v>-0.48746425421180306</v>
      </c>
      <c r="J35" s="9"/>
      <c r="K35" s="7">
        <v>1904.52</v>
      </c>
      <c r="L35" s="8">
        <f>IFERROR(K35/K444, "NA")</f>
        <v>9.4672243115568426E-3</v>
      </c>
      <c r="M35" s="9"/>
      <c r="N35" s="10">
        <f t="shared" si="9"/>
        <v>-351.6099999999999</v>
      </c>
      <c r="O35" s="8">
        <f>IFERROR(N35/N444, "NA")</f>
        <v>-1.6779385040620601E-2</v>
      </c>
      <c r="P35" s="9"/>
      <c r="Q35" s="7">
        <v>20961.75</v>
      </c>
      <c r="R35" s="8">
        <f>IFERROR(Q35/Q444, "NA")</f>
        <v>1.0249917604094798E-2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20961.75</v>
      </c>
      <c r="X35" s="8">
        <f>IFERROR(W35/W444, "NA")</f>
        <v>-17.263551909868461</v>
      </c>
      <c r="Y35" s="9"/>
      <c r="Z35" s="7">
        <v>9485.4599999999991</v>
      </c>
      <c r="AA35" s="8">
        <f>IFERROR(Z35/Z444, "NA")</f>
        <v>5.0960906858789441E-3</v>
      </c>
      <c r="AB35" s="9"/>
      <c r="AC35" s="10">
        <f t="shared" si="11"/>
        <v>11476.29</v>
      </c>
      <c r="AD35" s="8">
        <f>IFERROR(AC35/AC444, "NA")</f>
        <v>6.2457923874008829E-2</v>
      </c>
    </row>
    <row r="36" spans="1:30" ht="16.5" customHeight="1" x14ac:dyDescent="0.45">
      <c r="A36" s="12" t="s">
        <v>36</v>
      </c>
      <c r="B36" s="7">
        <v>25357.9</v>
      </c>
      <c r="C36" s="8">
        <f>IFERROR(B36/B444, "NA")</f>
        <v>0.11416063912202118</v>
      </c>
      <c r="D36" s="9"/>
      <c r="E36" s="7">
        <v>0</v>
      </c>
      <c r="F36" s="8">
        <f>IFERROR(E36/E444, "NA")</f>
        <v>0</v>
      </c>
      <c r="G36" s="9"/>
      <c r="H36" s="10">
        <f t="shared" si="8"/>
        <v>25357.9</v>
      </c>
      <c r="I36" s="8">
        <f>IFERROR(H36/H444, "NA")</f>
        <v>-7.9599396049207494</v>
      </c>
      <c r="J36" s="9"/>
      <c r="K36" s="7">
        <v>22579.99</v>
      </c>
      <c r="L36" s="8">
        <f>IFERROR(K36/K444, "NA")</f>
        <v>0.1122434158122311</v>
      </c>
      <c r="M36" s="9"/>
      <c r="N36" s="10">
        <f t="shared" si="9"/>
        <v>2777.91</v>
      </c>
      <c r="O36" s="8">
        <f>IFERROR(N36/N444, "NA")</f>
        <v>0.13256625664284402</v>
      </c>
      <c r="P36" s="9"/>
      <c r="Q36" s="7">
        <v>221741.14</v>
      </c>
      <c r="R36" s="8">
        <f>IFERROR(Q36/Q444, "NA")</f>
        <v>0.10842741729283334</v>
      </c>
      <c r="S36" s="9"/>
      <c r="T36" s="7">
        <v>0</v>
      </c>
      <c r="U36" s="8">
        <f>IFERROR(T36/T444, "NA")</f>
        <v>0</v>
      </c>
      <c r="V36" s="9"/>
      <c r="W36" s="10">
        <f t="shared" si="10"/>
        <v>221741.14</v>
      </c>
      <c r="X36" s="8">
        <f>IFERROR(W36/W444, "NA")</f>
        <v>-182.62023356558541</v>
      </c>
      <c r="Y36" s="9"/>
      <c r="Z36" s="7">
        <v>228536.12</v>
      </c>
      <c r="AA36" s="8">
        <f>IFERROR(Z36/Z444, "NA")</f>
        <v>0.12278168823851587</v>
      </c>
      <c r="AB36" s="9"/>
      <c r="AC36" s="10">
        <f t="shared" si="11"/>
        <v>-6794.9799999999814</v>
      </c>
      <c r="AD36" s="8">
        <f>IFERROR(AC36/AC444, "NA")</f>
        <v>-3.6980622096985293E-2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2001.92</v>
      </c>
      <c r="C39" s="8">
        <f>IFERROR(B39/B444, "NA")</f>
        <v>9.0125943659039847E-3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2001.92</v>
      </c>
      <c r="I39" s="8">
        <f>IFERROR(H39/H444, "NA")</f>
        <v>-0.62841017173673475</v>
      </c>
      <c r="J39" s="9"/>
      <c r="K39" s="7">
        <v>2275.4</v>
      </c>
      <c r="L39" s="8">
        <f>IFERROR(K39/K444, "NA")</f>
        <v>1.1310840630981265E-2</v>
      </c>
      <c r="M39" s="9"/>
      <c r="N39" s="10">
        <f t="shared" si="9"/>
        <v>-273.48</v>
      </c>
      <c r="O39" s="8">
        <f>IFERROR(N39/N444, "NA")</f>
        <v>-1.3050897929265162E-2</v>
      </c>
      <c r="P39" s="9"/>
      <c r="Q39" s="7">
        <v>26966.81</v>
      </c>
      <c r="R39" s="8">
        <f>IFERROR(Q39/Q444, "NA")</f>
        <v>1.3186283613976869E-2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26966.81</v>
      </c>
      <c r="X39" s="8">
        <f>IFERROR(W39/W444, "NA")</f>
        <v>-22.209163084120359</v>
      </c>
      <c r="Y39" s="9"/>
      <c r="Z39" s="7">
        <v>21590.83</v>
      </c>
      <c r="AA39" s="8">
        <f>IFERROR(Z39/Z444, "NA")</f>
        <v>1.1599735559835338E-2</v>
      </c>
      <c r="AB39" s="9"/>
      <c r="AC39" s="10">
        <f t="shared" si="11"/>
        <v>5375.98</v>
      </c>
      <c r="AD39" s="8">
        <f>IFERROR(AC39/AC444, "NA")</f>
        <v>2.9257935237624176E-2</v>
      </c>
    </row>
    <row r="40" spans="1:30" ht="16.5" customHeight="1" x14ac:dyDescent="0.45">
      <c r="A40" s="13" t="s">
        <v>40</v>
      </c>
      <c r="B40" s="14">
        <f>IFERROR(B31+B32+B33+B34+B35+B36+B37+B38+B39, "NA")</f>
        <v>48573.919999999998</v>
      </c>
      <c r="C40" s="15">
        <f>IFERROR(B40/B444, "NA")</f>
        <v>0.21867858741701507</v>
      </c>
      <c r="D40" s="2"/>
      <c r="E40" s="14">
        <f>IFERROR(E31+E32+E33+E34+E35+E36+E37+E38+E39, "NA")</f>
        <v>60608.5</v>
      </c>
      <c r="F40" s="15">
        <f>IFERROR(E40/E444, "NA")</f>
        <v>0.26899999871288682</v>
      </c>
      <c r="G40" s="2"/>
      <c r="H40" s="14">
        <f t="shared" si="8"/>
        <v>-12034.580000000002</v>
      </c>
      <c r="I40" s="15">
        <f>IFERROR(H40/H444, "NA")</f>
        <v>3.777699650625137</v>
      </c>
      <c r="J40" s="2"/>
      <c r="K40" s="14">
        <f>IFERROR(K31+K32+K33+K34+K35+K36+K37+K38+K39, "NA")</f>
        <v>52816.920000000006</v>
      </c>
      <c r="L40" s="15">
        <f>IFERROR(K40/K444, "NA")</f>
        <v>0.26254889898008571</v>
      </c>
      <c r="M40" s="2"/>
      <c r="N40" s="14">
        <f t="shared" si="9"/>
        <v>-4243.0000000000073</v>
      </c>
      <c r="O40" s="15">
        <f>IFERROR(N40/N444, "NA")</f>
        <v>-0.20248266752183769</v>
      </c>
      <c r="P40" s="2"/>
      <c r="Q40" s="14">
        <f>IFERROR(Q31+Q32+Q33+Q34+Q35+Q36+Q37+Q38+Q39, "NA")</f>
        <v>484072.02</v>
      </c>
      <c r="R40" s="15">
        <f>IFERROR(Q40/Q444, "NA")</f>
        <v>0.23670248521462803</v>
      </c>
      <c r="S40" s="2"/>
      <c r="T40" s="14">
        <f>IFERROR(T31+T32+T33+T34+T35+T36+T37+T38+T39, "NA")</f>
        <v>550449.18000000005</v>
      </c>
      <c r="U40" s="15">
        <f>IFERROR(T40/T444, "NA")</f>
        <v>0.26900000519968087</v>
      </c>
      <c r="V40" s="2"/>
      <c r="W40" s="14">
        <f t="shared" si="10"/>
        <v>-66377.160000000033</v>
      </c>
      <c r="X40" s="15">
        <f>IFERROR(W40/W444, "NA")</f>
        <v>54.666501951871624</v>
      </c>
      <c r="Y40" s="2"/>
      <c r="Z40" s="14">
        <f>IFERROR(Z31+Z32+Z33+Z34+Z35+Z36+Z37+Z38+Z39, "NA")</f>
        <v>449351.79</v>
      </c>
      <c r="AA40" s="15">
        <f>IFERROR(Z40/Z444, "NA")</f>
        <v>0.24141554249367256</v>
      </c>
      <c r="AB40" s="2"/>
      <c r="AC40" s="14">
        <f t="shared" si="11"/>
        <v>34720.23000000004</v>
      </c>
      <c r="AD40" s="15">
        <f>IFERROR(AC40/AC444, "NA")</f>
        <v>0.1889594531183928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10904.7</v>
      </c>
      <c r="C43" s="8">
        <f>IFERROR(B43/B444, "NA")</f>
        <v>4.909268990862431E-2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10904.7</v>
      </c>
      <c r="I43" s="8">
        <f>IFERROR(H43/H444, "NA")</f>
        <v>-3.4230260948177609</v>
      </c>
      <c r="J43" s="9"/>
      <c r="K43" s="7">
        <v>17137.79</v>
      </c>
      <c r="L43" s="8">
        <f>IFERROR(K43/K444, "NA")</f>
        <v>8.5190652833446609E-2</v>
      </c>
      <c r="M43" s="9"/>
      <c r="N43" s="10">
        <f>IFERROR(B43-K43, "NA")</f>
        <v>-6233.09</v>
      </c>
      <c r="O43" s="8">
        <f>IFERROR(N43/N444, "NA")</f>
        <v>-0.29745290834402288</v>
      </c>
      <c r="P43" s="9"/>
      <c r="Q43" s="7">
        <v>146601.45000000001</v>
      </c>
      <c r="R43" s="8">
        <f>IFERROR(Q43/Q444, "NA")</f>
        <v>7.1685464388270226E-2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146601.45000000001</v>
      </c>
      <c r="X43" s="8">
        <f>IFERROR(W43/W444, "NA")</f>
        <v>-120.73713989227932</v>
      </c>
      <c r="Y43" s="9"/>
      <c r="Z43" s="7">
        <v>69108.899999999994</v>
      </c>
      <c r="AA43" s="8">
        <f>IFERROR(Z43/Z444, "NA")</f>
        <v>3.7128955432982627E-2</v>
      </c>
      <c r="AB43" s="9"/>
      <c r="AC43" s="10">
        <f>IFERROR(Q43-Z43, "NA")</f>
        <v>77492.550000000017</v>
      </c>
      <c r="AD43" s="8">
        <f>IFERROR(AC43/AC444, "NA")</f>
        <v>0.42174115404044543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99361.89</v>
      </c>
      <c r="F46" s="8">
        <f>IFERROR(E46/E444, "NA")</f>
        <v>0.44099999640495968</v>
      </c>
      <c r="G46" s="9"/>
      <c r="H46" s="10">
        <f t="shared" ref="H46:H62" si="12">IFERROR(B46-E46, "NA")</f>
        <v>-99361.89</v>
      </c>
      <c r="I46" s="8">
        <f>IFERROR(H46/H444, "NA")</f>
        <v>31.190068713528287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902409.25</v>
      </c>
      <c r="U46" s="8">
        <f>IFERROR(T46/T444, "NA")</f>
        <v>0.44100000828821306</v>
      </c>
      <c r="V46" s="9"/>
      <c r="W46" s="10">
        <f t="shared" ref="W46:W62" si="14">IFERROR(Q46-T46, "NA")</f>
        <v>-902409.25</v>
      </c>
      <c r="X46" s="8">
        <f>IFERROR(W46/W444, "NA")</f>
        <v>743.20077910100372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40870.58</v>
      </c>
      <c r="C48" s="8">
        <f>IFERROR(B48/B444, "NA")</f>
        <v>0.18399834111214639</v>
      </c>
      <c r="D48" s="9"/>
      <c r="E48" s="7">
        <v>0</v>
      </c>
      <c r="F48" s="8">
        <f>IFERROR(E48/E444, "NA")</f>
        <v>0</v>
      </c>
      <c r="G48" s="9"/>
      <c r="H48" s="10">
        <f t="shared" si="12"/>
        <v>40870.58</v>
      </c>
      <c r="I48" s="8">
        <f>IFERROR(H48/H444, "NA")</f>
        <v>-12.829427847656229</v>
      </c>
      <c r="J48" s="9"/>
      <c r="K48" s="7">
        <v>47994.21</v>
      </c>
      <c r="L48" s="8">
        <f>IFERROR(K48/K444, "NA")</f>
        <v>0.23857557375399813</v>
      </c>
      <c r="M48" s="9"/>
      <c r="N48" s="10">
        <f t="shared" si="13"/>
        <v>-7123.6299999999974</v>
      </c>
      <c r="O48" s="8">
        <f>IFERROR(N48/N444, "NA")</f>
        <v>-0.33995088494899495</v>
      </c>
      <c r="P48" s="9"/>
      <c r="Q48" s="7">
        <v>440880.85</v>
      </c>
      <c r="R48" s="8">
        <f>IFERROR(Q48/Q444, "NA")</f>
        <v>0.21558278224495939</v>
      </c>
      <c r="S48" s="9"/>
      <c r="T48" s="7">
        <v>0</v>
      </c>
      <c r="U48" s="8">
        <f>IFERROR(T48/T444, "NA")</f>
        <v>0</v>
      </c>
      <c r="V48" s="9"/>
      <c r="W48" s="10">
        <f t="shared" si="14"/>
        <v>440880.85</v>
      </c>
      <c r="X48" s="8">
        <f>IFERROR(W48/W444, "NA")</f>
        <v>-363.09799706808496</v>
      </c>
      <c r="Y48" s="9"/>
      <c r="Z48" s="7">
        <v>525727.02</v>
      </c>
      <c r="AA48" s="8">
        <f>IFERROR(Z48/Z444, "NA")</f>
        <v>0.28244835463297441</v>
      </c>
      <c r="AB48" s="9"/>
      <c r="AC48" s="10">
        <f t="shared" si="15"/>
        <v>-84846.170000000042</v>
      </c>
      <c r="AD48" s="8">
        <f>IFERROR(AC48/AC444, "NA")</f>
        <v>-0.46176208747436792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7541.23</v>
      </c>
      <c r="R49" s="8">
        <f>IFERROR(Q49/Q444, "NA")</f>
        <v>3.6875254276731574E-3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7541.23</v>
      </c>
      <c r="X49" s="8">
        <f>IFERROR(W49/W444, "NA")</f>
        <v>-6.2107608176443918</v>
      </c>
      <c r="Y49" s="9"/>
      <c r="Z49" s="7">
        <v>3000</v>
      </c>
      <c r="AA49" s="8">
        <f>IFERROR(Z49/Z444, "NA")</f>
        <v>1.6117586345455923E-3</v>
      </c>
      <c r="AB49" s="9"/>
      <c r="AC49" s="10">
        <f t="shared" si="15"/>
        <v>4541.2299999999996</v>
      </c>
      <c r="AD49" s="8">
        <f>IFERROR(AC49/AC444, "NA")</f>
        <v>2.4714938158095088E-2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2799.92</v>
      </c>
      <c r="C51" s="8">
        <f>IFERROR(B51/B444, "NA")</f>
        <v>1.2605170644672056E-2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2799.92</v>
      </c>
      <c r="I51" s="8">
        <f>IFERROR(H51/H444, "NA")</f>
        <v>-0.87890535488387067</v>
      </c>
      <c r="J51" s="9"/>
      <c r="K51" s="7">
        <v>4742.82</v>
      </c>
      <c r="L51" s="8">
        <f>IFERROR(K51/K444, "NA")</f>
        <v>2.3576198102061421E-2</v>
      </c>
      <c r="M51" s="9"/>
      <c r="N51" s="10">
        <f t="shared" si="13"/>
        <v>-1942.8999999999996</v>
      </c>
      <c r="O51" s="8">
        <f>IFERROR(N51/N444, "NA")</f>
        <v>-9.2718259422148883E-2</v>
      </c>
      <c r="P51" s="9"/>
      <c r="Q51" s="7">
        <v>32305.74</v>
      </c>
      <c r="R51" s="8">
        <f>IFERROR(Q51/Q444, "NA")</f>
        <v>1.5796924070714969E-2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32305.74</v>
      </c>
      <c r="X51" s="8">
        <f>IFERROR(W51/W444, "NA")</f>
        <v>-26.606166921975216</v>
      </c>
      <c r="Y51" s="9"/>
      <c r="Z51" s="7">
        <v>71394.399999999994</v>
      </c>
      <c r="AA51" s="8">
        <f>IFERROR(Z51/Z444, "NA")</f>
        <v>3.8356846886067275E-2</v>
      </c>
      <c r="AB51" s="9"/>
      <c r="AC51" s="10">
        <f t="shared" si="15"/>
        <v>-39088.659999999989</v>
      </c>
      <c r="AD51" s="8">
        <f>IFERROR(AC51/AC444, "NA")</f>
        <v>-0.21273395414519963</v>
      </c>
    </row>
    <row r="52" spans="1:30" ht="16.5" customHeight="1" x14ac:dyDescent="0.45">
      <c r="A52" s="17" t="s">
        <v>50</v>
      </c>
      <c r="B52" s="7">
        <v>44260</v>
      </c>
      <c r="C52" s="8">
        <f>IFERROR(B52/B444, "NA")</f>
        <v>0.19925742618831438</v>
      </c>
      <c r="D52" s="9"/>
      <c r="E52" s="7">
        <v>0</v>
      </c>
      <c r="F52" s="8">
        <f>IFERROR(E52/E444, "NA")</f>
        <v>0</v>
      </c>
      <c r="G52" s="9"/>
      <c r="H52" s="10">
        <f t="shared" si="12"/>
        <v>44260</v>
      </c>
      <c r="I52" s="8">
        <f>IFERROR(H52/H444, "NA")</f>
        <v>-13.893379456255934</v>
      </c>
      <c r="J52" s="9"/>
      <c r="K52" s="7">
        <v>0</v>
      </c>
      <c r="L52" s="8">
        <f>IFERROR(K52/K444, "NA")</f>
        <v>0</v>
      </c>
      <c r="M52" s="9"/>
      <c r="N52" s="10">
        <f t="shared" si="13"/>
        <v>44260</v>
      </c>
      <c r="O52" s="8">
        <f>IFERROR(N52/N444, "NA")</f>
        <v>2.1121571681632152</v>
      </c>
      <c r="P52" s="9"/>
      <c r="Q52" s="7">
        <v>44260</v>
      </c>
      <c r="R52" s="8">
        <f>IFERROR(Q52/Q444, "NA")</f>
        <v>2.1642341558182676E-2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44260</v>
      </c>
      <c r="X52" s="8">
        <f>IFERROR(W52/W444, "NA")</f>
        <v>-36.451384427863992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44260</v>
      </c>
      <c r="AD52" s="8">
        <f>IFERROR(AC52/AC444, "NA")</f>
        <v>0.24087816800234488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9074.7999999999993</v>
      </c>
      <c r="R53" s="8">
        <f>IFERROR(Q53/Q444, "NA")</f>
        <v>4.4374134923677398E-3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9074.7999999999993</v>
      </c>
      <c r="X53" s="8">
        <f>IFERROR(W53/W444, "NA")</f>
        <v>-7.4737691686845942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9074.7999999999993</v>
      </c>
      <c r="AD53" s="8">
        <f>IFERROR(AC53/AC444, "NA")</f>
        <v>4.9388187957245352E-2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5.6966398362591098E-6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-9.5946368862317114E-3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6.3403313538800679E-5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2.0121607661979602E-5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-3.3890069344930031E-2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2.2395247657696547E-4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11.65</v>
      </c>
      <c r="R56" s="8">
        <f>IFERROR(Q56/Q444, "NA")</f>
        <v>5.6966398362591098E-6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-9.5946368862317114E-3</v>
      </c>
      <c r="Y56" s="9"/>
      <c r="Z56" s="7">
        <v>1363.07</v>
      </c>
      <c r="AA56" s="8">
        <f>IFERROR(Z56/Z444, "NA")</f>
        <v>7.323132806633534E-4</v>
      </c>
      <c r="AB56" s="9"/>
      <c r="AC56" s="10">
        <f t="shared" si="15"/>
        <v>-1351.4199999999998</v>
      </c>
      <c r="AD56" s="8">
        <f>IFERROR(AC56/AC444, "NA")</f>
        <v>-7.3548932173910734E-3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345.42</v>
      </c>
      <c r="C58" s="8">
        <f>IFERROR(B58/B444, "NA")</f>
        <v>1.5550723035238942E-3</v>
      </c>
      <c r="D58" s="9"/>
      <c r="E58" s="7">
        <v>0</v>
      </c>
      <c r="F58" s="8">
        <f>IFERROR(E58/E444, "NA")</f>
        <v>0</v>
      </c>
      <c r="G58" s="9"/>
      <c r="H58" s="10">
        <f t="shared" si="12"/>
        <v>345.42</v>
      </c>
      <c r="I58" s="8">
        <f>IFERROR(H58/H444, "NA")</f>
        <v>-0.10842862927654598</v>
      </c>
      <c r="J58" s="9"/>
      <c r="K58" s="7">
        <v>0</v>
      </c>
      <c r="L58" s="8">
        <f>IFERROR(K58/K444, "NA")</f>
        <v>0</v>
      </c>
      <c r="M58" s="9"/>
      <c r="N58" s="10">
        <f t="shared" si="13"/>
        <v>345.42</v>
      </c>
      <c r="O58" s="8">
        <f>IFERROR(N58/N444, "NA")</f>
        <v>1.6483988455195161E-2</v>
      </c>
      <c r="P58" s="9"/>
      <c r="Q58" s="7">
        <v>2904.13</v>
      </c>
      <c r="R58" s="8">
        <f>IFERROR(Q58/Q444, "NA")</f>
        <v>1.4200671800579543E-3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2904.13</v>
      </c>
      <c r="X58" s="8">
        <f>IFERROR(W58/W444, "NA")</f>
        <v>-2.3917659073315107</v>
      </c>
      <c r="Y58" s="9"/>
      <c r="Z58" s="7">
        <v>5464.25</v>
      </c>
      <c r="AA58" s="8">
        <f>IFERROR(Z58/Z444, "NA")</f>
        <v>2.935684039605251E-3</v>
      </c>
      <c r="AB58" s="9"/>
      <c r="AC58" s="10">
        <f t="shared" si="15"/>
        <v>-2560.12</v>
      </c>
      <c r="AD58" s="8">
        <f>IFERROR(AC58/AC444, "NA")</f>
        <v>-1.3933055026348016E-2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88275.92</v>
      </c>
      <c r="C61" s="15">
        <f>IFERROR(B61/B444, "NA")</f>
        <v>0.39741601024865669</v>
      </c>
      <c r="D61" s="2"/>
      <c r="E61" s="14">
        <f>IFERROR(E46+E47+E48+E49+E50+E51+E52+E53+E54+E55+E56+E57+E58+E59+E60, "NA")</f>
        <v>99361.89</v>
      </c>
      <c r="F61" s="15">
        <f>IFERROR(E61/E444, "NA")</f>
        <v>0.44099999640495968</v>
      </c>
      <c r="G61" s="2"/>
      <c r="H61" s="14">
        <f t="shared" si="12"/>
        <v>-11085.970000000001</v>
      </c>
      <c r="I61" s="15">
        <f>IFERROR(H61/H444, "NA")</f>
        <v>3.4799274254557075</v>
      </c>
      <c r="J61" s="2"/>
      <c r="K61" s="14">
        <f>IFERROR(K46+K47+K48+K49+K50+K51+K52+K53+K54+K55+K56+K57+K58+K59+K60, "NA")</f>
        <v>52737.03</v>
      </c>
      <c r="L61" s="15">
        <f>IFERROR(K61/K444, "NA")</f>
        <v>0.26215177185605953</v>
      </c>
      <c r="M61" s="2"/>
      <c r="N61" s="14">
        <f t="shared" si="13"/>
        <v>35538.89</v>
      </c>
      <c r="O61" s="15">
        <f>IFERROR(N61/N444, "NA")</f>
        <v>1.6959720122472661</v>
      </c>
      <c r="P61" s="2"/>
      <c r="Q61" s="14">
        <f>IFERROR(Q46+Q47+Q48+Q49+Q50+Q51+Q52+Q53+Q54+Q55+Q56+Q57+Q58+Q59+Q60, "NA")</f>
        <v>537031.20000000007</v>
      </c>
      <c r="R61" s="15">
        <f>IFERROR(Q61/Q444, "NA")</f>
        <v>0.26259856886129046</v>
      </c>
      <c r="S61" s="2"/>
      <c r="T61" s="14">
        <f>IFERROR(T46+T47+T48+T49+T50+T51+T52+T53+T54+T55+T56+T57+T58+T59+T60, "NA")</f>
        <v>902409.25</v>
      </c>
      <c r="U61" s="15">
        <f>IFERROR(T61/T444, "NA")</f>
        <v>0.44100000828821306</v>
      </c>
      <c r="V61" s="2"/>
      <c r="W61" s="14">
        <f t="shared" si="14"/>
        <v>-365378.04999999993</v>
      </c>
      <c r="X61" s="15">
        <f>IFERROR(W61/W444, "NA")</f>
        <v>300.91585544630163</v>
      </c>
      <c r="Y61" s="2"/>
      <c r="Z61" s="14">
        <f>IFERROR(Z46+Z47+Z48+Z49+Z50+Z51+Z52+Z53+Z54+Z55+Z56+Z57+Z58+Z59+Z60, "NA")</f>
        <v>606948.74</v>
      </c>
      <c r="AA61" s="15">
        <f>IFERROR(Z61/Z444, "NA")</f>
        <v>0.32608495747385591</v>
      </c>
      <c r="AB61" s="2"/>
      <c r="AC61" s="14">
        <f t="shared" si="15"/>
        <v>-69917.539999999921</v>
      </c>
      <c r="AD61" s="15">
        <f>IFERROR(AC61/AC444, "NA")</f>
        <v>-0.38051533995550496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99180.62</v>
      </c>
      <c r="C62" s="15">
        <f>IFERROR(B62/B444, "NA")</f>
        <v>0.446508700157281</v>
      </c>
      <c r="D62" s="2"/>
      <c r="E62" s="14">
        <f>IFERROR(E42+E43+E44+E46+E47+E48+E49+E50+E51+E52+E53+E54+E55+E56+E57+E58+E59+E60, "NA")</f>
        <v>99361.89</v>
      </c>
      <c r="F62" s="15">
        <f>IFERROR(E62/E444, "NA")</f>
        <v>0.44099999640495968</v>
      </c>
      <c r="G62" s="2"/>
      <c r="H62" s="14">
        <f t="shared" si="12"/>
        <v>-181.27000000000407</v>
      </c>
      <c r="I62" s="15">
        <f>IFERROR(H62/H444, "NA")</f>
        <v>5.6901330637947806E-2</v>
      </c>
      <c r="J62" s="2"/>
      <c r="K62" s="14">
        <f>IFERROR(K42+K43+K44+K46+K47+K48+K49+K50+K51+K52+K53+K54+K55+K56+K57+K58+K59+K60, "NA")</f>
        <v>69874.820000000007</v>
      </c>
      <c r="L62" s="15">
        <f>IFERROR(K62/K444, "NA")</f>
        <v>0.34734242468950616</v>
      </c>
      <c r="M62" s="2"/>
      <c r="N62" s="14">
        <f t="shared" si="13"/>
        <v>29305.799999999988</v>
      </c>
      <c r="O62" s="15">
        <f>IFERROR(N62/N444, "NA")</f>
        <v>1.3985191039032427</v>
      </c>
      <c r="P62" s="2"/>
      <c r="Q62" s="14">
        <f>IFERROR(Q42+Q43+Q44+Q46+Q47+Q48+Q49+Q50+Q51+Q52+Q53+Q54+Q55+Q56+Q57+Q58+Q59+Q60, "NA")</f>
        <v>683632.65000000014</v>
      </c>
      <c r="R62" s="15">
        <f>IFERROR(Q62/Q444, "NA")</f>
        <v>0.33428403324956069</v>
      </c>
      <c r="S62" s="2"/>
      <c r="T62" s="14">
        <f>IFERROR(T42+T43+T44+T46+T47+T48+T49+T50+T51+T52+T53+T54+T55+T56+T57+T58+T59+T60, "NA")</f>
        <v>902409.25</v>
      </c>
      <c r="U62" s="15">
        <f>IFERROR(T62/T444, "NA")</f>
        <v>0.44100000828821306</v>
      </c>
      <c r="V62" s="2"/>
      <c r="W62" s="14">
        <f t="shared" si="14"/>
        <v>-218776.59999999986</v>
      </c>
      <c r="X62" s="15">
        <f>IFERROR(W62/W444, "NA")</f>
        <v>180.17871555402226</v>
      </c>
      <c r="Y62" s="2"/>
      <c r="Z62" s="14">
        <f>IFERROR(Z42+Z43+Z44+Z46+Z47+Z48+Z49+Z50+Z51+Z52+Z53+Z54+Z55+Z56+Z57+Z58+Z59+Z60, "NA")</f>
        <v>676057.64</v>
      </c>
      <c r="AA62" s="15">
        <f>IFERROR(Z62/Z444, "NA")</f>
        <v>0.36321391290683852</v>
      </c>
      <c r="AB62" s="2"/>
      <c r="AC62" s="14">
        <f t="shared" si="15"/>
        <v>7575.0100000001257</v>
      </c>
      <c r="AD62" s="15">
        <f>IFERROR(AC62/AC444, "NA")</f>
        <v>4.1225814084940644E-2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3845.29</v>
      </c>
      <c r="C65" s="8">
        <f>IFERROR(B65/B444, "NA")</f>
        <v>1.7311400550105365E-2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3845.29</v>
      </c>
      <c r="I65" s="8">
        <f>IFERROR(H65/H444, "NA")</f>
        <v>-1.207050905769236</v>
      </c>
      <c r="J65" s="9"/>
      <c r="K65" s="7">
        <v>0</v>
      </c>
      <c r="L65" s="8">
        <f>IFERROR(K65/K444, "NA")</f>
        <v>0</v>
      </c>
      <c r="M65" s="9"/>
      <c r="N65" s="10">
        <f t="shared" si="17"/>
        <v>3845.29</v>
      </c>
      <c r="O65" s="8">
        <f>IFERROR(N65/N444, "NA")</f>
        <v>0.18350331760430025</v>
      </c>
      <c r="P65" s="9"/>
      <c r="Q65" s="7">
        <v>13265.75</v>
      </c>
      <c r="R65" s="8">
        <f>IFERROR(Q65/Q444, "NA")</f>
        <v>6.4867124384424277E-3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13265.75</v>
      </c>
      <c r="X65" s="8">
        <f>IFERROR(W65/W444, "NA")</f>
        <v>-10.925326547083976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13265.75</v>
      </c>
      <c r="AD65" s="8">
        <f>IFERROR(AC65/AC444, "NA")</f>
        <v>7.2196781680458802E-2</v>
      </c>
    </row>
    <row r="66" spans="1:30" ht="16.5" customHeight="1" x14ac:dyDescent="0.45">
      <c r="A66" s="12" t="s">
        <v>63</v>
      </c>
      <c r="B66" s="7">
        <v>10654.91</v>
      </c>
      <c r="C66" s="8">
        <f>IFERROR(B66/B444, "NA")</f>
        <v>4.7968141501765316E-2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10654.91</v>
      </c>
      <c r="I66" s="8">
        <f>IFERROR(H66/H444, "NA")</f>
        <v>-3.3446160800328948</v>
      </c>
      <c r="J66" s="9"/>
      <c r="K66" s="7">
        <v>9385.3799999999992</v>
      </c>
      <c r="L66" s="8">
        <f>IFERROR(K66/K444, "NA")</f>
        <v>4.6654011356771968E-2</v>
      </c>
      <c r="M66" s="9"/>
      <c r="N66" s="10">
        <f t="shared" si="17"/>
        <v>1269.5300000000007</v>
      </c>
      <c r="O66" s="8">
        <f>IFERROR(N66/N444, "NA")</f>
        <v>6.0583978529106366E-2</v>
      </c>
      <c r="P66" s="9"/>
      <c r="Q66" s="7">
        <v>131831.82999999999</v>
      </c>
      <c r="R66" s="8">
        <f>IFERROR(Q66/Q444, "NA")</f>
        <v>6.4463386649350959E-2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131831.82999999999</v>
      </c>
      <c r="X66" s="8">
        <f>IFERROR(W66/W444, "NA")</f>
        <v>-108.57326514141015</v>
      </c>
      <c r="Y66" s="9"/>
      <c r="Z66" s="7">
        <v>129325.84</v>
      </c>
      <c r="AA66" s="8">
        <f>IFERROR(Z66/Z444, "NA")</f>
        <v>6.9480679763287242E-2</v>
      </c>
      <c r="AB66" s="9"/>
      <c r="AC66" s="10">
        <f t="shared" si="19"/>
        <v>2505.9899999999907</v>
      </c>
      <c r="AD66" s="8">
        <f>IFERROR(AC66/AC444, "NA")</f>
        <v>1.3638460918034208E-2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4.832486467106413E-3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-8.139175767159351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5.378533020391265E-2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14500.2</v>
      </c>
      <c r="C73" s="15">
        <f>IFERROR(B73/B444, "NA")</f>
        <v>6.5279542051870684E-2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14500.2</v>
      </c>
      <c r="I73" s="15">
        <f>IFERROR(H73/H444, "NA")</f>
        <v>-4.5516669858021306</v>
      </c>
      <c r="J73" s="2"/>
      <c r="K73" s="14">
        <f>IFERROR(K64+K65+K66+K67+K68+K69+K70+K71+K72, "NA")</f>
        <v>9385.3799999999992</v>
      </c>
      <c r="L73" s="15">
        <f>IFERROR(K73/K444, "NA")</f>
        <v>4.6654011356771968E-2</v>
      </c>
      <c r="M73" s="2"/>
      <c r="N73" s="14">
        <f t="shared" si="17"/>
        <v>5114.8200000000015</v>
      </c>
      <c r="O73" s="15">
        <f>IFERROR(N73/N444, "NA")</f>
        <v>0.24408729613340666</v>
      </c>
      <c r="P73" s="2"/>
      <c r="Q73" s="14">
        <f>IFERROR(Q64+Q65+Q66+Q67+Q68+Q69+Q70+Q71+Q72, "NA")</f>
        <v>154980.32999999999</v>
      </c>
      <c r="R73" s="15">
        <f>IFERROR(Q73/Q444, "NA")</f>
        <v>7.5782585554899806E-2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154980.32999999999</v>
      </c>
      <c r="X73" s="15">
        <f>IFERROR(W73/W444, "NA")</f>
        <v>-127.63776745565347</v>
      </c>
      <c r="Y73" s="2"/>
      <c r="Z73" s="14">
        <f>IFERROR(Z64+Z65+Z66+Z67+Z68+Z69+Z70+Z71+Z72, "NA")</f>
        <v>129325.84</v>
      </c>
      <c r="AA73" s="15">
        <f>IFERROR(Z73/Z444, "NA")</f>
        <v>6.9480679763287242E-2</v>
      </c>
      <c r="AB73" s="2"/>
      <c r="AC73" s="14">
        <f t="shared" si="19"/>
        <v>25654.489999999991</v>
      </c>
      <c r="AD73" s="15">
        <f>IFERROR(AC73/AC444, "NA")</f>
        <v>0.13962057280240567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6534</v>
      </c>
      <c r="F75" s="8">
        <f>IFERROR(E75/E444, "NA")</f>
        <v>2.8999991611572674E-2</v>
      </c>
      <c r="G75" s="9"/>
      <c r="H75" s="10">
        <f t="shared" ref="H75:H92" si="20">IFERROR(B75-E75, "NA")</f>
        <v>-6534</v>
      </c>
      <c r="I75" s="8">
        <f>IFERROR(H75/H444, "NA")</f>
        <v>2.0510470259190301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59342.09</v>
      </c>
      <c r="U75" s="8">
        <f>IFERROR(T75/T444, "NA")</f>
        <v>2.8999993275600714E-2</v>
      </c>
      <c r="V75" s="9"/>
      <c r="W75" s="10">
        <f t="shared" ref="W75:W92" si="22">IFERROR(Q75-T75, "NA")</f>
        <v>-59342.09</v>
      </c>
      <c r="X75" s="8">
        <f>IFERROR(W75/W444, "NA")</f>
        <v>48.872601340779561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1137.06</v>
      </c>
      <c r="C77" s="8">
        <f>IFERROR(B77/B444, "NA")</f>
        <v>5.1190160194687015E-3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1137.06</v>
      </c>
      <c r="I77" s="8">
        <f>IFERROR(H77/H444, "NA")</f>
        <v>-0.35692738464822349</v>
      </c>
      <c r="J77" s="9"/>
      <c r="K77" s="7">
        <v>1682.42</v>
      </c>
      <c r="L77" s="8">
        <f>IFERROR(K77/K444, "NA")</f>
        <v>8.363182075404544E-3</v>
      </c>
      <c r="M77" s="9"/>
      <c r="N77" s="10">
        <f t="shared" si="21"/>
        <v>-545.36000000000013</v>
      </c>
      <c r="O77" s="8">
        <f>IFERROR(N77/N444, "NA")</f>
        <v>-2.6025441329179649E-2</v>
      </c>
      <c r="P77" s="9"/>
      <c r="Q77" s="7">
        <v>13833.43</v>
      </c>
      <c r="R77" s="8">
        <f>IFERROR(Q77/Q444, "NA")</f>
        <v>6.7642977176053101E-3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13833.43</v>
      </c>
      <c r="X77" s="8">
        <f>IFERROR(W77/W444, "NA")</f>
        <v>-11.392853024987497</v>
      </c>
      <c r="Y77" s="9"/>
      <c r="Z77" s="7">
        <v>4659.5</v>
      </c>
      <c r="AA77" s="8">
        <f>IFERROR(Z77/Z444, "NA")</f>
        <v>2.5033297858883959E-3</v>
      </c>
      <c r="AB77" s="9"/>
      <c r="AC77" s="10">
        <f t="shared" si="23"/>
        <v>9173.93</v>
      </c>
      <c r="AD77" s="8">
        <f>IFERROR(AC77/AC444, "NA")</f>
        <v>4.9927687568498684E-2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8.9700000000000006</v>
      </c>
      <c r="C79" s="8">
        <f>IFERROR(B79/B444, "NA")</f>
        <v>4.0382718321490743E-5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8.9700000000000006</v>
      </c>
      <c r="I79" s="8">
        <f>IFERROR(H79/H444, "NA")</f>
        <v>-2.8157165323681823E-3</v>
      </c>
      <c r="J79" s="9"/>
      <c r="K79" s="7">
        <v>0</v>
      </c>
      <c r="L79" s="8">
        <f>IFERROR(K79/K444, "NA")</f>
        <v>0</v>
      </c>
      <c r="M79" s="9"/>
      <c r="N79" s="10">
        <f t="shared" si="21"/>
        <v>8.9700000000000006</v>
      </c>
      <c r="O79" s="8">
        <f>IFERROR(N79/N444, "NA")</f>
        <v>4.2806258017225577E-4</v>
      </c>
      <c r="P79" s="9"/>
      <c r="Q79" s="7">
        <v>38.869999999999997</v>
      </c>
      <c r="R79" s="8">
        <f>IFERROR(Q79/Q444, "NA")</f>
        <v>1.9006728792737473E-5</v>
      </c>
      <c r="S79" s="9"/>
      <c r="T79" s="7">
        <v>0</v>
      </c>
      <c r="U79" s="8">
        <f>IFERROR(T79/T444, "NA")</f>
        <v>0</v>
      </c>
      <c r="V79" s="9"/>
      <c r="W79" s="10">
        <f t="shared" si="22"/>
        <v>38.869999999999997</v>
      </c>
      <c r="X79" s="8">
        <f>IFERROR(W79/W444, "NA")</f>
        <v>-3.2012320666766229E-2</v>
      </c>
      <c r="Y79" s="9"/>
      <c r="Z79" s="7">
        <v>101.66</v>
      </c>
      <c r="AA79" s="8">
        <f>IFERROR(Z79/Z444, "NA")</f>
        <v>5.4617127595968299E-5</v>
      </c>
      <c r="AB79" s="9"/>
      <c r="AC79" s="10">
        <f t="shared" si="23"/>
        <v>-62.79</v>
      </c>
      <c r="AD79" s="8">
        <f>IFERROR(AC79/AC444, "NA")</f>
        <v>-3.4172481176835144E-4</v>
      </c>
    </row>
    <row r="80" spans="1:30" ht="16.5" customHeight="1" x14ac:dyDescent="0.45">
      <c r="A80" s="12" t="s">
        <v>76</v>
      </c>
      <c r="B80" s="7">
        <v>3910.83</v>
      </c>
      <c r="C80" s="8">
        <f>IFERROR(B80/B444, "NA")</f>
        <v>1.7606460010394159E-2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3910.83</v>
      </c>
      <c r="I80" s="8">
        <f>IFERROR(H80/H444, "NA")</f>
        <v>-1.2276241567760822</v>
      </c>
      <c r="J80" s="9"/>
      <c r="K80" s="7">
        <v>4684.5200000000004</v>
      </c>
      <c r="L80" s="8">
        <f>IFERROR(K80/K444, "NA")</f>
        <v>2.3286393228726537E-2</v>
      </c>
      <c r="M80" s="9"/>
      <c r="N80" s="10">
        <f t="shared" si="21"/>
        <v>-773.69000000000051</v>
      </c>
      <c r="O80" s="8">
        <f>IFERROR(N80/N444, "NA")</f>
        <v>-3.6921709883330295E-2</v>
      </c>
      <c r="P80" s="9"/>
      <c r="Q80" s="7">
        <v>41876.18</v>
      </c>
      <c r="R80" s="8">
        <f>IFERROR(Q80/Q444, "NA")</f>
        <v>2.047669658183322E-2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41876.18</v>
      </c>
      <c r="X80" s="8">
        <f>IFERROR(W80/W444, "NA")</f>
        <v>-34.488132298925208</v>
      </c>
      <c r="Y80" s="9"/>
      <c r="Z80" s="7">
        <v>48337.46</v>
      </c>
      <c r="AA80" s="8">
        <f>IFERROR(Z80/Z444, "NA")</f>
        <v>2.5969439509000727E-2</v>
      </c>
      <c r="AB80" s="9"/>
      <c r="AC80" s="10">
        <f t="shared" si="23"/>
        <v>-6461.2799999999988</v>
      </c>
      <c r="AD80" s="8">
        <f>IFERROR(AC80/AC444, "NA")</f>
        <v>-3.5164511734075705E-2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180</v>
      </c>
      <c r="AA85" s="8">
        <f>IFERROR(Z85/Z444, "NA")</f>
        <v>9.6705518072735539E-5</v>
      </c>
      <c r="AB85" s="9"/>
      <c r="AC85" s="10">
        <f t="shared" si="23"/>
        <v>-180</v>
      </c>
      <c r="AD85" s="8">
        <f>IFERROR(AC85/AC444, "NA")</f>
        <v>-9.7962201175829365E-4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4.8325109162044232E-4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-0.8139216945858434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5.3785602321138135E-3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5056.8599999999997</v>
      </c>
      <c r="C88" s="15">
        <f>IFERROR(B88/B444, "NA")</f>
        <v>2.2765858748184351E-2</v>
      </c>
      <c r="D88" s="2"/>
      <c r="E88" s="14">
        <f>IFERROR(E75+E76+E77+E78+E79+E80+E81+E82+E83+E84+E85+E86+E87, "NA")</f>
        <v>6534</v>
      </c>
      <c r="F88" s="15">
        <f>IFERROR(E88/E444, "NA")</f>
        <v>2.8999991611572674E-2</v>
      </c>
      <c r="G88" s="2"/>
      <c r="H88" s="14">
        <f t="shared" si="20"/>
        <v>-1477.1400000000003</v>
      </c>
      <c r="I88" s="15">
        <f>IFERROR(H88/H444, "NA")</f>
        <v>0.46367976796235644</v>
      </c>
      <c r="J88" s="2"/>
      <c r="K88" s="14">
        <f>IFERROR(K75+K76+K77+K78+K79+K80+K81+K82+K83+K84+K85+K86+K87, "NA")</f>
        <v>6366.9400000000005</v>
      </c>
      <c r="L88" s="15">
        <f>IFERROR(K88/K444, "NA")</f>
        <v>3.1649575304131081E-2</v>
      </c>
      <c r="M88" s="2"/>
      <c r="N88" s="14">
        <f t="shared" si="21"/>
        <v>-1310.0800000000008</v>
      </c>
      <c r="O88" s="15">
        <f>IFERROR(N88/N444, "NA")</f>
        <v>-6.2519088632337697E-2</v>
      </c>
      <c r="P88" s="2"/>
      <c r="Q88" s="14">
        <f>IFERROR(Q75+Q76+Q77+Q78+Q79+Q80+Q81+Q82+Q83+Q84+Q85+Q86+Q87, "NA")</f>
        <v>56736.76</v>
      </c>
      <c r="R88" s="15">
        <f>IFERROR(Q88/Q444, "NA")</f>
        <v>2.7743252119851708E-2</v>
      </c>
      <c r="S88" s="2"/>
      <c r="T88" s="14">
        <f>IFERROR(T75+T76+T77+T78+T79+T80+T81+T82+T83+T84+T85+T86+T87, "NA")</f>
        <v>59342.09</v>
      </c>
      <c r="U88" s="15">
        <f>IFERROR(T88/T444, "NA")</f>
        <v>2.8999993275600714E-2</v>
      </c>
      <c r="V88" s="2"/>
      <c r="W88" s="14">
        <f t="shared" si="22"/>
        <v>-2605.3299999999945</v>
      </c>
      <c r="X88" s="15">
        <f>IFERROR(W88/W444, "NA")</f>
        <v>2.1456820016142499</v>
      </c>
      <c r="Y88" s="2"/>
      <c r="Z88" s="14">
        <f>IFERROR(Z75+Z76+Z77+Z78+Z79+Z80+Z81+Z82+Z83+Z84+Z85+Z86+Z87, "NA")</f>
        <v>53278.619999999995</v>
      </c>
      <c r="AA88" s="15">
        <f>IFERROR(Z88/Z444, "NA")</f>
        <v>2.8624091940557823E-2</v>
      </c>
      <c r="AB88" s="2"/>
      <c r="AC88" s="14">
        <f t="shared" si="23"/>
        <v>3458.1400000000067</v>
      </c>
      <c r="AD88" s="15">
        <f>IFERROR(AC88/AC444, "NA")</f>
        <v>1.8820389243010181E-2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196.91</v>
      </c>
      <c r="R89" s="8">
        <f>IFERROR(Q89/Q444, "NA")</f>
        <v>9.6285437781783796E-5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196.91</v>
      </c>
      <c r="X89" s="8">
        <f>IFERROR(W89/W444, "NA")</f>
        <v>-0.16216995272685719</v>
      </c>
      <c r="Y89" s="9"/>
      <c r="Z89" s="7">
        <v>-640.66</v>
      </c>
      <c r="AA89" s="8">
        <f>IFERROR(Z89/Z444, "NA")</f>
        <v>-3.4419642893599302E-4</v>
      </c>
      <c r="AB89" s="9"/>
      <c r="AC89" s="10">
        <f t="shared" si="23"/>
        <v>837.56999999999994</v>
      </c>
      <c r="AD89" s="8">
        <f>IFERROR(AC89/AC444, "NA")</f>
        <v>4.5583444910466337E-3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-7885.86</v>
      </c>
      <c r="F94" s="8">
        <f>IFERROR(E94/E444, "NA")</f>
        <v>-3.4999980693302186E-2</v>
      </c>
      <c r="G94" s="9"/>
      <c r="H94" s="10">
        <f t="shared" ref="H94:H124" si="24">IFERROR(B94-E94, "NA")</f>
        <v>7885.86</v>
      </c>
      <c r="I94" s="8">
        <f>IFERROR(H94/H444, "NA")</f>
        <v>-2.4754009335497158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-71619.789999999994</v>
      </c>
      <c r="U94" s="8">
        <f>IFERROR(T94/T444, "NA")</f>
        <v>-3.5000004691441357E-2</v>
      </c>
      <c r="V94" s="9"/>
      <c r="W94" s="10">
        <f t="shared" ref="W94:W124" si="26">IFERROR(Q94-T94, "NA")</f>
        <v>71619.789999999994</v>
      </c>
      <c r="X94" s="8">
        <f>IFERROR(W94/W444, "NA")</f>
        <v>-58.984195615293473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-198.2</v>
      </c>
      <c r="C96" s="8">
        <f>IFERROR(B96/B444, "NA")</f>
        <v>-8.9229150181933817E-4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-198.2</v>
      </c>
      <c r="I96" s="8">
        <f>IFERROR(H96/H444, "NA")</f>
        <v>6.2215720927020469E-2</v>
      </c>
      <c r="J96" s="9"/>
      <c r="K96" s="7">
        <v>-409.55</v>
      </c>
      <c r="L96" s="8">
        <f>IFERROR(K96/K444, "NA")</f>
        <v>-2.0358419532470673E-3</v>
      </c>
      <c r="M96" s="9"/>
      <c r="N96" s="10">
        <f t="shared" si="25"/>
        <v>211.35000000000002</v>
      </c>
      <c r="O96" s="8">
        <f>IFERROR(N96/N444, "NA")</f>
        <v>1.0085956111416529E-2</v>
      </c>
      <c r="P96" s="9"/>
      <c r="Q96" s="7">
        <v>-20417.62</v>
      </c>
      <c r="R96" s="8">
        <f>IFERROR(Q96/Q444, "NA")</f>
        <v>-9.9838478500944815E-3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-20417.62</v>
      </c>
      <c r="X96" s="8">
        <f>IFERROR(W96/W444, "NA")</f>
        <v>16.815420599232816</v>
      </c>
      <c r="Y96" s="9"/>
      <c r="Z96" s="7">
        <v>-1589.66</v>
      </c>
      <c r="AA96" s="8">
        <f>IFERROR(Z96/Z444, "NA")</f>
        <v>-8.5404941033058207E-4</v>
      </c>
      <c r="AB96" s="9"/>
      <c r="AC96" s="10">
        <f t="shared" si="27"/>
        <v>-18827.96</v>
      </c>
      <c r="AD96" s="8">
        <f>IFERROR(AC96/AC444, "NA")</f>
        <v>-0.10246824473613712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-2001.4</v>
      </c>
      <c r="C98" s="8">
        <f>IFERROR(B98/B444, "NA")</f>
        <v>-9.0102533387549123E-3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-2001.4</v>
      </c>
      <c r="I98" s="8">
        <f>IFERROR(H98/H444, "NA")</f>
        <v>0.62824694179282936</v>
      </c>
      <c r="J98" s="9"/>
      <c r="K98" s="7">
        <v>-2245.1999999999998</v>
      </c>
      <c r="L98" s="8">
        <f>IFERROR(K98/K444, "NA")</f>
        <v>-1.1160718724039348E-2</v>
      </c>
      <c r="M98" s="9"/>
      <c r="N98" s="10">
        <f t="shared" si="25"/>
        <v>243.79999999999973</v>
      </c>
      <c r="O98" s="8">
        <f>IFERROR(N98/N444, "NA")</f>
        <v>1.1634521409810014E-2</v>
      </c>
      <c r="P98" s="9"/>
      <c r="Q98" s="7">
        <v>-25025.41</v>
      </c>
      <c r="R98" s="8">
        <f>IFERROR(Q98/Q444, "NA")</f>
        <v>-1.2236974036456402E-2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-25025.41</v>
      </c>
      <c r="X98" s="8">
        <f>IFERROR(W98/W444, "NA")</f>
        <v>20.610276556143514</v>
      </c>
      <c r="Y98" s="9"/>
      <c r="Z98" s="7">
        <v>-25772.31</v>
      </c>
      <c r="AA98" s="8">
        <f>IFERROR(Z98/Z444, "NA")</f>
        <v>-1.3846247724895238E-2</v>
      </c>
      <c r="AB98" s="9"/>
      <c r="AC98" s="10">
        <f t="shared" si="27"/>
        <v>746.90000000000146</v>
      </c>
      <c r="AD98" s="8">
        <f>IFERROR(AC98/AC444, "NA")</f>
        <v>4.0648871143459499E-3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-12.6</v>
      </c>
      <c r="C100" s="8">
        <f>IFERROR(B100/B444, "NA")</f>
        <v>-5.6724888612127458E-5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-12.6</v>
      </c>
      <c r="I100" s="8">
        <f>IFERROR(H100/H444, "NA")</f>
        <v>3.9551871023231983E-3</v>
      </c>
      <c r="J100" s="9"/>
      <c r="K100" s="7">
        <v>-195.15</v>
      </c>
      <c r="L100" s="8">
        <f>IFERROR(K100/K444, "NA")</f>
        <v>-9.7007583244088677E-4</v>
      </c>
      <c r="M100" s="9"/>
      <c r="N100" s="10">
        <f t="shared" si="25"/>
        <v>182.55</v>
      </c>
      <c r="O100" s="8">
        <f>IFERROR(N100/N444, "NA")</f>
        <v>8.7115745831042677E-3</v>
      </c>
      <c r="P100" s="9"/>
      <c r="Q100" s="7">
        <v>-9084.01</v>
      </c>
      <c r="R100" s="8">
        <f>IFERROR(Q100/Q444, "NA")</f>
        <v>-4.4419170162211261E-3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-9084.01</v>
      </c>
      <c r="X100" s="8">
        <f>IFERROR(W100/W444, "NA")</f>
        <v>7.4813542850555992</v>
      </c>
      <c r="Y100" s="9"/>
      <c r="Z100" s="7">
        <v>-7290.08</v>
      </c>
      <c r="AA100" s="8">
        <f>IFERROR(Z100/Z444, "NA")</f>
        <v>-3.9166164621760435E-3</v>
      </c>
      <c r="AB100" s="9"/>
      <c r="AC100" s="10">
        <f t="shared" si="27"/>
        <v>-1793.9300000000003</v>
      </c>
      <c r="AD100" s="8">
        <f>IFERROR(AC100/AC444, "NA")</f>
        <v>-9.7631850864086447E-3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-467.07</v>
      </c>
      <c r="C102" s="8">
        <f>IFERROR(B102/B444, "NA")</f>
        <v>-2.1027375971481247E-3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-467.07</v>
      </c>
      <c r="I102" s="8">
        <f>IFERROR(H102/H444, "NA")</f>
        <v>0.14661501903826163</v>
      </c>
      <c r="J102" s="9"/>
      <c r="K102" s="7">
        <v>-682.99</v>
      </c>
      <c r="L102" s="8">
        <f>IFERROR(K102/K444, "NA")</f>
        <v>-3.3950914312006215E-3</v>
      </c>
      <c r="M102" s="9"/>
      <c r="N102" s="10">
        <f t="shared" si="25"/>
        <v>215.92000000000002</v>
      </c>
      <c r="O102" s="8">
        <f>IFERROR(N102/N444, "NA")</f>
        <v>1.0304043735874411E-2</v>
      </c>
      <c r="P102" s="9"/>
      <c r="Q102" s="7">
        <v>-18465.36</v>
      </c>
      <c r="R102" s="8">
        <f>IFERROR(Q102/Q444, "NA")</f>
        <v>-9.0292279284863112E-3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-18465.36</v>
      </c>
      <c r="X102" s="8">
        <f>IFERROR(W102/W444, "NA")</f>
        <v>15.207590057815244</v>
      </c>
      <c r="Y102" s="9"/>
      <c r="Z102" s="7">
        <v>-7173.83</v>
      </c>
      <c r="AA102" s="8">
        <f>IFERROR(Z102/Z444, "NA")</f>
        <v>-3.8541608150874018E-3</v>
      </c>
      <c r="AB102" s="9"/>
      <c r="AC102" s="10">
        <f t="shared" si="27"/>
        <v>-11291.53</v>
      </c>
      <c r="AD102" s="8">
        <f>IFERROR(AC102/AC444, "NA")</f>
        <v>-6.1452396302384041E-2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-454.47</v>
      </c>
      <c r="C104" s="8">
        <f>IFERROR(B104/B444, "NA")</f>
        <v>-2.0460127085359975E-3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-454.47</v>
      </c>
      <c r="I104" s="8">
        <f>IFERROR(H104/H444, "NA")</f>
        <v>0.14265983193593842</v>
      </c>
      <c r="J104" s="9"/>
      <c r="K104" s="7">
        <v>-841.1</v>
      </c>
      <c r="L104" s="8">
        <f>IFERROR(K104/K444, "NA")</f>
        <v>-4.1810442360544703E-3</v>
      </c>
      <c r="M104" s="9"/>
      <c r="N104" s="10">
        <f t="shared" si="25"/>
        <v>386.63</v>
      </c>
      <c r="O104" s="8">
        <f>IFERROR(N104/N444, "NA")</f>
        <v>1.8450594801783637E-2</v>
      </c>
      <c r="P104" s="9"/>
      <c r="Q104" s="7">
        <v>-7413.35</v>
      </c>
      <c r="R104" s="8">
        <f>IFERROR(Q104/Q444, "NA")</f>
        <v>-3.6249944146035601E-3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-7413.35</v>
      </c>
      <c r="X104" s="8">
        <f>IFERROR(W104/W444, "NA")</f>
        <v>6.1054421768708895</v>
      </c>
      <c r="Y104" s="9"/>
      <c r="Z104" s="7">
        <v>-5288.07</v>
      </c>
      <c r="AA104" s="8">
        <f>IFERROR(Z104/Z444, "NA")</f>
        <v>-2.8410308275271696E-3</v>
      </c>
      <c r="AB104" s="9"/>
      <c r="AC104" s="10">
        <f t="shared" si="27"/>
        <v>-2125.2800000000007</v>
      </c>
      <c r="AD104" s="8">
        <f>IFERROR(AC104/AC444, "NA")</f>
        <v>-1.1566505939720372E-2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-98.15</v>
      </c>
      <c r="C106" s="8">
        <f>IFERROR(B106/B444, "NA")</f>
        <v>-4.4186887438732621E-4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-98.15</v>
      </c>
      <c r="I106" s="8">
        <f>IFERROR(H106/H444, "NA")</f>
        <v>3.08096519121446E-2</v>
      </c>
      <c r="J106" s="9"/>
      <c r="K106" s="7">
        <v>-200.59</v>
      </c>
      <c r="L106" s="8">
        <f>IFERROR(K106/K444, "NA")</f>
        <v>-9.9711765938671521E-4</v>
      </c>
      <c r="M106" s="9"/>
      <c r="N106" s="10">
        <f t="shared" si="25"/>
        <v>102.44</v>
      </c>
      <c r="O106" s="8">
        <f>IFERROR(N106/N444, "NA")</f>
        <v>4.888598741677355E-3</v>
      </c>
      <c r="P106" s="9"/>
      <c r="Q106" s="7">
        <v>-2100.34</v>
      </c>
      <c r="R106" s="8">
        <f>IFERROR(Q106/Q444, "NA")</f>
        <v>-1.0270283702736875E-3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-2100.34</v>
      </c>
      <c r="X106" s="8">
        <f>IFERROR(W106/W444, "NA")</f>
        <v>1.7297853766204216</v>
      </c>
      <c r="Y106" s="9"/>
      <c r="Z106" s="7">
        <v>-15933.19</v>
      </c>
      <c r="AA106" s="8">
        <f>IFERROR(Z106/Z444, "NA")</f>
        <v>-8.5601521861184953E-3</v>
      </c>
      <c r="AB106" s="9"/>
      <c r="AC106" s="10">
        <f t="shared" si="27"/>
        <v>13832.85</v>
      </c>
      <c r="AD106" s="8">
        <f>IFERROR(AC106/AC444, "NA")</f>
        <v>7.5283135251948408E-2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-2.9860514969348006E-5</v>
      </c>
      <c r="AB108" s="9"/>
      <c r="AC108" s="10">
        <f t="shared" si="27"/>
        <v>55.58</v>
      </c>
      <c r="AD108" s="8">
        <f>IFERROR(AC108/AC444, "NA")</f>
        <v>3.02485507852922E-4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-6.2052707430005302E-6</v>
      </c>
      <c r="AB111" s="9"/>
      <c r="AC111" s="10">
        <f t="shared" si="27"/>
        <v>11.55</v>
      </c>
      <c r="AD111" s="8">
        <f>IFERROR(AC111/AC444, "NA")</f>
        <v>6.2859079087823844E-5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-3231.89</v>
      </c>
      <c r="C118" s="15">
        <f>IFERROR(B118/B444, "NA")</f>
        <v>-1.4549888909257826E-2</v>
      </c>
      <c r="D118" s="2"/>
      <c r="E118" s="14">
        <f>IFERROR(E94+E95+E96+E97+E98+E99+E100+E101+E102+E103+E104+E105+E106+E107+E108+E109+E110+E111+E112+E113+E114+E115+E116+E117, "NA")</f>
        <v>-7885.86</v>
      </c>
      <c r="F118" s="15">
        <f>IFERROR(E118/E444, "NA")</f>
        <v>-3.4999980693302186E-2</v>
      </c>
      <c r="G118" s="2"/>
      <c r="H118" s="14">
        <f t="shared" si="24"/>
        <v>4653.9699999999993</v>
      </c>
      <c r="I118" s="15">
        <f>IFERROR(H118/H444, "NA")</f>
        <v>-1.4608985808411981</v>
      </c>
      <c r="J118" s="2"/>
      <c r="K118" s="14">
        <f>IFERROR(K94+K95+K96+K97+K98+K99+K100+K101+K102+K103+K104+K105+K106+K107+K108+K109+K110+K111+K112+K113+K114+K115+K116+K117, "NA")</f>
        <v>-4574.5800000000008</v>
      </c>
      <c r="L118" s="15">
        <f>IFERROR(K118/K444, "NA")</f>
        <v>-2.2739889836369116E-2</v>
      </c>
      <c r="M118" s="2"/>
      <c r="N118" s="14">
        <f t="shared" si="25"/>
        <v>1342.690000000001</v>
      </c>
      <c r="O118" s="15">
        <f>IFERROR(N118/N444, "NA")</f>
        <v>6.4075289383666273E-2</v>
      </c>
      <c r="P118" s="2"/>
      <c r="Q118" s="14">
        <f>IFERROR(Q94+Q95+Q96+Q97+Q98+Q99+Q100+Q101+Q102+Q103+Q104+Q105+Q106+Q107+Q108+Q109+Q110+Q111+Q112+Q113+Q114+Q115+Q116+Q117, "NA")</f>
        <v>-82506.09</v>
      </c>
      <c r="R118" s="15">
        <f>IFERROR(Q118/Q444, "NA")</f>
        <v>-4.0343989616135563E-2</v>
      </c>
      <c r="S118" s="2"/>
      <c r="T118" s="14">
        <f>IFERROR(T94+T95+T96+T97+T98+T99+T100+T101+T102+T103+T104+T105+T106+T107+T108+T109+T110+T111+T112+T113+T114+T115+T116+T117, "NA")</f>
        <v>-71619.789999999994</v>
      </c>
      <c r="U118" s="15">
        <f>IFERROR(T118/T444, "NA")</f>
        <v>-3.5000004691441357E-2</v>
      </c>
      <c r="V118" s="2"/>
      <c r="W118" s="14">
        <f t="shared" si="26"/>
        <v>-10886.300000000003</v>
      </c>
      <c r="X118" s="15">
        <f>IFERROR(W118/W444, "NA")</f>
        <v>8.9656734364450053</v>
      </c>
      <c r="Y118" s="2"/>
      <c r="Z118" s="14">
        <f>IFERROR(Z94+Z95+Z96+Z97+Z98+Z99+Z100+Z101+Z102+Z103+Z104+Z105+Z106+Z107+Z108+Z109+Z110+Z111+Z112+Z113+Z114+Z115+Z116+Z117, "NA")</f>
        <v>-63114.270000000011</v>
      </c>
      <c r="AA118" s="15">
        <f>IFERROR(Z118/Z444, "NA")</f>
        <v>-3.3908323211847287E-2</v>
      </c>
      <c r="AB118" s="2"/>
      <c r="AC118" s="14">
        <f t="shared" si="27"/>
        <v>-19391.819999999985</v>
      </c>
      <c r="AD118" s="15">
        <f>IFERROR(AC118/AC444, "NA")</f>
        <v>-0.105536965111415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222124.72000000003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225310.41000000003</v>
      </c>
      <c r="F122" s="15">
        <f>IFERROR(E122/E444, "NA")</f>
        <v>1.0000000000000002</v>
      </c>
      <c r="G122" s="2"/>
      <c r="H122" s="14">
        <f t="shared" si="24"/>
        <v>-3185.6900000000023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201169.84000000003</v>
      </c>
      <c r="L122" s="15">
        <f>IFERROR(K122/K444, "NA")</f>
        <v>1.0000000000000002</v>
      </c>
      <c r="M122" s="2"/>
      <c r="N122" s="14">
        <f t="shared" si="25"/>
        <v>20954.880000000005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2045065.2199999993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2046279.44</v>
      </c>
      <c r="U122" s="15">
        <f>IFERROR(T122/T444, "NA")</f>
        <v>1</v>
      </c>
      <c r="V122" s="2"/>
      <c r="W122" s="14">
        <f t="shared" si="26"/>
        <v>-1214.2200000006706</v>
      </c>
      <c r="X122" s="15">
        <f>IFERROR(W122/W444, "NA")</f>
        <v>1.0000000000005753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1861320.8799999997</v>
      </c>
      <c r="AA122" s="15">
        <f>IFERROR(Z122/Z444, "NA")</f>
        <v>0.99999999999999989</v>
      </c>
      <c r="AB122" s="2"/>
      <c r="AC122" s="14">
        <f t="shared" si="27"/>
        <v>183744.33999999962</v>
      </c>
      <c r="AD122" s="15">
        <f>IFERROR(AC122/AC444, "NA")</f>
        <v>0.99999999999999745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222124.72000000003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225310.41000000003</v>
      </c>
      <c r="F124" s="15">
        <f>IFERROR(E124/E444, "NA")</f>
        <v>1.0000000000000002</v>
      </c>
      <c r="G124" s="2"/>
      <c r="H124" s="14">
        <f t="shared" si="24"/>
        <v>-3185.6900000000023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201169.84000000003</v>
      </c>
      <c r="L124" s="15">
        <f>IFERROR(K124/K444, "NA")</f>
        <v>1.0000000000000002</v>
      </c>
      <c r="M124" s="2"/>
      <c r="N124" s="14">
        <f t="shared" si="25"/>
        <v>20954.880000000005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2045065.2199999993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2046279.44</v>
      </c>
      <c r="U124" s="15">
        <f>IFERROR(T124/T444, "NA")</f>
        <v>1</v>
      </c>
      <c r="V124" s="2"/>
      <c r="W124" s="14">
        <f t="shared" si="26"/>
        <v>-1214.2200000006706</v>
      </c>
      <c r="X124" s="15">
        <f>IFERROR(W124/W444, "NA")</f>
        <v>1.0000000000005753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1861320.8799999997</v>
      </c>
      <c r="AA124" s="15">
        <f>IFERROR(Z124/Z444, "NA")</f>
        <v>0.99999999999999989</v>
      </c>
      <c r="AB124" s="2"/>
      <c r="AC124" s="14">
        <f t="shared" si="27"/>
        <v>183744.33999999962</v>
      </c>
      <c r="AD124" s="15">
        <f>IFERROR(AC124/AC444, "NA")</f>
        <v>0.99999999999999745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47991.12</v>
      </c>
      <c r="F129" s="8">
        <f>IFERROR(E129/E444, "NA")</f>
        <v>0.21300001185031797</v>
      </c>
      <c r="G129" s="9"/>
      <c r="H129" s="10">
        <f t="shared" ref="H129:H141" si="28">IFERROR(-(B129-E129), "NA")</f>
        <v>47991.12</v>
      </c>
      <c r="I129" s="8">
        <f>IFERROR(H129/H444, "NA")</f>
        <v>-15.064591972225786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446486.38</v>
      </c>
      <c r="U129" s="8">
        <f>IFERROR(T129/T444, "NA")</f>
        <v>0.21819423646264072</v>
      </c>
      <c r="V129" s="9"/>
      <c r="W129" s="10">
        <f t="shared" ref="W129:W141" si="30">IFERROR(-(Q129-T129), "NA")</f>
        <v>446486.38</v>
      </c>
      <c r="X129" s="8">
        <f>IFERROR(W129/W444, "NA")</f>
        <v>-367.71456572944794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11031.55</v>
      </c>
      <c r="C130" s="8">
        <f>IFERROR(B130/B444, "NA")</f>
        <v>4.9663765473739255E-2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-11031.55</v>
      </c>
      <c r="I130" s="8">
        <f>IFERROR(H130/H444, "NA")</f>
        <v>3.4628447840185301</v>
      </c>
      <c r="J130" s="9"/>
      <c r="K130" s="7">
        <v>10432.290000000001</v>
      </c>
      <c r="L130" s="8">
        <f>IFERROR(K130/K444, "NA")</f>
        <v>5.1858121475863383E-2</v>
      </c>
      <c r="M130" s="9"/>
      <c r="N130" s="10">
        <f t="shared" si="29"/>
        <v>-599.2599999999984</v>
      </c>
      <c r="O130" s="8">
        <f>IFERROR(N130/N444, "NA")</f>
        <v>-2.8597634536680634E-2</v>
      </c>
      <c r="P130" s="9"/>
      <c r="Q130" s="7">
        <v>104268.12</v>
      </c>
      <c r="R130" s="8">
        <f>IFERROR(Q130/Q444, "NA")</f>
        <v>5.0985229703334349E-2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-104268.12</v>
      </c>
      <c r="X130" s="8">
        <f>IFERROR(W130/W444, "NA")</f>
        <v>85.872510747642437</v>
      </c>
      <c r="Y130" s="9"/>
      <c r="Z130" s="7">
        <v>113007.99</v>
      </c>
      <c r="AA130" s="8">
        <f>IFERROR(Z130/Z444, "NA")</f>
        <v>6.0713867885047318E-2</v>
      </c>
      <c r="AB130" s="9"/>
      <c r="AC130" s="10">
        <f t="shared" si="31"/>
        <v>8739.8700000000099</v>
      </c>
      <c r="AD130" s="8">
        <f>IFERROR(AC130/AC444, "NA")</f>
        <v>4.7565383510588713E-2</v>
      </c>
    </row>
    <row r="131" spans="1:30" ht="16.5" customHeight="1" x14ac:dyDescent="0.45">
      <c r="A131" s="12" t="s">
        <v>123</v>
      </c>
      <c r="B131" s="7">
        <v>4677.5200000000004</v>
      </c>
      <c r="C131" s="8">
        <f>IFERROR(B131/B444, "NA")</f>
        <v>2.1058079442936386E-2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-4677.5200000000004</v>
      </c>
      <c r="I131" s="8">
        <f>IFERROR(H131/H444, "NA")</f>
        <v>1.4682910138776832</v>
      </c>
      <c r="J131" s="9"/>
      <c r="K131" s="7">
        <v>4999.29</v>
      </c>
      <c r="L131" s="8">
        <f>IFERROR(K131/K444, "NA")</f>
        <v>2.4851090998531389E-2</v>
      </c>
      <c r="M131" s="9"/>
      <c r="N131" s="10">
        <f t="shared" si="29"/>
        <v>321.76999999999953</v>
      </c>
      <c r="O131" s="8">
        <f>IFERROR(N131/N444, "NA")</f>
        <v>1.5355373068230382E-2</v>
      </c>
      <c r="P131" s="9"/>
      <c r="Q131" s="7">
        <v>53106.51</v>
      </c>
      <c r="R131" s="8">
        <f>IFERROR(Q131/Q444, "NA")</f>
        <v>2.5968125358857751E-2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-53106.51</v>
      </c>
      <c r="X131" s="8">
        <f>IFERROR(W131/W444, "NA")</f>
        <v>43.737139892277533</v>
      </c>
      <c r="Y131" s="9"/>
      <c r="Z131" s="7">
        <v>52899.82</v>
      </c>
      <c r="AA131" s="8">
        <f>IFERROR(Z131/Z444, "NA")</f>
        <v>2.8420580550302537E-2</v>
      </c>
      <c r="AB131" s="9"/>
      <c r="AC131" s="10">
        <f t="shared" si="31"/>
        <v>-206.69000000000233</v>
      </c>
      <c r="AD131" s="8">
        <f>IFERROR(AC131/AC444, "NA")</f>
        <v>-1.1248781867240223E-3</v>
      </c>
    </row>
    <row r="132" spans="1:30" ht="16.5" customHeight="1" x14ac:dyDescent="0.45">
      <c r="A132" s="12" t="s">
        <v>124</v>
      </c>
      <c r="B132" s="7">
        <v>8122.96</v>
      </c>
      <c r="C132" s="8">
        <f>IFERROR(B132/B444, "NA")</f>
        <v>3.6569365174664033E-2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-8122.96</v>
      </c>
      <c r="I132" s="8">
        <f>IFERROR(H132/H444, "NA")</f>
        <v>2.5498275098958136</v>
      </c>
      <c r="J132" s="9"/>
      <c r="K132" s="7">
        <v>6984.69</v>
      </c>
      <c r="L132" s="8">
        <f>IFERROR(K132/K444, "NA")</f>
        <v>3.472036364894459E-2</v>
      </c>
      <c r="M132" s="9"/>
      <c r="N132" s="10">
        <f t="shared" si="29"/>
        <v>-1138.2700000000004</v>
      </c>
      <c r="O132" s="8">
        <f>IFERROR(N132/N444, "NA")</f>
        <v>-5.4320043827499859E-2</v>
      </c>
      <c r="P132" s="9"/>
      <c r="Q132" s="7">
        <v>89678.32</v>
      </c>
      <c r="R132" s="8">
        <f>IFERROR(Q132/Q444, "NA")</f>
        <v>4.3851080700497175E-2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-89678.32</v>
      </c>
      <c r="X132" s="8">
        <f>IFERROR(W132/W444, "NA")</f>
        <v>73.856731070153742</v>
      </c>
      <c r="Y132" s="9"/>
      <c r="Z132" s="7">
        <v>67254.649999999994</v>
      </c>
      <c r="AA132" s="8">
        <f>IFERROR(Z132/Z444, "NA")</f>
        <v>3.6132754283613899E-2</v>
      </c>
      <c r="AB132" s="9"/>
      <c r="AC132" s="10">
        <f t="shared" si="31"/>
        <v>-22423.670000000013</v>
      </c>
      <c r="AD132" s="8">
        <f>IFERROR(AC132/AC444, "NA")</f>
        <v>-0.12203733731335617</v>
      </c>
    </row>
    <row r="133" spans="1:30" ht="16.5" customHeight="1" x14ac:dyDescent="0.45">
      <c r="A133" s="12" t="s">
        <v>125</v>
      </c>
      <c r="B133" s="7">
        <v>4034.77</v>
      </c>
      <c r="C133" s="8">
        <f>IFERROR(B133/B444, "NA")</f>
        <v>1.8164434827424882E-2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-4034.77</v>
      </c>
      <c r="I133" s="8">
        <f>IFERROR(H133/H444, "NA")</f>
        <v>1.2665293860984581</v>
      </c>
      <c r="J133" s="9"/>
      <c r="K133" s="7">
        <v>4192.59</v>
      </c>
      <c r="L133" s="8">
        <f>IFERROR(K133/K444, "NA")</f>
        <v>2.0841046550516718E-2</v>
      </c>
      <c r="M133" s="9"/>
      <c r="N133" s="10">
        <f t="shared" si="29"/>
        <v>157.82000000000016</v>
      </c>
      <c r="O133" s="8">
        <f>IFERROR(N133/N444, "NA")</f>
        <v>7.5314198888278118E-3</v>
      </c>
      <c r="P133" s="9"/>
      <c r="Q133" s="7">
        <v>44537.4</v>
      </c>
      <c r="R133" s="8">
        <f>IFERROR(Q133/Q444, "NA")</f>
        <v>2.1777985153940471E-2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-44537.4</v>
      </c>
      <c r="X133" s="8">
        <f>IFERROR(W133/W444, "NA")</f>
        <v>36.679843850373928</v>
      </c>
      <c r="Y133" s="9"/>
      <c r="Z133" s="7">
        <v>36154.980000000003</v>
      </c>
      <c r="AA133" s="8">
        <f>IFERROR(Z133/Z444, "NA")</f>
        <v>1.9424367065607732E-2</v>
      </c>
      <c r="AB133" s="9"/>
      <c r="AC133" s="10">
        <f t="shared" si="31"/>
        <v>-8382.4199999999983</v>
      </c>
      <c r="AD133" s="8">
        <f>IFERROR(AC133/AC444, "NA")</f>
        <v>-4.5620017465571969E-2</v>
      </c>
    </row>
    <row r="134" spans="1:30" ht="16.5" customHeight="1" x14ac:dyDescent="0.45">
      <c r="A134" s="12" t="s">
        <v>126</v>
      </c>
      <c r="B134" s="7">
        <v>1190.8800000000001</v>
      </c>
      <c r="C134" s="8">
        <f>IFERROR(B134/B444, "NA")</f>
        <v>5.3613123293976472E-3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-1190.8800000000001</v>
      </c>
      <c r="I134" s="8">
        <f>IFERROR(H134/H444, "NA")</f>
        <v>0.37382168384243264</v>
      </c>
      <c r="J134" s="9"/>
      <c r="K134" s="7">
        <v>1703.8</v>
      </c>
      <c r="L134" s="8">
        <f>IFERROR(K134/K444, "NA")</f>
        <v>8.4694604320409064E-3</v>
      </c>
      <c r="M134" s="9"/>
      <c r="N134" s="10">
        <f t="shared" si="29"/>
        <v>512.91999999999985</v>
      </c>
      <c r="O134" s="8">
        <f>IFERROR(N134/N444, "NA")</f>
        <v>2.4477353246594575E-2</v>
      </c>
      <c r="P134" s="9"/>
      <c r="Q134" s="7">
        <v>17566.669999999998</v>
      </c>
      <c r="R134" s="8">
        <f>IFERROR(Q134/Q444, "NA")</f>
        <v>8.5897847306796397E-3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-17566.669999999998</v>
      </c>
      <c r="X134" s="8">
        <f>IFERROR(W134/W444, "NA")</f>
        <v>14.467452356245493</v>
      </c>
      <c r="Y134" s="9"/>
      <c r="Z134" s="7">
        <v>16879.16</v>
      </c>
      <c r="AA134" s="8">
        <f>IFERROR(Z134/Z444, "NA")</f>
        <v>9.0683772912921925E-3</v>
      </c>
      <c r="AB134" s="9"/>
      <c r="AC134" s="10">
        <f t="shared" si="31"/>
        <v>-687.5099999999984</v>
      </c>
      <c r="AD134" s="8">
        <f>IFERROR(AC134/AC444, "NA")</f>
        <v>-3.741666273910794E-3</v>
      </c>
    </row>
    <row r="135" spans="1:30" ht="16.5" customHeight="1" x14ac:dyDescent="0.45">
      <c r="A135" s="12" t="s">
        <v>127</v>
      </c>
      <c r="B135" s="7">
        <v>1915.14</v>
      </c>
      <c r="C135" s="8">
        <f>IFERROR(B135/B444, "NA")</f>
        <v>8.6219129505261741E-3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-1915.14</v>
      </c>
      <c r="I135" s="8">
        <f>IFERROR(H135/H444, "NA")</f>
        <v>0.60116960532882946</v>
      </c>
      <c r="J135" s="9"/>
      <c r="K135" s="7">
        <v>2174.19</v>
      </c>
      <c r="L135" s="8">
        <f>IFERROR(K135/K444, "NA")</f>
        <v>1.0807733405763012E-2</v>
      </c>
      <c r="M135" s="9"/>
      <c r="N135" s="10">
        <f t="shared" si="29"/>
        <v>259.04999999999995</v>
      </c>
      <c r="O135" s="8">
        <f>IFERROR(N135/N444, "NA")</f>
        <v>1.2362275517683704E-2</v>
      </c>
      <c r="P135" s="9"/>
      <c r="Q135" s="7">
        <v>20078.64</v>
      </c>
      <c r="R135" s="8">
        <f>IFERROR(Q135/Q444, "NA")</f>
        <v>9.8180927452279493E-3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-20078.64</v>
      </c>
      <c r="X135" s="8">
        <f>IFERROR(W135/W444, "NA")</f>
        <v>16.536245490932831</v>
      </c>
      <c r="Y135" s="9"/>
      <c r="Z135" s="7">
        <v>18312.849999999999</v>
      </c>
      <c r="AA135" s="8">
        <f>IFERROR(Z135/Z444, "NA")</f>
        <v>9.8386313702127498E-3</v>
      </c>
      <c r="AB135" s="9"/>
      <c r="AC135" s="10">
        <f t="shared" si="31"/>
        <v>-1765.7900000000009</v>
      </c>
      <c r="AD135" s="8">
        <f>IFERROR(AC135/AC444, "NA")</f>
        <v>-9.6100375119037677E-3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1329.28</v>
      </c>
      <c r="L136" s="8">
        <f>IFERROR(K136/K444, "NA")</f>
        <v>6.6077499489983187E-3</v>
      </c>
      <c r="M136" s="9"/>
      <c r="N136" s="10">
        <f t="shared" si="29"/>
        <v>1329.28</v>
      </c>
      <c r="O136" s="8">
        <f>IFERROR(N136/N444, "NA")</f>
        <v>6.3435342984545826E-2</v>
      </c>
      <c r="P136" s="9"/>
      <c r="Q136" s="7">
        <v>6328.65</v>
      </c>
      <c r="R136" s="8">
        <f>IFERROR(Q136/Q444, "NA")</f>
        <v>3.09459568238122E-3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5.2121114789742755</v>
      </c>
      <c r="Y136" s="9"/>
      <c r="Z136" s="7">
        <v>12256.66</v>
      </c>
      <c r="AA136" s="8">
        <f>IFERROR(Z136/Z444, "NA")</f>
        <v>6.5849258618965265E-3</v>
      </c>
      <c r="AB136" s="9"/>
      <c r="AC136" s="10">
        <f t="shared" si="31"/>
        <v>5928.01</v>
      </c>
      <c r="AD136" s="8">
        <f>IFERROR(AC136/AC444, "NA")</f>
        <v>3.2262272677351572E-2</v>
      </c>
    </row>
    <row r="137" spans="1:30" ht="16.5" customHeight="1" x14ac:dyDescent="0.45">
      <c r="A137" s="12" t="s">
        <v>129</v>
      </c>
      <c r="B137" s="7">
        <v>535.07000000000005</v>
      </c>
      <c r="C137" s="8">
        <f>IFERROR(B137/B444, "NA")</f>
        <v>2.4088719166421462E-3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-535.07000000000005</v>
      </c>
      <c r="I137" s="8">
        <f>IFERROR(H137/H444, "NA")</f>
        <v>0.16796047324127572</v>
      </c>
      <c r="J137" s="9"/>
      <c r="K137" s="7">
        <v>600.48</v>
      </c>
      <c r="L137" s="8">
        <f>IFERROR(K137/K444, "NA")</f>
        <v>2.9849404861086535E-3</v>
      </c>
      <c r="M137" s="9"/>
      <c r="N137" s="10">
        <f t="shared" si="29"/>
        <v>65.409999999999968</v>
      </c>
      <c r="O137" s="8">
        <f>IFERROR(N137/N444, "NA")</f>
        <v>3.1214686030175288E-3</v>
      </c>
      <c r="P137" s="9"/>
      <c r="Q137" s="7">
        <v>9324.01</v>
      </c>
      <c r="R137" s="8">
        <f>IFERROR(Q137/Q444, "NA")</f>
        <v>4.5592726866676651E-3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-9324.01</v>
      </c>
      <c r="X137" s="8">
        <f>IFERROR(W137/W444, "NA")</f>
        <v>7.6790120406517888</v>
      </c>
      <c r="Y137" s="9"/>
      <c r="Z137" s="7">
        <v>8246.52</v>
      </c>
      <c r="AA137" s="8">
        <f>IFERROR(Z137/Z444, "NA")</f>
        <v>4.4304666049843058E-3</v>
      </c>
      <c r="AB137" s="9"/>
      <c r="AC137" s="10">
        <f t="shared" si="31"/>
        <v>-1077.4899999999998</v>
      </c>
      <c r="AD137" s="8">
        <f>IFERROR(AC137/AC444, "NA")</f>
        <v>-5.8640717858302422E-3</v>
      </c>
    </row>
    <row r="138" spans="1:30" ht="16.5" customHeight="1" x14ac:dyDescent="0.45">
      <c r="A138" s="12" t="s">
        <v>130</v>
      </c>
      <c r="B138" s="7">
        <v>15195.56</v>
      </c>
      <c r="C138" s="8">
        <f>IFERROR(B138/B444, "NA")</f>
        <v>6.8410035587214243E-2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-15195.56</v>
      </c>
      <c r="I138" s="8">
        <f>IFERROR(H138/H444, "NA")</f>
        <v>4.7699430892522461</v>
      </c>
      <c r="J138" s="9"/>
      <c r="K138" s="7">
        <v>7473.21</v>
      </c>
      <c r="L138" s="8">
        <f>IFERROR(K138/K444, "NA")</f>
        <v>3.714875947607256E-2</v>
      </c>
      <c r="M138" s="9"/>
      <c r="N138" s="10">
        <f t="shared" si="29"/>
        <v>-7722.3499999999995</v>
      </c>
      <c r="O138" s="8">
        <f>IFERROR(N138/N444, "NA")</f>
        <v>-0.36852274983201994</v>
      </c>
      <c r="P138" s="9"/>
      <c r="Q138" s="7">
        <v>115855.03999999999</v>
      </c>
      <c r="R138" s="8">
        <f>IFERROR(Q138/Q444, "NA")</f>
        <v>5.6651024557544429E-2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-115855.03999999999</v>
      </c>
      <c r="X138" s="8">
        <f>IFERROR(W138/W444, "NA")</f>
        <v>95.415196587111609</v>
      </c>
      <c r="Y138" s="9"/>
      <c r="Z138" s="7">
        <v>89379.47</v>
      </c>
      <c r="AA138" s="8">
        <f>IFERROR(Z138/Z444, "NA")</f>
        <v>4.8019377507869575E-2</v>
      </c>
      <c r="AB138" s="9"/>
      <c r="AC138" s="10">
        <f t="shared" si="31"/>
        <v>-26475.569999999992</v>
      </c>
      <c r="AD138" s="8">
        <f>IFERROR(AC138/AC444, "NA")</f>
        <v>-0.14408917303248622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46703.45</v>
      </c>
      <c r="C141" s="15">
        <f>IFERROR(B141/B444, "NA")</f>
        <v>0.21025777770254475</v>
      </c>
      <c r="D141" s="2"/>
      <c r="E141" s="14">
        <f>IFERROR(E129+E130+E131+E132+E133+E134+E135+E136+E137+E138+E139+E140, "NA")</f>
        <v>47991.12</v>
      </c>
      <c r="F141" s="15">
        <f>IFERROR(E141/E444, "NA")</f>
        <v>0.21300001185031797</v>
      </c>
      <c r="G141" s="2"/>
      <c r="H141" s="14">
        <f t="shared" si="28"/>
        <v>1287.6700000000055</v>
      </c>
      <c r="I141" s="15">
        <f>IFERROR(H141/H444, "NA")</f>
        <v>-0.40420442667051865</v>
      </c>
      <c r="J141" s="2"/>
      <c r="K141" s="14">
        <f>IFERROR(K129+K130+K131+K132+K133+K134+K135+K136+K137+K138+K139+K140, "NA")</f>
        <v>39889.82</v>
      </c>
      <c r="L141" s="15">
        <f>IFERROR(K141/K444, "NA")</f>
        <v>0.19828926642283953</v>
      </c>
      <c r="M141" s="2"/>
      <c r="N141" s="14">
        <f t="shared" si="29"/>
        <v>-6813.6299999999974</v>
      </c>
      <c r="O141" s="15">
        <f>IFERROR(N141/N444, "NA")</f>
        <v>-0.32515719488730049</v>
      </c>
      <c r="P141" s="2"/>
      <c r="Q141" s="14">
        <f>IFERROR(Q129+Q130+Q131+Q132+Q133+Q134+Q135+Q136+Q137+Q138+Q139+Q140, "NA")</f>
        <v>460743.36000000004</v>
      </c>
      <c r="R141" s="15">
        <f>IFERROR(Q141/Q444, "NA")</f>
        <v>0.22529519131913067</v>
      </c>
      <c r="S141" s="2"/>
      <c r="T141" s="14">
        <f>IFERROR(T129+T130+T131+T132+T133+T134+T135+T136+T137+T138+T139+T140, "NA")</f>
        <v>446486.38</v>
      </c>
      <c r="U141" s="15">
        <f>IFERROR(T141/T444, "NA")</f>
        <v>0.21819423646264072</v>
      </c>
      <c r="V141" s="2"/>
      <c r="W141" s="14">
        <f t="shared" si="30"/>
        <v>-14256.98000000004</v>
      </c>
      <c r="X141" s="15">
        <f>IFERROR(W141/W444, "NA")</f>
        <v>11.741677784915721</v>
      </c>
      <c r="Y141" s="2"/>
      <c r="Z141" s="14">
        <f>IFERROR(Z129+Z130+Z131+Z132+Z133+Z134+Z135+Z136+Z137+Z138+Z139+Z140, "NA")</f>
        <v>414392.1</v>
      </c>
      <c r="AA141" s="15">
        <f>IFERROR(Z141/Z444, "NA")</f>
        <v>0.22263334842082683</v>
      </c>
      <c r="AB141" s="2"/>
      <c r="AC141" s="14">
        <f t="shared" si="31"/>
        <v>-46351.260000000068</v>
      </c>
      <c r="AD141" s="15">
        <f>IFERROR(AC141/AC444, "NA")</f>
        <v>-0.25225952538184332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1921.5</v>
      </c>
      <c r="C144" s="8">
        <f>IFERROR(B144/B444, "NA")</f>
        <v>8.6505455133494367E-3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-1921.5</v>
      </c>
      <c r="I144" s="8">
        <f>IFERROR(H144/H444, "NA")</f>
        <v>0.60316603310428785</v>
      </c>
      <c r="J144" s="9"/>
      <c r="K144" s="7">
        <v>1528.18</v>
      </c>
      <c r="L144" s="8">
        <f>IFERROR(K144/K444, "NA")</f>
        <v>7.5964667467051722E-3</v>
      </c>
      <c r="M144" s="9"/>
      <c r="N144" s="10">
        <f t="shared" si="33"/>
        <v>-393.31999999999994</v>
      </c>
      <c r="O144" s="8">
        <f>IFERROR(N144/N444, "NA")</f>
        <v>-1.876985217763117E-2</v>
      </c>
      <c r="P144" s="9"/>
      <c r="Q144" s="7">
        <v>20385.689999999999</v>
      </c>
      <c r="R144" s="8">
        <f>IFERROR(Q144/Q444, "NA")</f>
        <v>9.9682346561054905E-3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-20385.689999999999</v>
      </c>
      <c r="X144" s="8">
        <f>IFERROR(W144/W444, "NA")</f>
        <v>16.789123881998705</v>
      </c>
      <c r="Y144" s="9"/>
      <c r="Z144" s="7">
        <v>15197.24</v>
      </c>
      <c r="AA144" s="8">
        <f>IFERROR(Z144/Z444, "NA")</f>
        <v>8.1647609304205514E-3</v>
      </c>
      <c r="AB144" s="9"/>
      <c r="AC144" s="10">
        <f t="shared" si="35"/>
        <v>-5188.4499999999989</v>
      </c>
      <c r="AD144" s="8">
        <f>IFERROR(AC144/AC444, "NA")</f>
        <v>-2.8237332371707322E-2</v>
      </c>
    </row>
    <row r="145" spans="1:30" ht="16.5" customHeight="1" x14ac:dyDescent="0.45">
      <c r="A145" s="12" t="s">
        <v>136</v>
      </c>
      <c r="B145" s="7">
        <v>67.2</v>
      </c>
      <c r="C145" s="8">
        <f>IFERROR(B145/B444, "NA")</f>
        <v>3.025327392646798E-4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-67.2</v>
      </c>
      <c r="I145" s="8">
        <f>IFERROR(H145/H444, "NA")</f>
        <v>2.1094331212390394E-2</v>
      </c>
      <c r="J145" s="9"/>
      <c r="K145" s="7">
        <v>773.13</v>
      </c>
      <c r="L145" s="8">
        <f>IFERROR(K145/K444, "NA")</f>
        <v>3.8431705269537423E-3</v>
      </c>
      <c r="M145" s="9"/>
      <c r="N145" s="10">
        <f t="shared" si="33"/>
        <v>705.93</v>
      </c>
      <c r="O145" s="8">
        <f>IFERROR(N145/N444, "NA")</f>
        <v>3.3688095565328924E-2</v>
      </c>
      <c r="P145" s="9"/>
      <c r="Q145" s="7">
        <v>1160.6600000000001</v>
      </c>
      <c r="R145" s="8">
        <f>IFERROR(Q145/Q444, "NA")</f>
        <v>5.6754180191866946E-4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-1160.6600000000001</v>
      </c>
      <c r="X145" s="8">
        <f>IFERROR(W145/W444, "NA")</f>
        <v>0.95588937754280678</v>
      </c>
      <c r="Y145" s="9"/>
      <c r="Z145" s="7">
        <v>1759.12</v>
      </c>
      <c r="AA145" s="8">
        <f>IFERROR(Z145/Z444, "NA")</f>
        <v>9.4509228306728069E-4</v>
      </c>
      <c r="AB145" s="9"/>
      <c r="AC145" s="10">
        <f t="shared" si="35"/>
        <v>598.45999999999981</v>
      </c>
      <c r="AD145" s="8">
        <f>IFERROR(AC145/AC444, "NA")</f>
        <v>3.2570254953159347E-3</v>
      </c>
    </row>
    <row r="146" spans="1:30" ht="16.5" customHeight="1" x14ac:dyDescent="0.45">
      <c r="A146" s="12" t="s">
        <v>137</v>
      </c>
      <c r="B146" s="7">
        <v>194.68</v>
      </c>
      <c r="C146" s="8">
        <f>IFERROR(B146/B444, "NA")</f>
        <v>8.7644454881023596E-4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-194.68</v>
      </c>
      <c r="I146" s="8">
        <f>IFERROR(H146/H444, "NA")</f>
        <v>6.1110779768276217E-2</v>
      </c>
      <c r="J146" s="9"/>
      <c r="K146" s="7">
        <v>335.85</v>
      </c>
      <c r="L146" s="8">
        <f>IFERROR(K146/K444, "NA")</f>
        <v>1.6694848492199428E-3</v>
      </c>
      <c r="M146" s="9"/>
      <c r="N146" s="10">
        <f t="shared" si="33"/>
        <v>141.17000000000002</v>
      </c>
      <c r="O146" s="8">
        <f>IFERROR(N146/N444, "NA")</f>
        <v>6.7368555677722796E-3</v>
      </c>
      <c r="P146" s="9"/>
      <c r="Q146" s="7">
        <v>1945.24</v>
      </c>
      <c r="R146" s="8">
        <f>IFERROR(Q146/Q444, "NA")</f>
        <v>9.5118726824761123E-4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-1945.24</v>
      </c>
      <c r="X146" s="8">
        <f>IFERROR(W146/W444, "NA")</f>
        <v>1.6020490520663839</v>
      </c>
      <c r="Y146" s="9"/>
      <c r="Z146" s="7">
        <v>4696.3100000000004</v>
      </c>
      <c r="AA146" s="8">
        <f>IFERROR(Z146/Z444, "NA")</f>
        <v>2.5231060643342703E-3</v>
      </c>
      <c r="AB146" s="9"/>
      <c r="AC146" s="10">
        <f t="shared" si="35"/>
        <v>2751.0700000000006</v>
      </c>
      <c r="AD146" s="8">
        <f>IFERROR(AC146/AC444, "NA")</f>
        <v>1.4972270710488277E-2</v>
      </c>
    </row>
    <row r="147" spans="1:30" ht="16.5" customHeight="1" x14ac:dyDescent="0.45">
      <c r="A147" s="12" t="s">
        <v>138</v>
      </c>
      <c r="B147" s="7">
        <v>32.9</v>
      </c>
      <c r="C147" s="8">
        <f>IFERROR(B147/B444, "NA")</f>
        <v>1.4811498693166614E-4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-32.9</v>
      </c>
      <c r="I147" s="8">
        <f>IFERROR(H147/H444, "NA")</f>
        <v>1.0327432989399463E-2</v>
      </c>
      <c r="J147" s="9"/>
      <c r="K147" s="7">
        <v>18.04</v>
      </c>
      <c r="L147" s="8">
        <f>IFERROR(K147/K444, "NA")</f>
        <v>8.9675470239475259E-5</v>
      </c>
      <c r="M147" s="9"/>
      <c r="N147" s="10">
        <f t="shared" si="33"/>
        <v>-14.86</v>
      </c>
      <c r="O147" s="8">
        <f>IFERROR(N147/N444, "NA")</f>
        <v>-7.0914269134445039E-4</v>
      </c>
      <c r="P147" s="9"/>
      <c r="Q147" s="7">
        <v>418.85</v>
      </c>
      <c r="R147" s="8">
        <f>IFERROR(Q147/Q444, "NA")</f>
        <v>2.048100940272213E-4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-418.85</v>
      </c>
      <c r="X147" s="8">
        <f>IFERROR(W147/W444, "NA")</f>
        <v>0.3449539622144337</v>
      </c>
      <c r="Y147" s="9"/>
      <c r="Z147" s="7">
        <v>345.21</v>
      </c>
      <c r="AA147" s="8">
        <f>IFERROR(Z147/Z444, "NA")</f>
        <v>1.8546506607716129E-4</v>
      </c>
      <c r="AB147" s="9"/>
      <c r="AC147" s="10">
        <f t="shared" si="35"/>
        <v>-73.640000000000043</v>
      </c>
      <c r="AD147" s="8">
        <f>IFERROR(AC147/AC444, "NA")</f>
        <v>-4.0077424969933771E-4</v>
      </c>
    </row>
    <row r="148" spans="1:30" ht="16.5" customHeight="1" x14ac:dyDescent="0.45">
      <c r="A148" s="13" t="s">
        <v>139</v>
      </c>
      <c r="B148" s="14">
        <f>IFERROR(B143+B144+B145+B146+B147, "NA")</f>
        <v>2216.2800000000002</v>
      </c>
      <c r="C148" s="15">
        <f>IFERROR(B148/B444, "NA")</f>
        <v>9.9776377883560204E-3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-2216.2800000000002</v>
      </c>
      <c r="I148" s="15">
        <f>IFERROR(H148/H444, "NA")</f>
        <v>0.6956985770743539</v>
      </c>
      <c r="J148" s="2"/>
      <c r="K148" s="14">
        <f>IFERROR(K143+K144+K145+K146+K147, "NA")</f>
        <v>2655.2</v>
      </c>
      <c r="L148" s="15">
        <f>IFERROR(K148/K444, "NA")</f>
        <v>1.3198797593118332E-2</v>
      </c>
      <c r="M148" s="2"/>
      <c r="N148" s="14">
        <f t="shared" si="33"/>
        <v>438.91999999999962</v>
      </c>
      <c r="O148" s="15">
        <f>IFERROR(N148/N444, "NA")</f>
        <v>2.0945956264125563E-2</v>
      </c>
      <c r="P148" s="2"/>
      <c r="Q148" s="14">
        <f>IFERROR(Q143+Q144+Q145+Q146+Q147, "NA")</f>
        <v>23910.44</v>
      </c>
      <c r="R148" s="15">
        <f>IFERROR(Q148/Q444, "NA")</f>
        <v>1.1691773820298993E-2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-23910.44</v>
      </c>
      <c r="X148" s="15">
        <f>IFERROR(W148/W444, "NA")</f>
        <v>19.692016273822329</v>
      </c>
      <c r="Y148" s="2"/>
      <c r="Z148" s="14">
        <f>IFERROR(Z143+Z144+Z145+Z146+Z147, "NA")</f>
        <v>21997.88</v>
      </c>
      <c r="AA148" s="15">
        <f>IFERROR(Z148/Z444, "NA")</f>
        <v>1.1818424343899264E-2</v>
      </c>
      <c r="AB148" s="2"/>
      <c r="AC148" s="14">
        <f t="shared" si="35"/>
        <v>-1912.5599999999977</v>
      </c>
      <c r="AD148" s="15">
        <f>IFERROR(AC148/AC444, "NA")</f>
        <v>-1.0408810415602444E-2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48919.729999999996</v>
      </c>
      <c r="C149" s="15">
        <f>IFERROR(B149/B444, "NA")</f>
        <v>0.22023541549090075</v>
      </c>
      <c r="D149" s="2"/>
      <c r="E149" s="14">
        <f>IFERROR(E127+E129+E130+E131+E132+E133+E134+E135+E136+E137+E138+E139+E140+E143+E144+E145+E146+E147, "NA")</f>
        <v>47991.12</v>
      </c>
      <c r="F149" s="15">
        <f>IFERROR(E149/E444, "NA")</f>
        <v>0.21300001185031797</v>
      </c>
      <c r="G149" s="2"/>
      <c r="H149" s="14">
        <f t="shared" si="32"/>
        <v>-928.60999999999331</v>
      </c>
      <c r="I149" s="15">
        <f>IFERROR(H149/H444, "NA")</f>
        <v>0.29149415040383486</v>
      </c>
      <c r="J149" s="2"/>
      <c r="K149" s="14">
        <f>IFERROR(K127+K129+K130+K131+K132+K133+K134+K135+K136+K137+K138+K139+K140+K143+K144+K145+K146+K147, "NA")</f>
        <v>42545.02</v>
      </c>
      <c r="L149" s="15">
        <f>IFERROR(K149/K444, "NA")</f>
        <v>0.21148806401595785</v>
      </c>
      <c r="M149" s="2"/>
      <c r="N149" s="14">
        <f t="shared" si="33"/>
        <v>-6374.7099999999991</v>
      </c>
      <c r="O149" s="15">
        <f>IFERROR(N149/N444, "NA")</f>
        <v>-0.30421123862317501</v>
      </c>
      <c r="P149" s="2"/>
      <c r="Q149" s="14">
        <f>IFERROR(Q127+Q129+Q130+Q131+Q132+Q133+Q134+Q135+Q136+Q137+Q138+Q139+Q140+Q143+Q144+Q145+Q146+Q147, "NA")</f>
        <v>484653.8</v>
      </c>
      <c r="R149" s="15">
        <f>IFERROR(Q149/Q444, "NA")</f>
        <v>0.23698696513942963</v>
      </c>
      <c r="S149" s="2"/>
      <c r="T149" s="14">
        <f>IFERROR(T127+T129+T130+T131+T132+T133+T134+T135+T136+T137+T138+T139+T140+T143+T144+T145+T146+T147, "NA")</f>
        <v>446486.38</v>
      </c>
      <c r="U149" s="15">
        <f>IFERROR(T149/T444, "NA")</f>
        <v>0.21819423646264072</v>
      </c>
      <c r="V149" s="2"/>
      <c r="W149" s="14">
        <f t="shared" si="34"/>
        <v>-38167.419999999984</v>
      </c>
      <c r="X149" s="15">
        <f>IFERROR(W149/W444, "NA")</f>
        <v>31.433694058738006</v>
      </c>
      <c r="Y149" s="2"/>
      <c r="Z149" s="14">
        <f>IFERROR(Z127+Z129+Z130+Z131+Z132+Z133+Z134+Z135+Z136+Z137+Z138+Z139+Z140+Z143+Z144+Z145+Z146+Z147, "NA")</f>
        <v>436389.98</v>
      </c>
      <c r="AA149" s="15">
        <f>IFERROR(Z149/Z444, "NA")</f>
        <v>0.23445177276472609</v>
      </c>
      <c r="AB149" s="2"/>
      <c r="AC149" s="14">
        <f t="shared" si="35"/>
        <v>-48263.820000000007</v>
      </c>
      <c r="AD149" s="15">
        <f>IFERROR(AC149/AC444, "NA")</f>
        <v>-0.26266833579744542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3830.28</v>
      </c>
      <c r="F153" s="8">
        <f>IFERROR(E153/E444, "NA")</f>
        <v>1.7000013448113648E-2</v>
      </c>
      <c r="G153" s="9"/>
      <c r="H153" s="10">
        <f t="shared" ref="H153:H158" si="36">IFERROR(-(B153-E153), "NA")</f>
        <v>3830.28</v>
      </c>
      <c r="I153" s="8">
        <f>IFERROR(H153/H444, "NA")</f>
        <v>-1.2023392106576589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36524.839999999997</v>
      </c>
      <c r="U153" s="8">
        <f>IFERROR(T153/T444, "NA")</f>
        <v>1.7849390110668363E-2</v>
      </c>
      <c r="V153" s="9"/>
      <c r="W153" s="10">
        <f t="shared" ref="W153:W158" si="38">IFERROR(-(Q153-T153), "NA")</f>
        <v>36524.839999999997</v>
      </c>
      <c r="X153" s="8">
        <f>IFERROR(W153/W444, "NA")</f>
        <v>-30.080907907958061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4729.1099999999997</v>
      </c>
      <c r="C154" s="8">
        <f>IFERROR(B154/B444, "NA")</f>
        <v>2.1290336347976037E-2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-4729.1099999999997</v>
      </c>
      <c r="I154" s="8">
        <f>IFERROR(H154/H444, "NA")</f>
        <v>1.4844853077355287</v>
      </c>
      <c r="J154" s="9"/>
      <c r="K154" s="7">
        <v>4842.57</v>
      </c>
      <c r="L154" s="8">
        <f>IFERROR(K154/K444, "NA")</f>
        <v>2.4072047778136124E-2</v>
      </c>
      <c r="M154" s="9"/>
      <c r="N154" s="10">
        <f t="shared" si="37"/>
        <v>113.46000000000004</v>
      </c>
      <c r="O154" s="8">
        <f>IFERROR(N154/N444, "NA")</f>
        <v>5.4144905625801727E-3</v>
      </c>
      <c r="P154" s="9"/>
      <c r="Q154" s="7">
        <v>55297.54</v>
      </c>
      <c r="R154" s="8">
        <f>IFERROR(Q154/Q444, "NA")</f>
        <v>2.7039499503101423E-2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-55297.54</v>
      </c>
      <c r="X154" s="8">
        <f>IFERROR(W154/W444, "NA")</f>
        <v>45.541615193293865</v>
      </c>
      <c r="Y154" s="9"/>
      <c r="Z154" s="7">
        <v>51069.81</v>
      </c>
      <c r="AA154" s="8">
        <f>IFERROR(Z154/Z444, "NA")</f>
        <v>2.7437402410700942E-2</v>
      </c>
      <c r="AB154" s="9"/>
      <c r="AC154" s="10">
        <f t="shared" si="39"/>
        <v>-4227.7300000000032</v>
      </c>
      <c r="AD154" s="8">
        <f>IFERROR(AC154/AC444, "NA")</f>
        <v>-2.3008763154282744E-2</v>
      </c>
    </row>
    <row r="155" spans="1:30" ht="16.5" customHeight="1" x14ac:dyDescent="0.45">
      <c r="A155" s="12" t="s">
        <v>144</v>
      </c>
      <c r="B155" s="7">
        <v>3794.91</v>
      </c>
      <c r="C155" s="8">
        <f>IFERROR(B155/B444, "NA")</f>
        <v>1.7084591035162588E-2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-3794.91</v>
      </c>
      <c r="I155" s="8">
        <f>IFERROR(H155/H444, "NA")</f>
        <v>1.1912364354347087</v>
      </c>
      <c r="J155" s="9"/>
      <c r="K155" s="7">
        <v>3349.22</v>
      </c>
      <c r="L155" s="8">
        <f>IFERROR(K155/K444, "NA")</f>
        <v>1.664871831682125E-2</v>
      </c>
      <c r="M155" s="9"/>
      <c r="N155" s="10">
        <f t="shared" si="37"/>
        <v>-445.69000000000005</v>
      </c>
      <c r="O155" s="8">
        <f>IFERROR(N155/N444, "NA")</f>
        <v>-2.1269031366440656E-2</v>
      </c>
      <c r="P155" s="9"/>
      <c r="Q155" s="7">
        <v>31663.39</v>
      </c>
      <c r="R155" s="8">
        <f>IFERROR(Q155/Q444, "NA")</f>
        <v>1.5482826508584405E-2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-31663.39</v>
      </c>
      <c r="X155" s="8">
        <f>IFERROR(W155/W444, "NA")</f>
        <v>26.077144174861829</v>
      </c>
      <c r="Y155" s="9"/>
      <c r="Z155" s="7">
        <v>31850.5</v>
      </c>
      <c r="AA155" s="8">
        <f>IFERROR(Z155/Z444, "NA")</f>
        <v>1.7111772796531463E-2</v>
      </c>
      <c r="AB155" s="9"/>
      <c r="AC155" s="10">
        <f t="shared" si="39"/>
        <v>187.11000000000058</v>
      </c>
      <c r="AD155" s="8">
        <f>IFERROR(AC155/AC444, "NA")</f>
        <v>1.0183170812227496E-3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74.849999999999994</v>
      </c>
      <c r="L156" s="8">
        <f>IFERROR(K156/K444, "NA")</f>
        <v>3.720736667086875E-4</v>
      </c>
      <c r="M156" s="9"/>
      <c r="N156" s="10">
        <f t="shared" si="37"/>
        <v>74.849999999999994</v>
      </c>
      <c r="O156" s="8">
        <f>IFERROR(N156/N444, "NA")</f>
        <v>3.5719603261865481E-3</v>
      </c>
      <c r="P156" s="9"/>
      <c r="Q156" s="7">
        <v>21.15</v>
      </c>
      <c r="R156" s="8">
        <f>IFERROR(Q156/Q444, "NA")</f>
        <v>1.0341968458101301E-5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-21.15</v>
      </c>
      <c r="X156" s="8">
        <f>IFERROR(W156/W444, "NA")</f>
        <v>1.741858971191422E-2</v>
      </c>
      <c r="Y156" s="9"/>
      <c r="Z156" s="7">
        <v>330.51</v>
      </c>
      <c r="AA156" s="8">
        <f>IFERROR(Z156/Z444, "NA")</f>
        <v>1.775674487678879E-4</v>
      </c>
      <c r="AB156" s="9"/>
      <c r="AC156" s="10">
        <f t="shared" si="39"/>
        <v>309.36</v>
      </c>
      <c r="AD156" s="8">
        <f>IFERROR(AC156/AC444, "NA")</f>
        <v>1.6836436975419208E-3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8524.02</v>
      </c>
      <c r="C158" s="15">
        <f>IFERROR(B158/B444, "NA")</f>
        <v>3.8374927383138628E-2</v>
      </c>
      <c r="D158" s="2"/>
      <c r="E158" s="14">
        <f>IFERROR(E153+E154+E155+E156+E157, "NA")</f>
        <v>3830.28</v>
      </c>
      <c r="F158" s="15">
        <f>IFERROR(E158/E444, "NA")</f>
        <v>1.7000013448113648E-2</v>
      </c>
      <c r="G158" s="2"/>
      <c r="H158" s="14">
        <f t="shared" si="36"/>
        <v>-4693.74</v>
      </c>
      <c r="I158" s="15">
        <f>IFERROR(H158/H444, "NA")</f>
        <v>1.4733825325125784</v>
      </c>
      <c r="J158" s="2"/>
      <c r="K158" s="14">
        <f>IFERROR(K153+K154+K155+K156+K157, "NA")</f>
        <v>8266.64</v>
      </c>
      <c r="L158" s="15">
        <f>IFERROR(K158/K444, "NA")</f>
        <v>4.1092839761666063E-2</v>
      </c>
      <c r="M158" s="2"/>
      <c r="N158" s="14">
        <f t="shared" si="37"/>
        <v>-257.38000000000102</v>
      </c>
      <c r="O158" s="15">
        <f>IFERROR(N158/N444, "NA")</f>
        <v>-1.2282580477673982E-2</v>
      </c>
      <c r="P158" s="2"/>
      <c r="Q158" s="14">
        <f>IFERROR(Q153+Q154+Q155+Q156+Q157, "NA")</f>
        <v>86982.079999999987</v>
      </c>
      <c r="R158" s="15">
        <f>IFERROR(Q158/Q444, "NA")</f>
        <v>4.2532667980143921E-2</v>
      </c>
      <c r="S158" s="2"/>
      <c r="T158" s="14">
        <f>IFERROR(T153+T154+T155+T156+T157, "NA")</f>
        <v>36524.839999999997</v>
      </c>
      <c r="U158" s="15">
        <f>IFERROR(T158/T444, "NA")</f>
        <v>1.7849390110668363E-2</v>
      </c>
      <c r="V158" s="2"/>
      <c r="W158" s="14">
        <f t="shared" si="38"/>
        <v>-50457.239999999991</v>
      </c>
      <c r="X158" s="15">
        <f>IFERROR(W158/W444, "NA")</f>
        <v>41.555270049909531</v>
      </c>
      <c r="Y158" s="2"/>
      <c r="Z158" s="14">
        <f>IFERROR(Z153+Z154+Z155+Z156+Z157, "NA")</f>
        <v>83250.819999999992</v>
      </c>
      <c r="AA158" s="15">
        <f>IFERROR(Z158/Z444, "NA")</f>
        <v>4.4726742656000289E-2</v>
      </c>
      <c r="AB158" s="2"/>
      <c r="AC158" s="14">
        <f t="shared" si="39"/>
        <v>-3731.2599999999948</v>
      </c>
      <c r="AD158" s="15">
        <f>IFERROR(AC158/AC444, "NA")</f>
        <v>-2.0306802375518032E-2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231.11</v>
      </c>
      <c r="C161" s="8">
        <f>IFERROR(B161/B444, "NA")</f>
        <v>1.0404515085038711E-3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-231.11</v>
      </c>
      <c r="I161" s="8">
        <f>IFERROR(H161/H444, "NA")</f>
        <v>7.2546292953802743E-2</v>
      </c>
      <c r="J161" s="9"/>
      <c r="K161" s="7">
        <v>85.26</v>
      </c>
      <c r="L161" s="8">
        <f>IFERROR(K161/K444, "NA")</f>
        <v>4.2382098628701006E-4</v>
      </c>
      <c r="M161" s="9"/>
      <c r="N161" s="10">
        <f t="shared" si="41"/>
        <v>-145.85000000000002</v>
      </c>
      <c r="O161" s="8">
        <f>IFERROR(N161/N444, "NA")</f>
        <v>-6.9601925661230222E-3</v>
      </c>
      <c r="P161" s="9"/>
      <c r="Q161" s="7">
        <v>2080.1</v>
      </c>
      <c r="R161" s="8">
        <f>IFERROR(Q161/Q444, "NA")</f>
        <v>1.0171313753993625E-3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-2080.1</v>
      </c>
      <c r="X161" s="8">
        <f>IFERROR(W161/W444, "NA")</f>
        <v>1.7131162392318096</v>
      </c>
      <c r="Y161" s="9"/>
      <c r="Z161" s="7">
        <v>2568.11</v>
      </c>
      <c r="AA161" s="8">
        <f>IFERROR(Z161/Z444, "NA")</f>
        <v>1.379724488987627E-3</v>
      </c>
      <c r="AB161" s="9"/>
      <c r="AC161" s="10">
        <f t="shared" si="43"/>
        <v>488.01000000000022</v>
      </c>
      <c r="AD161" s="8">
        <f>IFERROR(AC161/AC444, "NA")</f>
        <v>2.6559185442120285E-3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231.11</v>
      </c>
      <c r="C166" s="15">
        <f>IFERROR(B166/B444, "NA")</f>
        <v>1.0404515085038711E-3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-231.11</v>
      </c>
      <c r="I166" s="15">
        <f>IFERROR(H166/H444, "NA")</f>
        <v>7.2546292953802743E-2</v>
      </c>
      <c r="J166" s="2"/>
      <c r="K166" s="14">
        <f>IFERROR(K160+K161+K162+K163+K164+K165, "NA")</f>
        <v>85.26</v>
      </c>
      <c r="L166" s="15">
        <f>IFERROR(K166/K444, "NA")</f>
        <v>4.2382098628701006E-4</v>
      </c>
      <c r="M166" s="2"/>
      <c r="N166" s="14">
        <f t="shared" si="41"/>
        <v>-145.85000000000002</v>
      </c>
      <c r="O166" s="15">
        <f>IFERROR(N166/N444, "NA")</f>
        <v>-6.9601925661230222E-3</v>
      </c>
      <c r="P166" s="2"/>
      <c r="Q166" s="14">
        <f>IFERROR(Q160+Q161+Q162+Q163+Q164+Q165, "NA")</f>
        <v>2080.1</v>
      </c>
      <c r="R166" s="15">
        <f>IFERROR(Q166/Q444, "NA")</f>
        <v>1.0171313753993625E-3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-2080.1</v>
      </c>
      <c r="X166" s="15">
        <f>IFERROR(W166/W444, "NA")</f>
        <v>1.7131162392318096</v>
      </c>
      <c r="Y166" s="2"/>
      <c r="Z166" s="14">
        <f>IFERROR(Z160+Z161+Z162+Z163+Z164+Z165, "NA")</f>
        <v>2568.11</v>
      </c>
      <c r="AA166" s="15">
        <f>IFERROR(Z166/Z444, "NA")</f>
        <v>1.379724488987627E-3</v>
      </c>
      <c r="AB166" s="2"/>
      <c r="AC166" s="14">
        <f t="shared" si="43"/>
        <v>488.01000000000022</v>
      </c>
      <c r="AD166" s="15">
        <f>IFERROR(AC166/AC444, "NA")</f>
        <v>2.6559185442120285E-3</v>
      </c>
    </row>
    <row r="167" spans="1:30" ht="16.5" customHeight="1" x14ac:dyDescent="0.45">
      <c r="A167" s="6" t="s">
        <v>155</v>
      </c>
      <c r="B167" s="7">
        <v>193.95</v>
      </c>
      <c r="C167" s="8">
        <f>IFERROR(B167/B444, "NA")</f>
        <v>8.7315810685096185E-4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-193.95</v>
      </c>
      <c r="I167" s="8">
        <f>IFERROR(H167/H444, "NA")</f>
        <v>6.0881630039332092E-2</v>
      </c>
      <c r="J167" s="9"/>
      <c r="K167" s="7">
        <v>107.08</v>
      </c>
      <c r="L167" s="8">
        <f>IFERROR(K167/K444, "NA")</f>
        <v>5.3228654951457933E-4</v>
      </c>
      <c r="M167" s="9"/>
      <c r="N167" s="10">
        <f t="shared" si="41"/>
        <v>-86.86999999999999</v>
      </c>
      <c r="O167" s="8">
        <f>IFERROR(N167/N444, "NA")</f>
        <v>-4.1455737279335395E-3</v>
      </c>
      <c r="P167" s="9"/>
      <c r="Q167" s="7">
        <v>1789.14</v>
      </c>
      <c r="R167" s="8">
        <f>IFERROR(Q167/Q444, "NA")</f>
        <v>8.7485718426134115E-4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-1789.14</v>
      </c>
      <c r="X167" s="8">
        <f>IFERROR(W167/W444, "NA")</f>
        <v>1.4734891535306955</v>
      </c>
      <c r="Y167" s="9"/>
      <c r="Z167" s="7">
        <v>1725.99</v>
      </c>
      <c r="AA167" s="8">
        <f>IFERROR(Z167/Z444, "NA")</f>
        <v>9.2729309521311564E-4</v>
      </c>
      <c r="AB167" s="9"/>
      <c r="AC167" s="10">
        <f t="shared" si="43"/>
        <v>-63.150000000000091</v>
      </c>
      <c r="AD167" s="8">
        <f>IFERROR(AC167/AC444, "NA")</f>
        <v>-3.4368405579186855E-4</v>
      </c>
    </row>
    <row r="168" spans="1:30" ht="16.5" customHeight="1" x14ac:dyDescent="0.45">
      <c r="A168" s="6" t="s">
        <v>156</v>
      </c>
      <c r="B168" s="7">
        <v>54.31</v>
      </c>
      <c r="C168" s="8">
        <f>IFERROR(B168/B444, "NA")</f>
        <v>2.4450227781941603E-4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-54.31</v>
      </c>
      <c r="I168" s="8">
        <f>IFERROR(H168/H444, "NA")</f>
        <v>1.7048112025966105E-2</v>
      </c>
      <c r="J168" s="9"/>
      <c r="K168" s="7">
        <v>56.2</v>
      </c>
      <c r="L168" s="8">
        <f>IFERROR(K168/K444, "NA")</f>
        <v>2.7936593278594842E-4</v>
      </c>
      <c r="M168" s="9"/>
      <c r="N168" s="10">
        <f t="shared" si="41"/>
        <v>1.8900000000000006</v>
      </c>
      <c r="O168" s="8">
        <f>IFERROR(N168/N444, "NA")</f>
        <v>9.0193787795492031E-5</v>
      </c>
      <c r="P168" s="9"/>
      <c r="Q168" s="7">
        <v>751.46</v>
      </c>
      <c r="R168" s="8">
        <f>IFERROR(Q168/Q444, "NA")</f>
        <v>3.6745038380731938E-4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-751.46</v>
      </c>
      <c r="X168" s="8">
        <f>IFERROR(W168/W444, "NA")</f>
        <v>0.61888290425130321</v>
      </c>
      <c r="Y168" s="9"/>
      <c r="Z168" s="7">
        <v>636.70000000000005</v>
      </c>
      <c r="AA168" s="8">
        <f>IFERROR(Z168/Z444, "NA")</f>
        <v>3.4206890753839291E-4</v>
      </c>
      <c r="AB168" s="9"/>
      <c r="AC168" s="10">
        <f t="shared" si="43"/>
        <v>-114.75999999999999</v>
      </c>
      <c r="AD168" s="8">
        <f>IFERROR(AC168/AC444, "NA")</f>
        <v>-6.2456345594100984E-4</v>
      </c>
    </row>
    <row r="169" spans="1:30" ht="16.5" customHeight="1" x14ac:dyDescent="0.45">
      <c r="A169" s="6" t="s">
        <v>157</v>
      </c>
      <c r="B169" s="7">
        <v>-807.97</v>
      </c>
      <c r="C169" s="8">
        <f>IFERROR(B169/B444, "NA")</f>
        <v>-3.6374609723762398E-3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807.97</v>
      </c>
      <c r="I169" s="8">
        <f>IFERROR(H169/H444, "NA")</f>
        <v>-0.25362480341778371</v>
      </c>
      <c r="J169" s="9"/>
      <c r="K169" s="7">
        <v>-2959.74</v>
      </c>
      <c r="L169" s="8">
        <f>IFERROR(K169/K444, "NA")</f>
        <v>-1.4712642809677632E-2</v>
      </c>
      <c r="M169" s="9"/>
      <c r="N169" s="10">
        <f t="shared" si="41"/>
        <v>-2151.7699999999995</v>
      </c>
      <c r="O169" s="8">
        <f>IFERROR(N169/N444, "NA")</f>
        <v>-0.10268586601307185</v>
      </c>
      <c r="P169" s="9"/>
      <c r="Q169" s="7">
        <v>-22789.37</v>
      </c>
      <c r="R169" s="8">
        <f>IFERROR(Q169/Q444, "NA")</f>
        <v>-1.1143590814184401E-2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22789.37</v>
      </c>
      <c r="X169" s="8">
        <f>IFERROR(W169/W444, "NA")</f>
        <v>-18.768732190213079</v>
      </c>
      <c r="Y169" s="9"/>
      <c r="Z169" s="7">
        <v>-33239.81</v>
      </c>
      <c r="AA169" s="8">
        <f>IFERROR(Z169/Z444, "NA")</f>
        <v>-1.7858183592718305E-2</v>
      </c>
      <c r="AB169" s="9"/>
      <c r="AC169" s="10">
        <f t="shared" si="43"/>
        <v>-10450.439999999999</v>
      </c>
      <c r="AD169" s="8">
        <f>IFERROR(AC169/AC444, "NA")</f>
        <v>-5.687489475866301E-2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8195.4200000000019</v>
      </c>
      <c r="C170" s="15">
        <f>IFERROR(B170/B444, "NA")</f>
        <v>3.6895578303936645E-2</v>
      </c>
      <c r="D170" s="2"/>
      <c r="E170" s="14">
        <f>IFERROR(E151+E153+E154+E155+E156+E157+E160+E161+E162+E163+E164+E165+E167+E168+E169, "NA")</f>
        <v>3830.28</v>
      </c>
      <c r="F170" s="15">
        <f>IFERROR(E170/E444, "NA")</f>
        <v>1.7000013448113648E-2</v>
      </c>
      <c r="G170" s="2"/>
      <c r="H170" s="14">
        <f t="shared" si="40"/>
        <v>-4365.1400000000012</v>
      </c>
      <c r="I170" s="15">
        <f>IFERROR(H170/H444, "NA")</f>
        <v>1.3702337641138962</v>
      </c>
      <c r="J170" s="2"/>
      <c r="K170" s="14">
        <f>IFERROR(K151+K153+K154+K155+K156+K157+K160+K161+K162+K163+K164+K165+K167+K168+K169, "NA")</f>
        <v>5555.4400000000005</v>
      </c>
      <c r="L170" s="15">
        <f>IFERROR(K170/K444, "NA")</f>
        <v>2.7615670420575972E-2</v>
      </c>
      <c r="M170" s="2"/>
      <c r="N170" s="14">
        <f t="shared" si="41"/>
        <v>-2639.9800000000014</v>
      </c>
      <c r="O170" s="15">
        <f>IFERROR(N170/N444, "NA")</f>
        <v>-0.12598401899700695</v>
      </c>
      <c r="P170" s="2"/>
      <c r="Q170" s="14">
        <f>IFERROR(Q151+Q153+Q154+Q155+Q156+Q157+Q160+Q161+Q162+Q163+Q164+Q165+Q167+Q168+Q169, "NA")</f>
        <v>68813.41</v>
      </c>
      <c r="R170" s="15">
        <f>IFERROR(Q170/Q444, "NA")</f>
        <v>3.3648516109427554E-2</v>
      </c>
      <c r="S170" s="2"/>
      <c r="T170" s="14">
        <f>IFERROR(T151+T153+T154+T155+T156+T157+T160+T161+T162+T163+T164+T165+T167+T168+T169, "NA")</f>
        <v>36524.839999999997</v>
      </c>
      <c r="U170" s="15">
        <f>IFERROR(T170/T444, "NA")</f>
        <v>1.7849390110668363E-2</v>
      </c>
      <c r="V170" s="2"/>
      <c r="W170" s="14">
        <f t="shared" si="42"/>
        <v>-32288.570000000007</v>
      </c>
      <c r="X170" s="15">
        <f>IFERROR(W170/W444, "NA")</f>
        <v>26.592026156710276</v>
      </c>
      <c r="Y170" s="2"/>
      <c r="Z170" s="14">
        <f>IFERROR(Z151+Z153+Z154+Z155+Z156+Z157+Z160+Z161+Z162+Z163+Z164+Z165+Z167+Z168+Z169, "NA")</f>
        <v>54941.81</v>
      </c>
      <c r="AA170" s="15">
        <f>IFERROR(Z170/Z444, "NA")</f>
        <v>2.9517645555021121E-2</v>
      </c>
      <c r="AB170" s="2"/>
      <c r="AC170" s="14">
        <f t="shared" si="43"/>
        <v>-13871.600000000006</v>
      </c>
      <c r="AD170" s="15">
        <f>IFERROR(AC170/AC444, "NA")</f>
        <v>-7.5494026101701958E-2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57115.149999999994</v>
      </c>
      <c r="C171" s="15">
        <f>IFERROR(B171/B444, "NA")</f>
        <v>0.25713099379483739</v>
      </c>
      <c r="D171" s="2"/>
      <c r="E171" s="14">
        <f>IFERROR(E127+E129+E130+E131+E132+E133+E134+E135+E136+E137+E138+E139+E140+E143+E144+E145+E146+E147+E151+E153+E154+E155+E156+E157+E160+E161+E162+E163+E164+E165+E167+E168+E169, "NA")</f>
        <v>51821.4</v>
      </c>
      <c r="F171" s="15">
        <f>IFERROR(E171/E444, "NA")</f>
        <v>0.23000002529843161</v>
      </c>
      <c r="G171" s="2"/>
      <c r="H171" s="14">
        <f t="shared" si="40"/>
        <v>-5293.7499999999927</v>
      </c>
      <c r="I171" s="15">
        <f>IFERROR(H171/H444, "NA")</f>
        <v>1.6617279145177304</v>
      </c>
      <c r="J171" s="2"/>
      <c r="K171" s="14">
        <f>IFERROR(K127+K129+K130+K131+K132+K133+K134+K135+K136+K137+K138+K139+K140+K143+K144+K145+K146+K147+K151+K153+K154+K155+K156+K157+K160+K161+K162+K163+K164+K165+K167+K168+K169, "NA")</f>
        <v>48100.46</v>
      </c>
      <c r="L171" s="15">
        <f>IFERROR(K171/K444, "NA")</f>
        <v>0.23910373443653382</v>
      </c>
      <c r="M171" s="2"/>
      <c r="N171" s="14">
        <f t="shared" si="41"/>
        <v>-9014.6899999999951</v>
      </c>
      <c r="O171" s="15">
        <f>IFERROR(N171/N444, "NA")</f>
        <v>-0.43019525762018168</v>
      </c>
      <c r="P171" s="2"/>
      <c r="Q171" s="14">
        <f>IFERROR(Q127+Q129+Q130+Q131+Q132+Q133+Q134+Q135+Q136+Q137+Q138+Q139+Q140+Q143+Q144+Q145+Q146+Q147+Q151+Q153+Q154+Q155+Q156+Q157+Q160+Q161+Q162+Q163+Q164+Q165+Q167+Q168+Q169, "NA")</f>
        <v>553467.21</v>
      </c>
      <c r="R171" s="15">
        <f>IFERROR(Q171/Q444, "NA")</f>
        <v>0.27063548124885717</v>
      </c>
      <c r="S171" s="2"/>
      <c r="T171" s="14">
        <f>IFERROR(T127+T129+T130+T131+T132+T133+T134+T135+T136+T137+T138+T139+T140+T143+T144+T145+T146+T147+T151+T153+T154+T155+T156+T157+T160+T161+T162+T163+T164+T165+T167+T168+T169, "NA")</f>
        <v>483011.22</v>
      </c>
      <c r="U171" s="15">
        <f>IFERROR(T171/T444, "NA")</f>
        <v>0.23604362657330907</v>
      </c>
      <c r="V171" s="2"/>
      <c r="W171" s="14">
        <f t="shared" si="42"/>
        <v>-70455.989999999991</v>
      </c>
      <c r="X171" s="15">
        <f>IFERROR(W171/W444, "NA")</f>
        <v>58.025720215448281</v>
      </c>
      <c r="Y171" s="2"/>
      <c r="Z171" s="14">
        <f>IFERROR(Z127+Z129+Z130+Z131+Z132+Z133+Z134+Z135+Z136+Z137+Z138+Z139+Z140+Z143+Z144+Z145+Z146+Z147+Z151+Z153+Z154+Z155+Z156+Z157+Z160+Z161+Z162+Z163+Z164+Z165+Z167+Z168+Z169, "NA")</f>
        <v>491331.79</v>
      </c>
      <c r="AA171" s="15">
        <f>IFERROR(Z171/Z444, "NA")</f>
        <v>0.26396941831974724</v>
      </c>
      <c r="AB171" s="2"/>
      <c r="AC171" s="14">
        <f t="shared" si="43"/>
        <v>-62135.419999999984</v>
      </c>
      <c r="AD171" s="15">
        <f>IFERROR(AC171/AC444, "NA")</f>
        <v>-0.33816236189914722</v>
      </c>
    </row>
    <row r="172" spans="1:30" ht="16.5" customHeight="1" x14ac:dyDescent="0.45">
      <c r="A172" s="22" t="s">
        <v>160</v>
      </c>
      <c r="B172" s="23">
        <f>IFERROR(B124-B171, "NA")</f>
        <v>165009.57000000004</v>
      </c>
      <c r="C172" s="24">
        <f>IFERROR(B172/B444, "NA")</f>
        <v>0.74286900620516272</v>
      </c>
      <c r="D172" s="25"/>
      <c r="E172" s="23">
        <f>IFERROR(E124-E171, "NA")</f>
        <v>173489.01000000004</v>
      </c>
      <c r="F172" s="24">
        <f>IFERROR(E172/E444, "NA")</f>
        <v>0.76999997470156856</v>
      </c>
      <c r="G172" s="25"/>
      <c r="H172" s="23">
        <f>IFERROR(B172-E172, "NA")</f>
        <v>-8479.4400000000023</v>
      </c>
      <c r="I172" s="24">
        <f>IFERROR(H172/H444, "NA")</f>
        <v>2.6617279145177326</v>
      </c>
      <c r="J172" s="25"/>
      <c r="K172" s="23">
        <f>IFERROR(K124-K171, "NA")</f>
        <v>153069.38000000003</v>
      </c>
      <c r="L172" s="24">
        <f>IFERROR(K172/K444, "NA")</f>
        <v>0.76089626556346635</v>
      </c>
      <c r="M172" s="25"/>
      <c r="N172" s="23">
        <f>IFERROR(B172-K172, "NA")</f>
        <v>11940.190000000002</v>
      </c>
      <c r="O172" s="24">
        <f>IFERROR(N172/N444, "NA")</f>
        <v>0.56980474237981793</v>
      </c>
      <c r="P172" s="25"/>
      <c r="Q172" s="23">
        <f>IFERROR(Q124-Q171, "NA")</f>
        <v>1491598.0099999993</v>
      </c>
      <c r="R172" s="24">
        <f>IFERROR(Q172/Q444, "NA")</f>
        <v>0.7293645187511425</v>
      </c>
      <c r="S172" s="25"/>
      <c r="T172" s="23">
        <f>IFERROR(T124-T171, "NA")</f>
        <v>1563268.22</v>
      </c>
      <c r="U172" s="24">
        <f>IFERROR(T172/T444, "NA")</f>
        <v>0.76395637342669098</v>
      </c>
      <c r="V172" s="25"/>
      <c r="W172" s="23">
        <f>IFERROR(Q172-T172, "NA")</f>
        <v>-71670.210000000661</v>
      </c>
      <c r="X172" s="24">
        <f>IFERROR(W172/W444, "NA")</f>
        <v>59.025720215448857</v>
      </c>
      <c r="Y172" s="25"/>
      <c r="Z172" s="23">
        <f>IFERROR(Z124-Z171, "NA")</f>
        <v>1369989.0899999996</v>
      </c>
      <c r="AA172" s="24">
        <f>IFERROR(Z172/Z444, "NA")</f>
        <v>0.73603058168025259</v>
      </c>
      <c r="AB172" s="25"/>
      <c r="AC172" s="23">
        <f>IFERROR(Q172-Z172, "NA")</f>
        <v>121608.91999999969</v>
      </c>
      <c r="AD172" s="24">
        <f>IFERROR(AC172/AC444, "NA")</f>
        <v>0.6618376381008505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4.5366044805819003E-2</v>
      </c>
      <c r="D178" s="9"/>
      <c r="E178" s="7">
        <v>10307.69</v>
      </c>
      <c r="F178" s="8">
        <f>IFERROR(E178/E444, "NA")</f>
        <v>4.5748840455263479E-2</v>
      </c>
      <c r="G178" s="9"/>
      <c r="H178" s="10">
        <f t="shared" si="44"/>
        <v>230.77000000000044</v>
      </c>
      <c r="I178" s="8">
        <f>IFERROR(H178/H444, "NA")</f>
        <v>-7.2439565682787796E-2</v>
      </c>
      <c r="J178" s="9"/>
      <c r="K178" s="7">
        <v>4423.08</v>
      </c>
      <c r="L178" s="8">
        <f>IFERROR(K178/K444, "NA")</f>
        <v>2.1986794839624072E-2</v>
      </c>
      <c r="M178" s="9"/>
      <c r="N178" s="10">
        <f t="shared" si="45"/>
        <v>-5653.84</v>
      </c>
      <c r="O178" s="8">
        <f>IFERROR(N178/N444, "NA")</f>
        <v>-0.26981018264003415</v>
      </c>
      <c r="P178" s="9"/>
      <c r="Q178" s="7">
        <v>118128.81</v>
      </c>
      <c r="R178" s="8">
        <f>IFERROR(Q178/Q444, "NA")</f>
        <v>5.7762857069174549E-2</v>
      </c>
      <c r="S178" s="9"/>
      <c r="T178" s="7">
        <v>121115.38</v>
      </c>
      <c r="U178" s="8">
        <f>IFERROR(T178/T444, "NA")</f>
        <v>5.9188094075753414E-2</v>
      </c>
      <c r="V178" s="9"/>
      <c r="W178" s="10">
        <f t="shared" si="46"/>
        <v>2986.570000000007</v>
      </c>
      <c r="X178" s="8">
        <f>IFERROR(W178/W444, "NA")</f>
        <v>-2.4596613463788075</v>
      </c>
      <c r="Y178" s="9"/>
      <c r="Z178" s="7">
        <v>51971.19</v>
      </c>
      <c r="AA178" s="8">
        <f>IFERROR(Z178/Z444, "NA")</f>
        <v>2.7921671410036514E-2</v>
      </c>
      <c r="AB178" s="9"/>
      <c r="AC178" s="10">
        <f t="shared" si="47"/>
        <v>-66157.62</v>
      </c>
      <c r="AD178" s="8">
        <f>IFERROR(AC178/AC444, "NA")</f>
        <v>-0.36005255998633734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29800.59</v>
      </c>
      <c r="C180" s="8">
        <f>IFERROR(B180/B444, "NA")</f>
        <v>0.13416151970838724</v>
      </c>
      <c r="D180" s="9"/>
      <c r="E180" s="7">
        <v>34923.11</v>
      </c>
      <c r="F180" s="8">
        <f>IFERROR(E180/E444, "NA")</f>
        <v>0.15499998424395925</v>
      </c>
      <c r="G180" s="9"/>
      <c r="H180" s="10">
        <f t="shared" si="44"/>
        <v>5122.5200000000004</v>
      </c>
      <c r="I180" s="8">
        <f>IFERROR(H180/H444, "NA")</f>
        <v>-1.6079781774121138</v>
      </c>
      <c r="J180" s="9"/>
      <c r="K180" s="7">
        <v>30841.97</v>
      </c>
      <c r="L180" s="8">
        <f>IFERROR(K180/K444, "NA")</f>
        <v>0.15331309106772667</v>
      </c>
      <c r="M180" s="9"/>
      <c r="N180" s="10">
        <f t="shared" si="45"/>
        <v>1041.380000000001</v>
      </c>
      <c r="O180" s="8">
        <f>IFERROR(N180/N444, "NA")</f>
        <v>4.96962998595077E-2</v>
      </c>
      <c r="P180" s="9"/>
      <c r="Q180" s="7">
        <v>317799.01</v>
      </c>
      <c r="R180" s="8">
        <f>IFERROR(Q180/Q444, "NA")</f>
        <v>0.1553979828574856</v>
      </c>
      <c r="S180" s="9"/>
      <c r="T180" s="7">
        <v>327778.32</v>
      </c>
      <c r="U180" s="8">
        <f>IFERROR(T180/T444, "NA")</f>
        <v>0.16018257995105498</v>
      </c>
      <c r="V180" s="9"/>
      <c r="W180" s="10">
        <f t="shared" si="46"/>
        <v>9979.3099999999977</v>
      </c>
      <c r="X180" s="8">
        <f>IFERROR(W180/W444, "NA")</f>
        <v>-8.2187000708275502</v>
      </c>
      <c r="Y180" s="9"/>
      <c r="Z180" s="7">
        <v>315121.67</v>
      </c>
      <c r="AA180" s="8">
        <f>IFERROR(Z180/Z444, "NA")</f>
        <v>0.16930002418497556</v>
      </c>
      <c r="AB180" s="9"/>
      <c r="AC180" s="10">
        <f t="shared" si="47"/>
        <v>-2677.3400000000256</v>
      </c>
      <c r="AD180" s="8">
        <f>IFERROR(AC180/AC444, "NA")</f>
        <v>-1.4571006649783195E-2</v>
      </c>
    </row>
    <row r="181" spans="1:30" ht="16.5" customHeight="1" x14ac:dyDescent="0.45">
      <c r="A181" s="12" t="s">
        <v>166</v>
      </c>
      <c r="B181" s="7">
        <v>4220.71</v>
      </c>
      <c r="C181" s="8">
        <f>IFERROR(B181/B444, "NA")</f>
        <v>1.9001532112229561E-2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-4220.71</v>
      </c>
      <c r="I181" s="8">
        <f>IFERROR(H181/H444, "NA")</f>
        <v>1.3248966471941706</v>
      </c>
      <c r="J181" s="9"/>
      <c r="K181" s="7">
        <v>576.79</v>
      </c>
      <c r="L181" s="8">
        <f>IFERROR(K181/K444, "NA")</f>
        <v>2.8671792948684553E-3</v>
      </c>
      <c r="M181" s="9"/>
      <c r="N181" s="10">
        <f t="shared" si="45"/>
        <v>-3643.92</v>
      </c>
      <c r="O181" s="8">
        <f>IFERROR(N181/N444, "NA")</f>
        <v>-0.17389362286970861</v>
      </c>
      <c r="P181" s="9"/>
      <c r="Q181" s="7">
        <v>11047.07</v>
      </c>
      <c r="R181" s="8">
        <f>IFERROR(Q181/Q444, "NA")</f>
        <v>5.4018179429993927E-3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-11047.07</v>
      </c>
      <c r="X181" s="8">
        <f>IFERROR(W181/W444, "NA")</f>
        <v>9.0980794254749995</v>
      </c>
      <c r="Y181" s="9"/>
      <c r="Z181" s="7">
        <v>9264.1299999999992</v>
      </c>
      <c r="AA181" s="8">
        <f>IFERROR(Z181/Z444, "NA")</f>
        <v>4.9771805063509519E-3</v>
      </c>
      <c r="AB181" s="9"/>
      <c r="AC181" s="10">
        <f t="shared" si="47"/>
        <v>-1782.9400000000005</v>
      </c>
      <c r="AD181" s="8">
        <f>IFERROR(AC181/AC444, "NA")</f>
        <v>-9.7033737202462927E-3</v>
      </c>
    </row>
    <row r="182" spans="1:30" ht="16.5" customHeight="1" x14ac:dyDescent="0.45">
      <c r="A182" s="13" t="s">
        <v>167</v>
      </c>
      <c r="B182" s="14">
        <f>IFERROR(B177+B178+B179+B180+B181, "NA")</f>
        <v>44098.22</v>
      </c>
      <c r="C182" s="15">
        <f>IFERROR(B182/B444, "NA")</f>
        <v>0.19852909662643581</v>
      </c>
      <c r="D182" s="2"/>
      <c r="E182" s="14">
        <f>IFERROR(E177+E178+E179+E180+E181, "NA")</f>
        <v>45230.8</v>
      </c>
      <c r="F182" s="15">
        <f>IFERROR(E182/E444, "NA")</f>
        <v>0.20074882469922273</v>
      </c>
      <c r="G182" s="2"/>
      <c r="H182" s="14">
        <f t="shared" si="44"/>
        <v>1132.5800000000017</v>
      </c>
      <c r="I182" s="15">
        <f>IFERROR(H182/H444, "NA")</f>
        <v>-0.35552109590073139</v>
      </c>
      <c r="J182" s="2"/>
      <c r="K182" s="14">
        <f>IFERROR(K177+K178+K179+K180+K181, "NA")</f>
        <v>35841.840000000004</v>
      </c>
      <c r="L182" s="15">
        <f>IFERROR(K182/K444, "NA")</f>
        <v>0.1781670652022192</v>
      </c>
      <c r="M182" s="2"/>
      <c r="N182" s="14">
        <f t="shared" si="45"/>
        <v>-8256.3799999999974</v>
      </c>
      <c r="O182" s="15">
        <f>IFERROR(N182/N444, "NA")</f>
        <v>-0.39400750565023496</v>
      </c>
      <c r="P182" s="2"/>
      <c r="Q182" s="14">
        <f>IFERROR(Q177+Q178+Q179+Q180+Q181, "NA")</f>
        <v>446974.89</v>
      </c>
      <c r="R182" s="15">
        <f>IFERROR(Q182/Q444, "NA")</f>
        <v>0.21856265786965953</v>
      </c>
      <c r="S182" s="2"/>
      <c r="T182" s="14">
        <f>IFERROR(T177+T178+T179+T180+T181, "NA")</f>
        <v>448893.7</v>
      </c>
      <c r="U182" s="15">
        <f>IFERROR(T182/T444, "NA")</f>
        <v>0.2193706740268084</v>
      </c>
      <c r="V182" s="2"/>
      <c r="W182" s="14">
        <f t="shared" si="46"/>
        <v>1918.8099999999977</v>
      </c>
      <c r="X182" s="15">
        <f>IFERROR(W182/W444, "NA")</f>
        <v>-1.5802819917313518</v>
      </c>
      <c r="Y182" s="2"/>
      <c r="Z182" s="14">
        <f>IFERROR(Z177+Z178+Z179+Z180+Z181, "NA")</f>
        <v>376356.99</v>
      </c>
      <c r="AA182" s="15">
        <f>IFERROR(Z182/Z444, "NA")</f>
        <v>0.20219887610136303</v>
      </c>
      <c r="AB182" s="2"/>
      <c r="AC182" s="14">
        <f t="shared" si="47"/>
        <v>-70617.900000000023</v>
      </c>
      <c r="AD182" s="15">
        <f>IFERROR(AC182/AC444, "NA")</f>
        <v>-0.38432694035636683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-1300</v>
      </c>
      <c r="C184" s="8">
        <f>IFERROR(B184/B444, "NA")</f>
        <v>-5.8525678726798168E-3</v>
      </c>
      <c r="D184" s="9"/>
      <c r="E184" s="7">
        <v>1150</v>
      </c>
      <c r="F184" s="8">
        <f>IFERROR(E184/E444, "NA")</f>
        <v>5.1040695367781715E-3</v>
      </c>
      <c r="G184" s="9"/>
      <c r="H184" s="10">
        <f t="shared" si="44"/>
        <v>2450</v>
      </c>
      <c r="I184" s="8">
        <f>IFERROR(H184/H444, "NA")</f>
        <v>-0.7690641587850664</v>
      </c>
      <c r="J184" s="9"/>
      <c r="K184" s="7">
        <v>1400</v>
      </c>
      <c r="L184" s="8">
        <f>IFERROR(K184/K444, "NA")</f>
        <v>6.9592936992940889E-3</v>
      </c>
      <c r="M184" s="9"/>
      <c r="N184" s="10">
        <f t="shared" si="45"/>
        <v>2700</v>
      </c>
      <c r="O184" s="8">
        <f>IFERROR(N184/N444, "NA")</f>
        <v>0.12884826827927429</v>
      </c>
      <c r="P184" s="9"/>
      <c r="Q184" s="7">
        <v>5100</v>
      </c>
      <c r="R184" s="8">
        <f>IFERROR(Q184/Q444, "NA")</f>
        <v>2.4938079969889664E-3</v>
      </c>
      <c r="S184" s="9"/>
      <c r="T184" s="7">
        <v>12650</v>
      </c>
      <c r="U184" s="8">
        <f>IFERROR(T184/T444, "NA")</f>
        <v>6.181951376103354E-3</v>
      </c>
      <c r="V184" s="9"/>
      <c r="W184" s="10">
        <f t="shared" si="46"/>
        <v>7550</v>
      </c>
      <c r="X184" s="8">
        <f>IFERROR(W184/W444, "NA")</f>
        <v>-6.2179835614634698</v>
      </c>
      <c r="Y184" s="9"/>
      <c r="Z184" s="7">
        <v>5550</v>
      </c>
      <c r="AA184" s="8">
        <f>IFERROR(Z184/Z444, "NA")</f>
        <v>2.9817534739093455E-3</v>
      </c>
      <c r="AB184" s="9"/>
      <c r="AC184" s="10">
        <f t="shared" si="47"/>
        <v>450</v>
      </c>
      <c r="AD184" s="8">
        <f>IFERROR(AC184/AC444, "NA")</f>
        <v>2.4490550293957344E-3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4337.3</v>
      </c>
      <c r="C186" s="8">
        <f>IFERROR(B186/B444, "NA")</f>
        <v>1.9526417410903208E-2</v>
      </c>
      <c r="D186" s="9"/>
      <c r="E186" s="7">
        <v>4177.37</v>
      </c>
      <c r="F186" s="8">
        <f>IFERROR(E186/E444, "NA")</f>
        <v>1.8540510400740028E-2</v>
      </c>
      <c r="G186" s="9"/>
      <c r="H186" s="10">
        <f t="shared" ref="H186:H197" si="48">IFERROR(-(B186-E186), "NA")</f>
        <v>-159.93000000000029</v>
      </c>
      <c r="I186" s="8">
        <f>IFERROR(H186/H444, "NA")</f>
        <v>5.0202624863059549E-2</v>
      </c>
      <c r="J186" s="9"/>
      <c r="K186" s="7">
        <v>3534.59</v>
      </c>
      <c r="L186" s="8">
        <f>IFERROR(K186/K444, "NA")</f>
        <v>1.7570178511848496E-2</v>
      </c>
      <c r="M186" s="9"/>
      <c r="N186" s="10">
        <f t="shared" ref="N186:N197" si="49">IFERROR(-(B186-K186), "NA")</f>
        <v>-802.71</v>
      </c>
      <c r="O186" s="8">
        <f>IFERROR(N186/N444, "NA")</f>
        <v>-3.830659015942825E-2</v>
      </c>
      <c r="P186" s="9"/>
      <c r="Q186" s="7">
        <v>44525.61</v>
      </c>
      <c r="R186" s="8">
        <f>IFERROR(Q186/Q444, "NA")</f>
        <v>2.1772220056629783E-2</v>
      </c>
      <c r="S186" s="9"/>
      <c r="T186" s="7">
        <v>48123.72</v>
      </c>
      <c r="U186" s="8">
        <f>IFERROR(T186/T444, "NA")</f>
        <v>2.3517667753139328E-2</v>
      </c>
      <c r="V186" s="9"/>
      <c r="W186" s="10">
        <f t="shared" ref="W186:W197" si="50">IFERROR(-(Q186-T186), "NA")</f>
        <v>3598.1100000000006</v>
      </c>
      <c r="X186" s="8">
        <f>IFERROR(W186/W444, "NA")</f>
        <v>-2.9633097791175267</v>
      </c>
      <c r="Y186" s="9"/>
      <c r="Z186" s="7">
        <v>37878.980000000003</v>
      </c>
      <c r="AA186" s="8">
        <f>IFERROR(Z186/Z444, "NA")</f>
        <v>2.0350591027593269E-2</v>
      </c>
      <c r="AB186" s="9"/>
      <c r="AC186" s="10">
        <f t="shared" ref="AC186:AC197" si="51">IFERROR(-(Q186-Z186), "NA")</f>
        <v>-6646.6299999999974</v>
      </c>
      <c r="AD186" s="8">
        <f>IFERROR(AC186/AC444, "NA")</f>
        <v>-3.6173250288961248E-2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2.1490115127274565E-8</v>
      </c>
      <c r="AB187" s="9"/>
      <c r="AC187" s="10">
        <f t="shared" si="51"/>
        <v>0.04</v>
      </c>
      <c r="AD187" s="8">
        <f>IFERROR(AC187/AC444, "NA")</f>
        <v>2.1769378039073194E-7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4337.3</v>
      </c>
      <c r="C193" s="15">
        <f>IFERROR(B193/B444, "NA")</f>
        <v>1.9526417410903208E-2</v>
      </c>
      <c r="D193" s="2"/>
      <c r="E193" s="14">
        <f>IFERROR(E186+E187+E188+E189+E190+E191+E192, "NA")</f>
        <v>4177.37</v>
      </c>
      <c r="F193" s="15">
        <f>IFERROR(E193/E444, "NA")</f>
        <v>1.8540510400740028E-2</v>
      </c>
      <c r="G193" s="2"/>
      <c r="H193" s="14">
        <f t="shared" si="48"/>
        <v>-159.93000000000029</v>
      </c>
      <c r="I193" s="15">
        <f>IFERROR(H193/H444, "NA")</f>
        <v>5.0202624863059549E-2</v>
      </c>
      <c r="J193" s="2"/>
      <c r="K193" s="14">
        <f>IFERROR(K186+K187+K188+K189+K190+K191+K192, "NA")</f>
        <v>3534.59</v>
      </c>
      <c r="L193" s="15">
        <f>IFERROR(K193/K444, "NA")</f>
        <v>1.7570178511848496E-2</v>
      </c>
      <c r="M193" s="2"/>
      <c r="N193" s="14">
        <f t="shared" si="49"/>
        <v>-802.71</v>
      </c>
      <c r="O193" s="15">
        <f>IFERROR(N193/N444, "NA")</f>
        <v>-3.830659015942825E-2</v>
      </c>
      <c r="P193" s="2"/>
      <c r="Q193" s="14">
        <f>IFERROR(Q186+Q187+Q188+Q189+Q190+Q191+Q192, "NA")</f>
        <v>44525.61</v>
      </c>
      <c r="R193" s="15">
        <f>IFERROR(Q193/Q444, "NA")</f>
        <v>2.1772220056629783E-2</v>
      </c>
      <c r="S193" s="2"/>
      <c r="T193" s="14">
        <f>IFERROR(T186+T187+T188+T189+T190+T191+T192, "NA")</f>
        <v>48123.72</v>
      </c>
      <c r="U193" s="15">
        <f>IFERROR(T193/T444, "NA")</f>
        <v>2.3517667753139328E-2</v>
      </c>
      <c r="V193" s="2"/>
      <c r="W193" s="14">
        <f t="shared" si="50"/>
        <v>3598.1100000000006</v>
      </c>
      <c r="X193" s="15">
        <f>IFERROR(W193/W444, "NA")</f>
        <v>-2.9633097791175267</v>
      </c>
      <c r="Y193" s="2"/>
      <c r="Z193" s="14">
        <f>IFERROR(Z186+Z187+Z188+Z189+Z190+Z191+Z192, "NA")</f>
        <v>37879.020000000004</v>
      </c>
      <c r="AA193" s="15">
        <f>IFERROR(Z193/Z444, "NA")</f>
        <v>2.0350612517708394E-2</v>
      </c>
      <c r="AB193" s="2"/>
      <c r="AC193" s="14">
        <f t="shared" si="51"/>
        <v>-6646.5899999999965</v>
      </c>
      <c r="AD193" s="15">
        <f>IFERROR(AC193/AC444, "NA")</f>
        <v>-3.6173032595180857E-2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1.1262141377150639E-3</v>
      </c>
      <c r="D194" s="9"/>
      <c r="E194" s="7">
        <v>371.05</v>
      </c>
      <c r="F194" s="8">
        <f>IFERROR(E194/E444, "NA")</f>
        <v>1.646839131844818E-3</v>
      </c>
      <c r="G194" s="9"/>
      <c r="H194" s="10">
        <f t="shared" si="48"/>
        <v>120.89000000000001</v>
      </c>
      <c r="I194" s="8">
        <f>IFERROR(H194/H444, "NA")</f>
        <v>-3.7947822920623139E-2</v>
      </c>
      <c r="J194" s="9"/>
      <c r="K194" s="7">
        <v>262.88</v>
      </c>
      <c r="L194" s="8">
        <f>IFERROR(K194/K444, "NA")</f>
        <v>1.306756519764593E-3</v>
      </c>
      <c r="M194" s="9"/>
      <c r="N194" s="10">
        <f t="shared" si="49"/>
        <v>12.719999999999999</v>
      </c>
      <c r="O194" s="8">
        <f>IFERROR(N194/N444, "NA")</f>
        <v>6.0701850833791437E-4</v>
      </c>
      <c r="P194" s="9"/>
      <c r="Q194" s="7">
        <v>2939.38</v>
      </c>
      <c r="R194" s="8">
        <f>IFERROR(Q194/Q444, "NA")</f>
        <v>1.4373037941547899E-3</v>
      </c>
      <c r="S194" s="9"/>
      <c r="T194" s="7">
        <v>3692.35</v>
      </c>
      <c r="U194" s="8">
        <f>IFERROR(T194/T444, "NA")</f>
        <v>1.8044211987000172E-3</v>
      </c>
      <c r="V194" s="9"/>
      <c r="W194" s="10">
        <f t="shared" si="50"/>
        <v>752.9699999999998</v>
      </c>
      <c r="X194" s="8">
        <f>IFERROR(W194/W444, "NA")</f>
        <v>-0.62012650096359567</v>
      </c>
      <c r="Y194" s="9"/>
      <c r="Z194" s="7">
        <v>2758.07</v>
      </c>
      <c r="AA194" s="8">
        <f>IFERROR(Z194/Z444, "NA")</f>
        <v>1.481781045727054E-3</v>
      </c>
      <c r="AB194" s="9"/>
      <c r="AC194" s="10">
        <f t="shared" si="51"/>
        <v>-181.30999999999995</v>
      </c>
      <c r="AD194" s="8">
        <f>IFERROR(AC194/AC444, "NA")</f>
        <v>-9.8675148306608985E-4</v>
      </c>
    </row>
    <row r="195" spans="1:30" ht="16.5" customHeight="1" x14ac:dyDescent="0.45">
      <c r="A195" s="6" t="s">
        <v>179</v>
      </c>
      <c r="B195" s="7">
        <v>209.07</v>
      </c>
      <c r="C195" s="8">
        <f>IFERROR(B195/B444, "NA")</f>
        <v>9.4122797318551481E-4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-209.07</v>
      </c>
      <c r="I195" s="8">
        <f>IFERROR(H195/H444, "NA")</f>
        <v>6.5627854562119933E-2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-209.07</v>
      </c>
      <c r="O195" s="8">
        <f>IFERROR(N195/N444, "NA")</f>
        <v>-9.9771509070918068E-3</v>
      </c>
      <c r="P195" s="9"/>
      <c r="Q195" s="7">
        <v>2136.5100000000002</v>
      </c>
      <c r="R195" s="8">
        <f>IFERROR(Q195/Q444, "NA")</f>
        <v>1.0447148477739014E-3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-2136.5100000000002</v>
      </c>
      <c r="X195" s="8">
        <f>IFERROR(W195/W444, "NA")</f>
        <v>1.759574047536731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-2136.5100000000002</v>
      </c>
      <c r="AD195" s="8">
        <f>IFERROR(AC195/AC444, "NA")</f>
        <v>-1.1627623468565069E-2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47594.750000000007</v>
      </c>
      <c r="C196" s="15">
        <f>IFERROR(B196/B444, "NA")</f>
        <v>0.2142703882755598</v>
      </c>
      <c r="D196" s="2"/>
      <c r="E196" s="14">
        <f>IFERROR(E175+E177+E178+E179+E180+E181+E183+E184+E186+E187+E188+E189+E190+E191+E192+E194+E195, "NA")</f>
        <v>50929.220000000008</v>
      </c>
      <c r="F196" s="15">
        <f>IFERROR(E196/E444, "NA")</f>
        <v>0.22604024376858578</v>
      </c>
      <c r="G196" s="2"/>
      <c r="H196" s="14">
        <f t="shared" si="48"/>
        <v>3334.4700000000012</v>
      </c>
      <c r="I196" s="15">
        <f>IFERROR(H196/H444, "NA")</f>
        <v>-1.0467025981812415</v>
      </c>
      <c r="J196" s="2"/>
      <c r="K196" s="14">
        <f>IFERROR(K175+K177+K178+K179+K180+K181+K183+K184+K186+K187+K188+K189+K190+K191+K192+K194+K195, "NA")</f>
        <v>41039.310000000005</v>
      </c>
      <c r="L196" s="15">
        <f>IFERROR(K196/K444, "NA")</f>
        <v>0.20400329393312638</v>
      </c>
      <c r="M196" s="2"/>
      <c r="N196" s="14">
        <f t="shared" si="49"/>
        <v>-6555.4400000000023</v>
      </c>
      <c r="O196" s="15">
        <f>IFERROR(N196/N444, "NA")</f>
        <v>-0.31283595992914304</v>
      </c>
      <c r="P196" s="2"/>
      <c r="Q196" s="14">
        <f>IFERROR(Q175+Q177+Q178+Q179+Q180+Q181+Q183+Q184+Q186+Q187+Q188+Q189+Q190+Q191+Q192+Q194+Q195, "NA")</f>
        <v>501676.39</v>
      </c>
      <c r="R196" s="15">
        <f>IFERROR(Q196/Q444, "NA")</f>
        <v>0.24531070456520698</v>
      </c>
      <c r="S196" s="2"/>
      <c r="T196" s="14">
        <f>IFERROR(T175+T177+T178+T179+T180+T181+T183+T184+T186+T187+T188+T189+T190+T191+T192+T194+T195, "NA")</f>
        <v>513359.77</v>
      </c>
      <c r="U196" s="15">
        <f>IFERROR(T196/T444, "NA")</f>
        <v>0.25087471435475112</v>
      </c>
      <c r="V196" s="2"/>
      <c r="W196" s="14">
        <f t="shared" si="50"/>
        <v>11683.380000000005</v>
      </c>
      <c r="X196" s="15">
        <f>IFERROR(W196/W444, "NA")</f>
        <v>-9.6221277857392185</v>
      </c>
      <c r="Y196" s="2"/>
      <c r="Z196" s="14">
        <f>IFERROR(Z175+Z177+Z178+Z179+Z180+Z181+Z183+Z184+Z186+Z187+Z188+Z189+Z190+Z191+Z192+Z194+Z195, "NA")</f>
        <v>422544.07999999996</v>
      </c>
      <c r="AA196" s="15">
        <f>IFERROR(Z196/Z444, "NA")</f>
        <v>0.2270130231387078</v>
      </c>
      <c r="AB196" s="2"/>
      <c r="AC196" s="14">
        <f t="shared" si="51"/>
        <v>-79132.310000000056</v>
      </c>
      <c r="AD196" s="15">
        <f>IFERROR(AC196/AC444, "NA")</f>
        <v>-0.4306652928737833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47594.750000000007</v>
      </c>
      <c r="C197" s="15">
        <f>IFERROR(B197/B444, "NA")</f>
        <v>0.2142703882755598</v>
      </c>
      <c r="D197" s="2"/>
      <c r="E197" s="14">
        <f>IFERROR(E175+E177+E178+E179+E180+E181+E183+E184+E186+E187+E188+E189+E190+E191+E192+E194+E195, "NA")</f>
        <v>50929.220000000008</v>
      </c>
      <c r="F197" s="15">
        <f>IFERROR(E197/E444, "NA")</f>
        <v>0.22604024376858578</v>
      </c>
      <c r="G197" s="2"/>
      <c r="H197" s="14">
        <f t="shared" si="48"/>
        <v>3334.4700000000012</v>
      </c>
      <c r="I197" s="15">
        <f>IFERROR(H197/H444, "NA")</f>
        <v>-1.0467025981812415</v>
      </c>
      <c r="J197" s="2"/>
      <c r="K197" s="14">
        <f>IFERROR(K175+K177+K178+K179+K180+K181+K183+K184+K186+K187+K188+K189+K190+K191+K192+K194+K195, "NA")</f>
        <v>41039.310000000005</v>
      </c>
      <c r="L197" s="15">
        <f>IFERROR(K197/K444, "NA")</f>
        <v>0.20400329393312638</v>
      </c>
      <c r="M197" s="2"/>
      <c r="N197" s="14">
        <f t="shared" si="49"/>
        <v>-6555.4400000000023</v>
      </c>
      <c r="O197" s="15">
        <f>IFERROR(N197/N444, "NA")</f>
        <v>-0.31283595992914304</v>
      </c>
      <c r="P197" s="2"/>
      <c r="Q197" s="14">
        <f>IFERROR(Q175+Q177+Q178+Q179+Q180+Q181+Q183+Q184+Q186+Q187+Q188+Q189+Q190+Q191+Q192+Q194+Q195, "NA")</f>
        <v>501676.39</v>
      </c>
      <c r="R197" s="15">
        <f>IFERROR(Q197/Q444, "NA")</f>
        <v>0.24531070456520698</v>
      </c>
      <c r="S197" s="2"/>
      <c r="T197" s="14">
        <f>IFERROR(T175+T177+T178+T179+T180+T181+T183+T184+T186+T187+T188+T189+T190+T191+T192+T194+T195, "NA")</f>
        <v>513359.77</v>
      </c>
      <c r="U197" s="15">
        <f>IFERROR(T197/T444, "NA")</f>
        <v>0.25087471435475112</v>
      </c>
      <c r="V197" s="2"/>
      <c r="W197" s="14">
        <f t="shared" si="50"/>
        <v>11683.380000000005</v>
      </c>
      <c r="X197" s="15">
        <f>IFERROR(W197/W444, "NA")</f>
        <v>-9.6221277857392185</v>
      </c>
      <c r="Y197" s="2"/>
      <c r="Z197" s="14">
        <f>IFERROR(Z175+Z177+Z178+Z179+Z180+Z181+Z183+Z184+Z186+Z187+Z188+Z189+Z190+Z191+Z192+Z194+Z195, "NA")</f>
        <v>422544.07999999996</v>
      </c>
      <c r="AA197" s="15">
        <f>IFERROR(Z197/Z444, "NA")</f>
        <v>0.2270130231387078</v>
      </c>
      <c r="AB197" s="2"/>
      <c r="AC197" s="14">
        <f t="shared" si="51"/>
        <v>-79132.310000000056</v>
      </c>
      <c r="AD197" s="15">
        <f>IFERROR(AC197/AC444, "NA")</f>
        <v>-0.4306652928737833</v>
      </c>
    </row>
    <row r="198" spans="1:30" ht="16.5" customHeight="1" x14ac:dyDescent="0.45">
      <c r="A198" s="22" t="s">
        <v>181</v>
      </c>
      <c r="B198" s="23">
        <f>IFERROR(B172-B197, "NA")</f>
        <v>117414.82000000004</v>
      </c>
      <c r="C198" s="24">
        <f>IFERROR(B198/B444, "NA")</f>
        <v>0.52859861792960294</v>
      </c>
      <c r="D198" s="25"/>
      <c r="E198" s="23">
        <f>IFERROR(E172-E197, "NA")</f>
        <v>122559.79000000004</v>
      </c>
      <c r="F198" s="24">
        <f>IFERROR(E198/E444, "NA")</f>
        <v>0.54395973093298278</v>
      </c>
      <c r="G198" s="25"/>
      <c r="H198" s="23">
        <f>IFERROR(B198-E198, "NA")</f>
        <v>-5144.9700000000012</v>
      </c>
      <c r="I198" s="24">
        <f>IFERROR(H198/H444, "NA")</f>
        <v>1.6150253163364914</v>
      </c>
      <c r="J198" s="25"/>
      <c r="K198" s="23">
        <f>IFERROR(K172-K197, "NA")</f>
        <v>112030.07000000004</v>
      </c>
      <c r="L198" s="24">
        <f>IFERROR(K198/K444, "NA")</f>
        <v>0.55689297163034002</v>
      </c>
      <c r="M198" s="25"/>
      <c r="N198" s="23">
        <f>IFERROR(B198-K198, "NA")</f>
        <v>5384.75</v>
      </c>
      <c r="O198" s="24">
        <f>IFERROR(N198/N444, "NA")</f>
        <v>0.25696878245067489</v>
      </c>
      <c r="P198" s="25"/>
      <c r="Q198" s="23">
        <f>IFERROR(Q172-Q197, "NA")</f>
        <v>989921.6199999993</v>
      </c>
      <c r="R198" s="24">
        <f>IFERROR(Q198/Q444, "NA")</f>
        <v>0.48405381418593552</v>
      </c>
      <c r="S198" s="25"/>
      <c r="T198" s="23">
        <f>IFERROR(T172-T197, "NA")</f>
        <v>1049908.45</v>
      </c>
      <c r="U198" s="24">
        <f>IFERROR(T198/T444, "NA")</f>
        <v>0.51308165907193981</v>
      </c>
      <c r="V198" s="25"/>
      <c r="W198" s="23">
        <f>IFERROR(Q198-T198, "NA")</f>
        <v>-59986.830000000657</v>
      </c>
      <c r="X198" s="24">
        <f>IFERROR(W198/W444, "NA")</f>
        <v>49.40359242970964</v>
      </c>
      <c r="Y198" s="25"/>
      <c r="Z198" s="23">
        <f>IFERROR(Z172-Z197, "NA")</f>
        <v>947445.00999999966</v>
      </c>
      <c r="AA198" s="24">
        <f>IFERROR(Z198/Z444, "NA")</f>
        <v>0.50901755854154485</v>
      </c>
      <c r="AB198" s="25"/>
      <c r="AC198" s="23">
        <f>IFERROR(Q198-Z198, "NA")</f>
        <v>42476.609999999637</v>
      </c>
      <c r="AD198" s="24">
        <f>IFERROR(AC198/AC444, "NA")</f>
        <v>0.23117234522706723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3830.28</v>
      </c>
      <c r="F201" s="8">
        <f>IFERROR(E201/E444, "NA")</f>
        <v>1.7000013448113648E-2</v>
      </c>
      <c r="G201" s="9"/>
      <c r="H201" s="10">
        <f t="shared" ref="H201:H209" si="52">IFERROR(-(B201-E201), "NA")</f>
        <v>3830.28</v>
      </c>
      <c r="I201" s="8">
        <f>IFERROR(H201/H444, "NA")</f>
        <v>-1.2023392106576589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35035.06</v>
      </c>
      <c r="U201" s="8">
        <f>IFERROR(T201/T444, "NA")</f>
        <v>1.7121346828368661E-2</v>
      </c>
      <c r="V201" s="9"/>
      <c r="W201" s="10">
        <f t="shared" ref="W201:W209" si="54">IFERROR(-(Q201-T201), "NA")</f>
        <v>35035.06</v>
      </c>
      <c r="X201" s="8">
        <f>IFERROR(W201/W444, "NA")</f>
        <v>-28.853963861574346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1587.1</v>
      </c>
      <c r="C202" s="8">
        <f>IFERROR(B202/B444, "NA")</f>
        <v>7.1450849774847211E-3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-1587.1</v>
      </c>
      <c r="I202" s="8">
        <f>IFERROR(H202/H444, "NA")</f>
        <v>0.4981966230235832</v>
      </c>
      <c r="J202" s="9"/>
      <c r="K202" s="7">
        <v>1338.64</v>
      </c>
      <c r="L202" s="8">
        <f>IFERROR(K202/K444, "NA")</f>
        <v>6.6542777983021719E-3</v>
      </c>
      <c r="M202" s="9"/>
      <c r="N202" s="10">
        <f t="shared" si="53"/>
        <v>-248.45999999999981</v>
      </c>
      <c r="O202" s="8">
        <f>IFERROR(N202/N444, "NA")</f>
        <v>-1.1856903976543877E-2</v>
      </c>
      <c r="P202" s="9"/>
      <c r="Q202" s="7">
        <v>17921.009999999998</v>
      </c>
      <c r="R202" s="8">
        <f>IFERROR(Q202/Q444, "NA")</f>
        <v>8.7630505984547524E-3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-17921.009999999998</v>
      </c>
      <c r="X202" s="8">
        <f>IFERROR(W202/W444, "NA")</f>
        <v>14.759277560903634</v>
      </c>
      <c r="Y202" s="9"/>
      <c r="Z202" s="7">
        <v>13937</v>
      </c>
      <c r="AA202" s="8">
        <f>IFERROR(Z202/Z444, "NA")</f>
        <v>7.4876933632206395E-3</v>
      </c>
      <c r="AB202" s="9"/>
      <c r="AC202" s="10">
        <f t="shared" si="55"/>
        <v>-3984.0099999999984</v>
      </c>
      <c r="AD202" s="8">
        <f>IFERROR(AC202/AC444, "NA")</f>
        <v>-2.1682354950361991E-2</v>
      </c>
    </row>
    <row r="203" spans="1:30" ht="16.5" customHeight="1" x14ac:dyDescent="0.45">
      <c r="A203" s="6" t="s">
        <v>185</v>
      </c>
      <c r="B203" s="7">
        <v>1021.79</v>
      </c>
      <c r="C203" s="8">
        <f>IFERROR(B203/B444, "NA")</f>
        <v>4.600073328173469E-3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-1021.79</v>
      </c>
      <c r="I203" s="8">
        <f>IFERROR(H203/H444, "NA")</f>
        <v>0.32074370073673181</v>
      </c>
      <c r="J203" s="9"/>
      <c r="K203" s="7">
        <v>1675.38</v>
      </c>
      <c r="L203" s="8">
        <f>IFERROR(K203/K444, "NA")</f>
        <v>8.3281867699452373E-3</v>
      </c>
      <c r="M203" s="9"/>
      <c r="N203" s="10">
        <f t="shared" si="53"/>
        <v>653.59000000000015</v>
      </c>
      <c r="O203" s="8">
        <f>IFERROR(N203/N444, "NA")</f>
        <v>3.119034802394478E-2</v>
      </c>
      <c r="P203" s="9"/>
      <c r="Q203" s="7">
        <v>14842.26</v>
      </c>
      <c r="R203" s="8">
        <f>IFERROR(Q203/Q444, "NA")</f>
        <v>7.2575973885077366E-3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-14842.26</v>
      </c>
      <c r="X203" s="8">
        <f>IFERROR(W203/W444, "NA")</f>
        <v>12.223699164896264</v>
      </c>
      <c r="Y203" s="9"/>
      <c r="Z203" s="7">
        <v>10799.73</v>
      </c>
      <c r="AA203" s="8">
        <f>IFERROR(Z203/Z444, "NA")</f>
        <v>5.8021860260870231E-3</v>
      </c>
      <c r="AB203" s="9"/>
      <c r="AC203" s="10">
        <f t="shared" si="55"/>
        <v>-4042.5300000000007</v>
      </c>
      <c r="AD203" s="8">
        <f>IFERROR(AC203/AC444, "NA")</f>
        <v>-2.2000840951073644E-2</v>
      </c>
    </row>
    <row r="204" spans="1:30" ht="16.5" customHeight="1" x14ac:dyDescent="0.45">
      <c r="A204" s="6" t="s">
        <v>186</v>
      </c>
      <c r="B204" s="7">
        <v>436.43</v>
      </c>
      <c r="C204" s="8">
        <f>IFERROR(B204/B444, "NA")</f>
        <v>1.9647970743643479E-3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-436.43</v>
      </c>
      <c r="I204" s="8">
        <f>IFERROR(H204/H444, "NA")</f>
        <v>0.13699700849737409</v>
      </c>
      <c r="J204" s="9"/>
      <c r="K204" s="7">
        <v>47.19</v>
      </c>
      <c r="L204" s="8">
        <f>IFERROR(K204/K444, "NA")</f>
        <v>2.3457790690692003E-4</v>
      </c>
      <c r="M204" s="9"/>
      <c r="N204" s="10">
        <f t="shared" si="53"/>
        <v>-389.24</v>
      </c>
      <c r="O204" s="8">
        <f>IFERROR(N204/N444, "NA")</f>
        <v>-1.8575148127786937E-2</v>
      </c>
      <c r="P204" s="9"/>
      <c r="Q204" s="7">
        <v>2975.27</v>
      </c>
      <c r="R204" s="8">
        <f>IFERROR(Q204/Q444, "NA")</f>
        <v>1.4548533567061495E-3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-2975.27</v>
      </c>
      <c r="X204" s="8">
        <f>IFERROR(W204/W444, "NA")</f>
        <v>2.4503549603861479</v>
      </c>
      <c r="Y204" s="9"/>
      <c r="Z204" s="7">
        <v>2147.4699999999998</v>
      </c>
      <c r="AA204" s="8">
        <f>IFERROR(Z204/Z444, "NA")</f>
        <v>1.1537344383092075E-3</v>
      </c>
      <c r="AB204" s="9"/>
      <c r="AC204" s="10">
        <f t="shared" si="55"/>
        <v>-827.80000000000018</v>
      </c>
      <c r="AD204" s="8">
        <f>IFERROR(AC204/AC444, "NA")</f>
        <v>-4.5051727851861982E-3</v>
      </c>
    </row>
    <row r="205" spans="1:30" ht="16.5" customHeight="1" x14ac:dyDescent="0.45">
      <c r="A205" s="6" t="s">
        <v>187</v>
      </c>
      <c r="B205" s="7">
        <v>624</v>
      </c>
      <c r="C205" s="8">
        <f>IFERROR(B205/B444, "NA")</f>
        <v>2.8092325788863122E-3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-624</v>
      </c>
      <c r="I205" s="8">
        <f>IFERROR(H205/H444, "NA")</f>
        <v>0.19587593268648221</v>
      </c>
      <c r="J205" s="9"/>
      <c r="K205" s="7">
        <v>735.9</v>
      </c>
      <c r="L205" s="8">
        <f>IFERROR(K205/K444, "NA")</f>
        <v>3.6581030237932285E-3</v>
      </c>
      <c r="M205" s="9"/>
      <c r="N205" s="10">
        <f t="shared" si="53"/>
        <v>111.89999999999998</v>
      </c>
      <c r="O205" s="8">
        <f>IFERROR(N205/N444, "NA")</f>
        <v>5.3400448964632556E-3</v>
      </c>
      <c r="P205" s="9"/>
      <c r="Q205" s="7">
        <v>8336.82</v>
      </c>
      <c r="R205" s="8">
        <f>IFERROR(Q205/Q444, "NA")</f>
        <v>4.0765545853838339E-3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-8336.82</v>
      </c>
      <c r="X205" s="8">
        <f>IFERROR(W205/W444, "NA")</f>
        <v>6.8659880417059442</v>
      </c>
      <c r="Y205" s="9"/>
      <c r="Z205" s="7">
        <v>6425.68</v>
      </c>
      <c r="AA205" s="8">
        <f>IFERROR(Z205/Z444, "NA")</f>
        <v>3.4522150742756406E-3</v>
      </c>
      <c r="AB205" s="9"/>
      <c r="AC205" s="10">
        <f t="shared" si="55"/>
        <v>-1911.1399999999994</v>
      </c>
      <c r="AD205" s="8">
        <f>IFERROR(AC205/AC444, "NA")</f>
        <v>-1.0401082286398583E-2</v>
      </c>
    </row>
    <row r="206" spans="1:30" ht="16.5" customHeight="1" x14ac:dyDescent="0.45">
      <c r="A206" s="6" t="s">
        <v>188</v>
      </c>
      <c r="B206" s="7">
        <v>350.32</v>
      </c>
      <c r="C206" s="8">
        <f>IFERROR(B206/B444, "NA")</f>
        <v>1.5771319824286103E-3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-350.32</v>
      </c>
      <c r="I206" s="8">
        <f>IFERROR(H206/H444, "NA")</f>
        <v>0.1099667575941161</v>
      </c>
      <c r="J206" s="9"/>
      <c r="K206" s="7">
        <v>82.43</v>
      </c>
      <c r="L206" s="8">
        <f>IFERROR(K206/K444, "NA")</f>
        <v>4.0975327116629418E-4</v>
      </c>
      <c r="M206" s="9"/>
      <c r="N206" s="10">
        <f t="shared" si="53"/>
        <v>-267.89</v>
      </c>
      <c r="O206" s="8">
        <f>IFERROR(N206/N444, "NA")</f>
        <v>-1.2784134292346219E-2</v>
      </c>
      <c r="P206" s="9"/>
      <c r="Q206" s="7">
        <v>1869.04</v>
      </c>
      <c r="R206" s="8">
        <f>IFERROR(Q206/Q444, "NA")</f>
        <v>9.1392684288083492E-4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-1869.04</v>
      </c>
      <c r="X206" s="8">
        <f>IFERROR(W206/W444, "NA")</f>
        <v>1.5392927146645936</v>
      </c>
      <c r="Y206" s="9"/>
      <c r="Z206" s="7">
        <v>1186.8800000000001</v>
      </c>
      <c r="AA206" s="8">
        <f>IFERROR(Z206/Z444, "NA")</f>
        <v>6.3765469605649085E-4</v>
      </c>
      <c r="AB206" s="9"/>
      <c r="AC206" s="10">
        <f t="shared" si="55"/>
        <v>-682.15999999999985</v>
      </c>
      <c r="AD206" s="8">
        <f>IFERROR(AC206/AC444, "NA")</f>
        <v>-3.7125497307835416E-3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1006.52</v>
      </c>
      <c r="R207" s="8">
        <f>IFERROR(Q207/Q444, "NA")</f>
        <v>4.9217012257437936E-4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-1006.52</v>
      </c>
      <c r="X207" s="8">
        <f>IFERROR(W207/W444, "NA")</f>
        <v>0.82894368401115381</v>
      </c>
      <c r="Y207" s="9"/>
      <c r="Z207" s="7">
        <v>574.42999999999995</v>
      </c>
      <c r="AA207" s="8">
        <f>IFERROR(Z207/Z444, "NA")</f>
        <v>3.0861417081400814E-4</v>
      </c>
      <c r="AB207" s="9"/>
      <c r="AC207" s="10">
        <f t="shared" si="55"/>
        <v>-432.09000000000003</v>
      </c>
      <c r="AD207" s="8">
        <f>IFERROR(AC207/AC444, "NA")</f>
        <v>-2.3515826392257843E-3</v>
      </c>
    </row>
    <row r="208" spans="1:30" ht="16.5" customHeight="1" x14ac:dyDescent="0.45">
      <c r="A208" s="6" t="s">
        <v>190</v>
      </c>
      <c r="B208" s="7">
        <v>309.99</v>
      </c>
      <c r="C208" s="8">
        <f>IFERROR(B208/B444, "NA")</f>
        <v>1.3955673191169357E-3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-309.99</v>
      </c>
      <c r="I208" s="8">
        <f>IFERROR(H208/H444, "NA")</f>
        <v>9.7307019829299082E-2</v>
      </c>
      <c r="J208" s="9"/>
      <c r="K208" s="7">
        <v>474.78</v>
      </c>
      <c r="L208" s="8">
        <f>IFERROR(K208/K444, "NA")</f>
        <v>2.3600953303934626E-3</v>
      </c>
      <c r="M208" s="9"/>
      <c r="N208" s="10">
        <f t="shared" si="53"/>
        <v>164.78999999999996</v>
      </c>
      <c r="O208" s="8">
        <f>IFERROR(N208/N444, "NA")</f>
        <v>7.8640393073117071E-3</v>
      </c>
      <c r="P208" s="9"/>
      <c r="Q208" s="7">
        <v>2941.24</v>
      </c>
      <c r="R208" s="8">
        <f>IFERROR(Q208/Q444, "NA")</f>
        <v>1.4382133006007505E-3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-2941.24</v>
      </c>
      <c r="X208" s="8">
        <f>IFERROR(W208/W444, "NA")</f>
        <v>2.4223287377905711</v>
      </c>
      <c r="Y208" s="9"/>
      <c r="Z208" s="7">
        <v>2669.48</v>
      </c>
      <c r="AA208" s="8">
        <f>IFERROR(Z208/Z444, "NA")</f>
        <v>1.4341858132489226E-3</v>
      </c>
      <c r="AB208" s="9"/>
      <c r="AC208" s="10">
        <f t="shared" si="55"/>
        <v>-271.75999999999976</v>
      </c>
      <c r="AD208" s="8">
        <f>IFERROR(AC208/AC444, "NA")</f>
        <v>-1.4790115439746315E-3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4329.63</v>
      </c>
      <c r="C209" s="15">
        <f>IFERROR(B209/B444, "NA")</f>
        <v>1.9491887260454397E-2</v>
      </c>
      <c r="D209" s="2"/>
      <c r="E209" s="14">
        <f>IFERROR(E201+E202+E203+E204+E205+E206+E207+E208, "NA")</f>
        <v>3830.28</v>
      </c>
      <c r="F209" s="15">
        <f>IFERROR(E209/E444, "NA")</f>
        <v>1.7000013448113648E-2</v>
      </c>
      <c r="G209" s="2"/>
      <c r="H209" s="14">
        <f t="shared" si="52"/>
        <v>-499.34999999999991</v>
      </c>
      <c r="I209" s="15">
        <f>IFERROR(H209/H444, "NA")</f>
        <v>0.1567478317099277</v>
      </c>
      <c r="J209" s="2"/>
      <c r="K209" s="14">
        <f>IFERROR(K201+K202+K203+K204+K205+K206+K207+K208, "NA")</f>
        <v>4354.3200000000006</v>
      </c>
      <c r="L209" s="15">
        <f>IFERROR(K209/K444, "NA")</f>
        <v>2.1644994100507315E-2</v>
      </c>
      <c r="M209" s="2"/>
      <c r="N209" s="14">
        <f t="shared" si="53"/>
        <v>24.690000000000509</v>
      </c>
      <c r="O209" s="15">
        <f>IFERROR(N209/N444, "NA")</f>
        <v>1.1782458310427215E-3</v>
      </c>
      <c r="P209" s="2"/>
      <c r="Q209" s="14">
        <f>IFERROR(Q201+Q202+Q203+Q204+Q205+Q206+Q207+Q208, "NA")</f>
        <v>49892.159999999989</v>
      </c>
      <c r="R209" s="15">
        <f>IFERROR(Q209/Q444, "NA")</f>
        <v>2.4396366195108432E-2</v>
      </c>
      <c r="S209" s="2"/>
      <c r="T209" s="14">
        <f>IFERROR(T201+T202+T203+T204+T205+T206+T207+T208, "NA")</f>
        <v>35035.06</v>
      </c>
      <c r="U209" s="15">
        <f>IFERROR(T209/T444, "NA")</f>
        <v>1.7121346828368661E-2</v>
      </c>
      <c r="V209" s="2"/>
      <c r="W209" s="14">
        <f t="shared" si="54"/>
        <v>-14857.099999999991</v>
      </c>
      <c r="X209" s="15">
        <f>IFERROR(W209/W444, "NA")</f>
        <v>12.235921002783954</v>
      </c>
      <c r="Y209" s="2"/>
      <c r="Z209" s="14">
        <f>IFERROR(Z201+Z202+Z203+Z204+Z205+Z206+Z207+Z208, "NA")</f>
        <v>37740.670000000006</v>
      </c>
      <c r="AA209" s="15">
        <f>IFERROR(Z209/Z444, "NA")</f>
        <v>2.0276283582011934E-2</v>
      </c>
      <c r="AB209" s="2"/>
      <c r="AC209" s="14">
        <f t="shared" si="55"/>
        <v>-12151.489999999983</v>
      </c>
      <c r="AD209" s="15">
        <f>IFERROR(AC209/AC444, "NA")</f>
        <v>-6.6132594887004292E-2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7965.38</v>
      </c>
      <c r="F213" s="8">
        <f>IFERROR(E213/E444, "NA")</f>
        <v>3.5352916005967058E-2</v>
      </c>
      <c r="G213" s="9"/>
      <c r="H213" s="10">
        <f t="shared" ref="H213:H227" si="56">IFERROR(-(B213-E213), "NA")</f>
        <v>7965.38</v>
      </c>
      <c r="I213" s="8">
        <f>IFERROR(H213/H444, "NA")</f>
        <v>-2.5003625588177112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91377.88</v>
      </c>
      <c r="U213" s="8">
        <f>IFERROR(T213/T444, "NA")</f>
        <v>4.4655621423826654E-2</v>
      </c>
      <c r="V213" s="9"/>
      <c r="W213" s="10">
        <f t="shared" ref="W213:W227" si="58">IFERROR(-(Q213-T213), "NA")</f>
        <v>91377.88</v>
      </c>
      <c r="X213" s="8">
        <f>IFERROR(W213/W444, "NA")</f>
        <v>-75.256444466408155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2759.14</v>
      </c>
      <c r="C214" s="8">
        <f>IFERROR(B214/B444, "NA")</f>
        <v>1.2421580092481376E-2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-2759.14</v>
      </c>
      <c r="I214" s="8">
        <f>IFERROR(H214/H444, "NA")</f>
        <v>0.86610436043682781</v>
      </c>
      <c r="J214" s="9"/>
      <c r="K214" s="7">
        <v>7282.05</v>
      </c>
      <c r="L214" s="8">
        <f>IFERROR(K214/K444, "NA")</f>
        <v>3.6198517630674658E-2</v>
      </c>
      <c r="M214" s="9"/>
      <c r="N214" s="10">
        <f t="shared" si="57"/>
        <v>4522.91</v>
      </c>
      <c r="O214" s="8">
        <f>IFERROR(N214/N444, "NA")</f>
        <v>0.21584041521593056</v>
      </c>
      <c r="P214" s="9"/>
      <c r="Q214" s="7">
        <v>41488.879999999997</v>
      </c>
      <c r="R214" s="8">
        <f>IFERROR(Q214/Q444, "NA")</f>
        <v>2.0287313868650115E-2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-41488.879999999997</v>
      </c>
      <c r="X214" s="8">
        <f>IFERROR(W214/W444, "NA")</f>
        <v>34.169162095831851</v>
      </c>
      <c r="Y214" s="9"/>
      <c r="Z214" s="7">
        <v>34102.480000000003</v>
      </c>
      <c r="AA214" s="8">
        <f>IFERROR(Z214/Z444, "NA")</f>
        <v>1.8321655533139459E-2</v>
      </c>
      <c r="AB214" s="9"/>
      <c r="AC214" s="10">
        <f t="shared" si="59"/>
        <v>-7386.3999999999942</v>
      </c>
      <c r="AD214" s="8">
        <f>IFERROR(AC214/AC444, "NA")</f>
        <v>-4.0199333486952531E-2</v>
      </c>
    </row>
    <row r="215" spans="1:30" ht="16.5" customHeight="1" x14ac:dyDescent="0.45">
      <c r="A215" s="12" t="s">
        <v>195</v>
      </c>
      <c r="B215" s="7">
        <v>1186.4100000000001</v>
      </c>
      <c r="C215" s="8">
        <f>IFERROR(B215/B444, "NA")</f>
        <v>5.3411884998662016E-3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-1186.4100000000001</v>
      </c>
      <c r="I215" s="8">
        <f>IFERROR(H215/H444, "NA")</f>
        <v>0.37241853413232273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-1186.4100000000001</v>
      </c>
      <c r="O215" s="8">
        <f>IFERROR(N215/N444, "NA")</f>
        <v>-5.6617360729338456E-2</v>
      </c>
      <c r="P215" s="9"/>
      <c r="Q215" s="7">
        <v>5171.42</v>
      </c>
      <c r="R215" s="8">
        <f>IFERROR(Q215/Q444, "NA")</f>
        <v>2.5287310885860159E-3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-5171.42</v>
      </c>
      <c r="X215" s="8">
        <f>IFERROR(W215/W444, "NA")</f>
        <v>4.2590469601885319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-5171.42</v>
      </c>
      <c r="AD215" s="8">
        <f>IFERROR(AC215/AC444, "NA")</f>
        <v>-2.8144649244705975E-2</v>
      </c>
    </row>
    <row r="216" spans="1:30" ht="16.5" customHeight="1" x14ac:dyDescent="0.45">
      <c r="A216" s="12" t="s">
        <v>196</v>
      </c>
      <c r="B216" s="7">
        <v>117</v>
      </c>
      <c r="C216" s="8">
        <f>IFERROR(B216/B444, "NA")</f>
        <v>5.2673110854118354E-4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-117</v>
      </c>
      <c r="I216" s="8">
        <f>IFERROR(H216/H444, "NA")</f>
        <v>3.6726737378715416E-2</v>
      </c>
      <c r="J216" s="9"/>
      <c r="K216" s="7">
        <v>138.09</v>
      </c>
      <c r="L216" s="8">
        <f>IFERROR(K216/K444, "NA")</f>
        <v>6.8643490495394347E-4</v>
      </c>
      <c r="M216" s="9"/>
      <c r="N216" s="10">
        <f t="shared" si="57"/>
        <v>21.090000000000003</v>
      </c>
      <c r="O216" s="8">
        <f>IFERROR(N216/N444, "NA")</f>
        <v>1.006448140003665E-3</v>
      </c>
      <c r="P216" s="9"/>
      <c r="Q216" s="7">
        <v>900.89</v>
      </c>
      <c r="R216" s="8">
        <f>IFERROR(Q216/Q444, "NA")</f>
        <v>4.4051895811909609E-4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-900.89</v>
      </c>
      <c r="X216" s="8">
        <f>IFERROR(W216/W444, "NA")</f>
        <v>0.74194956432938075</v>
      </c>
      <c r="Y216" s="9"/>
      <c r="Z216" s="7">
        <v>787.74</v>
      </c>
      <c r="AA216" s="8">
        <f>IFERROR(Z216/Z444, "NA")</f>
        <v>4.232155822589816E-4</v>
      </c>
      <c r="AB216" s="9"/>
      <c r="AC216" s="10">
        <f t="shared" si="59"/>
        <v>-113.14999999999998</v>
      </c>
      <c r="AD216" s="8">
        <f>IFERROR(AC216/AC444, "NA")</f>
        <v>-6.1580128128028283E-4</v>
      </c>
    </row>
    <row r="217" spans="1:30" ht="16.5" customHeight="1" x14ac:dyDescent="0.45">
      <c r="A217" s="12" t="s">
        <v>197</v>
      </c>
      <c r="B217" s="7">
        <v>3830.36</v>
      </c>
      <c r="C217" s="8">
        <f>IFERROR(B217/B444, "NA")</f>
        <v>1.7244186059075281E-2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-3830.36</v>
      </c>
      <c r="I217" s="8">
        <f>IFERROR(H217/H444, "NA")</f>
        <v>1.2023643229567214</v>
      </c>
      <c r="J217" s="9"/>
      <c r="K217" s="7">
        <v>3956.74</v>
      </c>
      <c r="L217" s="8">
        <f>IFERROR(K217/K444, "NA")</f>
        <v>1.9668654108389208E-2</v>
      </c>
      <c r="M217" s="9"/>
      <c r="N217" s="10">
        <f t="shared" si="57"/>
        <v>126.37999999999965</v>
      </c>
      <c r="O217" s="8">
        <f>IFERROR(N217/N444, "NA")</f>
        <v>6.031053387086904E-3</v>
      </c>
      <c r="P217" s="9"/>
      <c r="Q217" s="7">
        <v>38099.379999999997</v>
      </c>
      <c r="R217" s="8">
        <f>IFERROR(Q217/Q444, "NA")</f>
        <v>1.8629909514572839E-2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-38099.379999999997</v>
      </c>
      <c r="X217" s="8">
        <f>IFERROR(W217/W444, "NA")</f>
        <v>31.377658085026496</v>
      </c>
      <c r="Y217" s="9"/>
      <c r="Z217" s="7">
        <v>49527.14</v>
      </c>
      <c r="AA217" s="8">
        <f>IFERROR(Z217/Z444, "NA")</f>
        <v>2.6608598513116127E-2</v>
      </c>
      <c r="AB217" s="9"/>
      <c r="AC217" s="10">
        <f t="shared" si="59"/>
        <v>11427.760000000002</v>
      </c>
      <c r="AD217" s="8">
        <f>IFERROR(AC217/AC444, "NA")</f>
        <v>6.2193806894949778E-2</v>
      </c>
    </row>
    <row r="218" spans="1:30" ht="16.5" customHeight="1" x14ac:dyDescent="0.45">
      <c r="A218" s="13" t="s">
        <v>198</v>
      </c>
      <c r="B218" s="14">
        <f>IFERROR(B213+B214+B215+B216+B217, "NA")</f>
        <v>7892.91</v>
      </c>
      <c r="C218" s="15">
        <f>IFERROR(B218/B444, "NA")</f>
        <v>3.5533685759964038E-2</v>
      </c>
      <c r="D218" s="2"/>
      <c r="E218" s="14">
        <f>IFERROR(E213+E214+E215+E216+E217, "NA")</f>
        <v>7965.38</v>
      </c>
      <c r="F218" s="15">
        <f>IFERROR(E218/E444, "NA")</f>
        <v>3.5352916005967058E-2</v>
      </c>
      <c r="G218" s="2"/>
      <c r="H218" s="14">
        <f t="shared" si="56"/>
        <v>72.470000000000255</v>
      </c>
      <c r="I218" s="15">
        <f>IFERROR(H218/H444, "NA")</f>
        <v>-2.2748603913124065E-2</v>
      </c>
      <c r="J218" s="2"/>
      <c r="K218" s="14">
        <f>IFERROR(K213+K214+K215+K216+K217, "NA")</f>
        <v>11376.880000000001</v>
      </c>
      <c r="L218" s="15">
        <f>IFERROR(K218/K444, "NA")</f>
        <v>5.6553606644017818E-2</v>
      </c>
      <c r="M218" s="2"/>
      <c r="N218" s="14">
        <f t="shared" si="57"/>
        <v>3483.9700000000012</v>
      </c>
      <c r="O218" s="15">
        <f>IFERROR(N218/N444, "NA")</f>
        <v>0.16626055601368275</v>
      </c>
      <c r="P218" s="2"/>
      <c r="Q218" s="14">
        <f>IFERROR(Q213+Q214+Q215+Q216+Q217, "NA")</f>
        <v>85660.569999999992</v>
      </c>
      <c r="R218" s="15">
        <f>IFERROR(Q218/Q444, "NA")</f>
        <v>4.1886473429928066E-2</v>
      </c>
      <c r="S218" s="2"/>
      <c r="T218" s="14">
        <f>IFERROR(T213+T214+T215+T216+T217, "NA")</f>
        <v>91377.88</v>
      </c>
      <c r="U218" s="15">
        <f>IFERROR(T218/T444, "NA")</f>
        <v>4.4655621423826654E-2</v>
      </c>
      <c r="V218" s="2"/>
      <c r="W218" s="14">
        <f t="shared" si="58"/>
        <v>5717.3100000000122</v>
      </c>
      <c r="X218" s="15">
        <f>IFERROR(W218/W444, "NA")</f>
        <v>-4.7086277610318916</v>
      </c>
      <c r="Y218" s="2"/>
      <c r="Z218" s="14">
        <f>IFERROR(Z213+Z214+Z215+Z216+Z217, "NA")</f>
        <v>84417.36</v>
      </c>
      <c r="AA218" s="15">
        <f>IFERROR(Z218/Z444, "NA")</f>
        <v>4.5353469628514567E-2</v>
      </c>
      <c r="AB218" s="2"/>
      <c r="AC218" s="14">
        <f t="shared" si="59"/>
        <v>-1243.2099999999919</v>
      </c>
      <c r="AD218" s="15">
        <f>IFERROR(AC218/AC444, "NA")</f>
        <v>-6.7659771179890017E-3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91.67</v>
      </c>
      <c r="C222" s="8">
        <f>IFERROR(B222/B444, "NA")</f>
        <v>4.1269607452966065E-4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-91.67</v>
      </c>
      <c r="I222" s="8">
        <f>IFERROR(H222/H444, "NA")</f>
        <v>2.8775555688092667E-2</v>
      </c>
      <c r="J222" s="9"/>
      <c r="K222" s="7">
        <v>87.5</v>
      </c>
      <c r="L222" s="8">
        <f>IFERROR(K222/K444, "NA")</f>
        <v>4.3495585620588055E-4</v>
      </c>
      <c r="M222" s="9"/>
      <c r="N222" s="10">
        <f t="shared" si="57"/>
        <v>-4.1700000000000017</v>
      </c>
      <c r="O222" s="8">
        <f>IFERROR(N222/N444, "NA")</f>
        <v>-1.989989921202126E-4</v>
      </c>
      <c r="P222" s="9"/>
      <c r="Q222" s="7">
        <v>3014</v>
      </c>
      <c r="R222" s="8">
        <f>IFERROR(Q222/Q444, "NA")</f>
        <v>1.4737916280244598E-3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-3014</v>
      </c>
      <c r="X222" s="8">
        <f>IFERROR(W222/W444, "NA")</f>
        <v>2.4822519806954828</v>
      </c>
      <c r="Y222" s="9"/>
      <c r="Z222" s="7">
        <v>1282.25</v>
      </c>
      <c r="AA222" s="8">
        <f>IFERROR(Z222/Z444, "NA")</f>
        <v>6.8889250304869523E-4</v>
      </c>
      <c r="AB222" s="9"/>
      <c r="AC222" s="10">
        <f t="shared" si="59"/>
        <v>-1731.75</v>
      </c>
      <c r="AD222" s="8">
        <f>IFERROR(AC222/AC444, "NA")</f>
        <v>-9.424780104791251E-3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225.31</v>
      </c>
      <c r="F226" s="8">
        <f>IFERROR(E226/E444, "NA")</f>
        <v>9.999981802882522E-4</v>
      </c>
      <c r="G226" s="9"/>
      <c r="H226" s="10">
        <f t="shared" si="56"/>
        <v>225.31</v>
      </c>
      <c r="I226" s="8">
        <f>IFERROR(H226/H444, "NA")</f>
        <v>-7.0725651271780945E-2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2046.29</v>
      </c>
      <c r="U226" s="8">
        <f>IFERROR(T226/T444, "NA")</f>
        <v>1.0000051605854965E-3</v>
      </c>
      <c r="V226" s="9"/>
      <c r="W226" s="10">
        <f t="shared" si="58"/>
        <v>2046.29</v>
      </c>
      <c r="X226" s="8">
        <f>IFERROR(W226/W444, "NA")</f>
        <v>-1.6852712029121963</v>
      </c>
      <c r="Y226" s="9"/>
      <c r="Z226" s="7">
        <v>1067.28</v>
      </c>
      <c r="AA226" s="8">
        <f>IFERROR(Z226/Z444, "NA")</f>
        <v>5.7339925182593992E-4</v>
      </c>
      <c r="AB226" s="9"/>
      <c r="AC226" s="10">
        <f t="shared" si="59"/>
        <v>1067.28</v>
      </c>
      <c r="AD226" s="8">
        <f>IFERROR(AC226/AC444, "NA")</f>
        <v>5.8085054483855095E-3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7984.58</v>
      </c>
      <c r="C227" s="15">
        <f>IFERROR(B227/B444, "NA")</f>
        <v>3.5946381834493703E-2</v>
      </c>
      <c r="D227" s="2"/>
      <c r="E227" s="14">
        <f>IFERROR(E211+E213+E214+E215+E216+E217+E219+E220+E221+E222+E223+E224+E225+E226, "NA")</f>
        <v>8190.6900000000005</v>
      </c>
      <c r="F227" s="15">
        <f>IFERROR(E227/E444, "NA")</f>
        <v>3.635291418625531E-2</v>
      </c>
      <c r="G227" s="2"/>
      <c r="H227" s="14">
        <f t="shared" si="56"/>
        <v>206.11000000000058</v>
      </c>
      <c r="I227" s="15">
        <f>IFERROR(H227/H444, "NA")</f>
        <v>-6.4698699496812437E-2</v>
      </c>
      <c r="J227" s="2"/>
      <c r="K227" s="14">
        <f>IFERROR(K211+K213+K214+K215+K216+K217+K219+K220+K221+K222+K223+K224+K225+K226, "NA")</f>
        <v>11464.380000000001</v>
      </c>
      <c r="L227" s="15">
        <f>IFERROR(K227/K444, "NA")</f>
        <v>5.6988562500223695E-2</v>
      </c>
      <c r="M227" s="2"/>
      <c r="N227" s="14">
        <f t="shared" si="57"/>
        <v>3479.8000000000011</v>
      </c>
      <c r="O227" s="15">
        <f>IFERROR(N227/N444, "NA")</f>
        <v>0.16606155702156253</v>
      </c>
      <c r="P227" s="2"/>
      <c r="Q227" s="14">
        <f>IFERROR(Q211+Q213+Q214+Q215+Q216+Q217+Q219+Q220+Q221+Q222+Q223+Q224+Q225+Q226, "NA")</f>
        <v>88674.569999999992</v>
      </c>
      <c r="R227" s="15">
        <f>IFERROR(Q227/Q444, "NA")</f>
        <v>4.3360265057952527E-2</v>
      </c>
      <c r="S227" s="2"/>
      <c r="T227" s="14">
        <f>IFERROR(T211+T213+T214+T215+T216+T217+T219+T220+T221+T222+T223+T224+T225+T226, "NA")</f>
        <v>93424.17</v>
      </c>
      <c r="U227" s="15">
        <f>IFERROR(T227/T444, "NA")</f>
        <v>4.5655626584412148E-2</v>
      </c>
      <c r="V227" s="2"/>
      <c r="W227" s="14">
        <f t="shared" si="58"/>
        <v>4749.6000000000058</v>
      </c>
      <c r="X227" s="15">
        <f>IFERROR(W227/W444, "NA")</f>
        <v>-3.9116469832486001</v>
      </c>
      <c r="Y227" s="2"/>
      <c r="Z227" s="14">
        <f>IFERROR(Z211+Z213+Z214+Z215+Z216+Z217+Z219+Z220+Z221+Z222+Z223+Z224+Z225+Z226, "NA")</f>
        <v>86766.89</v>
      </c>
      <c r="AA227" s="15">
        <f>IFERROR(Z227/Z444, "NA")</f>
        <v>4.6615761383389201E-2</v>
      </c>
      <c r="AB227" s="2"/>
      <c r="AC227" s="14">
        <f t="shared" si="59"/>
        <v>-1907.679999999993</v>
      </c>
      <c r="AD227" s="15">
        <f>IFERROR(AC227/AC444, "NA")</f>
        <v>-1.038225177439475E-2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6702.98</v>
      </c>
      <c r="F229" s="8">
        <f>IFERROR(E229/E444, "NA")</f>
        <v>2.9749979150985519E-2</v>
      </c>
      <c r="G229" s="9"/>
      <c r="H229" s="10">
        <f t="shared" ref="H229:H236" si="60">IFERROR(-(B229-E229), "NA")</f>
        <v>6702.98</v>
      </c>
      <c r="I229" s="8">
        <f>IFERROR(H229/H444, "NA")</f>
        <v>-2.1040904796135202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60876.800000000003</v>
      </c>
      <c r="U229" s="8">
        <f>IFERROR(T229/T444, "NA")</f>
        <v>2.9749993480851278E-2</v>
      </c>
      <c r="V229" s="9"/>
      <c r="W229" s="10">
        <f t="shared" ref="W229:W236" si="62">IFERROR(-(Q229-T229), "NA")</f>
        <v>60876.800000000003</v>
      </c>
      <c r="X229" s="8">
        <f>IFERROR(W229/W444, "NA")</f>
        <v>-50.136548566158851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1.6117586345455921E-5</v>
      </c>
      <c r="AB230" s="9"/>
      <c r="AC230" s="10">
        <f t="shared" si="63"/>
        <v>30</v>
      </c>
      <c r="AD230" s="8">
        <f>IFERROR(AC230/AC444, "NA")</f>
        <v>1.6327033529304894E-4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375.73</v>
      </c>
      <c r="L231" s="8">
        <f>IFERROR(K231/K444, "NA")</f>
        <v>1.867725301168406E-3</v>
      </c>
      <c r="M231" s="9"/>
      <c r="N231" s="10">
        <f t="shared" si="61"/>
        <v>375.73</v>
      </c>
      <c r="O231" s="8">
        <f>IFERROR(N231/N444, "NA")</f>
        <v>1.7930429570582124E-2</v>
      </c>
      <c r="P231" s="9"/>
      <c r="Q231" s="7">
        <v>2465.81</v>
      </c>
      <c r="R231" s="8">
        <f>IFERROR(Q231/Q444, "NA")</f>
        <v>1.2057366072657574E-3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2.0307769596943359</v>
      </c>
      <c r="Y231" s="9"/>
      <c r="Z231" s="7">
        <v>4431.7700000000004</v>
      </c>
      <c r="AA231" s="8">
        <f>IFERROR(Z231/Z444, "NA")</f>
        <v>2.3809811879400402E-3</v>
      </c>
      <c r="AB231" s="9"/>
      <c r="AC231" s="10">
        <f t="shared" si="63"/>
        <v>1965.9600000000005</v>
      </c>
      <c r="AD231" s="8">
        <f>IFERROR(AC231/AC444, "NA")</f>
        <v>1.0699431612424086E-2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398.36</v>
      </c>
      <c r="C233" s="8">
        <f>IFERROR(B233/B444, "NA")</f>
        <v>1.7934068752005631E-3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-398.36</v>
      </c>
      <c r="I233" s="8">
        <f>IFERROR(H233/H444, "NA")</f>
        <v>0.12504669318106901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-398.36</v>
      </c>
      <c r="O233" s="8">
        <f>IFERROR(N233/N444, "NA")</f>
        <v>-1.9010368945085818E-2</v>
      </c>
      <c r="P233" s="9"/>
      <c r="Q233" s="7">
        <v>1586.56</v>
      </c>
      <c r="R233" s="8">
        <f>IFERROR(Q233/Q444, "NA")</f>
        <v>7.7579921876525773E-4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-1586.56</v>
      </c>
      <c r="X233" s="8">
        <f>IFERROR(W233/W444, "NA")</f>
        <v>1.3066495363278783</v>
      </c>
      <c r="Y233" s="9"/>
      <c r="Z233" s="7">
        <v>17</v>
      </c>
      <c r="AA233" s="8">
        <f>IFERROR(Z233/Z444, "NA")</f>
        <v>9.1332989290916889E-6</v>
      </c>
      <c r="AB233" s="9"/>
      <c r="AC233" s="10">
        <f t="shared" si="63"/>
        <v>-1569.56</v>
      </c>
      <c r="AD233" s="8">
        <f>IFERROR(AC233/AC444, "NA")</f>
        <v>-8.5420862487519296E-3</v>
      </c>
    </row>
    <row r="234" spans="1:30" ht="16.5" customHeight="1" x14ac:dyDescent="0.45">
      <c r="A234" s="6" t="s">
        <v>213</v>
      </c>
      <c r="B234" s="7">
        <v>4109.71</v>
      </c>
      <c r="C234" s="8">
        <f>IFERROR(B234/B444, "NA")</f>
        <v>1.8501812855408438E-2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-4109.71</v>
      </c>
      <c r="I234" s="8">
        <f>IFERROR(H234/H444, "NA")</f>
        <v>1.2900533322451329</v>
      </c>
      <c r="J234" s="9"/>
      <c r="K234" s="7">
        <v>3913.04</v>
      </c>
      <c r="L234" s="8">
        <f>IFERROR(K234/K444, "NA")</f>
        <v>1.9451424726489815E-2</v>
      </c>
      <c r="M234" s="9"/>
      <c r="N234" s="10">
        <f t="shared" si="61"/>
        <v>-196.67000000000007</v>
      </c>
      <c r="O234" s="8">
        <f>IFERROR(N234/N444, "NA")</f>
        <v>-9.3854033046240314E-3</v>
      </c>
      <c r="P234" s="9"/>
      <c r="Q234" s="7">
        <v>41272.129999999997</v>
      </c>
      <c r="R234" s="8">
        <f>IFERROR(Q234/Q444, "NA")</f>
        <v>2.0181327028778083E-2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-41272.129999999997</v>
      </c>
      <c r="X234" s="8">
        <f>IFERROR(W234/W444, "NA")</f>
        <v>33.990652435309045</v>
      </c>
      <c r="Y234" s="9"/>
      <c r="Z234" s="7">
        <v>44054.74</v>
      </c>
      <c r="AA234" s="8">
        <f>IFERROR(Z234/Z444, "NA")</f>
        <v>2.3668535862553693E-2</v>
      </c>
      <c r="AB234" s="9"/>
      <c r="AC234" s="10">
        <f t="shared" si="63"/>
        <v>2782.6100000000006</v>
      </c>
      <c r="AD234" s="8">
        <f>IFERROR(AC234/AC444, "NA")</f>
        <v>1.5143922256326369E-2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4508.07</v>
      </c>
      <c r="C236" s="15">
        <f>IFERROR(B236/B444, "NA")</f>
        <v>2.0295219730609E-2</v>
      </c>
      <c r="D236" s="2"/>
      <c r="E236" s="14">
        <f>IFERROR(E229+E230+E231+E232+E233+E234+E235, "NA")</f>
        <v>6702.98</v>
      </c>
      <c r="F236" s="15">
        <f>IFERROR(E236/E444, "NA")</f>
        <v>2.9749979150985519E-2</v>
      </c>
      <c r="G236" s="2"/>
      <c r="H236" s="14">
        <f t="shared" si="60"/>
        <v>2194.91</v>
      </c>
      <c r="I236" s="15">
        <f>IFERROR(H236/H444, "NA")</f>
        <v>-0.68899045418731841</v>
      </c>
      <c r="J236" s="2"/>
      <c r="K236" s="14">
        <f>IFERROR(K229+K230+K231+K232+K233+K234+K235, "NA")</f>
        <v>4288.7700000000004</v>
      </c>
      <c r="L236" s="15">
        <f>IFERROR(K236/K444, "NA")</f>
        <v>2.1319150027658225E-2</v>
      </c>
      <c r="M236" s="2"/>
      <c r="N236" s="14">
        <f t="shared" si="61"/>
        <v>-219.29999999999927</v>
      </c>
      <c r="O236" s="15">
        <f>IFERROR(N236/N444, "NA")</f>
        <v>-1.0465342679127689E-2</v>
      </c>
      <c r="P236" s="2"/>
      <c r="Q236" s="14">
        <f>IFERROR(Q229+Q230+Q231+Q232+Q233+Q234+Q235, "NA")</f>
        <v>45324.5</v>
      </c>
      <c r="R236" s="15">
        <f>IFERROR(Q236/Q444, "NA")</f>
        <v>2.21628628548091E-2</v>
      </c>
      <c r="S236" s="2"/>
      <c r="T236" s="14">
        <f>IFERROR(T229+T230+T231+T232+T233+T234+T235, "NA")</f>
        <v>60876.800000000003</v>
      </c>
      <c r="U236" s="15">
        <f>IFERROR(T236/T444, "NA")</f>
        <v>2.9749993480851278E-2</v>
      </c>
      <c r="V236" s="2"/>
      <c r="W236" s="14">
        <f t="shared" si="62"/>
        <v>15552.300000000003</v>
      </c>
      <c r="X236" s="15">
        <f>IFERROR(W236/W444, "NA")</f>
        <v>-12.808469634827594</v>
      </c>
      <c r="Y236" s="2"/>
      <c r="Z236" s="14">
        <f>IFERROR(Z229+Z230+Z231+Z232+Z233+Z234+Z235, "NA")</f>
        <v>48533.509999999995</v>
      </c>
      <c r="AA236" s="15">
        <f>IFERROR(Z236/Z444, "NA")</f>
        <v>2.6074767935768281E-2</v>
      </c>
      <c r="AB236" s="2"/>
      <c r="AC236" s="14">
        <f t="shared" si="63"/>
        <v>3209.0099999999948</v>
      </c>
      <c r="AD236" s="15">
        <f>IFERROR(AC236/AC444, "NA")</f>
        <v>1.7464537955291539E-2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20564.080000000002</v>
      </c>
      <c r="F240" s="8">
        <f>IFERROR(E240/E444, "NA")</f>
        <v>9.1269995025973286E-2</v>
      </c>
      <c r="G240" s="9"/>
      <c r="H240" s="10">
        <f t="shared" ref="H240:H263" si="64">IFERROR(-(B240-E240), "NA")</f>
        <v>20564.080000000002</v>
      </c>
      <c r="I240" s="8">
        <f>IFERROR(H240/H444, "NA")</f>
        <v>-6.4551415862811465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187616.37</v>
      </c>
      <c r="U240" s="8">
        <f>IFERROR(T240/T444, "NA")</f>
        <v>9.1686583138420236E-2</v>
      </c>
      <c r="V240" s="9"/>
      <c r="W240" s="10">
        <f t="shared" ref="W240:W263" si="66">IFERROR(-(Q240-T240), "NA")</f>
        <v>187616.37</v>
      </c>
      <c r="X240" s="8">
        <f>IFERROR(W240/W444, "NA")</f>
        <v>-154.51596086376793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2957.8</v>
      </c>
      <c r="C242" s="8">
        <f>IFERROR(B242/B444, "NA")</f>
        <v>1.3315942502932587E-2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-2957.8</v>
      </c>
      <c r="I242" s="8">
        <f>IFERROR(H242/H444, "NA")</f>
        <v>0.92846447708345692</v>
      </c>
      <c r="J242" s="9"/>
      <c r="K242" s="7">
        <v>3232.29</v>
      </c>
      <c r="L242" s="8">
        <f>IFERROR(K242/K444, "NA")</f>
        <v>1.6067468165208064E-2</v>
      </c>
      <c r="M242" s="9"/>
      <c r="N242" s="10">
        <f t="shared" si="65"/>
        <v>274.48999999999978</v>
      </c>
      <c r="O242" s="8">
        <f>IFERROR(N242/N444, "NA")</f>
        <v>1.3099096725917768E-2</v>
      </c>
      <c r="P242" s="9"/>
      <c r="Q242" s="7">
        <v>29841.74</v>
      </c>
      <c r="R242" s="8">
        <f>IFERROR(Q242/Q444, "NA")</f>
        <v>1.4592072520797162E-2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-29841.74</v>
      </c>
      <c r="X242" s="8">
        <f>IFERROR(W242/W444, "NA")</f>
        <v>24.576880631187667</v>
      </c>
      <c r="Y242" s="9"/>
      <c r="Z242" s="7">
        <v>26057.67</v>
      </c>
      <c r="AA242" s="8">
        <f>IFERROR(Z242/Z444, "NA")</f>
        <v>1.3999558206213214E-2</v>
      </c>
      <c r="AB242" s="9"/>
      <c r="AC242" s="10">
        <f t="shared" si="67"/>
        <v>-3784.0700000000033</v>
      </c>
      <c r="AD242" s="8">
        <f>IFERROR(AC242/AC444, "NA")</f>
        <v>-2.0594212589078943E-2</v>
      </c>
    </row>
    <row r="243" spans="1:30" ht="16.5" customHeight="1" x14ac:dyDescent="0.45">
      <c r="A243" s="12" t="s">
        <v>220</v>
      </c>
      <c r="B243" s="7">
        <v>6885.73</v>
      </c>
      <c r="C243" s="8">
        <f>IFERROR(B243/B444, "NA")</f>
        <v>3.0999386290728917E-2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-6885.73</v>
      </c>
      <c r="I243" s="8">
        <f>IFERROR(H243/H444, "NA")</f>
        <v>2.1614563877841202</v>
      </c>
      <c r="J243" s="9"/>
      <c r="K243" s="7">
        <v>8632.82</v>
      </c>
      <c r="L243" s="8">
        <f>IFERROR(K243/K444, "NA")</f>
        <v>4.291309273795714E-2</v>
      </c>
      <c r="M243" s="9"/>
      <c r="N243" s="10">
        <f t="shared" si="65"/>
        <v>1747.0900000000001</v>
      </c>
      <c r="O243" s="8">
        <f>IFERROR(N243/N444, "NA")</f>
        <v>8.3373896677050877E-2</v>
      </c>
      <c r="P243" s="9"/>
      <c r="Q243" s="7">
        <v>74189.02</v>
      </c>
      <c r="R243" s="8">
        <f>IFERROR(Q243/Q444, "NA")</f>
        <v>3.6277092424465564E-2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-74189.02</v>
      </c>
      <c r="X243" s="8">
        <f>IFERROR(W243/W444, "NA")</f>
        <v>61.100146596170141</v>
      </c>
      <c r="Y243" s="9"/>
      <c r="Z243" s="7">
        <v>81015.13</v>
      </c>
      <c r="AA243" s="8">
        <f>IFERROR(Z243/Z444, "NA")</f>
        <v>4.3525611768777887E-2</v>
      </c>
      <c r="AB243" s="9"/>
      <c r="AC243" s="10">
        <f t="shared" si="67"/>
        <v>6826.1100000000006</v>
      </c>
      <c r="AD243" s="8">
        <f>IFERROR(AC243/AC444, "NA")</f>
        <v>3.715004228157448E-2</v>
      </c>
    </row>
    <row r="244" spans="1:30" ht="16.5" customHeight="1" x14ac:dyDescent="0.45">
      <c r="A244" s="12" t="s">
        <v>221</v>
      </c>
      <c r="B244" s="7">
        <v>789.06</v>
      </c>
      <c r="C244" s="8">
        <f>IFERROR(B244/B444, "NA")</f>
        <v>3.5523286197051817E-3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-789.06</v>
      </c>
      <c r="I244" s="8">
        <f>IFERROR(H244/H444, "NA")</f>
        <v>0.24768888372691611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-789.06</v>
      </c>
      <c r="O244" s="8">
        <f>IFERROR(N244/N444, "NA")</f>
        <v>-3.7655190580905246E-2</v>
      </c>
      <c r="P244" s="9"/>
      <c r="Q244" s="7">
        <v>2724.2</v>
      </c>
      <c r="R244" s="8">
        <f>IFERROR(Q244/Q444, "NA")</f>
        <v>1.3320846559602632E-3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-2724.2</v>
      </c>
      <c r="X244" s="8">
        <f>IFERROR(W244/W444, "NA")</f>
        <v>2.2435802408130838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-2724.2</v>
      </c>
      <c r="AD244" s="8">
        <f>IFERROR(AC244/AC444, "NA")</f>
        <v>-1.4826034913510798E-2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226.52</v>
      </c>
      <c r="C246" s="8">
        <f>IFERROR(B246/B444, "NA")</f>
        <v>1.0197874419380247E-3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-226.52</v>
      </c>
      <c r="I246" s="8">
        <f>IFERROR(H246/H444, "NA")</f>
        <v>7.110547479509928E-2</v>
      </c>
      <c r="J246" s="9"/>
      <c r="K246" s="7">
        <v>587</v>
      </c>
      <c r="L246" s="8">
        <f>IFERROR(K246/K444, "NA")</f>
        <v>2.9179324296325932E-3</v>
      </c>
      <c r="M246" s="9"/>
      <c r="N246" s="10">
        <f t="shared" si="65"/>
        <v>360.48</v>
      </c>
      <c r="O246" s="8">
        <f>IFERROR(N246/N444, "NA")</f>
        <v>1.7202675462708445E-2</v>
      </c>
      <c r="P246" s="9"/>
      <c r="Q246" s="7">
        <v>5665.24</v>
      </c>
      <c r="R246" s="8">
        <f>IFERROR(Q246/Q444, "NA")</f>
        <v>2.7702001601689749E-3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-5665.24</v>
      </c>
      <c r="X246" s="8">
        <f>IFERROR(W246/W444, "NA")</f>
        <v>4.6657442638073245</v>
      </c>
      <c r="Y246" s="9"/>
      <c r="Z246" s="7">
        <v>2700.5</v>
      </c>
      <c r="AA246" s="8">
        <f>IFERROR(Z246/Z444, "NA")</f>
        <v>1.450851397530124E-3</v>
      </c>
      <c r="AB246" s="9"/>
      <c r="AC246" s="10">
        <f t="shared" si="67"/>
        <v>-2964.74</v>
      </c>
      <c r="AD246" s="8">
        <f>IFERROR(AC246/AC444, "NA")</f>
        <v>-1.6135136461890465E-2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14.32</v>
      </c>
      <c r="AA247" s="8">
        <f>IFERROR(Z247/Z444, "NA")</f>
        <v>7.6934612155642931E-6</v>
      </c>
      <c r="AB247" s="9"/>
      <c r="AC247" s="10">
        <f t="shared" si="67"/>
        <v>14.32</v>
      </c>
      <c r="AD247" s="8">
        <f>IFERROR(AC247/AC444, "NA")</f>
        <v>7.7934373379882029E-5</v>
      </c>
    </row>
    <row r="248" spans="1:30" ht="16.5" customHeight="1" x14ac:dyDescent="0.45">
      <c r="A248" s="12" t="s">
        <v>225</v>
      </c>
      <c r="B248" s="7">
        <v>195.99</v>
      </c>
      <c r="C248" s="8">
        <f>IFERROR(B248/B444, "NA")</f>
        <v>8.8234213643578264E-4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-195.99</v>
      </c>
      <c r="I248" s="8">
        <f>IFERROR(H248/H444, "NA")</f>
        <v>6.152199366542252E-2</v>
      </c>
      <c r="J248" s="9"/>
      <c r="K248" s="7">
        <v>151.51</v>
      </c>
      <c r="L248" s="8">
        <f>IFERROR(K248/K444, "NA")</f>
        <v>7.5314470598574813E-4</v>
      </c>
      <c r="M248" s="9"/>
      <c r="N248" s="10">
        <f t="shared" si="65"/>
        <v>-44.480000000000018</v>
      </c>
      <c r="O248" s="8">
        <f>IFERROR(N248/N444, "NA")</f>
        <v>-2.1226559159489345E-3</v>
      </c>
      <c r="P248" s="9"/>
      <c r="Q248" s="7">
        <v>2194.04</v>
      </c>
      <c r="R248" s="8">
        <f>IFERROR(Q248/Q444, "NA")</f>
        <v>1.0728459799438572E-3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-2194.04</v>
      </c>
      <c r="X248" s="8">
        <f>IFERROR(W248/W444, "NA")</f>
        <v>1.8069542587011007</v>
      </c>
      <c r="Y248" s="9"/>
      <c r="Z248" s="7">
        <v>1888.3</v>
      </c>
      <c r="AA248" s="8">
        <f>IFERROR(Z248/Z444, "NA")</f>
        <v>1.0144946098708139E-3</v>
      </c>
      <c r="AB248" s="9"/>
      <c r="AC248" s="10">
        <f t="shared" si="67"/>
        <v>-305.74</v>
      </c>
      <c r="AD248" s="8">
        <f>IFERROR(AC248/AC444, "NA")</f>
        <v>-1.6639424104165595E-3</v>
      </c>
    </row>
    <row r="249" spans="1:30" ht="16.5" customHeight="1" x14ac:dyDescent="0.45">
      <c r="A249" s="12" t="s">
        <v>226</v>
      </c>
      <c r="B249" s="7">
        <v>4400.4799999999996</v>
      </c>
      <c r="C249" s="8">
        <f>IFERROR(B249/B444, "NA")</f>
        <v>1.9810852209515444E-2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-4400.4799999999996</v>
      </c>
      <c r="I249" s="8">
        <f>IFERROR(H249/H444, "NA")</f>
        <v>1.3813271222246974</v>
      </c>
      <c r="J249" s="9"/>
      <c r="K249" s="7">
        <v>3746.42</v>
      </c>
      <c r="L249" s="8">
        <f>IFERROR(K249/K444, "NA")</f>
        <v>1.8623169357792402E-2</v>
      </c>
      <c r="M249" s="9"/>
      <c r="N249" s="10">
        <f t="shared" si="65"/>
        <v>-654.05999999999949</v>
      </c>
      <c r="O249" s="8">
        <f>IFERROR(N249/N444, "NA")</f>
        <v>-3.1212777166941513E-2</v>
      </c>
      <c r="P249" s="9"/>
      <c r="Q249" s="7">
        <v>37616.94</v>
      </c>
      <c r="R249" s="8">
        <f>IFERROR(Q249/Q444, "NA")</f>
        <v>1.839400505769689E-2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-37616.94</v>
      </c>
      <c r="X249" s="8">
        <f>IFERROR(W249/W444, "NA")</f>
        <v>30.980333053318894</v>
      </c>
      <c r="Y249" s="9"/>
      <c r="Z249" s="7">
        <v>35926.47</v>
      </c>
      <c r="AA249" s="8">
        <f>IFERROR(Z249/Z444, "NA")</f>
        <v>1.9301599410414396E-2</v>
      </c>
      <c r="AB249" s="9"/>
      <c r="AC249" s="10">
        <f t="shared" si="67"/>
        <v>-1690.4700000000012</v>
      </c>
      <c r="AD249" s="8">
        <f>IFERROR(AC249/AC444, "NA")</f>
        <v>-9.2001201234280221E-3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308.11</v>
      </c>
      <c r="AA252" s="8">
        <f>IFERROR(Z252/Z444, "NA")</f>
        <v>1.6553298429661416E-4</v>
      </c>
      <c r="AB252" s="9"/>
      <c r="AC252" s="10">
        <f t="shared" si="67"/>
        <v>308.11</v>
      </c>
      <c r="AD252" s="8">
        <f>IFERROR(AC252/AC444, "NA")</f>
        <v>1.6768407669047105E-3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2130.98</v>
      </c>
      <c r="C254" s="8">
        <f>IFERROR(B254/B444, "NA")</f>
        <v>9.5936192964024888E-3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-2130.98</v>
      </c>
      <c r="I254" s="8">
        <f>IFERROR(H254/H444, "NA")</f>
        <v>0.66892258819910233</v>
      </c>
      <c r="J254" s="9"/>
      <c r="K254" s="7">
        <v>1877.08</v>
      </c>
      <c r="L254" s="8">
        <f>IFERROR(K254/K444, "NA")</f>
        <v>9.3308221550506779E-3</v>
      </c>
      <c r="M254" s="9"/>
      <c r="N254" s="10">
        <f t="shared" si="65"/>
        <v>-253.90000000000009</v>
      </c>
      <c r="O254" s="8">
        <f>IFERROR(N254/N444, "NA")</f>
        <v>-1.2116509376336206E-2</v>
      </c>
      <c r="P254" s="9"/>
      <c r="Q254" s="7">
        <v>26280.32</v>
      </c>
      <c r="R254" s="8">
        <f>IFERROR(Q254/Q444, "NA")</f>
        <v>1.2850602388123349E-2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-26280.32</v>
      </c>
      <c r="X254" s="8">
        <f>IFERROR(W254/W444, "NA")</f>
        <v>21.643787781456908</v>
      </c>
      <c r="Y254" s="9"/>
      <c r="Z254" s="7">
        <v>26087.200000000001</v>
      </c>
      <c r="AA254" s="8">
        <f>IFERROR(Z254/Z444, "NA")</f>
        <v>1.4015423283705926E-2</v>
      </c>
      <c r="AB254" s="9"/>
      <c r="AC254" s="10">
        <f t="shared" si="67"/>
        <v>-193.11999999999898</v>
      </c>
      <c r="AD254" s="8">
        <f>IFERROR(AC254/AC444, "NA")</f>
        <v>-1.0510255717264482E-3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1.6078704815096313E-4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0.27080759664641296</v>
      </c>
      <c r="Y257" s="9"/>
      <c r="Z257" s="7">
        <v>943.12</v>
      </c>
      <c r="AA257" s="8">
        <f>IFERROR(Z257/Z444, "NA")</f>
        <v>5.066939344708797E-4</v>
      </c>
      <c r="AB257" s="9"/>
      <c r="AC257" s="10">
        <f t="shared" si="67"/>
        <v>614.29999999999995</v>
      </c>
      <c r="AD257" s="8">
        <f>IFERROR(AC257/AC444, "NA")</f>
        <v>3.3432322323506654E-3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17586.559999999998</v>
      </c>
      <c r="C262" s="15">
        <f>IFERROR(B262/B444, "NA")</f>
        <v>7.9174258497658426E-2</v>
      </c>
      <c r="D262" s="2"/>
      <c r="E262" s="14">
        <f>IFERROR(E240+E241+E242+E243+E244+E245+E246+E247+E248+E249+E250+E251+E252+E253+E254+E255+E256+E257+E258+E259+E260+E261, "NA")</f>
        <v>20564.080000000002</v>
      </c>
      <c r="F262" s="15">
        <f>IFERROR(E262/E444, "NA")</f>
        <v>9.1269995025973286E-2</v>
      </c>
      <c r="G262" s="2"/>
      <c r="H262" s="14">
        <f t="shared" si="64"/>
        <v>2977.5200000000041</v>
      </c>
      <c r="I262" s="15">
        <f>IFERROR(H262/H444, "NA")</f>
        <v>-0.93465465880233223</v>
      </c>
      <c r="J262" s="2"/>
      <c r="K262" s="14">
        <f>IFERROR(K240+K241+K242+K243+K244+K245+K246+K247+K248+K249+K250+K251+K252+K253+K254+K255+K256+K257+K258+K259+K260+K261, "NA")</f>
        <v>18227.120000000003</v>
      </c>
      <c r="L262" s="15">
        <f>IFERROR(K262/K444, "NA")</f>
        <v>9.060562955162664E-2</v>
      </c>
      <c r="M262" s="2"/>
      <c r="N262" s="14">
        <f t="shared" si="65"/>
        <v>640.56000000000495</v>
      </c>
      <c r="O262" s="15">
        <f>IFERROR(N262/N444, "NA")</f>
        <v>3.05685358255454E-2</v>
      </c>
      <c r="P262" s="2"/>
      <c r="Q262" s="14">
        <f>IFERROR(Q240+Q241+Q242+Q243+Q244+Q245+Q246+Q247+Q248+Q249+Q250+Q251+Q252+Q253+Q254+Q255+Q256+Q257+Q258+Q259+Q260+Q261, "NA")</f>
        <v>178840.32000000001</v>
      </c>
      <c r="R262" s="15">
        <f>IFERROR(Q262/Q444, "NA")</f>
        <v>8.744969023530702E-2</v>
      </c>
      <c r="S262" s="2"/>
      <c r="T262" s="14">
        <f>IFERROR(T240+T241+T242+T243+T244+T245+T246+T247+T248+T249+T250+T251+T252+T253+T254+T255+T256+T257+T258+T259+T260+T261, "NA")</f>
        <v>187616.37</v>
      </c>
      <c r="U262" s="15">
        <f>IFERROR(T262/T444, "NA")</f>
        <v>9.1686583138420236E-2</v>
      </c>
      <c r="V262" s="2"/>
      <c r="W262" s="14">
        <f t="shared" si="66"/>
        <v>8776.0499999999884</v>
      </c>
      <c r="X262" s="15">
        <f>IFERROR(W262/W444, "NA")</f>
        <v>-7.2277264416664115</v>
      </c>
      <c r="Y262" s="2"/>
      <c r="Z262" s="14">
        <f>IFERROR(Z240+Z241+Z242+Z243+Z244+Z245+Z246+Z247+Z248+Z249+Z250+Z251+Z252+Z253+Z254+Z255+Z256+Z257+Z258+Z259+Z260+Z261, "NA")</f>
        <v>174940.82</v>
      </c>
      <c r="AA262" s="15">
        <f>IFERROR(Z262/Z444, "NA")</f>
        <v>9.3987459056495415E-2</v>
      </c>
      <c r="AB262" s="2"/>
      <c r="AC262" s="14">
        <f t="shared" si="67"/>
        <v>-3899.5</v>
      </c>
      <c r="AD262" s="15">
        <f>IFERROR(AC262/AC444, "NA")</f>
        <v>-2.1222422415841481E-2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17586.559999999998</v>
      </c>
      <c r="C263" s="15">
        <f>IFERROR(B263/B444, "NA")</f>
        <v>7.9174258497658426E-2</v>
      </c>
      <c r="D263" s="2"/>
      <c r="E263" s="14">
        <f>IFERROR(E238+E240+E241+E242+E243+E244+E245+E246+E247+E248+E249+E250+E251+E252+E253+E254+E255+E256+E257+E258+E259+E260+E261, "NA")</f>
        <v>20564.080000000002</v>
      </c>
      <c r="F263" s="15">
        <f>IFERROR(E263/E444, "NA")</f>
        <v>9.1269995025973286E-2</v>
      </c>
      <c r="G263" s="2"/>
      <c r="H263" s="14">
        <f t="shared" si="64"/>
        <v>2977.5200000000041</v>
      </c>
      <c r="I263" s="15">
        <f>IFERROR(H263/H444, "NA")</f>
        <v>-0.93465465880233223</v>
      </c>
      <c r="J263" s="2"/>
      <c r="K263" s="14">
        <f>IFERROR(K238+K240+K241+K242+K243+K244+K245+K246+K247+K248+K249+K250+K251+K252+K253+K254+K255+K256+K257+K258+K259+K260+K261, "NA")</f>
        <v>18227.120000000003</v>
      </c>
      <c r="L263" s="15">
        <f>IFERROR(K263/K444, "NA")</f>
        <v>9.060562955162664E-2</v>
      </c>
      <c r="M263" s="2"/>
      <c r="N263" s="14">
        <f t="shared" si="65"/>
        <v>640.56000000000495</v>
      </c>
      <c r="O263" s="15">
        <f>IFERROR(N263/N444, "NA")</f>
        <v>3.05685358255454E-2</v>
      </c>
      <c r="P263" s="2"/>
      <c r="Q263" s="14">
        <f>IFERROR(Q238+Q240+Q241+Q242+Q243+Q244+Q245+Q246+Q247+Q248+Q249+Q250+Q251+Q252+Q253+Q254+Q255+Q256+Q257+Q258+Q259+Q260+Q261, "NA")</f>
        <v>178840.32000000001</v>
      </c>
      <c r="R263" s="15">
        <f>IFERROR(Q263/Q444, "NA")</f>
        <v>8.744969023530702E-2</v>
      </c>
      <c r="S263" s="2"/>
      <c r="T263" s="14">
        <f>IFERROR(T238+T240+T241+T242+T243+T244+T245+T246+T247+T248+T249+T250+T251+T252+T253+T254+T255+T256+T257+T258+T259+T260+T261, "NA")</f>
        <v>187616.37</v>
      </c>
      <c r="U263" s="15">
        <f>IFERROR(T263/T444, "NA")</f>
        <v>9.1686583138420236E-2</v>
      </c>
      <c r="V263" s="2"/>
      <c r="W263" s="14">
        <f t="shared" si="66"/>
        <v>8776.0499999999884</v>
      </c>
      <c r="X263" s="15">
        <f>IFERROR(W263/W444, "NA")</f>
        <v>-7.2277264416664115</v>
      </c>
      <c r="Y263" s="2"/>
      <c r="Z263" s="14">
        <f>IFERROR(Z238+Z240+Z241+Z242+Z243+Z244+Z245+Z246+Z247+Z248+Z249+Z250+Z251+Z252+Z253+Z254+Z255+Z256+Z257+Z258+Z259+Z260+Z261, "NA")</f>
        <v>174940.82</v>
      </c>
      <c r="AA263" s="15">
        <f>IFERROR(Z263/Z444, "NA")</f>
        <v>9.3987459056495415E-2</v>
      </c>
      <c r="AB263" s="2"/>
      <c r="AC263" s="14">
        <f t="shared" si="67"/>
        <v>-3899.5</v>
      </c>
      <c r="AD263" s="15">
        <f>IFERROR(AC263/AC444, "NA")</f>
        <v>-2.1222422415841481E-2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4329.08</v>
      </c>
      <c r="C265" s="8">
        <f>IFERROR(B265/B444, "NA")</f>
        <v>1.9489411174046723E-2</v>
      </c>
      <c r="D265" s="9"/>
      <c r="E265" s="7">
        <v>5632.76</v>
      </c>
      <c r="F265" s="8">
        <f>IFERROR(E265/E444, "NA")</f>
        <v>2.4999998890419668E-2</v>
      </c>
      <c r="G265" s="9"/>
      <c r="H265" s="10">
        <f>IFERROR(-(B265-E265), "NA")</f>
        <v>1303.6800000000003</v>
      </c>
      <c r="I265" s="8">
        <f>IFERROR(H265/H444, "NA")</f>
        <v>-0.40923002552037374</v>
      </c>
      <c r="J265" s="9"/>
      <c r="K265" s="7">
        <v>4875.8100000000004</v>
      </c>
      <c r="L265" s="8">
        <f>IFERROR(K265/K444, "NA")</f>
        <v>2.4237281294253656E-2</v>
      </c>
      <c r="M265" s="9"/>
      <c r="N265" s="10">
        <f>IFERROR(-(B265-K265), "NA")</f>
        <v>546.73000000000047</v>
      </c>
      <c r="O265" s="8">
        <f>IFERROR(N265/N444, "NA")</f>
        <v>2.6090819894936185E-2</v>
      </c>
      <c r="P265" s="9"/>
      <c r="Q265" s="7">
        <v>49603</v>
      </c>
      <c r="R265" s="8">
        <f>IFERROR(Q265/Q444, "NA")</f>
        <v>2.4254972171498766E-2</v>
      </c>
      <c r="S265" s="9"/>
      <c r="T265" s="7">
        <v>51405.3</v>
      </c>
      <c r="U265" s="8">
        <f>IFERROR(T265/T444, "NA")</f>
        <v>2.5121349017707965E-2</v>
      </c>
      <c r="V265" s="9"/>
      <c r="W265" s="10">
        <f>IFERROR(-(Q265-T265), "NA")</f>
        <v>1802.3000000000029</v>
      </c>
      <c r="X265" s="8">
        <f>IFERROR(W265/W444, "NA")</f>
        <v>-1.4843273871292224</v>
      </c>
      <c r="Y265" s="9"/>
      <c r="Z265" s="7">
        <v>45336.36</v>
      </c>
      <c r="AA265" s="8">
        <f>IFERROR(Z265/Z444, "NA")</f>
        <v>2.4357089896289135E-2</v>
      </c>
      <c r="AB265" s="9"/>
      <c r="AC265" s="10">
        <f>IFERROR(-(Q265-Z265), "NA")</f>
        <v>-4266.6399999999994</v>
      </c>
      <c r="AD265" s="8">
        <f>IFERROR(AC265/AC444, "NA")</f>
        <v>-2.3220524779157811E-2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5.2661527119386317E-5</v>
      </c>
      <c r="AB266" s="9"/>
      <c r="AC266" s="10">
        <f>IFERROR(-(Q266-Z266), "NA")</f>
        <v>98.02</v>
      </c>
      <c r="AD266" s="8">
        <f>IFERROR(AC266/AC444, "NA")</f>
        <v>5.3345860884748859E-4</v>
      </c>
    </row>
    <row r="267" spans="1:30" ht="16.5" customHeight="1" x14ac:dyDescent="0.45">
      <c r="A267" s="19" t="s">
        <v>243</v>
      </c>
      <c r="B267" s="14">
        <f>IFERROR(B265+B266, "NA")</f>
        <v>4329.08</v>
      </c>
      <c r="C267" s="15">
        <f>IFERROR(B267/B444, "NA")</f>
        <v>1.9489411174046723E-2</v>
      </c>
      <c r="D267" s="2"/>
      <c r="E267" s="14">
        <f>IFERROR(E265+E266, "NA")</f>
        <v>5632.76</v>
      </c>
      <c r="F267" s="15">
        <f>IFERROR(E267/E444, "NA")</f>
        <v>2.4999998890419668E-2</v>
      </c>
      <c r="G267" s="2"/>
      <c r="H267" s="14">
        <f>IFERROR(-(B267-E267), "NA")</f>
        <v>1303.6800000000003</v>
      </c>
      <c r="I267" s="15">
        <f>IFERROR(H267/H444, "NA")</f>
        <v>-0.40923002552037374</v>
      </c>
      <c r="J267" s="2"/>
      <c r="K267" s="14">
        <f>IFERROR(K265+K266, "NA")</f>
        <v>4875.8100000000004</v>
      </c>
      <c r="L267" s="15">
        <f>IFERROR(K267/K444, "NA")</f>
        <v>2.4237281294253656E-2</v>
      </c>
      <c r="M267" s="2"/>
      <c r="N267" s="14">
        <f>IFERROR(-(B267-K267), "NA")</f>
        <v>546.73000000000047</v>
      </c>
      <c r="O267" s="15">
        <f>IFERROR(N267/N444, "NA")</f>
        <v>2.6090819894936185E-2</v>
      </c>
      <c r="P267" s="2"/>
      <c r="Q267" s="14">
        <f>IFERROR(Q265+Q266, "NA")</f>
        <v>49603</v>
      </c>
      <c r="R267" s="15">
        <f>IFERROR(Q267/Q444, "NA")</f>
        <v>2.4254972171498766E-2</v>
      </c>
      <c r="S267" s="2"/>
      <c r="T267" s="14">
        <f>IFERROR(T265+T266, "NA")</f>
        <v>51405.3</v>
      </c>
      <c r="U267" s="15">
        <f>IFERROR(T267/T444, "NA")</f>
        <v>2.5121349017707965E-2</v>
      </c>
      <c r="V267" s="2"/>
      <c r="W267" s="14">
        <f>IFERROR(-(Q267-T267), "NA")</f>
        <v>1802.3000000000029</v>
      </c>
      <c r="X267" s="15">
        <f>IFERROR(W267/W444, "NA")</f>
        <v>-1.4843273871292224</v>
      </c>
      <c r="Y267" s="2"/>
      <c r="Z267" s="14">
        <f>IFERROR(Z265+Z266, "NA")</f>
        <v>45434.38</v>
      </c>
      <c r="AA267" s="15">
        <f>IFERROR(Z267/Z444, "NA")</f>
        <v>2.440975142340852E-2</v>
      </c>
      <c r="AB267" s="2"/>
      <c r="AC267" s="14">
        <f>IFERROR(-(Q267-Z267), "NA")</f>
        <v>-4168.6200000000026</v>
      </c>
      <c r="AD267" s="15">
        <f>IFERROR(AC267/AC444, "NA")</f>
        <v>-2.2687066170310338E-2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1.0872270317324429E-3</v>
      </c>
      <c r="D270" s="9"/>
      <c r="E270" s="7">
        <v>278.27999999999997</v>
      </c>
      <c r="F270" s="8">
        <f>IFERROR(E270/E444, "NA")</f>
        <v>1.235096061473591E-3</v>
      </c>
      <c r="G270" s="9"/>
      <c r="H270" s="10">
        <f>IFERROR(-(B270-E270), "NA")</f>
        <v>36.779999999999973</v>
      </c>
      <c r="I270" s="8">
        <f>IFERROR(H270/H444, "NA")</f>
        <v>-1.1545379493924377E-2</v>
      </c>
      <c r="J270" s="9"/>
      <c r="K270" s="7">
        <v>211.5</v>
      </c>
      <c r="L270" s="8">
        <f>IFERROR(K270/K444, "NA")</f>
        <v>1.0513504410004999E-3</v>
      </c>
      <c r="M270" s="9"/>
      <c r="N270" s="10">
        <f>IFERROR(-(B270-K270), "NA")</f>
        <v>-30</v>
      </c>
      <c r="O270" s="8">
        <f>IFERROR(N270/N444, "NA")</f>
        <v>-1.4316474253252699E-3</v>
      </c>
      <c r="P270" s="9"/>
      <c r="Q270" s="7">
        <v>2597.5</v>
      </c>
      <c r="R270" s="8">
        <f>IFERROR(Q270/Q444, "NA")</f>
        <v>1.2701306416036942E-3</v>
      </c>
      <c r="S270" s="9"/>
      <c r="T270" s="7">
        <v>2993.76</v>
      </c>
      <c r="U270" s="8">
        <f>IFERROR(T270/T444, "NA")</f>
        <v>1.4630259882785122E-3</v>
      </c>
      <c r="V270" s="9"/>
      <c r="W270" s="10">
        <f>IFERROR(-(Q270-T270), "NA")</f>
        <v>396.26000000000022</v>
      </c>
      <c r="X270" s="8">
        <f>IFERROR(W270/W444, "NA")</f>
        <v>-0.32634942596894245</v>
      </c>
      <c r="Y270" s="9"/>
      <c r="Z270" s="7">
        <v>2085.61</v>
      </c>
      <c r="AA270" s="8">
        <f>IFERROR(Z270/Z444, "NA")</f>
        <v>1.1204999752648776E-3</v>
      </c>
      <c r="AB270" s="9"/>
      <c r="AC270" s="10">
        <f>IFERROR(-(Q270-Z270), "NA")</f>
        <v>-511.88999999999987</v>
      </c>
      <c r="AD270" s="8">
        <f>IFERROR(AC270/AC444, "NA")</f>
        <v>-2.7858817311052935E-3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4.8094601987568059E-3</v>
      </c>
      <c r="D271" s="9"/>
      <c r="E271" s="7">
        <v>901.24</v>
      </c>
      <c r="F271" s="8">
        <f>IFERROR(E271/E444, "NA")</f>
        <v>3.9999927211530088E-3</v>
      </c>
      <c r="G271" s="9"/>
      <c r="H271" s="10">
        <f>IFERROR(-(B271-E271), "NA")</f>
        <v>-167.05999999999995</v>
      </c>
      <c r="I271" s="8">
        <f>IFERROR(H271/H444, "NA")</f>
        <v>5.2440758516993126E-2</v>
      </c>
      <c r="J271" s="9"/>
      <c r="K271" s="7">
        <v>803.21</v>
      </c>
      <c r="L271" s="8">
        <f>IFERROR(K271/K444, "NA")</f>
        <v>3.9926959230071465E-3</v>
      </c>
      <c r="M271" s="9"/>
      <c r="N271" s="10">
        <f>IFERROR(-(B271-K271), "NA")</f>
        <v>-265.08999999999992</v>
      </c>
      <c r="O271" s="8">
        <f>IFERROR(N271/N444, "NA")</f>
        <v>-1.2650513865982524E-2</v>
      </c>
      <c r="P271" s="9"/>
      <c r="Q271" s="7">
        <v>10414.200000000001</v>
      </c>
      <c r="R271" s="8">
        <f>IFERROR(Q271/Q444, "NA")</f>
        <v>5.0923559298514699E-3</v>
      </c>
      <c r="S271" s="9"/>
      <c r="T271" s="7">
        <v>8185.11</v>
      </c>
      <c r="U271" s="8">
        <f>IFERROR(T271/T444, "NA")</f>
        <v>3.9999962077515673E-3</v>
      </c>
      <c r="V271" s="9"/>
      <c r="W271" s="10">
        <f>IFERROR(-(Q271-T271), "NA")</f>
        <v>-2229.0900000000011</v>
      </c>
      <c r="X271" s="8">
        <f>IFERROR(W271/W444, "NA")</f>
        <v>1.8358205267579617</v>
      </c>
      <c r="Y271" s="9"/>
      <c r="Z271" s="7">
        <v>7700.88</v>
      </c>
      <c r="AA271" s="8">
        <f>IFERROR(Z271/Z444, "NA")</f>
        <v>4.1373199445331535E-3</v>
      </c>
      <c r="AB271" s="9"/>
      <c r="AC271" s="10">
        <f>IFERROR(-(Q271-Z271), "NA")</f>
        <v>-2713.3200000000006</v>
      </c>
      <c r="AD271" s="8">
        <f>IFERROR(AC271/AC444, "NA")</f>
        <v>-1.4766822205244523E-2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5.8966872304892495E-3</v>
      </c>
      <c r="D273" s="2"/>
      <c r="E273" s="14">
        <f>IFERROR(E269+E270+E271+E272, "NA")</f>
        <v>1179.52</v>
      </c>
      <c r="F273" s="15">
        <f>IFERROR(E273/E444, "NA")</f>
        <v>5.2350887826265995E-3</v>
      </c>
      <c r="G273" s="2"/>
      <c r="H273" s="14">
        <f>IFERROR(-(B273-E273), "NA")</f>
        <v>-130.27999999999997</v>
      </c>
      <c r="I273" s="15">
        <f>IFERROR(H273/H444, "NA")</f>
        <v>4.0895379023068744E-2</v>
      </c>
      <c r="J273" s="2"/>
      <c r="K273" s="14">
        <f>IFERROR(K269+K270+K271+K272, "NA")</f>
        <v>1014.71</v>
      </c>
      <c r="L273" s="15">
        <f>IFERROR(K273/K444, "NA")</f>
        <v>5.0440463640076469E-3</v>
      </c>
      <c r="M273" s="2"/>
      <c r="N273" s="14">
        <f>IFERROR(-(B273-K273), "NA")</f>
        <v>-295.08999999999992</v>
      </c>
      <c r="O273" s="15">
        <f>IFERROR(N273/N444, "NA")</f>
        <v>-1.4082161291307793E-2</v>
      </c>
      <c r="P273" s="2"/>
      <c r="Q273" s="14">
        <f>IFERROR(Q269+Q270+Q271+Q272, "NA")</f>
        <v>13011.7</v>
      </c>
      <c r="R273" s="15">
        <f>IFERROR(Q273/Q444, "NA")</f>
        <v>6.3624865714551641E-3</v>
      </c>
      <c r="S273" s="2"/>
      <c r="T273" s="14">
        <f>IFERROR(T269+T270+T271+T272, "NA")</f>
        <v>11178.869999999999</v>
      </c>
      <c r="U273" s="15">
        <f>IFERROR(T273/T444, "NA")</f>
        <v>5.4630221960300781E-3</v>
      </c>
      <c r="V273" s="2"/>
      <c r="W273" s="14">
        <f>IFERROR(-(Q273-T273), "NA")</f>
        <v>-1832.8300000000017</v>
      </c>
      <c r="X273" s="15">
        <f>IFERROR(W273/W444, "NA")</f>
        <v>1.50947110078902</v>
      </c>
      <c r="Y273" s="2"/>
      <c r="Z273" s="14">
        <f>IFERROR(Z269+Z270+Z271+Z272, "NA")</f>
        <v>9786.49</v>
      </c>
      <c r="AA273" s="15">
        <f>IFERROR(Z273/Z444, "NA")</f>
        <v>5.2578199197980307E-3</v>
      </c>
      <c r="AB273" s="2"/>
      <c r="AC273" s="14">
        <f>IFERROR(-(Q273-Z273), "NA")</f>
        <v>-3225.2100000000009</v>
      </c>
      <c r="AD273" s="15">
        <f>IFERROR(AC273/AC444, "NA")</f>
        <v>-1.755270393634982E-2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1.6199872877600285E-3</v>
      </c>
      <c r="G287" s="9"/>
      <c r="H287" s="10">
        <f t="shared" si="72"/>
        <v>365</v>
      </c>
      <c r="I287" s="8">
        <f>IFERROR(H287/H444, "NA")</f>
        <v>-0.11457486447206092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4015</v>
      </c>
      <c r="U287" s="8">
        <f>IFERROR(T287/T444, "NA")</f>
        <v>1.962097610676282E-3</v>
      </c>
      <c r="V287" s="9"/>
      <c r="W287" s="10">
        <f t="shared" si="74"/>
        <v>4015</v>
      </c>
      <c r="X287" s="8">
        <f>IFERROR(W287/W444, "NA")</f>
        <v>-3.3066495363279245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6.6111507084848549E-4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4.6096763966362038E-2</v>
      </c>
      <c r="J288" s="9"/>
      <c r="K288" s="7">
        <v>146.85</v>
      </c>
      <c r="L288" s="8">
        <f>IFERROR(K288/K444, "NA")</f>
        <v>7.2998019981524072E-4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1602.15</v>
      </c>
      <c r="R288" s="8">
        <f>IFERROR(Q288/Q444, "NA")</f>
        <v>7.8342244752468092E-4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-1602.15</v>
      </c>
      <c r="X288" s="8">
        <f>IFERROR(W288/W444, "NA")</f>
        <v>1.3194890547018143</v>
      </c>
      <c r="Y288" s="9"/>
      <c r="Z288" s="7">
        <v>1602.15</v>
      </c>
      <c r="AA288" s="8">
        <f>IFERROR(Z288/Z444, "NA")</f>
        <v>8.6075969877907356E-4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247.3</v>
      </c>
      <c r="C289" s="8">
        <f>IFERROR(B289/B444, "NA")</f>
        <v>1.1133384883951682E-3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-247.3</v>
      </c>
      <c r="I289" s="8">
        <f>IFERROR(H289/H444, "NA")</f>
        <v>7.7628394476549761E-2</v>
      </c>
      <c r="J289" s="9"/>
      <c r="K289" s="7">
        <v>220.99</v>
      </c>
      <c r="L289" s="8">
        <f>IFERROR(K289/K444, "NA")</f>
        <v>1.098524510433572E-3</v>
      </c>
      <c r="M289" s="9"/>
      <c r="N289" s="10">
        <f t="shared" si="73"/>
        <v>-26.310000000000002</v>
      </c>
      <c r="O289" s="8">
        <f>IFERROR(N289/N444, "NA")</f>
        <v>-1.2555547920102619E-3</v>
      </c>
      <c r="P289" s="9"/>
      <c r="Q289" s="7">
        <v>2517.62</v>
      </c>
      <c r="R289" s="8">
        <f>IFERROR(Q289/Q444, "NA")</f>
        <v>1.2310707626234042E-3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-2517.62</v>
      </c>
      <c r="X289" s="8">
        <f>IFERROR(W289/W444, "NA")</f>
        <v>2.0734463276836634</v>
      </c>
      <c r="Y289" s="9"/>
      <c r="Z289" s="7">
        <v>2471.27</v>
      </c>
      <c r="AA289" s="8">
        <f>IFERROR(Z289/Z444, "NA")</f>
        <v>1.3276969202644952E-3</v>
      </c>
      <c r="AB289" s="9"/>
      <c r="AC289" s="10">
        <f t="shared" si="75"/>
        <v>-46.349999999999909</v>
      </c>
      <c r="AD289" s="8">
        <f>IFERROR(AC289/AC444, "NA")</f>
        <v>-2.5225266802776013E-4</v>
      </c>
    </row>
    <row r="290" spans="1:30" ht="16.5" customHeight="1" x14ac:dyDescent="0.45">
      <c r="A290" s="6" t="s">
        <v>263</v>
      </c>
      <c r="B290" s="7">
        <v>1429.64</v>
      </c>
      <c r="C290" s="8">
        <f>IFERROR(B290/B444, "NA")</f>
        <v>6.4362039488445955E-3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-1429.64</v>
      </c>
      <c r="I290" s="8">
        <f>IFERROR(H290/H444, "NA")</f>
        <v>0.44876934039407446</v>
      </c>
      <c r="J290" s="9"/>
      <c r="K290" s="7">
        <v>2216</v>
      </c>
      <c r="L290" s="8">
        <f>IFERROR(K290/K444, "NA")</f>
        <v>1.1015567741168358E-2</v>
      </c>
      <c r="M290" s="9"/>
      <c r="N290" s="10">
        <f t="shared" si="73"/>
        <v>786.3599999999999</v>
      </c>
      <c r="O290" s="8">
        <f>IFERROR(N290/N444, "NA")</f>
        <v>3.7526342312625971E-2</v>
      </c>
      <c r="P290" s="9"/>
      <c r="Q290" s="7">
        <v>12394.36</v>
      </c>
      <c r="R290" s="8">
        <f>IFERROR(Q290/Q444, "NA")</f>
        <v>6.0606184481490528E-3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-12394.36</v>
      </c>
      <c r="X290" s="8">
        <f>IFERROR(W290/W444, "NA")</f>
        <v>10.207672415213294</v>
      </c>
      <c r="Y290" s="9"/>
      <c r="Z290" s="7">
        <v>3088.63</v>
      </c>
      <c r="AA290" s="8">
        <f>IFERROR(Z290/Z444, "NA")</f>
        <v>1.6593753571388509E-3</v>
      </c>
      <c r="AB290" s="9"/>
      <c r="AC290" s="10">
        <f t="shared" si="75"/>
        <v>-9305.73</v>
      </c>
      <c r="AD290" s="8">
        <f>IFERROR(AC290/AC444, "NA")</f>
        <v>-5.0644988574886148E-2</v>
      </c>
    </row>
    <row r="291" spans="1:30" ht="16.5" customHeight="1" x14ac:dyDescent="0.45">
      <c r="A291" s="6" t="s">
        <v>264</v>
      </c>
      <c r="B291" s="7">
        <v>768.89</v>
      </c>
      <c r="C291" s="8">
        <f>IFERROR(B291/B444, "NA")</f>
        <v>3.4615237781729109E-3</v>
      </c>
      <c r="D291" s="9"/>
      <c r="E291" s="7">
        <v>2929.04</v>
      </c>
      <c r="F291" s="8">
        <f>IFERROR(E291/E444, "NA")</f>
        <v>1.300002072696064E-2</v>
      </c>
      <c r="G291" s="9"/>
      <c r="H291" s="10">
        <f t="shared" si="72"/>
        <v>2160.15</v>
      </c>
      <c r="I291" s="8">
        <f>IFERROR(H291/H444, "NA")</f>
        <v>-0.67807916024471893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-768.89</v>
      </c>
      <c r="O291" s="8">
        <f>IFERROR(N291/N444, "NA")</f>
        <v>-3.6692646295278228E-2</v>
      </c>
      <c r="P291" s="9"/>
      <c r="Q291" s="7">
        <v>12544.24</v>
      </c>
      <c r="R291" s="8">
        <f>IFERROR(Q291/Q444, "NA")</f>
        <v>6.1339070643429165E-3</v>
      </c>
      <c r="S291" s="9"/>
      <c r="T291" s="7">
        <v>26601.63</v>
      </c>
      <c r="U291" s="8">
        <f>IFERROR(T291/T444, "NA")</f>
        <v>1.2999998670758283E-2</v>
      </c>
      <c r="V291" s="9"/>
      <c r="W291" s="10">
        <f t="shared" si="74"/>
        <v>14057.390000000001</v>
      </c>
      <c r="X291" s="8">
        <f>IFERROR(W291/W444, "NA")</f>
        <v>-11.577300653918009</v>
      </c>
      <c r="Y291" s="9"/>
      <c r="Z291" s="7">
        <v>8455.51</v>
      </c>
      <c r="AA291" s="8">
        <f>IFERROR(Z291/Z444, "NA")</f>
        <v>4.5427470839955334E-3</v>
      </c>
      <c r="AB291" s="9"/>
      <c r="AC291" s="10">
        <f t="shared" si="75"/>
        <v>-4088.7299999999996</v>
      </c>
      <c r="AD291" s="8">
        <f>IFERROR(AC291/AC444, "NA")</f>
        <v>-2.2252277267424934E-2</v>
      </c>
    </row>
    <row r="292" spans="1:30" ht="16.5" customHeight="1" x14ac:dyDescent="0.45">
      <c r="A292" s="6" t="s">
        <v>265</v>
      </c>
      <c r="B292" s="7">
        <v>241.36</v>
      </c>
      <c r="C292" s="8">
        <f>IFERROR(B292/B444, "NA")</f>
        <v>1.0865967551923082E-3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-241.36</v>
      </c>
      <c r="I292" s="8">
        <f>IFERROR(H292/H444, "NA")</f>
        <v>7.5763806271168826E-2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-241.36</v>
      </c>
      <c r="O292" s="8">
        <f>IFERROR(N292/N444, "NA")</f>
        <v>-1.1518080752550239E-2</v>
      </c>
      <c r="P292" s="9"/>
      <c r="Q292" s="7">
        <v>922.99</v>
      </c>
      <c r="R292" s="8">
        <f>IFERROR(Q292/Q444, "NA")</f>
        <v>4.5132545943938159E-4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-922.99</v>
      </c>
      <c r="X292" s="8">
        <f>IFERROR(W292/W444, "NA")</f>
        <v>0.76015054932386328</v>
      </c>
      <c r="Y292" s="9"/>
      <c r="Z292" s="7">
        <v>1839.18</v>
      </c>
      <c r="AA292" s="8">
        <f>IFERROR(Z292/Z444, "NA")</f>
        <v>9.8810474849452077E-4</v>
      </c>
      <c r="AB292" s="9"/>
      <c r="AC292" s="10">
        <f t="shared" si="75"/>
        <v>916.19</v>
      </c>
      <c r="AD292" s="8">
        <f>IFERROR(AC292/AC444, "NA")</f>
        <v>4.9862216164046173E-3</v>
      </c>
    </row>
    <row r="293" spans="1:30" ht="16.5" customHeight="1" x14ac:dyDescent="0.45">
      <c r="A293" s="6" t="s">
        <v>266</v>
      </c>
      <c r="B293" s="7">
        <v>750</v>
      </c>
      <c r="C293" s="8">
        <f>IFERROR(B293/B444, "NA")</f>
        <v>3.3764814650075869E-3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-750</v>
      </c>
      <c r="I293" s="8">
        <f>IFERROR(H293/H444, "NA")</f>
        <v>0.2354278037097142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-750</v>
      </c>
      <c r="O293" s="8">
        <f>IFERROR(N293/N444, "NA")</f>
        <v>-3.5791185633131752E-2</v>
      </c>
      <c r="P293" s="9"/>
      <c r="Q293" s="7">
        <v>3400.38</v>
      </c>
      <c r="R293" s="8">
        <f>IFERROR(Q293/Q444, "NA")</f>
        <v>1.6627244778041846E-3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-3400.38</v>
      </c>
      <c r="X293" s="8">
        <f>IFERROR(W293/W444, "NA")</f>
        <v>2.8004644957257154</v>
      </c>
      <c r="Y293" s="9"/>
      <c r="Z293" s="7">
        <v>7973.84</v>
      </c>
      <c r="AA293" s="8">
        <f>IFERROR(Z293/Z444, "NA")</f>
        <v>4.2839684901616751E-3</v>
      </c>
      <c r="AB293" s="9"/>
      <c r="AC293" s="10">
        <f t="shared" si="75"/>
        <v>4573.46</v>
      </c>
      <c r="AD293" s="8">
        <f>IFERROR(AC293/AC444, "NA")</f>
        <v>2.4890344921644922E-2</v>
      </c>
    </row>
    <row r="294" spans="1:30" ht="16.5" customHeight="1" x14ac:dyDescent="0.45">
      <c r="A294" s="6" t="s">
        <v>267</v>
      </c>
      <c r="B294" s="7">
        <v>174.99</v>
      </c>
      <c r="C294" s="8">
        <f>IFERROR(B294/B444, "NA")</f>
        <v>7.8780065541557019E-4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-174.99</v>
      </c>
      <c r="I294" s="8">
        <f>IFERROR(H294/H444, "NA")</f>
        <v>5.4930015161550522E-2</v>
      </c>
      <c r="J294" s="9"/>
      <c r="K294" s="7">
        <v>325</v>
      </c>
      <c r="L294" s="8">
        <f>IFERROR(K294/K444, "NA")</f>
        <v>1.6155503230504136E-3</v>
      </c>
      <c r="M294" s="9"/>
      <c r="N294" s="10">
        <f t="shared" si="73"/>
        <v>150.01</v>
      </c>
      <c r="O294" s="8">
        <f>IFERROR(N294/N444, "NA")</f>
        <v>7.1587143424347915E-3</v>
      </c>
      <c r="P294" s="9"/>
      <c r="Q294" s="7">
        <v>3552.94</v>
      </c>
      <c r="R294" s="8">
        <f>IFERROR(Q294/Q444, "NA")</f>
        <v>1.7373235656513684E-3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-3552.94</v>
      </c>
      <c r="X294" s="8">
        <f>IFERROR(W294/W444, "NA")</f>
        <v>2.9261089423663602</v>
      </c>
      <c r="Y294" s="9"/>
      <c r="Z294" s="7">
        <v>716.97</v>
      </c>
      <c r="AA294" s="8">
        <f>IFERROR(Z294/Z444, "NA")</f>
        <v>3.8519419607005109E-4</v>
      </c>
      <c r="AB294" s="9"/>
      <c r="AC294" s="10">
        <f t="shared" si="75"/>
        <v>-2835.9700000000003</v>
      </c>
      <c r="AD294" s="8">
        <f>IFERROR(AC294/AC444, "NA")</f>
        <v>-1.5434325759367602E-2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3759.0299999999997</v>
      </c>
      <c r="C295" s="15">
        <f>IFERROR(B295/B444, "NA")</f>
        <v>1.6923060161876623E-2</v>
      </c>
      <c r="D295" s="2"/>
      <c r="E295" s="14">
        <f>IFERROR(E286+E287+E288+E289+E290+E291+E292+E293+E294, "NA")</f>
        <v>3294.04</v>
      </c>
      <c r="F295" s="15">
        <f>IFERROR(E295/E444, "NA")</f>
        <v>1.4620008014720669E-2</v>
      </c>
      <c r="G295" s="2"/>
      <c r="H295" s="14">
        <f t="shared" si="72"/>
        <v>-464.98999999999978</v>
      </c>
      <c r="I295" s="15">
        <f>IFERROR(H295/H444, "NA")</f>
        <v>0.14596209926263995</v>
      </c>
      <c r="J295" s="2"/>
      <c r="K295" s="14">
        <f>IFERROR(K286+K287+K288+K289+K290+K291+K292+K293+K294, "NA")</f>
        <v>2908.84</v>
      </c>
      <c r="L295" s="15">
        <f>IFERROR(K295/K444, "NA")</f>
        <v>1.4459622774467586E-2</v>
      </c>
      <c r="M295" s="2"/>
      <c r="N295" s="14">
        <f t="shared" si="73"/>
        <v>-850.1899999999996</v>
      </c>
      <c r="O295" s="15">
        <f>IFERROR(N295/N444, "NA")</f>
        <v>-4.0572410817909688E-2</v>
      </c>
      <c r="P295" s="2"/>
      <c r="Q295" s="14">
        <f>IFERROR(Q286+Q287+Q288+Q289+Q290+Q291+Q292+Q293+Q294, "NA")</f>
        <v>36934.680000000008</v>
      </c>
      <c r="R295" s="15">
        <f>IFERROR(Q295/Q444, "NA")</f>
        <v>1.8060392225534991E-2</v>
      </c>
      <c r="S295" s="2"/>
      <c r="T295" s="14">
        <f>IFERROR(T286+T287+T288+T289+T290+T291+T292+T293+T294, "NA")</f>
        <v>30616.63</v>
      </c>
      <c r="U295" s="15">
        <f>IFERROR(T295/T444, "NA")</f>
        <v>1.4962096281434564E-2</v>
      </c>
      <c r="V295" s="2"/>
      <c r="W295" s="14">
        <f t="shared" si="74"/>
        <v>-6318.0500000000065</v>
      </c>
      <c r="X295" s="15">
        <f>IFERROR(W295/W444, "NA")</f>
        <v>5.2033815947687829</v>
      </c>
      <c r="Y295" s="2"/>
      <c r="Z295" s="14">
        <f>IFERROR(Z286+Z287+Z288+Z289+Z290+Z291+Z292+Z293+Z294, "NA")</f>
        <v>26147.550000000003</v>
      </c>
      <c r="AA295" s="15">
        <f>IFERROR(Z295/Z444, "NA")</f>
        <v>1.4047846494904202E-2</v>
      </c>
      <c r="AB295" s="2"/>
      <c r="AC295" s="14">
        <f t="shared" si="75"/>
        <v>-10787.130000000005</v>
      </c>
      <c r="AD295" s="15">
        <f>IFERROR(AC295/AC444, "NA")</f>
        <v>-5.8707277731656932E-2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2929.04</v>
      </c>
      <c r="F297" s="8">
        <f>IFERROR(E297/E444, "NA")</f>
        <v>1.300002072696064E-2</v>
      </c>
      <c r="G297" s="9"/>
      <c r="H297" s="10">
        <f t="shared" ref="H297:H325" si="76">IFERROR(-(B297-E297), "NA")</f>
        <v>2929.04</v>
      </c>
      <c r="I297" s="8">
        <f>IFERROR(H297/H444, "NA")</f>
        <v>-0.91943660557053508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26601.63</v>
      </c>
      <c r="U297" s="8">
        <f>IFERROR(T297/T444, "NA")</f>
        <v>1.2999998670758283E-2</v>
      </c>
      <c r="V297" s="9"/>
      <c r="W297" s="10">
        <f t="shared" ref="W297:W325" si="78">IFERROR(-(Q297-T297), "NA")</f>
        <v>26601.63</v>
      </c>
      <c r="X297" s="8">
        <f>IFERROR(W297/W444, "NA")</f>
        <v>-21.908410337501124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516.94000000000005</v>
      </c>
      <c r="C299" s="8">
        <f>IFERROR(B299/B444, "NA")</f>
        <v>2.3272511046946963E-3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-516.94000000000005</v>
      </c>
      <c r="I299" s="8">
        <f>IFERROR(H299/H444, "NA")</f>
        <v>0.16226939846626623</v>
      </c>
      <c r="J299" s="9"/>
      <c r="K299" s="7">
        <v>491.43</v>
      </c>
      <c r="L299" s="8">
        <f>IFERROR(K299/K444, "NA")</f>
        <v>2.4428612161743529E-3</v>
      </c>
      <c r="M299" s="9"/>
      <c r="N299" s="10">
        <f t="shared" si="77"/>
        <v>-25.510000000000048</v>
      </c>
      <c r="O299" s="8">
        <f>IFERROR(N299/N444, "NA")</f>
        <v>-1.2173775273349235E-3</v>
      </c>
      <c r="P299" s="9"/>
      <c r="Q299" s="7">
        <v>10674.19</v>
      </c>
      <c r="R299" s="8">
        <f>IFERROR(Q299/Q444, "NA")</f>
        <v>5.2194863496822855E-3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-10674.19</v>
      </c>
      <c r="X299" s="8">
        <f>IFERROR(W299/W444, "NA")</f>
        <v>8.7909851591970529</v>
      </c>
      <c r="Y299" s="9"/>
      <c r="Z299" s="7">
        <v>6055.46</v>
      </c>
      <c r="AA299" s="8">
        <f>IFERROR(Z299/Z444, "NA")</f>
        <v>3.2533133137151505E-3</v>
      </c>
      <c r="AB299" s="9"/>
      <c r="AC299" s="10">
        <f t="shared" si="79"/>
        <v>-4618.7300000000005</v>
      </c>
      <c r="AD299" s="8">
        <f>IFERROR(AC299/AC444, "NA")</f>
        <v>-2.5136719857602137E-2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94.01</v>
      </c>
      <c r="C310" s="8">
        <f>IFERROR(B310/B444, "NA")</f>
        <v>4.2323069670048433E-4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-94.01</v>
      </c>
      <c r="I310" s="8">
        <f>IFERROR(H310/H444, "NA")</f>
        <v>2.9510090435666977E-2</v>
      </c>
      <c r="J310" s="9"/>
      <c r="K310" s="7">
        <v>115.98</v>
      </c>
      <c r="L310" s="8">
        <f>IFERROR(K310/K444, "NA")</f>
        <v>5.7652777374580611E-4</v>
      </c>
      <c r="M310" s="9"/>
      <c r="N310" s="10">
        <f t="shared" si="77"/>
        <v>21.97</v>
      </c>
      <c r="O310" s="8">
        <f>IFERROR(N310/N444, "NA")</f>
        <v>1.0484431311465394E-3</v>
      </c>
      <c r="P310" s="9"/>
      <c r="Q310" s="7">
        <v>1271.82</v>
      </c>
      <c r="R310" s="8">
        <f>IFERROR(Q310/Q444, "NA")</f>
        <v>6.2189703661382498E-4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-1271.82</v>
      </c>
      <c r="X310" s="8">
        <f>IFERROR(W310/W444, "NA")</f>
        <v>1.0474378613431086</v>
      </c>
      <c r="Y310" s="9"/>
      <c r="Z310" s="7">
        <v>550.58000000000004</v>
      </c>
      <c r="AA310" s="8">
        <f>IFERROR(Z310/Z444, "NA")</f>
        <v>2.9580068966937075E-4</v>
      </c>
      <c r="AB310" s="9"/>
      <c r="AC310" s="10">
        <f t="shared" si="79"/>
        <v>-721.2399999999999</v>
      </c>
      <c r="AD310" s="8">
        <f>IFERROR(AC310/AC444, "NA")</f>
        <v>-3.9252365542252867E-3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1.3070487795983348E-5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2.2014132529525634E-2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-1.4547386874610662E-4</v>
      </c>
    </row>
    <row r="312" spans="1:30" ht="16.5" customHeight="1" x14ac:dyDescent="0.45">
      <c r="A312" s="6" t="s">
        <v>284</v>
      </c>
      <c r="B312" s="7">
        <v>1331.03</v>
      </c>
      <c r="C312" s="8">
        <f>IFERROR(B312/B444, "NA")</f>
        <v>5.9922641658253974E-3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-1331.03</v>
      </c>
      <c r="I312" s="8">
        <f>IFERROR(H312/H444, "NA")</f>
        <v>0.41781529276232121</v>
      </c>
      <c r="J312" s="9"/>
      <c r="K312" s="7">
        <v>988.61</v>
      </c>
      <c r="L312" s="8">
        <f>IFERROR(K312/K444, "NA")</f>
        <v>4.9143052457565209E-3</v>
      </c>
      <c r="M312" s="9"/>
      <c r="N312" s="10">
        <f t="shared" si="77"/>
        <v>-342.41999999999996</v>
      </c>
      <c r="O312" s="8">
        <f>IFERROR(N312/N444, "NA")</f>
        <v>-1.6340823712662631E-2</v>
      </c>
      <c r="P312" s="9"/>
      <c r="Q312" s="7">
        <v>7321.05</v>
      </c>
      <c r="R312" s="8">
        <f>IFERROR(Q312/Q444, "NA")</f>
        <v>3.5798613796776614E-3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-7321.05</v>
      </c>
      <c r="X312" s="8">
        <f>IFERROR(W312/W444, "NA")</f>
        <v>6.0294262983645206</v>
      </c>
      <c r="Y312" s="9"/>
      <c r="Z312" s="7">
        <v>3892.25</v>
      </c>
      <c r="AA312" s="8">
        <f>IFERROR(Z312/Z444, "NA")</f>
        <v>2.0911225151033605E-3</v>
      </c>
      <c r="AB312" s="9"/>
      <c r="AC312" s="10">
        <f t="shared" si="79"/>
        <v>-3428.8</v>
      </c>
      <c r="AD312" s="8">
        <f>IFERROR(AC312/AC444, "NA")</f>
        <v>-1.8660710855093542E-2</v>
      </c>
    </row>
    <row r="313" spans="1:30" ht="16.5" customHeight="1" x14ac:dyDescent="0.45">
      <c r="A313" s="6" t="s">
        <v>285</v>
      </c>
      <c r="B313" s="7">
        <v>283</v>
      </c>
      <c r="C313" s="8">
        <f>IFERROR(B313/B444, "NA")</f>
        <v>1.2740590061295293E-3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-283</v>
      </c>
      <c r="I313" s="8">
        <f>IFERROR(H313/H444, "NA")</f>
        <v>8.8834757933132155E-2</v>
      </c>
      <c r="J313" s="9"/>
      <c r="K313" s="7">
        <v>248</v>
      </c>
      <c r="L313" s="8">
        <f>IFERROR(K313/K444, "NA")</f>
        <v>1.2327891695892387E-3</v>
      </c>
      <c r="M313" s="9"/>
      <c r="N313" s="10">
        <f t="shared" si="77"/>
        <v>-35</v>
      </c>
      <c r="O313" s="8">
        <f>IFERROR(N313/N444, "NA")</f>
        <v>-1.6702553295461482E-3</v>
      </c>
      <c r="P313" s="9"/>
      <c r="Q313" s="7">
        <v>3205.58</v>
      </c>
      <c r="R313" s="8">
        <f>IFERROR(Q313/Q444, "NA")</f>
        <v>1.5674707919584099E-3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-3205.58</v>
      </c>
      <c r="X313" s="8">
        <f>IFERROR(W313/W444, "NA")</f>
        <v>2.6400322841001413</v>
      </c>
      <c r="Y313" s="9"/>
      <c r="Z313" s="7">
        <v>488</v>
      </c>
      <c r="AA313" s="8">
        <f>IFERROR(Z313/Z444, "NA")</f>
        <v>2.6217940455274967E-4</v>
      </c>
      <c r="AB313" s="9"/>
      <c r="AC313" s="10">
        <f t="shared" si="79"/>
        <v>-2717.58</v>
      </c>
      <c r="AD313" s="8">
        <f>IFERROR(AC313/AC444, "NA")</f>
        <v>-1.4790006592856132E-2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3.0757566860758895E-3</v>
      </c>
      <c r="G318" s="9"/>
      <c r="H318" s="10">
        <f t="shared" si="76"/>
        <v>693</v>
      </c>
      <c r="I318" s="8">
        <f>IFERROR(H318/H444, "NA")</f>
        <v>-0.21753529062777593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7623</v>
      </c>
      <c r="U318" s="8">
        <f>IFERROR(T318/T444, "NA")</f>
        <v>3.7252976553388039E-3</v>
      </c>
      <c r="V318" s="9"/>
      <c r="W318" s="10">
        <f t="shared" si="78"/>
        <v>7623</v>
      </c>
      <c r="X318" s="8">
        <f>IFERROR(W318/W444, "NA")</f>
        <v>-6.2781044621239772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313.52</v>
      </c>
      <c r="C319" s="8">
        <f>IFERROR(B319/B444, "NA")</f>
        <v>1.4114592918789046E-3</v>
      </c>
      <c r="D319" s="9"/>
      <c r="E319" s="7">
        <v>294</v>
      </c>
      <c r="F319" s="8">
        <f>IFERROR(E319/E444, "NA")</f>
        <v>1.3048664728806804E-3</v>
      </c>
      <c r="G319" s="9"/>
      <c r="H319" s="10">
        <f t="shared" si="76"/>
        <v>-19.519999999999982</v>
      </c>
      <c r="I319" s="8">
        <f>IFERROR(H319/H444, "NA")</f>
        <v>6.1274009712181561E-3</v>
      </c>
      <c r="J319" s="9"/>
      <c r="K319" s="7">
        <v>293.72000000000003</v>
      </c>
      <c r="L319" s="8">
        <f>IFERROR(K319/K444, "NA")</f>
        <v>1.4600598181118999E-3</v>
      </c>
      <c r="M319" s="9"/>
      <c r="N319" s="10">
        <f t="shared" si="77"/>
        <v>-19.799999999999955</v>
      </c>
      <c r="O319" s="8">
        <f>IFERROR(N319/N444, "NA")</f>
        <v>-9.4488730071467597E-4</v>
      </c>
      <c r="P319" s="9"/>
      <c r="Q319" s="7">
        <v>3451.32</v>
      </c>
      <c r="R319" s="8">
        <f>IFERROR(Q319/Q444, "NA")</f>
        <v>1.6876332188564627E-3</v>
      </c>
      <c r="S319" s="9"/>
      <c r="T319" s="7">
        <v>3234</v>
      </c>
      <c r="U319" s="8">
        <f>IFERROR(T319/T444, "NA")</f>
        <v>1.580429308325553E-3</v>
      </c>
      <c r="V319" s="9"/>
      <c r="W319" s="10">
        <f t="shared" si="78"/>
        <v>-217.32000000000016</v>
      </c>
      <c r="X319" s="8">
        <f>IFERROR(W319/W444, "NA")</f>
        <v>0.17897909769234996</v>
      </c>
      <c r="Y319" s="9"/>
      <c r="Z319" s="7">
        <v>3187.72</v>
      </c>
      <c r="AA319" s="8">
        <f>IFERROR(Z319/Z444, "NA")</f>
        <v>1.7126117448378916E-3</v>
      </c>
      <c r="AB319" s="9"/>
      <c r="AC319" s="10">
        <f t="shared" si="79"/>
        <v>-263.60000000000036</v>
      </c>
      <c r="AD319" s="8">
        <f>IFERROR(AC319/AC444, "NA")</f>
        <v>-1.4346020127749255E-3</v>
      </c>
    </row>
    <row r="320" spans="1:30" ht="16.5" customHeight="1" x14ac:dyDescent="0.45">
      <c r="A320" s="6" t="s">
        <v>292</v>
      </c>
      <c r="B320" s="7">
        <v>1101.3699999999999</v>
      </c>
      <c r="C320" s="8">
        <f>IFERROR(B320/B444, "NA")</f>
        <v>4.958340521487207E-3</v>
      </c>
      <c r="D320" s="9"/>
      <c r="E320" s="7">
        <v>833</v>
      </c>
      <c r="F320" s="8">
        <f>IFERROR(E320/E444, "NA")</f>
        <v>3.6971216731619279E-3</v>
      </c>
      <c r="G320" s="9"/>
      <c r="H320" s="10">
        <f t="shared" si="76"/>
        <v>-268.36999999999989</v>
      </c>
      <c r="I320" s="8">
        <f>IFERROR(H320/H444, "NA")</f>
        <v>8.4242346242101307E-2</v>
      </c>
      <c r="J320" s="9"/>
      <c r="K320" s="7">
        <v>1093.22</v>
      </c>
      <c r="L320" s="8">
        <f>IFERROR(K320/K444, "NA")</f>
        <v>5.4343136128159174E-3</v>
      </c>
      <c r="M320" s="9"/>
      <c r="N320" s="10">
        <f t="shared" si="77"/>
        <v>-8.1499999999998636</v>
      </c>
      <c r="O320" s="8">
        <f>IFERROR(N320/N444, "NA")</f>
        <v>-3.8893088388002517E-4</v>
      </c>
      <c r="P320" s="9"/>
      <c r="Q320" s="7">
        <v>12111.07</v>
      </c>
      <c r="R320" s="8">
        <f>IFERROR(Q320/Q444, "NA")</f>
        <v>5.9220947486457176E-3</v>
      </c>
      <c r="S320" s="9"/>
      <c r="T320" s="7">
        <v>9163</v>
      </c>
      <c r="U320" s="8">
        <f>IFERROR(T320/T444, "NA")</f>
        <v>4.4778830402557339E-3</v>
      </c>
      <c r="V320" s="9"/>
      <c r="W320" s="10">
        <f t="shared" si="78"/>
        <v>-2948.0699999999997</v>
      </c>
      <c r="X320" s="8">
        <f>IFERROR(W320/W444, "NA")</f>
        <v>2.4279537480852462</v>
      </c>
      <c r="Y320" s="9"/>
      <c r="Z320" s="7">
        <v>8640.26</v>
      </c>
      <c r="AA320" s="8">
        <f>IFERROR(Z320/Z444, "NA")</f>
        <v>4.6420045532396328E-3</v>
      </c>
      <c r="AB320" s="9"/>
      <c r="AC320" s="10">
        <f t="shared" si="79"/>
        <v>-3470.8099999999995</v>
      </c>
      <c r="AD320" s="8">
        <f>IFERROR(AC320/AC444, "NA")</f>
        <v>-1.8889343747948904E-2</v>
      </c>
    </row>
    <row r="321" spans="1:30" ht="16.5" customHeight="1" x14ac:dyDescent="0.45">
      <c r="A321" s="6" t="s">
        <v>293</v>
      </c>
      <c r="B321" s="7">
        <v>807.97</v>
      </c>
      <c r="C321" s="8">
        <f>IFERROR(B321/B444, "NA")</f>
        <v>3.6374609723762398E-3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-807.97</v>
      </c>
      <c r="I321" s="8">
        <f>IFERROR(H321/H444, "NA")</f>
        <v>0.25362480341778371</v>
      </c>
      <c r="J321" s="9"/>
      <c r="K321" s="7">
        <v>2959.74</v>
      </c>
      <c r="L321" s="8">
        <f>IFERROR(K321/K444, "NA")</f>
        <v>1.4712642809677632E-2</v>
      </c>
      <c r="M321" s="9"/>
      <c r="N321" s="10">
        <f t="shared" si="77"/>
        <v>2151.7699999999995</v>
      </c>
      <c r="O321" s="8">
        <f>IFERROR(N321/N444, "NA")</f>
        <v>0.10268586601307185</v>
      </c>
      <c r="P321" s="9"/>
      <c r="Q321" s="7">
        <v>22789.37</v>
      </c>
      <c r="R321" s="8">
        <f>IFERROR(Q321/Q444, "NA")</f>
        <v>1.1143590814184401E-2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-22789.37</v>
      </c>
      <c r="X321" s="8">
        <f>IFERROR(W321/W444, "NA")</f>
        <v>18.768732190213079</v>
      </c>
      <c r="Y321" s="9"/>
      <c r="Z321" s="7">
        <v>29597.78</v>
      </c>
      <c r="AA321" s="8">
        <f>IFERROR(Z321/Z444, "NA")</f>
        <v>1.5901492492793611E-2</v>
      </c>
      <c r="AB321" s="9"/>
      <c r="AC321" s="10">
        <f t="shared" si="79"/>
        <v>6808.41</v>
      </c>
      <c r="AD321" s="8">
        <f>IFERROR(AC321/AC444, "NA")</f>
        <v>3.705371278375158E-2</v>
      </c>
    </row>
    <row r="322" spans="1:30" ht="16.5" customHeight="1" x14ac:dyDescent="0.45">
      <c r="A322" s="6" t="s">
        <v>294</v>
      </c>
      <c r="B322" s="7">
        <v>174.48</v>
      </c>
      <c r="C322" s="8">
        <f>IFERROR(B322/B444, "NA")</f>
        <v>7.8550464801936497E-4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-174.48</v>
      </c>
      <c r="I322" s="8">
        <f>IFERROR(H322/H444, "NA")</f>
        <v>5.4769924255027913E-2</v>
      </c>
      <c r="J322" s="9"/>
      <c r="K322" s="7">
        <v>159.94999999999999</v>
      </c>
      <c r="L322" s="8">
        <f>IFERROR(K322/K444, "NA")</f>
        <v>7.9509930514434963E-4</v>
      </c>
      <c r="M322" s="9"/>
      <c r="N322" s="10">
        <f t="shared" si="77"/>
        <v>-14.530000000000001</v>
      </c>
      <c r="O322" s="8">
        <f>IFERROR(N322/N444, "NA")</f>
        <v>-6.9339456966587248E-4</v>
      </c>
      <c r="P322" s="9"/>
      <c r="Q322" s="7">
        <v>2112.67</v>
      </c>
      <c r="R322" s="8">
        <f>IFERROR(Q322/Q444, "NA")</f>
        <v>1.0330575178428784E-3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-2112.67</v>
      </c>
      <c r="X322" s="8">
        <f>IFERROR(W322/W444, "NA")</f>
        <v>1.7399400438141759</v>
      </c>
      <c r="Y322" s="9"/>
      <c r="Z322" s="7">
        <v>2301.0100000000002</v>
      </c>
      <c r="AA322" s="8">
        <f>IFERROR(Z322/Z444, "NA")</f>
        <v>1.2362242452252511E-3</v>
      </c>
      <c r="AB322" s="9"/>
      <c r="AC322" s="10">
        <f t="shared" si="79"/>
        <v>188.34000000000015</v>
      </c>
      <c r="AD322" s="8">
        <f>IFERROR(AC322/AC444, "NA")</f>
        <v>1.0250111649697622E-3</v>
      </c>
    </row>
    <row r="323" spans="1:30" ht="16.5" customHeight="1" x14ac:dyDescent="0.45">
      <c r="A323" s="6" t="s">
        <v>295</v>
      </c>
      <c r="B323" s="7">
        <v>80</v>
      </c>
      <c r="C323" s="8">
        <f>IFERROR(B323/B444, "NA")</f>
        <v>3.6015802293414256E-4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-80</v>
      </c>
      <c r="I323" s="8">
        <f>IFERROR(H323/H444, "NA")</f>
        <v>2.5112299062369517E-2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-80</v>
      </c>
      <c r="O323" s="8">
        <f>IFERROR(N323/N444, "NA")</f>
        <v>-3.8177264675340532E-3</v>
      </c>
      <c r="P323" s="9"/>
      <c r="Q323" s="7">
        <v>80</v>
      </c>
      <c r="R323" s="8">
        <f>IFERROR(Q323/Q444, "NA")</f>
        <v>3.9118556815513199E-5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-80</v>
      </c>
      <c r="X323" s="8">
        <f>IFERROR(W323/W444, "NA")</f>
        <v>6.5885918532063256E-2</v>
      </c>
      <c r="Y323" s="9"/>
      <c r="Z323" s="7">
        <v>-32.42</v>
      </c>
      <c r="AA323" s="8">
        <f>IFERROR(Z323/Z444, "NA")</f>
        <v>-1.7417738310656033E-5</v>
      </c>
      <c r="AB323" s="9"/>
      <c r="AC323" s="10">
        <f t="shared" si="79"/>
        <v>-112.42</v>
      </c>
      <c r="AD323" s="8">
        <f>IFERROR(AC323/AC444, "NA")</f>
        <v>-6.1182836978815216E-4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4702.32</v>
      </c>
      <c r="C324" s="15">
        <f>IFERROR(B324/B444, "NA")</f>
        <v>2.1169728430045966E-2</v>
      </c>
      <c r="D324" s="2"/>
      <c r="E324" s="14">
        <f>IFERROR(E297+E298+E299+E300+E301+E302+E303+E304+E305+E306+E307+E308+E309+E310+E311+E312+E313+E314+E315+E316+E317+E318+E319+E320+E321+E322+E323, "NA")</f>
        <v>4749.04</v>
      </c>
      <c r="F324" s="15">
        <f>IFERROR(E324/E444, "NA")</f>
        <v>2.1077765559079139E-2</v>
      </c>
      <c r="G324" s="2"/>
      <c r="H324" s="14">
        <f t="shared" si="76"/>
        <v>46.720000000000255</v>
      </c>
      <c r="I324" s="15">
        <f>IFERROR(H324/H444, "NA")</f>
        <v>-1.4665582652423877E-2</v>
      </c>
      <c r="J324" s="2"/>
      <c r="K324" s="14">
        <f>IFERROR(K297+K298+K299+K300+K301+K302+K303+K304+K305+K306+K307+K308+K309+K310+K311+K312+K313+K314+K315+K316+K317+K318+K319+K320+K321+K322+K323, "NA")</f>
        <v>6350.65</v>
      </c>
      <c r="L324" s="15">
        <f>IFERROR(K324/K444, "NA")</f>
        <v>3.1568598951015721E-2</v>
      </c>
      <c r="M324" s="2"/>
      <c r="N324" s="14">
        <f t="shared" si="77"/>
        <v>1648.33</v>
      </c>
      <c r="O324" s="15">
        <f>IFERROR(N324/N444, "NA")</f>
        <v>7.8660913352880071E-2</v>
      </c>
      <c r="P324" s="2"/>
      <c r="Q324" s="14">
        <f>IFERROR(Q297+Q298+Q299+Q300+Q301+Q302+Q303+Q304+Q305+Q306+Q307+Q308+Q309+Q310+Q311+Q312+Q313+Q314+Q315+Q316+Q317+Q318+Q319+Q320+Q321+Q322+Q323, "NA")</f>
        <v>63043.8</v>
      </c>
      <c r="R324" s="15">
        <f>IFERROR(Q324/Q444, "NA")</f>
        <v>3.082728090207314E-2</v>
      </c>
      <c r="S324" s="2"/>
      <c r="T324" s="14">
        <f>IFERROR(T297+T298+T299+T300+T301+T302+T303+T304+T305+T306+T307+T308+T309+T310+T311+T312+T313+T314+T315+T316+T317+T318+T319+T320+T321+T322+T323, "NA")</f>
        <v>46621.630000000005</v>
      </c>
      <c r="U324" s="15">
        <f>IFERROR(T324/T444, "NA")</f>
        <v>2.2783608674678376E-2</v>
      </c>
      <c r="V324" s="2"/>
      <c r="W324" s="14">
        <f t="shared" si="78"/>
        <v>-16422.169999999998</v>
      </c>
      <c r="X324" s="15">
        <f>IFERROR(W324/W444, "NA")</f>
        <v>13.524871934246162</v>
      </c>
      <c r="Y324" s="2"/>
      <c r="Z324" s="14">
        <f>IFERROR(Z297+Z298+Z299+Z300+Z301+Z302+Z303+Z304+Z305+Z306+Z307+Z308+Z309+Z310+Z311+Z312+Z313+Z314+Z315+Z316+Z317+Z318+Z319+Z320+Z321+Z322+Z323, "NA")</f>
        <v>54680.640000000007</v>
      </c>
      <c r="AA324" s="15">
        <f>IFERROR(Z324/Z444, "NA")</f>
        <v>2.9377331220826367E-2</v>
      </c>
      <c r="AB324" s="2"/>
      <c r="AC324" s="14">
        <f t="shared" si="79"/>
        <v>-8363.1599999999962</v>
      </c>
      <c r="AD324" s="15">
        <f>IFERROR(AC324/AC444, "NA")</f>
        <v>-4.5515197910313825E-2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48509.070000000014</v>
      </c>
      <c r="C325" s="15">
        <f>IFERROR(B325/B444, "NA")</f>
        <v>0.21838663431967417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54143.39</v>
      </c>
      <c r="F325" s="15">
        <f>IFERROR(E325/E444, "NA")</f>
        <v>0.24030576305817383</v>
      </c>
      <c r="G325" s="2"/>
      <c r="H325" s="14">
        <f t="shared" si="76"/>
        <v>5634.3199999999852</v>
      </c>
      <c r="I325" s="15">
        <f>IFERROR(H325/H444, "NA")</f>
        <v>-1.7686341106636179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53484.6</v>
      </c>
      <c r="L325" s="15">
        <f>IFERROR(K325/K444, "NA")</f>
        <v>0.26586788556376045</v>
      </c>
      <c r="M325" s="2"/>
      <c r="N325" s="14">
        <f t="shared" si="77"/>
        <v>4975.5299999999843</v>
      </c>
      <c r="O325" s="15">
        <f>IFERROR(N325/N444, "NA")</f>
        <v>0.23744015713762059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525324.73</v>
      </c>
      <c r="R325" s="15">
        <f>IFERROR(Q325/Q444, "NA")</f>
        <v>0.25687431621373913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516774.83</v>
      </c>
      <c r="U325" s="15">
        <f>IFERROR(T325/T444, "NA")</f>
        <v>0.25254362620190329</v>
      </c>
      <c r="V325" s="2"/>
      <c r="W325" s="14">
        <f t="shared" si="78"/>
        <v>-8549.8999999999651</v>
      </c>
      <c r="X325" s="15">
        <f>IFERROR(W325/W444, "NA")</f>
        <v>7.0414751857160658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484030.95</v>
      </c>
      <c r="AA325" s="15">
        <f>IFERROR(Z325/Z444, "NA")</f>
        <v>0.26004702101660193</v>
      </c>
      <c r="AB325" s="2"/>
      <c r="AC325" s="14">
        <f t="shared" si="79"/>
        <v>-41293.77999999997</v>
      </c>
      <c r="AD325" s="15">
        <f>IFERROR(AC325/AC444, "NA")</f>
        <v>-0.22473497687057981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4.5633822295870534E-2</v>
      </c>
      <c r="D329" s="9"/>
      <c r="E329" s="7">
        <v>9355</v>
      </c>
      <c r="F329" s="8">
        <f>IFERROR(E329/E444, "NA")</f>
        <v>4.1520496101356344E-2</v>
      </c>
      <c r="G329" s="9"/>
      <c r="H329" s="10">
        <f t="shared" si="80"/>
        <v>-781.39999999999964</v>
      </c>
      <c r="I329" s="8">
        <f>IFERROR(H329/H444, "NA")</f>
        <v>0.24528438109169412</v>
      </c>
      <c r="J329" s="9"/>
      <c r="K329" s="7">
        <v>9841.17</v>
      </c>
      <c r="L329" s="8">
        <f>IFERROR(K329/K444, "NA")</f>
        <v>4.8919708839058579E-2</v>
      </c>
      <c r="M329" s="9"/>
      <c r="N329" s="10">
        <f t="shared" si="81"/>
        <v>-295.22999999999956</v>
      </c>
      <c r="O329" s="8">
        <f>IFERROR(N329/N444, "NA")</f>
        <v>-1.4088842312625961E-2</v>
      </c>
      <c r="P329" s="9"/>
      <c r="Q329" s="7">
        <v>111500.4</v>
      </c>
      <c r="R329" s="8">
        <f>IFERROR(Q329/Q444, "NA")</f>
        <v>5.4521684154405593E-2</v>
      </c>
      <c r="S329" s="9"/>
      <c r="T329" s="7">
        <v>109931</v>
      </c>
      <c r="U329" s="8">
        <f>IFERROR(T329/T444, "NA")</f>
        <v>5.3722379187859111E-2</v>
      </c>
      <c r="V329" s="9"/>
      <c r="W329" s="10">
        <f t="shared" si="82"/>
        <v>-1569.3999999999942</v>
      </c>
      <c r="X329" s="8">
        <f>IFERROR(W329/W444, "NA")</f>
        <v>1.2925170068027461</v>
      </c>
      <c r="Y329" s="9"/>
      <c r="Z329" s="7">
        <v>108252.87</v>
      </c>
      <c r="AA329" s="8">
        <f>IFERROR(Z329/Z444, "NA")</f>
        <v>5.8159165978947165E-2</v>
      </c>
      <c r="AB329" s="9"/>
      <c r="AC329" s="10">
        <f t="shared" si="83"/>
        <v>-3247.5299999999988</v>
      </c>
      <c r="AD329" s="8">
        <f>IFERROR(AC329/AC444, "NA")</f>
        <v>-1.7674177065807834E-2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3.2803642926370375E-3</v>
      </c>
      <c r="D330" s="9"/>
      <c r="E330" s="7">
        <v>728</v>
      </c>
      <c r="F330" s="8">
        <f>IFERROR(E330/E444, "NA")</f>
        <v>3.2310979328473992E-3</v>
      </c>
      <c r="G330" s="9"/>
      <c r="H330" s="10">
        <f t="shared" si="80"/>
        <v>-0.64999999999997726</v>
      </c>
      <c r="I330" s="8">
        <f>IFERROR(H330/H444, "NA")</f>
        <v>2.0403742988174518E-4</v>
      </c>
      <c r="J330" s="9"/>
      <c r="K330" s="7">
        <v>844.12</v>
      </c>
      <c r="L330" s="8">
        <f>IFERROR(K330/K444, "NA")</f>
        <v>4.1960564267486617E-3</v>
      </c>
      <c r="M330" s="9"/>
      <c r="N330" s="10">
        <f t="shared" si="81"/>
        <v>115.47000000000003</v>
      </c>
      <c r="O330" s="8">
        <f>IFERROR(N330/N444, "NA")</f>
        <v>5.5104109400769654E-3</v>
      </c>
      <c r="P330" s="9"/>
      <c r="Q330" s="7">
        <v>7101.42</v>
      </c>
      <c r="R330" s="8">
        <f>IFERROR(Q330/Q444, "NA")</f>
        <v>3.4724662717602718E-3</v>
      </c>
      <c r="S330" s="9"/>
      <c r="T330" s="7">
        <v>8008</v>
      </c>
      <c r="U330" s="8">
        <f>IFERROR(T330/T444, "NA")</f>
        <v>3.9134440015680359E-3</v>
      </c>
      <c r="V330" s="9"/>
      <c r="W330" s="10">
        <f t="shared" si="82"/>
        <v>906.57999999999993</v>
      </c>
      <c r="X330" s="8">
        <f>IFERROR(W330/W444, "NA")</f>
        <v>-0.74663570028497372</v>
      </c>
      <c r="Y330" s="9"/>
      <c r="Z330" s="7">
        <v>8707.9699999999993</v>
      </c>
      <c r="AA330" s="8">
        <f>IFERROR(Z330/Z444, "NA")</f>
        <v>4.6783819456213266E-3</v>
      </c>
      <c r="AB330" s="9"/>
      <c r="AC330" s="10">
        <f t="shared" si="83"/>
        <v>1606.5499999999993</v>
      </c>
      <c r="AD330" s="8">
        <f>IFERROR(AC330/AC444, "NA")</f>
        <v>8.7433985721682567E-3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6.8249945346020015E-5</v>
      </c>
      <c r="D332" s="9"/>
      <c r="E332" s="7">
        <v>15</v>
      </c>
      <c r="F332" s="8">
        <f>IFERROR(E332/E444, "NA")</f>
        <v>6.6574820044932678E-5</v>
      </c>
      <c r="G332" s="9"/>
      <c r="H332" s="10">
        <f t="shared" si="80"/>
        <v>-0.16000000000000014</v>
      </c>
      <c r="I332" s="8">
        <f>IFERROR(H332/H444, "NA")</f>
        <v>5.0224598124739074E-5</v>
      </c>
      <c r="J332" s="9"/>
      <c r="K332" s="7">
        <v>15.16</v>
      </c>
      <c r="L332" s="8">
        <f>IFERROR(K332/K444, "NA")</f>
        <v>7.535920891521314E-5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1462</v>
      </c>
      <c r="R332" s="8">
        <f>IFERROR(Q332/Q444, "NA")</f>
        <v>7.1489162580350369E-4</v>
      </c>
      <c r="S332" s="9"/>
      <c r="T332" s="7">
        <v>165</v>
      </c>
      <c r="U332" s="8">
        <f>IFERROR(T332/T444, "NA")</f>
        <v>8.0634148383956788E-5</v>
      </c>
      <c r="V332" s="9"/>
      <c r="W332" s="10">
        <f t="shared" si="82"/>
        <v>-1297</v>
      </c>
      <c r="X332" s="8">
        <f>IFERROR(W332/W444, "NA")</f>
        <v>1.0681754542010755</v>
      </c>
      <c r="Y332" s="9"/>
      <c r="Z332" s="7">
        <v>166.76</v>
      </c>
      <c r="AA332" s="8">
        <f>IFERROR(Z332/Z444, "NA")</f>
        <v>8.9592289965607656E-5</v>
      </c>
      <c r="AB332" s="9"/>
      <c r="AC332" s="10">
        <f t="shared" si="83"/>
        <v>-1295.24</v>
      </c>
      <c r="AD332" s="8">
        <f>IFERROR(AC332/AC444, "NA")</f>
        <v>-7.0491423028322909E-3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4.3405344528965528E-3</v>
      </c>
      <c r="D333" s="9"/>
      <c r="E333" s="7">
        <v>728</v>
      </c>
      <c r="F333" s="8">
        <f>IFERROR(E333/E444, "NA")</f>
        <v>3.2310979328473992E-3</v>
      </c>
      <c r="G333" s="9"/>
      <c r="H333" s="10">
        <f t="shared" si="80"/>
        <v>-236.14</v>
      </c>
      <c r="I333" s="8">
        <f>IFERROR(H333/H444, "NA")</f>
        <v>7.4125228757349212E-2</v>
      </c>
      <c r="J333" s="9"/>
      <c r="K333" s="7">
        <v>964.14</v>
      </c>
      <c r="L333" s="8">
        <f>IFERROR(K333/K444, "NA")</f>
        <v>4.7926667337410021E-3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10060.15</v>
      </c>
      <c r="R333" s="8">
        <f>IFERROR(Q333/Q444, "NA")</f>
        <v>4.9192318668448134E-3</v>
      </c>
      <c r="S333" s="9"/>
      <c r="T333" s="7">
        <v>8008</v>
      </c>
      <c r="U333" s="8">
        <f>IFERROR(T333/T444, "NA")</f>
        <v>3.9134440015680359E-3</v>
      </c>
      <c r="V333" s="9"/>
      <c r="W333" s="10">
        <f t="shared" si="82"/>
        <v>-2052.1499999999996</v>
      </c>
      <c r="X333" s="8">
        <f>IFERROR(W333/W444, "NA")</f>
        <v>1.6900973464446698</v>
      </c>
      <c r="Y333" s="9"/>
      <c r="Z333" s="7">
        <v>9513.93</v>
      </c>
      <c r="AA333" s="8">
        <f>IFERROR(Z333/Z444, "NA")</f>
        <v>5.1113862753207825E-3</v>
      </c>
      <c r="AB333" s="9"/>
      <c r="AC333" s="10">
        <f t="shared" si="83"/>
        <v>-546.21999999999935</v>
      </c>
      <c r="AD333" s="8">
        <f>IFERROR(AC333/AC444, "NA")</f>
        <v>-2.9727174181256363E-3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-3.5137917112512285E-3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-0.24500186772724258</v>
      </c>
      <c r="J334" s="9"/>
      <c r="K334" s="7">
        <v>-757.77</v>
      </c>
      <c r="L334" s="8">
        <f>IFERROR(K334/K444, "NA")</f>
        <v>-3.7668171332243443E-3</v>
      </c>
      <c r="M334" s="9"/>
      <c r="N334" s="10">
        <f t="shared" si="81"/>
        <v>22.730000000000018</v>
      </c>
      <c r="O334" s="8">
        <f>IFERROR(N334/N444, "NA")</f>
        <v>1.0847115325881137E-3</v>
      </c>
      <c r="P334" s="9"/>
      <c r="Q334" s="7">
        <v>-1561</v>
      </c>
      <c r="R334" s="8">
        <f>IFERROR(Q334/Q444, "NA")</f>
        <v>-7.6330083986270126E-4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1561</v>
      </c>
      <c r="X334" s="8">
        <f>IFERROR(W334/W444, "NA")</f>
        <v>-1.2855989853568841</v>
      </c>
      <c r="Y334" s="9"/>
      <c r="Z334" s="7">
        <v>-1515.54</v>
      </c>
      <c r="AA334" s="8">
        <f>IFERROR(Z334/Z444, "NA")</f>
        <v>-8.1422822699974231E-4</v>
      </c>
      <c r="AB334" s="9"/>
      <c r="AC334" s="10">
        <f t="shared" si="83"/>
        <v>45.460000000000036</v>
      </c>
      <c r="AD334" s="8">
        <f>IFERROR(AC334/AC444, "NA")</f>
        <v>2.4740898141406705E-4</v>
      </c>
    </row>
    <row r="335" spans="1:30" ht="16.5" customHeight="1" x14ac:dyDescent="0.45">
      <c r="A335" s="6" t="s">
        <v>306</v>
      </c>
      <c r="B335" s="7">
        <v>844.37</v>
      </c>
      <c r="C335" s="8">
        <f>IFERROR(B335/B444, "NA")</f>
        <v>3.8013328728112748E-3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-844.37</v>
      </c>
      <c r="I335" s="8">
        <f>IFERROR(H335/H444, "NA")</f>
        <v>0.26505089949116184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-844.37</v>
      </c>
      <c r="O335" s="8">
        <f>IFERROR(N335/N444, "NA")</f>
        <v>-4.0294671217396605E-2</v>
      </c>
      <c r="P335" s="9"/>
      <c r="Q335" s="7">
        <v>4153.99</v>
      </c>
      <c r="R335" s="8">
        <f>IFERROR(Q335/Q444, "NA")</f>
        <v>2.0312261728259208E-3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-4153.99</v>
      </c>
      <c r="X335" s="8">
        <f>IFERROR(W335/W444, "NA")</f>
        <v>3.4211180840375675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-4153.99</v>
      </c>
      <c r="AD335" s="8">
        <f>IFERROR(AC335/AC444, "NA")</f>
        <v>-2.2607444670132412E-2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4565.2</v>
      </c>
      <c r="F337" s="8">
        <f>IFERROR(E337/E444, "NA")</f>
        <v>2.0261824564608445E-2</v>
      </c>
      <c r="G337" s="9"/>
      <c r="H337" s="10">
        <f t="shared" ref="H337:H344" si="84">IFERROR(-(B337-E337), "NA")</f>
        <v>4565.2</v>
      </c>
      <c r="I337" s="8">
        <f>IFERROR(H337/H444, "NA")</f>
        <v>-1.4330333459941162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45574.5</v>
      </c>
      <c r="U337" s="8">
        <f>IFERROR(T337/T444, "NA")</f>
        <v>2.2271884821361446E-2</v>
      </c>
      <c r="V337" s="9"/>
      <c r="W337" s="10">
        <f t="shared" ref="W337:W344" si="86">IFERROR(-(Q337-T337), "NA")</f>
        <v>45574.5</v>
      </c>
      <c r="X337" s="8">
        <f>IFERROR(W337/W444, "NA")</f>
        <v>-37.533972426743958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2945.83</v>
      </c>
      <c r="C338" s="8">
        <f>IFERROR(B338/B444, "NA")</f>
        <v>1.3262053858751064E-2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-2945.83</v>
      </c>
      <c r="I338" s="8">
        <f>IFERROR(H338/H444, "NA")</f>
        <v>0.92470704933624981</v>
      </c>
      <c r="J338" s="9"/>
      <c r="K338" s="7">
        <v>2602.56</v>
      </c>
      <c r="L338" s="8">
        <f>IFERROR(K338/K444, "NA")</f>
        <v>1.2937128150024874E-2</v>
      </c>
      <c r="M338" s="9"/>
      <c r="N338" s="10">
        <f t="shared" si="85"/>
        <v>-343.27</v>
      </c>
      <c r="O338" s="8">
        <f>IFERROR(N338/N444, "NA")</f>
        <v>-1.6381387056380179E-2</v>
      </c>
      <c r="P338" s="9"/>
      <c r="Q338" s="7">
        <v>40207.040000000001</v>
      </c>
      <c r="R338" s="8">
        <f>IFERROR(Q338/Q444, "NA")</f>
        <v>1.966051723279515E-2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-40207.040000000001</v>
      </c>
      <c r="X338" s="8">
        <f>IFERROR(W338/W444, "NA")</f>
        <v>33.113472023192607</v>
      </c>
      <c r="Y338" s="9"/>
      <c r="Z338" s="7">
        <v>29496.77</v>
      </c>
      <c r="AA338" s="8">
        <f>IFERROR(Z338/Z444, "NA")</f>
        <v>1.5847224579568463E-2</v>
      </c>
      <c r="AB338" s="9"/>
      <c r="AC338" s="10">
        <f t="shared" si="87"/>
        <v>-10710.27</v>
      </c>
      <c r="AD338" s="8">
        <f>IFERROR(AC338/AC444, "NA")</f>
        <v>-5.8288979132636115E-2</v>
      </c>
    </row>
    <row r="339" spans="1:30" ht="16.5" customHeight="1" x14ac:dyDescent="0.45">
      <c r="A339" s="12" t="s">
        <v>309</v>
      </c>
      <c r="B339" s="7">
        <v>478.39</v>
      </c>
      <c r="C339" s="8">
        <f>IFERROR(B339/B444, "NA")</f>
        <v>2.1536999573933059E-3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-478.39</v>
      </c>
      <c r="I339" s="8">
        <f>IFERROR(H339/H444, "NA")</f>
        <v>0.1501684093555869</v>
      </c>
      <c r="J339" s="9"/>
      <c r="K339" s="7">
        <v>446.88</v>
      </c>
      <c r="L339" s="8">
        <f>IFERROR(K339/K444, "NA")</f>
        <v>2.2214065488146734E-3</v>
      </c>
      <c r="M339" s="9"/>
      <c r="N339" s="10">
        <f t="shared" si="85"/>
        <v>-31.509999999999991</v>
      </c>
      <c r="O339" s="8">
        <f>IFERROR(N339/N444, "NA")</f>
        <v>-1.5037070123999749E-3</v>
      </c>
      <c r="P339" s="9"/>
      <c r="Q339" s="7">
        <v>3972.18</v>
      </c>
      <c r="R339" s="8">
        <f>IFERROR(Q339/Q444, "NA")</f>
        <v>1.9423243626430651E-3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-3972.18</v>
      </c>
      <c r="X339" s="8">
        <f>IFERROR(W339/W444, "NA")</f>
        <v>3.2713840984336375</v>
      </c>
      <c r="Y339" s="9"/>
      <c r="Z339" s="7">
        <v>4448.8</v>
      </c>
      <c r="AA339" s="8">
        <f>IFERROR(Z339/Z444, "NA")</f>
        <v>2.3901306044554768E-3</v>
      </c>
      <c r="AB339" s="9"/>
      <c r="AC339" s="10">
        <f t="shared" si="87"/>
        <v>476.62000000000035</v>
      </c>
      <c r="AD339" s="8">
        <f>IFERROR(AC339/AC444, "NA")</f>
        <v>2.5939302402457681E-3</v>
      </c>
    </row>
    <row r="340" spans="1:30" ht="16.5" customHeight="1" x14ac:dyDescent="0.45">
      <c r="A340" s="12" t="s">
        <v>310</v>
      </c>
      <c r="B340" s="7">
        <v>626.98</v>
      </c>
      <c r="C340" s="8">
        <f>IFERROR(B340/B444, "NA")</f>
        <v>2.8226484652406091E-3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-626.98</v>
      </c>
      <c r="I340" s="8">
        <f>IFERROR(H340/H444, "NA")</f>
        <v>0.19681136582655548</v>
      </c>
      <c r="J340" s="9"/>
      <c r="K340" s="7">
        <v>580</v>
      </c>
      <c r="L340" s="8">
        <f>IFERROR(K340/K444, "NA")</f>
        <v>2.8831359611361227E-3</v>
      </c>
      <c r="M340" s="9"/>
      <c r="N340" s="10">
        <f t="shared" si="85"/>
        <v>-46.980000000000018</v>
      </c>
      <c r="O340" s="8">
        <f>IFERROR(N340/N444, "NA")</f>
        <v>-2.2419598680593735E-3</v>
      </c>
      <c r="P340" s="9"/>
      <c r="Q340" s="7">
        <v>12247.72</v>
      </c>
      <c r="R340" s="8">
        <f>IFERROR(Q340/Q444, "NA")</f>
        <v>5.9889141335062162E-3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-12247.72</v>
      </c>
      <c r="X340" s="8">
        <f>IFERROR(W340/W444, "NA")</f>
        <v>10.08690352654402</v>
      </c>
      <c r="Y340" s="9"/>
      <c r="Z340" s="7">
        <v>5193.49</v>
      </c>
      <c r="AA340" s="8">
        <f>IFERROR(Z340/Z444, "NA")</f>
        <v>2.7902174503087293E-3</v>
      </c>
      <c r="AB340" s="9"/>
      <c r="AC340" s="10">
        <f t="shared" si="87"/>
        <v>-7054.23</v>
      </c>
      <c r="AD340" s="8">
        <f>IFERROR(AC340/AC444, "NA")</f>
        <v>-3.8391549911142818E-2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1.7115159447359124E-3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0.11933678418176275</v>
      </c>
      <c r="J341" s="9"/>
      <c r="K341" s="7">
        <v>351.45</v>
      </c>
      <c r="L341" s="8">
        <f>IFERROR(K341/K444, "NA")</f>
        <v>1.7470312647263626E-3</v>
      </c>
      <c r="M341" s="9"/>
      <c r="N341" s="10">
        <f t="shared" si="85"/>
        <v>-28.720000000000027</v>
      </c>
      <c r="O341" s="8">
        <f>IFERROR(N341/N444, "NA")</f>
        <v>-1.3705638018447265E-3</v>
      </c>
      <c r="P341" s="9"/>
      <c r="Q341" s="7">
        <v>4181.87</v>
      </c>
      <c r="R341" s="8">
        <f>IFERROR(Q341/Q444, "NA")</f>
        <v>2.0448589898761273E-3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-4181.87</v>
      </c>
      <c r="X341" s="8">
        <f>IFERROR(W341/W444, "NA")</f>
        <v>3.4440793266459919</v>
      </c>
      <c r="Y341" s="9"/>
      <c r="Z341" s="7">
        <v>3865.95</v>
      </c>
      <c r="AA341" s="8">
        <f>IFERROR(Z341/Z444, "NA")</f>
        <v>2.0769927644071775E-3</v>
      </c>
      <c r="AB341" s="9"/>
      <c r="AC341" s="10">
        <f t="shared" si="87"/>
        <v>-315.92000000000007</v>
      </c>
      <c r="AD341" s="8">
        <f>IFERROR(AC341/AC444, "NA")</f>
        <v>-1.7193454775260013E-3</v>
      </c>
    </row>
    <row r="342" spans="1:30" ht="16.5" customHeight="1" x14ac:dyDescent="0.45">
      <c r="A342" s="13" t="s">
        <v>312</v>
      </c>
      <c r="B342" s="14">
        <f>IFERROR(B337+B338+B339+B340+B341, "NA")</f>
        <v>4431.37</v>
      </c>
      <c r="C342" s="15">
        <f>IFERROR(B342/B444, "NA")</f>
        <v>1.9949918226120893E-2</v>
      </c>
      <c r="D342" s="2"/>
      <c r="E342" s="14">
        <f>IFERROR(E337+E338+E339+E340+E341, "NA")</f>
        <v>4565.2</v>
      </c>
      <c r="F342" s="15">
        <f>IFERROR(E342/E444, "NA")</f>
        <v>2.0261824564608445E-2</v>
      </c>
      <c r="G342" s="2"/>
      <c r="H342" s="14">
        <f t="shared" si="84"/>
        <v>133.82999999999993</v>
      </c>
      <c r="I342" s="15">
        <f>IFERROR(H342/H444, "NA")</f>
        <v>-4.2009737293961381E-2</v>
      </c>
      <c r="J342" s="2"/>
      <c r="K342" s="14">
        <f>IFERROR(K337+K338+K339+K340+K341, "NA")</f>
        <v>3980.89</v>
      </c>
      <c r="L342" s="15">
        <f>IFERROR(K342/K444, "NA")</f>
        <v>1.9788701924702033E-2</v>
      </c>
      <c r="M342" s="2"/>
      <c r="N342" s="14">
        <f t="shared" si="85"/>
        <v>-450.48</v>
      </c>
      <c r="O342" s="15">
        <f>IFERROR(N342/N444, "NA")</f>
        <v>-2.1497617738684256E-2</v>
      </c>
      <c r="P342" s="2"/>
      <c r="Q342" s="14">
        <f>IFERROR(Q337+Q338+Q339+Q340+Q341, "NA")</f>
        <v>60608.810000000005</v>
      </c>
      <c r="R342" s="15">
        <f>IFERROR(Q342/Q444, "NA")</f>
        <v>2.9636614718820561E-2</v>
      </c>
      <c r="S342" s="2"/>
      <c r="T342" s="14">
        <f>IFERROR(T337+T338+T339+T340+T341, "NA")</f>
        <v>45574.5</v>
      </c>
      <c r="U342" s="15">
        <f>IFERROR(T342/T444, "NA")</f>
        <v>2.2271884821361446E-2</v>
      </c>
      <c r="V342" s="2"/>
      <c r="W342" s="14">
        <f t="shared" si="86"/>
        <v>-15034.310000000005</v>
      </c>
      <c r="X342" s="15">
        <f>IFERROR(W342/W444, "NA")</f>
        <v>12.381866548072303</v>
      </c>
      <c r="Y342" s="2"/>
      <c r="Z342" s="14">
        <f>IFERROR(Z337+Z338+Z339+Z340+Z341, "NA")</f>
        <v>43005.009999999995</v>
      </c>
      <c r="AA342" s="15">
        <f>IFERROR(Z342/Z444, "NA")</f>
        <v>2.3104565398739844E-2</v>
      </c>
      <c r="AB342" s="2"/>
      <c r="AC342" s="14">
        <f t="shared" si="87"/>
        <v>-17603.80000000001</v>
      </c>
      <c r="AD342" s="15">
        <f>IFERROR(AC342/AC444, "NA")</f>
        <v>-9.5805944281059222E-2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16339.589999999998</v>
      </c>
      <c r="C343" s="15">
        <f>IFERROR(B343/B444, "NA")</f>
        <v>7.3560430374431079E-2</v>
      </c>
      <c r="D343" s="2"/>
      <c r="E343" s="14">
        <f>IFERROR(E328+E329+E330+E331+E332+E333+E334+E335+E337+E338+E339+E340+E341, "NA")</f>
        <v>15391.2</v>
      </c>
      <c r="F343" s="15">
        <f>IFERROR(E343/E444, "NA")</f>
        <v>6.8311091351704517E-2</v>
      </c>
      <c r="G343" s="2"/>
      <c r="H343" s="14">
        <f t="shared" si="84"/>
        <v>-948.3899999999976</v>
      </c>
      <c r="I343" s="15">
        <f>IFERROR(H343/H444, "NA")</f>
        <v>0.29770316634700705</v>
      </c>
      <c r="J343" s="2"/>
      <c r="K343" s="14">
        <f>IFERROR(K328+K329+K330+K331+K332+K333+K334+K335+K337+K338+K339+K340+K341, "NA")</f>
        <v>14887.71</v>
      </c>
      <c r="L343" s="15">
        <f>IFERROR(K343/K444, "NA")</f>
        <v>7.4005675999941137E-2</v>
      </c>
      <c r="M343" s="2"/>
      <c r="N343" s="14">
        <f t="shared" si="85"/>
        <v>-1451.8799999999992</v>
      </c>
      <c r="O343" s="15">
        <f>IFERROR(N343/N444, "NA")</f>
        <v>-6.9286008796041729E-2</v>
      </c>
      <c r="P343" s="2"/>
      <c r="Q343" s="14">
        <f>IFERROR(Q328+Q329+Q330+Q331+Q332+Q333+Q334+Q335+Q337+Q338+Q339+Q340+Q341, "NA")</f>
        <v>193325.77</v>
      </c>
      <c r="R343" s="15">
        <f>IFERROR(Q343/Q444, "NA")</f>
        <v>9.4532813970597956E-2</v>
      </c>
      <c r="S343" s="2"/>
      <c r="T343" s="14">
        <f>IFERROR(T328+T329+T330+T331+T332+T333+T334+T335+T337+T338+T339+T340+T341, "NA")</f>
        <v>171686.5</v>
      </c>
      <c r="U343" s="15">
        <f>IFERROR(T343/T444, "NA")</f>
        <v>8.3901786160740593E-2</v>
      </c>
      <c r="V343" s="2"/>
      <c r="W343" s="14">
        <f t="shared" si="86"/>
        <v>-21639.26999999999</v>
      </c>
      <c r="X343" s="15">
        <f>IFERROR(W343/W444, "NA")</f>
        <v>17.821539753916497</v>
      </c>
      <c r="Y343" s="2"/>
      <c r="Z343" s="14">
        <f>IFERROR(Z328+Z329+Z330+Z331+Z332+Z333+Z334+Z335+Z337+Z338+Z339+Z340+Z341, "NA")</f>
        <v>168131</v>
      </c>
      <c r="AA343" s="15">
        <f>IFERROR(Z343/Z444, "NA")</f>
        <v>9.0328863661594996E-2</v>
      </c>
      <c r="AB343" s="2"/>
      <c r="AC343" s="14">
        <f t="shared" si="87"/>
        <v>-25194.76999999999</v>
      </c>
      <c r="AD343" s="15">
        <f>IFERROR(AC343/AC444, "NA")</f>
        <v>-0.13711861818437499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16339.589999999998</v>
      </c>
      <c r="C344" s="15">
        <f>IFERROR(B344/B444, "NA")</f>
        <v>7.3560430374431079E-2</v>
      </c>
      <c r="D344" s="2"/>
      <c r="E344" s="14">
        <f>IFERROR(E328+E329+E330+E331+E332+E333+E334+E335+E337+E338+E339+E340+E341, "NA")</f>
        <v>15391.2</v>
      </c>
      <c r="F344" s="15">
        <f>IFERROR(E344/E444, "NA")</f>
        <v>6.8311091351704517E-2</v>
      </c>
      <c r="G344" s="2"/>
      <c r="H344" s="14">
        <f t="shared" si="84"/>
        <v>-948.3899999999976</v>
      </c>
      <c r="I344" s="15">
        <f>IFERROR(H344/H444, "NA")</f>
        <v>0.29770316634700705</v>
      </c>
      <c r="J344" s="2"/>
      <c r="K344" s="14">
        <f>IFERROR(K328+K329+K330+K331+K332+K333+K334+K335+K337+K338+K339+K340+K341, "NA")</f>
        <v>14887.71</v>
      </c>
      <c r="L344" s="15">
        <f>IFERROR(K344/K444, "NA")</f>
        <v>7.4005675999941137E-2</v>
      </c>
      <c r="M344" s="2"/>
      <c r="N344" s="14">
        <f t="shared" si="85"/>
        <v>-1451.8799999999992</v>
      </c>
      <c r="O344" s="15">
        <f>IFERROR(N344/N444, "NA")</f>
        <v>-6.9286008796041729E-2</v>
      </c>
      <c r="P344" s="2"/>
      <c r="Q344" s="14">
        <f>IFERROR(Q328+Q329+Q330+Q331+Q332+Q333+Q334+Q335+Q337+Q338+Q339+Q340+Q341, "NA")</f>
        <v>193325.77</v>
      </c>
      <c r="R344" s="15">
        <f>IFERROR(Q344/Q444, "NA")</f>
        <v>9.4532813970597956E-2</v>
      </c>
      <c r="S344" s="2"/>
      <c r="T344" s="14">
        <f>IFERROR(T328+T329+T330+T331+T332+T333+T334+T335+T337+T338+T339+T340+T341, "NA")</f>
        <v>171686.5</v>
      </c>
      <c r="U344" s="15">
        <f>IFERROR(T344/T444, "NA")</f>
        <v>8.3901786160740593E-2</v>
      </c>
      <c r="V344" s="2"/>
      <c r="W344" s="14">
        <f t="shared" si="86"/>
        <v>-21639.26999999999</v>
      </c>
      <c r="X344" s="15">
        <f>IFERROR(W344/W444, "NA")</f>
        <v>17.821539753916497</v>
      </c>
      <c r="Y344" s="2"/>
      <c r="Z344" s="14">
        <f>IFERROR(Z328+Z329+Z330+Z331+Z332+Z333+Z334+Z335+Z337+Z338+Z339+Z340+Z341, "NA")</f>
        <v>168131</v>
      </c>
      <c r="AA344" s="15">
        <f>IFERROR(Z344/Z444, "NA")</f>
        <v>9.0328863661594996E-2</v>
      </c>
      <c r="AB344" s="2"/>
      <c r="AC344" s="14">
        <f t="shared" si="87"/>
        <v>-25194.76999999999</v>
      </c>
      <c r="AD344" s="15">
        <f>IFERROR(AC344/AC444, "NA")</f>
        <v>-0.13711861818437499</v>
      </c>
    </row>
    <row r="345" spans="1:30" ht="16.5" customHeight="1" x14ac:dyDescent="0.45">
      <c r="A345" s="22" t="s">
        <v>315</v>
      </c>
      <c r="B345" s="23">
        <f>IFERROR(B198-B325-B344, "NA")</f>
        <v>52566.160000000033</v>
      </c>
      <c r="C345" s="24">
        <f>IFERROR(B345/B444, "NA")</f>
        <v>0.23665155323549775</v>
      </c>
      <c r="D345" s="25"/>
      <c r="E345" s="23">
        <f>IFERROR(E198-E325-E344, "NA")</f>
        <v>53025.200000000041</v>
      </c>
      <c r="F345" s="24">
        <f>IFERROR(E345/E444, "NA")</f>
        <v>0.23534287652310446</v>
      </c>
      <c r="G345" s="25"/>
      <c r="H345" s="23">
        <f>IFERROR(B345-E345, "NA")</f>
        <v>-459.04000000000815</v>
      </c>
      <c r="I345" s="24">
        <f>IFERROR(H345/H444, "NA")</f>
        <v>0.14409437201987885</v>
      </c>
      <c r="J345" s="25"/>
      <c r="K345" s="23">
        <f>IFERROR(K198-K325-K344, "NA")</f>
        <v>43657.760000000038</v>
      </c>
      <c r="L345" s="24">
        <f>IFERROR(K345/K444, "NA")</f>
        <v>0.21701941006663841</v>
      </c>
      <c r="M345" s="25"/>
      <c r="N345" s="23">
        <f>IFERROR(B345-K345, "NA")</f>
        <v>8908.3999999999942</v>
      </c>
      <c r="O345" s="24">
        <f>IFERROR(N345/N444, "NA")</f>
        <v>0.42512293079225422</v>
      </c>
      <c r="P345" s="25"/>
      <c r="Q345" s="23">
        <f>IFERROR(Q198-Q325-Q344, "NA")</f>
        <v>271271.1199999993</v>
      </c>
      <c r="R345" s="24">
        <f>IFERROR(Q345/Q444, "NA")</f>
        <v>0.1326466840015984</v>
      </c>
      <c r="S345" s="25"/>
      <c r="T345" s="23">
        <f>IFERROR(T198-T325-T344, "NA")</f>
        <v>361447.11999999988</v>
      </c>
      <c r="U345" s="24">
        <f>IFERROR(T345/T444, "NA")</f>
        <v>0.17663624670929592</v>
      </c>
      <c r="V345" s="25"/>
      <c r="W345" s="23">
        <f>IFERROR(Q345-T345, "NA")</f>
        <v>-90176.000000000582</v>
      </c>
      <c r="X345" s="24">
        <f>IFERROR(W345/W444, "NA")</f>
        <v>74.266607369342182</v>
      </c>
      <c r="Y345" s="25"/>
      <c r="Z345" s="23">
        <f>IFERROR(Z198-Z325-Z344, "NA")</f>
        <v>295283.05999999965</v>
      </c>
      <c r="AA345" s="24">
        <f>IFERROR(Z345/Z444, "NA")</f>
        <v>0.15864167386334788</v>
      </c>
      <c r="AB345" s="25"/>
      <c r="AC345" s="23">
        <f>IFERROR(Q345-Z345, "NA")</f>
        <v>-24011.940000000352</v>
      </c>
      <c r="AD345" s="24">
        <f>IFERROR(AC345/AC444, "NA")</f>
        <v>-0.1306812498278877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52566.160000000033</v>
      </c>
      <c r="C404" s="24">
        <f>IFERROR(B404/B444, "NA")</f>
        <v>0.23665155323549775</v>
      </c>
      <c r="D404" s="25"/>
      <c r="E404" s="23">
        <f>IFERROR(E345-E403, "NA")</f>
        <v>53025.200000000041</v>
      </c>
      <c r="F404" s="24">
        <f>IFERROR(E404/E444, "NA")</f>
        <v>0.23534287652310446</v>
      </c>
      <c r="G404" s="25"/>
      <c r="H404" s="23">
        <f>IFERROR(B404-E404, "NA")</f>
        <v>-459.04000000000815</v>
      </c>
      <c r="I404" s="24">
        <f>IFERROR(H404/H444, "NA")</f>
        <v>0.14409437201987885</v>
      </c>
      <c r="J404" s="25"/>
      <c r="K404" s="23">
        <f>IFERROR(K345-K403, "NA")</f>
        <v>43657.760000000038</v>
      </c>
      <c r="L404" s="24">
        <f>IFERROR(K404/K444, "NA")</f>
        <v>0.21701941006663841</v>
      </c>
      <c r="M404" s="25"/>
      <c r="N404" s="23">
        <f>IFERROR(B404-K404, "NA")</f>
        <v>8908.3999999999942</v>
      </c>
      <c r="O404" s="24">
        <f>IFERROR(N404/N444, "NA")</f>
        <v>0.42512293079225422</v>
      </c>
      <c r="P404" s="25"/>
      <c r="Q404" s="23">
        <f>IFERROR(Q345-Q403, "NA")</f>
        <v>271271.1199999993</v>
      </c>
      <c r="R404" s="24">
        <f>IFERROR(Q404/Q444, "NA")</f>
        <v>0.1326466840015984</v>
      </c>
      <c r="S404" s="25"/>
      <c r="T404" s="23">
        <f>IFERROR(T345-T403, "NA")</f>
        <v>361447.11999999988</v>
      </c>
      <c r="U404" s="24">
        <f>IFERROR(T404/T444, "NA")</f>
        <v>0.17663624670929592</v>
      </c>
      <c r="V404" s="25"/>
      <c r="W404" s="23">
        <f>IFERROR(Q404-T404, "NA")</f>
        <v>-90176.000000000582</v>
      </c>
      <c r="X404" s="24">
        <f>IFERROR(W404/W444, "NA")</f>
        <v>74.266607369342182</v>
      </c>
      <c r="Y404" s="25"/>
      <c r="Z404" s="23">
        <f>IFERROR(Z345-Z403, "NA")</f>
        <v>295283.05999999965</v>
      </c>
      <c r="AA404" s="24">
        <f>IFERROR(Z404/Z444, "NA")</f>
        <v>0.15864167386334788</v>
      </c>
      <c r="AB404" s="25"/>
      <c r="AC404" s="23">
        <f>IFERROR(Q404-Z404, "NA")</f>
        <v>-24011.940000000352</v>
      </c>
      <c r="AD404" s="24">
        <f>IFERROR(AC404/AC444, "NA")</f>
        <v>-0.1306812498278877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-25</v>
      </c>
      <c r="R407" s="8">
        <f>IFERROR(Q407/Q444, "NA")</f>
        <v>-1.2224549004847875E-5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25</v>
      </c>
      <c r="X407" s="8">
        <f>IFERROR(W407/W444, "NA")</f>
        <v>-2.0589349541269765E-2</v>
      </c>
      <c r="Y407" s="9"/>
      <c r="Z407" s="7">
        <v>-40</v>
      </c>
      <c r="AA407" s="8">
        <f>IFERROR(Z407/Z444, "NA")</f>
        <v>-2.1490115127274565E-5</v>
      </c>
      <c r="AB407" s="9"/>
      <c r="AC407" s="10">
        <f t="shared" ref="AC407:AC429" si="103">IFERROR(-(Q407-Z407), "NA")</f>
        <v>-15</v>
      </c>
      <c r="AD407" s="8">
        <f>IFERROR(AC407/AC444, "NA")</f>
        <v>-8.163516764652447E-5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-191.2</v>
      </c>
      <c r="L408" s="8">
        <f>IFERROR(K408/K444, "NA")</f>
        <v>-9.504406823607355E-4</v>
      </c>
      <c r="M408" s="9"/>
      <c r="N408" s="10">
        <f t="shared" si="101"/>
        <v>-191.2</v>
      </c>
      <c r="O408" s="8">
        <f>IFERROR(N408/N444, "NA")</f>
        <v>-9.1243662574063862E-3</v>
      </c>
      <c r="P408" s="9"/>
      <c r="Q408" s="7">
        <v>250</v>
      </c>
      <c r="R408" s="8">
        <f>IFERROR(Q408/Q444, "NA")</f>
        <v>1.2224549004847876E-4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0.20589349541269766</v>
      </c>
      <c r="Y408" s="9"/>
      <c r="Z408" s="7">
        <v>5497.03</v>
      </c>
      <c r="AA408" s="8">
        <f>IFERROR(Z408/Z444, "NA")</f>
        <v>2.9532951889520522E-3</v>
      </c>
      <c r="AB408" s="9"/>
      <c r="AC408" s="10">
        <f t="shared" si="103"/>
        <v>5247.03</v>
      </c>
      <c r="AD408" s="8">
        <f>IFERROR(AC408/AC444, "NA")</f>
        <v>2.8556144913089554E-2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4119.5200000000004</v>
      </c>
      <c r="C410" s="8">
        <f>IFERROR(B410/B444, "NA")</f>
        <v>1.8545977232970742E-2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-4119.5200000000004</v>
      </c>
      <c r="I410" s="8">
        <f>IFERROR(H410/H444, "NA")</f>
        <v>1.2931327279176559</v>
      </c>
      <c r="J410" s="9"/>
      <c r="K410" s="7">
        <v>4690.57</v>
      </c>
      <c r="L410" s="8">
        <f>IFERROR(K410/K444, "NA")</f>
        <v>2.3316467319355626E-2</v>
      </c>
      <c r="M410" s="9"/>
      <c r="N410" s="10">
        <f t="shared" si="101"/>
        <v>571.04999999999927</v>
      </c>
      <c r="O410" s="8">
        <f>IFERROR(N410/N444, "NA")</f>
        <v>2.725140874106648E-2</v>
      </c>
      <c r="P410" s="9"/>
      <c r="Q410" s="7">
        <v>39145.269999999997</v>
      </c>
      <c r="R410" s="8">
        <f>IFERROR(Q410/Q444, "NA")</f>
        <v>1.9141330856920054E-2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-39145.269999999997</v>
      </c>
      <c r="X410" s="8">
        <f>IFERROR(W410/W444, "NA")</f>
        <v>32.239025876695244</v>
      </c>
      <c r="Y410" s="9"/>
      <c r="Z410" s="7">
        <v>50900.2</v>
      </c>
      <c r="AA410" s="8">
        <f>IFERROR(Z410/Z444, "NA")</f>
        <v>2.7346278950032516E-2</v>
      </c>
      <c r="AB410" s="9"/>
      <c r="AC410" s="10">
        <f t="shared" si="103"/>
        <v>11754.93</v>
      </c>
      <c r="AD410" s="8">
        <f>IFERROR(AC410/AC444, "NA")</f>
        <v>6.3974378748210672E-2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16.88</v>
      </c>
      <c r="C417" s="8">
        <f>IFERROR(B417/B444, "NA")</f>
        <v>7.5993342839104087E-5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-16.88</v>
      </c>
      <c r="I417" s="8">
        <f>IFERROR(H417/H444, "NA")</f>
        <v>5.2986951021599671E-3</v>
      </c>
      <c r="J417" s="9"/>
      <c r="K417" s="7">
        <v>-69.31</v>
      </c>
      <c r="L417" s="8">
        <f>IFERROR(K417/K444, "NA")</f>
        <v>-3.4453474735576665E-4</v>
      </c>
      <c r="M417" s="9"/>
      <c r="N417" s="10">
        <f t="shared" si="101"/>
        <v>-86.19</v>
      </c>
      <c r="O417" s="8">
        <f>IFERROR(N417/N444, "NA")</f>
        <v>-4.1131230529595003E-3</v>
      </c>
      <c r="P417" s="9"/>
      <c r="Q417" s="7">
        <v>141.94</v>
      </c>
      <c r="R417" s="8">
        <f>IFERROR(Q417/Q444, "NA")</f>
        <v>6.9406099429924288E-5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-141.94</v>
      </c>
      <c r="X417" s="8">
        <f>IFERROR(W417/W444, "NA")</f>
        <v>0.11689809095551322</v>
      </c>
      <c r="Y417" s="9"/>
      <c r="Z417" s="7">
        <v>-205.18</v>
      </c>
      <c r="AA417" s="8">
        <f>IFERROR(Z417/Z444, "NA")</f>
        <v>-1.1023354554535488E-4</v>
      </c>
      <c r="AB417" s="9"/>
      <c r="AC417" s="10">
        <f t="shared" si="103"/>
        <v>-347.12</v>
      </c>
      <c r="AD417" s="8">
        <f>IFERROR(AC417/AC444, "NA")</f>
        <v>-1.8891466262307719E-3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-160</v>
      </c>
      <c r="R421" s="8">
        <f>IFERROR(Q421/Q444, "NA")</f>
        <v>-7.8237113631026399E-5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160</v>
      </c>
      <c r="X421" s="8">
        <f>IFERROR(W421/W444, "NA")</f>
        <v>-0.13177183706412651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160</v>
      </c>
      <c r="AD421" s="8">
        <f>IFERROR(AC421/AC444, "NA")</f>
        <v>8.7077512156292776E-4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4136.4000000000005</v>
      </c>
      <c r="C428" s="15">
        <f>IFERROR(B428/B444, "NA")</f>
        <v>1.8621970575809846E-2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-4136.4000000000005</v>
      </c>
      <c r="I428" s="15">
        <f>IFERROR(H428/H444, "NA")</f>
        <v>1.298431423019816</v>
      </c>
      <c r="J428" s="2"/>
      <c r="K428" s="14">
        <f>IFERROR(K407+K408+K409+K410+K411+K412+K413+K414+K415+K416+K417+K418+K419+K420+K421+K422+K423+K424+K425+K426+K427, "NA")</f>
        <v>4430.0599999999995</v>
      </c>
      <c r="L428" s="15">
        <f>IFERROR(K428/K444, "NA")</f>
        <v>2.202149188963912E-2</v>
      </c>
      <c r="M428" s="2"/>
      <c r="N428" s="14">
        <f t="shared" si="101"/>
        <v>293.65999999999894</v>
      </c>
      <c r="O428" s="15">
        <f>IFERROR(N428/N444, "NA")</f>
        <v>1.4013919430700576E-2</v>
      </c>
      <c r="P428" s="2"/>
      <c r="Q428" s="14">
        <f>IFERROR(Q407+Q408+Q409+Q410+Q411+Q412+Q413+Q414+Q415+Q416+Q417+Q418+Q419+Q420+Q421+Q422+Q423+Q424+Q425+Q426+Q427, "NA")</f>
        <v>39352.21</v>
      </c>
      <c r="R428" s="15">
        <f>IFERROR(Q428/Q444, "NA")</f>
        <v>1.9242520783762582E-2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-39352.21</v>
      </c>
      <c r="X428" s="15">
        <f>IFERROR(W428/W444, "NA")</f>
        <v>32.409456276458059</v>
      </c>
      <c r="Y428" s="2"/>
      <c r="Z428" s="14">
        <f>IFERROR(Z407+Z408+Z409+Z410+Z411+Z412+Z413+Z414+Z415+Z416+Z417+Z418+Z419+Z420+Z421+Z422+Z423+Z424+Z425+Z426+Z427, "NA")</f>
        <v>56152.049999999996</v>
      </c>
      <c r="AA428" s="15">
        <f>IFERROR(Z428/Z444, "NA")</f>
        <v>3.0167850478311938E-2</v>
      </c>
      <c r="AB428" s="2"/>
      <c r="AC428" s="14">
        <f t="shared" si="103"/>
        <v>16799.839999999997</v>
      </c>
      <c r="AD428" s="15">
        <f>IFERROR(AC428/AC444, "NA")</f>
        <v>9.1430516988985827E-2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4136.4000000000005</v>
      </c>
      <c r="C429" s="15">
        <f>IFERROR(B429/B444, "NA")</f>
        <v>1.8621970575809846E-2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-4136.4000000000005</v>
      </c>
      <c r="I429" s="15">
        <f>IFERROR(H429/H444, "NA")</f>
        <v>1.298431423019816</v>
      </c>
      <c r="J429" s="2"/>
      <c r="K429" s="14">
        <f>IFERROR(K407+K408+K409+K410+K411+K412+K413+K414+K415+K416+K417+K418+K419+K420+K421+K422+K423+K424+K425+K426+K427, "NA")</f>
        <v>4430.0599999999995</v>
      </c>
      <c r="L429" s="15">
        <f>IFERROR(K429/K444, "NA")</f>
        <v>2.202149188963912E-2</v>
      </c>
      <c r="M429" s="2"/>
      <c r="N429" s="14">
        <f t="shared" si="101"/>
        <v>293.65999999999894</v>
      </c>
      <c r="O429" s="15">
        <f>IFERROR(N429/N444, "NA")</f>
        <v>1.4013919430700576E-2</v>
      </c>
      <c r="P429" s="2"/>
      <c r="Q429" s="14">
        <f>IFERROR(Q407+Q408+Q409+Q410+Q411+Q412+Q413+Q414+Q415+Q416+Q417+Q418+Q419+Q420+Q421+Q422+Q423+Q424+Q425+Q426+Q427, "NA")</f>
        <v>39352.21</v>
      </c>
      <c r="R429" s="15">
        <f>IFERROR(Q429/Q444, "NA")</f>
        <v>1.9242520783762582E-2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-39352.21</v>
      </c>
      <c r="X429" s="15">
        <f>IFERROR(W429/W444, "NA")</f>
        <v>32.409456276458059</v>
      </c>
      <c r="Y429" s="2"/>
      <c r="Z429" s="14">
        <f>IFERROR(Z407+Z408+Z409+Z410+Z411+Z412+Z413+Z414+Z415+Z416+Z417+Z418+Z419+Z420+Z421+Z422+Z423+Z424+Z425+Z426+Z427, "NA")</f>
        <v>56152.049999999996</v>
      </c>
      <c r="AA429" s="15">
        <f>IFERROR(Z429/Z444, "NA")</f>
        <v>3.0167850478311938E-2</v>
      </c>
      <c r="AB429" s="2"/>
      <c r="AC429" s="14">
        <f t="shared" si="103"/>
        <v>16799.839999999997</v>
      </c>
      <c r="AD429" s="15">
        <f>IFERROR(AC429/AC444, "NA")</f>
        <v>9.1430516988985827E-2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48429.760000000031</v>
      </c>
      <c r="C443" s="24">
        <f>IFERROR(B443/B444, "NA")</f>
        <v>0.21802958265968791</v>
      </c>
      <c r="D443" s="25"/>
      <c r="E443" s="23">
        <f>IFERROR(E404-E429-E442, "NA")</f>
        <v>53025.200000000041</v>
      </c>
      <c r="F443" s="24">
        <f>IFERROR(E443/E444, "NA")</f>
        <v>0.23534287652310446</v>
      </c>
      <c r="G443" s="25"/>
      <c r="H443" s="23">
        <f>IFERROR(B443-E443, "NA")</f>
        <v>-4595.4400000000096</v>
      </c>
      <c r="I443" s="24">
        <f>IFERROR(H443/H444, "NA")</f>
        <v>1.442525795039695</v>
      </c>
      <c r="J443" s="25"/>
      <c r="K443" s="23">
        <f>IFERROR(K404-K429-K442, "NA")</f>
        <v>39227.700000000041</v>
      </c>
      <c r="L443" s="24">
        <f>IFERROR(K443/K444, "NA")</f>
        <v>0.1949979181769993</v>
      </c>
      <c r="M443" s="25"/>
      <c r="N443" s="23">
        <f>IFERROR(B443-K443, "NA")</f>
        <v>9202.0599999999904</v>
      </c>
      <c r="O443" s="24">
        <f>IFERROR(N443/N444, "NA")</f>
        <v>0.43913685022295468</v>
      </c>
      <c r="P443" s="25"/>
      <c r="Q443" s="23">
        <f>IFERROR(Q404-Q429-Q442, "NA")</f>
        <v>231918.90999999931</v>
      </c>
      <c r="R443" s="24">
        <f>IFERROR(Q443/Q444, "NA")</f>
        <v>0.11340416321783582</v>
      </c>
      <c r="S443" s="25"/>
      <c r="T443" s="23">
        <f>IFERROR(T404-T429-T442, "NA")</f>
        <v>361447.11999999988</v>
      </c>
      <c r="U443" s="24">
        <f>IFERROR(T443/T444, "NA")</f>
        <v>0.17663624670929592</v>
      </c>
      <c r="V443" s="25"/>
      <c r="W443" s="23">
        <f>IFERROR(Q443-T443, "NA")</f>
        <v>-129528.21000000057</v>
      </c>
      <c r="X443" s="24">
        <f>IFERROR(W443/W444, "NA")</f>
        <v>106.67606364580023</v>
      </c>
      <c r="Y443" s="25"/>
      <c r="Z443" s="23">
        <f>IFERROR(Z404-Z429-Z442, "NA")</f>
        <v>239131.00999999966</v>
      </c>
      <c r="AA443" s="24">
        <f>IFERROR(Z443/Z444, "NA")</f>
        <v>0.12847382338503593</v>
      </c>
      <c r="AB443" s="25"/>
      <c r="AC443" s="23">
        <f>IFERROR(Q443-Z443, "NA")</f>
        <v>-7212.1000000003551</v>
      </c>
      <c r="AD443" s="24">
        <f>IFERROR(AC443/AC444, "NA")</f>
        <v>-3.9250732838901875E-2</v>
      </c>
    </row>
    <row r="444" spans="1:30" ht="15.75" hidden="1" x14ac:dyDescent="0.45">
      <c r="A444" s="26" t="s">
        <v>117</v>
      </c>
      <c r="B444" s="7">
        <v>222124.72</v>
      </c>
      <c r="C444" s="27"/>
      <c r="D444" s="9"/>
      <c r="E444" s="7">
        <v>225310.41</v>
      </c>
      <c r="F444" s="27"/>
      <c r="G444" s="9"/>
      <c r="H444" s="10">
        <f>IFERROR(B444-E444, "NA")</f>
        <v>-3185.6900000000023</v>
      </c>
      <c r="I444" s="27"/>
      <c r="J444" s="9"/>
      <c r="K444" s="7">
        <v>201169.84</v>
      </c>
      <c r="L444" s="27"/>
      <c r="M444" s="9"/>
      <c r="N444" s="10">
        <f>IFERROR(B444-K444, "NA")</f>
        <v>20954.880000000005</v>
      </c>
      <c r="O444" s="27"/>
      <c r="P444" s="9"/>
      <c r="Q444" s="7">
        <v>2045065.22</v>
      </c>
      <c r="R444" s="27"/>
      <c r="S444" s="9"/>
      <c r="T444" s="7">
        <v>2046279.44</v>
      </c>
      <c r="U444" s="27"/>
      <c r="V444" s="9"/>
      <c r="W444" s="10">
        <f>IFERROR(Q444-T444, "NA")</f>
        <v>-1214.2199999999721</v>
      </c>
      <c r="X444" s="27"/>
      <c r="Y444" s="9"/>
      <c r="Z444" s="7">
        <v>1861320.88</v>
      </c>
      <c r="AA444" s="27"/>
      <c r="AB444" s="9"/>
      <c r="AC444" s="10">
        <f>IFERROR(Q444-Z444, "NA")</f>
        <v>183744.34000000008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62618.05</v>
      </c>
      <c r="F10" s="8">
        <f>IFERROR(E10/E444, "NA")</f>
        <v>0.4939999853262762</v>
      </c>
      <c r="G10" s="9"/>
      <c r="H10" s="10">
        <f t="shared" ref="H10:H19" si="0">IFERROR(B10-E10, "NA")</f>
        <v>-62618.05</v>
      </c>
      <c r="I10" s="8">
        <f>IFERROR(H10/H444, "NA")</f>
        <v>-2.3030935312393006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595794.26</v>
      </c>
      <c r="U10" s="8">
        <f>IFERROR(T10/T444, "NA")</f>
        <v>0.49400001026481882</v>
      </c>
      <c r="V10" s="9"/>
      <c r="W10" s="10">
        <f t="shared" ref="W10:W19" si="2">IFERROR(Q10-T10, "NA")</f>
        <v>-595794.26</v>
      </c>
      <c r="X10" s="8">
        <f>IFERROR(W10/W444, "NA")</f>
        <v>10.199832706066697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35542.959999999999</v>
      </c>
      <c r="C11" s="8">
        <f>IFERROR(B11/B444, "NA")</f>
        <v>0.23087960923405151</v>
      </c>
      <c r="D11" s="9"/>
      <c r="E11" s="7">
        <v>0</v>
      </c>
      <c r="F11" s="8">
        <f>IFERROR(E11/E444, "NA")</f>
        <v>0</v>
      </c>
      <c r="G11" s="9"/>
      <c r="H11" s="10">
        <f t="shared" si="0"/>
        <v>35542.959999999999</v>
      </c>
      <c r="I11" s="8">
        <f>IFERROR(H11/H444, "NA")</f>
        <v>1.307271006636221</v>
      </c>
      <c r="J11" s="9"/>
      <c r="K11" s="7">
        <v>38127.25</v>
      </c>
      <c r="L11" s="8">
        <f>IFERROR(K11/K444, "NA")</f>
        <v>0.32786181102670287</v>
      </c>
      <c r="M11" s="9"/>
      <c r="N11" s="10">
        <f t="shared" si="1"/>
        <v>-2584.2900000000009</v>
      </c>
      <c r="O11" s="8">
        <f>IFERROR(N11/N444, "NA")</f>
        <v>-6.8630270679387387E-2</v>
      </c>
      <c r="P11" s="9"/>
      <c r="Q11" s="7">
        <v>464682.04</v>
      </c>
      <c r="R11" s="8">
        <f>IFERROR(Q11/Q444, "NA")</f>
        <v>0.40489906901593181</v>
      </c>
      <c r="S11" s="9"/>
      <c r="T11" s="7">
        <v>0</v>
      </c>
      <c r="U11" s="8">
        <f>IFERROR(T11/T444, "NA")</f>
        <v>0</v>
      </c>
      <c r="V11" s="9"/>
      <c r="W11" s="10">
        <f t="shared" si="2"/>
        <v>464682.04</v>
      </c>
      <c r="X11" s="8">
        <f>IFERROR(W11/W444, "NA")</f>
        <v>-7.9552278155781373</v>
      </c>
      <c r="Y11" s="9"/>
      <c r="Z11" s="7">
        <v>470061.86</v>
      </c>
      <c r="AA11" s="8">
        <f>IFERROR(Z11/Z444, "NA")</f>
        <v>0.4392020565704885</v>
      </c>
      <c r="AB11" s="9"/>
      <c r="AC11" s="10">
        <f t="shared" si="3"/>
        <v>-5379.820000000007</v>
      </c>
      <c r="AD11" s="8">
        <f>IFERROR(AC11/AC444, "NA")</f>
        <v>-6.9519535449236031E-2</v>
      </c>
    </row>
    <row r="12" spans="1:30" ht="16.5" customHeight="1" x14ac:dyDescent="0.45">
      <c r="A12" s="12" t="s">
        <v>14</v>
      </c>
      <c r="B12" s="7">
        <v>3323.9</v>
      </c>
      <c r="C12" s="8">
        <f>IFERROR(B12/B444, "NA")</f>
        <v>2.1591356857534202E-2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3323.9</v>
      </c>
      <c r="I12" s="8">
        <f>IFERROR(H12/H444, "NA")</f>
        <v>0.12225312970439532</v>
      </c>
      <c r="J12" s="9"/>
      <c r="K12" s="7">
        <v>3671.5</v>
      </c>
      <c r="L12" s="8">
        <f>IFERROR(K12/K444, "NA")</f>
        <v>3.157176662844919E-2</v>
      </c>
      <c r="M12" s="9"/>
      <c r="N12" s="10">
        <f t="shared" si="1"/>
        <v>-347.59999999999991</v>
      </c>
      <c r="O12" s="8">
        <f>IFERROR(N12/N444, "NA")</f>
        <v>-9.231116510977886E-3</v>
      </c>
      <c r="P12" s="9"/>
      <c r="Q12" s="7">
        <v>44672.9</v>
      </c>
      <c r="R12" s="8">
        <f>IFERROR(Q12/Q444, "NA")</f>
        <v>3.8925575045340298E-2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44672.9</v>
      </c>
      <c r="X12" s="8">
        <f>IFERROR(W12/W444, "NA")</f>
        <v>-0.76478767434726036</v>
      </c>
      <c r="Y12" s="9"/>
      <c r="Z12" s="7">
        <v>47862.7</v>
      </c>
      <c r="AA12" s="8">
        <f>IFERROR(Z12/Z444, "NA")</f>
        <v>4.4720489071409276E-2</v>
      </c>
      <c r="AB12" s="9"/>
      <c r="AC12" s="10">
        <f t="shared" si="3"/>
        <v>-3189.7999999999956</v>
      </c>
      <c r="AD12" s="8">
        <f>IFERROR(AC12/AC444, "NA")</f>
        <v>-4.1219485814761925E-2</v>
      </c>
    </row>
    <row r="13" spans="1:30" ht="16.5" customHeight="1" x14ac:dyDescent="0.45">
      <c r="A13" s="12" t="s">
        <v>15</v>
      </c>
      <c r="B13" s="7">
        <v>113</v>
      </c>
      <c r="C13" s="8">
        <f>IFERROR(B13/B444, "NA")</f>
        <v>7.340242862003565E-4</v>
      </c>
      <c r="D13" s="9"/>
      <c r="E13" s="7">
        <v>0</v>
      </c>
      <c r="F13" s="8">
        <f>IFERROR(E13/E444, "NA")</f>
        <v>0</v>
      </c>
      <c r="G13" s="9"/>
      <c r="H13" s="10">
        <f t="shared" si="0"/>
        <v>113</v>
      </c>
      <c r="I13" s="8">
        <f>IFERROR(H13/H444, "NA")</f>
        <v>4.1561429816169776E-3</v>
      </c>
      <c r="J13" s="9"/>
      <c r="K13" s="7">
        <v>44.5</v>
      </c>
      <c r="L13" s="8">
        <f>IFERROR(K13/K444, "NA")</f>
        <v>3.8266202232493235E-4</v>
      </c>
      <c r="M13" s="9"/>
      <c r="N13" s="10">
        <f t="shared" si="1"/>
        <v>68.5</v>
      </c>
      <c r="O13" s="8">
        <f>IFERROR(N13/N444, "NA")</f>
        <v>1.8191354459205563E-3</v>
      </c>
      <c r="P13" s="9"/>
      <c r="Q13" s="7">
        <v>1617.5</v>
      </c>
      <c r="R13" s="8">
        <f>IFERROR(Q13/Q444, "NA")</f>
        <v>1.409402963224638E-3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1617.5</v>
      </c>
      <c r="X13" s="8">
        <f>IFERROR(W13/W444, "NA")</f>
        <v>-2.7691151979313936E-2</v>
      </c>
      <c r="Y13" s="9"/>
      <c r="Z13" s="7">
        <v>1165</v>
      </c>
      <c r="AA13" s="8">
        <f>IFERROR(Z13/Z444, "NA")</f>
        <v>1.0885171494335215E-3</v>
      </c>
      <c r="AB13" s="9"/>
      <c r="AC13" s="10">
        <f t="shared" si="3"/>
        <v>452.5</v>
      </c>
      <c r="AD13" s="8">
        <f>IFERROR(AC13/AC444, "NA")</f>
        <v>5.8473312844629123E-3</v>
      </c>
    </row>
    <row r="14" spans="1:30" ht="16.5" customHeight="1" x14ac:dyDescent="0.45">
      <c r="A14" s="12" t="s">
        <v>16</v>
      </c>
      <c r="B14" s="7">
        <v>115</v>
      </c>
      <c r="C14" s="8">
        <f>IFERROR(B14/B444, "NA")</f>
        <v>7.4701586648708842E-4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115</v>
      </c>
      <c r="I14" s="8">
        <f>IFERROR(H14/H444, "NA")</f>
        <v>4.2297030343889591E-3</v>
      </c>
      <c r="J14" s="9"/>
      <c r="K14" s="7">
        <v>465</v>
      </c>
      <c r="L14" s="8">
        <f>IFERROR(K14/K444, "NA")</f>
        <v>3.9986031546313154E-3</v>
      </c>
      <c r="M14" s="9"/>
      <c r="N14" s="10">
        <f t="shared" si="1"/>
        <v>-350</v>
      </c>
      <c r="O14" s="8">
        <f>IFERROR(N14/N444, "NA")</f>
        <v>-9.2948526433897036E-3</v>
      </c>
      <c r="P14" s="9"/>
      <c r="Q14" s="7">
        <v>2790</v>
      </c>
      <c r="R14" s="8">
        <f>IFERROR(Q14/Q444, "NA")</f>
        <v>2.4310567340938114E-3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2790</v>
      </c>
      <c r="X14" s="8">
        <f>IFERROR(W14/W444, "NA")</f>
        <v>-4.7764027216250934E-2</v>
      </c>
      <c r="Y14" s="9"/>
      <c r="Z14" s="7">
        <v>6300</v>
      </c>
      <c r="AA14" s="8">
        <f>IFERROR(Z14/Z444, "NA")</f>
        <v>5.8864017523014471E-3</v>
      </c>
      <c r="AB14" s="9"/>
      <c r="AC14" s="10">
        <f t="shared" si="3"/>
        <v>-3510</v>
      </c>
      <c r="AD14" s="8">
        <f>IFERROR(AC14/AC444, "NA")</f>
        <v>-4.5357199576717834E-2</v>
      </c>
    </row>
    <row r="15" spans="1:30" ht="16.5" customHeight="1" x14ac:dyDescent="0.45">
      <c r="A15" s="12" t="s">
        <v>17</v>
      </c>
      <c r="B15" s="7">
        <v>18</v>
      </c>
      <c r="C15" s="8">
        <f>IFERROR(B15/B444, "NA")</f>
        <v>1.1692422258058776E-4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18</v>
      </c>
      <c r="I15" s="8">
        <f>IFERROR(H15/H444, "NA")</f>
        <v>6.6204047494783716E-4</v>
      </c>
      <c r="J15" s="9"/>
      <c r="K15" s="7">
        <v>28</v>
      </c>
      <c r="L15" s="8">
        <f>IFERROR(K15/K444, "NA")</f>
        <v>2.4077610393478889E-4</v>
      </c>
      <c r="M15" s="9"/>
      <c r="N15" s="10">
        <f t="shared" si="1"/>
        <v>-10</v>
      </c>
      <c r="O15" s="8">
        <f>IFERROR(N15/N444, "NA")</f>
        <v>-2.6556721838256298E-4</v>
      </c>
      <c r="P15" s="9"/>
      <c r="Q15" s="7">
        <v>299</v>
      </c>
      <c r="R15" s="8">
        <f>IFERROR(Q15/Q444, "NA")</f>
        <v>2.6053260340288517E-4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299</v>
      </c>
      <c r="X15" s="8">
        <f>IFERROR(W15/W444, "NA")</f>
        <v>-5.1187971819566412E-3</v>
      </c>
      <c r="Y15" s="9"/>
      <c r="Z15" s="7">
        <v>425.5</v>
      </c>
      <c r="AA15" s="8">
        <f>IFERROR(Z15/Z444, "NA")</f>
        <v>3.9756570565147075E-4</v>
      </c>
      <c r="AB15" s="9"/>
      <c r="AC15" s="10">
        <f t="shared" si="3"/>
        <v>-126.5</v>
      </c>
      <c r="AD15" s="8">
        <f>IFERROR(AC15/AC444, "NA")</f>
        <v>-1.6346683038332781E-3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9.5848114964272132E-7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-1.8831695318235134E-5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1.4214506989854593E-5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39112.86</v>
      </c>
      <c r="C18" s="15">
        <f>IFERROR(B18/B444, "NA")</f>
        <v>0.25406893046685375</v>
      </c>
      <c r="D18" s="2"/>
      <c r="E18" s="14">
        <f>IFERROR(E10+E11+E12+E13+E14+E15+E16+E17, "NA")</f>
        <v>62618.05</v>
      </c>
      <c r="F18" s="15">
        <f>IFERROR(E18/E444, "NA")</f>
        <v>0.4939999853262762</v>
      </c>
      <c r="G18" s="2"/>
      <c r="H18" s="14">
        <f t="shared" si="0"/>
        <v>-23505.190000000002</v>
      </c>
      <c r="I18" s="15">
        <f>IFERROR(H18/H444, "NA")</f>
        <v>-0.86452150840773079</v>
      </c>
      <c r="J18" s="2"/>
      <c r="K18" s="14">
        <f>IFERROR(K10+K11+K12+K13+K14+K15+K16+K17, "NA")</f>
        <v>42336.25</v>
      </c>
      <c r="L18" s="15">
        <f>IFERROR(K18/K444, "NA")</f>
        <v>0.36405561893604305</v>
      </c>
      <c r="M18" s="2"/>
      <c r="N18" s="14">
        <f t="shared" si="1"/>
        <v>-3223.3899999999994</v>
      </c>
      <c r="O18" s="15">
        <f>IFERROR(N18/N444, "NA")</f>
        <v>-8.5602671606216943E-2</v>
      </c>
      <c r="P18" s="2"/>
      <c r="Q18" s="14">
        <f>IFERROR(Q10+Q11+Q12+Q13+Q14+Q15+Q16+Q17, "NA")</f>
        <v>514062.54</v>
      </c>
      <c r="R18" s="15">
        <f>IFERROR(Q18/Q444, "NA")</f>
        <v>0.44792659484314307</v>
      </c>
      <c r="S18" s="2"/>
      <c r="T18" s="14">
        <f>IFERROR(T10+T11+T12+T13+T14+T15+T16+T17, "NA")</f>
        <v>595794.26</v>
      </c>
      <c r="U18" s="15">
        <f>IFERROR(T18/T444, "NA")</f>
        <v>0.49400001026481882</v>
      </c>
      <c r="V18" s="2"/>
      <c r="W18" s="14">
        <f t="shared" si="2"/>
        <v>-81731.72000000003</v>
      </c>
      <c r="X18" s="15">
        <f>IFERROR(W18/W444, "NA")</f>
        <v>1.3992244080684595</v>
      </c>
      <c r="Y18" s="2"/>
      <c r="Z18" s="14">
        <f>IFERROR(Z10+Z11+Z12+Z13+Z14+Z15+Z16+Z17, "NA")</f>
        <v>525815.06000000006</v>
      </c>
      <c r="AA18" s="15">
        <f>IFERROR(Z18/Z444, "NA")</f>
        <v>0.49129503024928428</v>
      </c>
      <c r="AB18" s="2"/>
      <c r="AC18" s="14">
        <f t="shared" si="3"/>
        <v>-11752.520000000077</v>
      </c>
      <c r="AD18" s="15">
        <f>IFERROR(AC18/AC444, "NA")</f>
        <v>-0.15186934335309726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9887.06</v>
      </c>
      <c r="F21" s="8">
        <f>IFERROR(E21/E444, "NA")</f>
        <v>7.7999993530938949E-2</v>
      </c>
      <c r="G21" s="9"/>
      <c r="H21" s="10">
        <f t="shared" ref="H21:H29" si="4">IFERROR(B21-E21, "NA")</f>
        <v>-9887.06</v>
      </c>
      <c r="I21" s="8">
        <f>IFERROR(H21/H444, "NA")</f>
        <v>-0.3636463276798757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94072.78</v>
      </c>
      <c r="U21" s="8">
        <f>IFERROR(T21/T444, "NA")</f>
        <v>7.8000003366329923E-2</v>
      </c>
      <c r="V21" s="9"/>
      <c r="W21" s="10">
        <f t="shared" ref="W21:W29" si="6">IFERROR(Q21-T21, "NA")</f>
        <v>-94072.78</v>
      </c>
      <c r="X21" s="8">
        <f>IFERROR(W21/W444, "NA")</f>
        <v>1.6104999369994215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5375.8</v>
      </c>
      <c r="C22" s="8">
        <f>IFERROR(B22/B444, "NA")</f>
        <v>3.4920068652706873E-2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5375.8</v>
      </c>
      <c r="I22" s="8">
        <f>IFERROR(H22/H444, "NA")</f>
        <v>0.19772206584581017</v>
      </c>
      <c r="J22" s="9"/>
      <c r="K22" s="7">
        <v>6960.2</v>
      </c>
      <c r="L22" s="8">
        <f>IFERROR(K22/K444, "NA")</f>
        <v>5.9851779950247055E-2</v>
      </c>
      <c r="M22" s="9"/>
      <c r="N22" s="10">
        <f t="shared" si="5"/>
        <v>-1584.3999999999996</v>
      </c>
      <c r="O22" s="8">
        <f>IFERROR(N22/N444, "NA")</f>
        <v>-4.2076470080533265E-2</v>
      </c>
      <c r="P22" s="9"/>
      <c r="Q22" s="7">
        <v>68479.88</v>
      </c>
      <c r="R22" s="8">
        <f>IFERROR(Q22/Q444, "NA")</f>
        <v>5.9669703736177818E-2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68479.88</v>
      </c>
      <c r="X22" s="8">
        <f>IFERROR(W22/W444, "NA")</f>
        <v>-1.1723565778084581</v>
      </c>
      <c r="Y22" s="9"/>
      <c r="Z22" s="7">
        <v>64587.08</v>
      </c>
      <c r="AA22" s="8">
        <f>IFERROR(Z22/Z444, "NA")</f>
        <v>6.03469049028625E-2</v>
      </c>
      <c r="AB22" s="9"/>
      <c r="AC22" s="10">
        <f t="shared" si="7"/>
        <v>3892.8000000000029</v>
      </c>
      <c r="AD22" s="8">
        <f>IFERROR(AC22/AC444, "NA")</f>
        <v>5.0303848009187274E-2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544.5</v>
      </c>
      <c r="C24" s="8">
        <f>IFERROR(B24/B444, "NA")</f>
        <v>3.5369577330627796E-3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544.5</v>
      </c>
      <c r="I24" s="8">
        <f>IFERROR(H24/H444, "NA")</f>
        <v>2.0026724367172073E-2</v>
      </c>
      <c r="J24" s="9"/>
      <c r="K24" s="7">
        <v>895.56</v>
      </c>
      <c r="L24" s="8">
        <f>IFERROR(K24/K444, "NA")</f>
        <v>7.7010517014228404E-3</v>
      </c>
      <c r="M24" s="9"/>
      <c r="N24" s="10">
        <f t="shared" si="5"/>
        <v>-351.05999999999995</v>
      </c>
      <c r="O24" s="8">
        <f>IFERROR(N24/N444, "NA")</f>
        <v>-9.3230027685382542E-3</v>
      </c>
      <c r="P24" s="9"/>
      <c r="Q24" s="7">
        <v>10079.379999999999</v>
      </c>
      <c r="R24" s="8">
        <f>IFERROR(Q24/Q444, "NA")</f>
        <v>8.7826324818962281E-3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10079.379999999999</v>
      </c>
      <c r="X24" s="8">
        <f>IFERROR(W24/W444, "NA")</f>
        <v>-0.17255619377882986</v>
      </c>
      <c r="Y24" s="9"/>
      <c r="Z24" s="7">
        <v>6530.24</v>
      </c>
      <c r="AA24" s="8">
        <f>IFERROR(Z24/Z444, "NA")</f>
        <v>6.1015263776109524E-3</v>
      </c>
      <c r="AB24" s="9"/>
      <c r="AC24" s="10">
        <f t="shared" si="7"/>
        <v>3549.1399999999994</v>
      </c>
      <c r="AD24" s="8">
        <f>IFERROR(AC24/AC444, "NA")</f>
        <v>4.5862977579975019E-2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1442.63</v>
      </c>
      <c r="AA27" s="8">
        <f>IFERROR(Z27/Z444, "NA")</f>
        <v>1.347920596813117E-3</v>
      </c>
      <c r="AB27" s="9"/>
      <c r="AC27" s="10">
        <f t="shared" si="7"/>
        <v>-1442.63</v>
      </c>
      <c r="AD27" s="8">
        <f>IFERROR(AC27/AC444, "NA")</f>
        <v>-1.8642067471612667E-2</v>
      </c>
    </row>
    <row r="28" spans="1:30" ht="16.5" customHeight="1" x14ac:dyDescent="0.45">
      <c r="A28" s="12" t="s">
        <v>29</v>
      </c>
      <c r="B28" s="7">
        <v>820.63</v>
      </c>
      <c r="C28" s="8">
        <f>IFERROR(B28/B444, "NA")</f>
        <v>5.3306402653504293E-3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820.63</v>
      </c>
      <c r="I28" s="8">
        <f>IFERROR(H28/H444, "NA")</f>
        <v>3.0182793053135756E-2</v>
      </c>
      <c r="J28" s="9"/>
      <c r="K28" s="7">
        <v>778.7</v>
      </c>
      <c r="L28" s="8">
        <f>IFERROR(K28/K444, "NA")</f>
        <v>6.6961554333578614E-3</v>
      </c>
      <c r="M28" s="9"/>
      <c r="N28" s="10">
        <f t="shared" si="5"/>
        <v>41.92999999999995</v>
      </c>
      <c r="O28" s="8">
        <f>IFERROR(N28/N444, "NA")</f>
        <v>1.1135233466780851E-3</v>
      </c>
      <c r="P28" s="9"/>
      <c r="Q28" s="7">
        <v>9540.75</v>
      </c>
      <c r="R28" s="8">
        <f>IFERROR(Q28/Q444, "NA")</f>
        <v>8.3132991167761752E-3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9540.75</v>
      </c>
      <c r="X28" s="8">
        <f>IFERROR(W28/W444, "NA")</f>
        <v>-0.16333499737041077</v>
      </c>
      <c r="Y28" s="9"/>
      <c r="Z28" s="7">
        <v>9375.68</v>
      </c>
      <c r="AA28" s="8">
        <f>IFERROR(Z28/Z444, "NA")</f>
        <v>8.7601617747647045E-3</v>
      </c>
      <c r="AB28" s="9"/>
      <c r="AC28" s="10">
        <f t="shared" si="7"/>
        <v>165.06999999999971</v>
      </c>
      <c r="AD28" s="8">
        <f>IFERROR(AC28/AC444, "NA")</f>
        <v>2.133080608013903E-3</v>
      </c>
    </row>
    <row r="29" spans="1:30" ht="16.5" customHeight="1" x14ac:dyDescent="0.45">
      <c r="A29" s="13" t="s">
        <v>30</v>
      </c>
      <c r="B29" s="14">
        <f>IFERROR(B21+B22+B23+B24+B25+B26+B27+B28, "NA")</f>
        <v>6740.93</v>
      </c>
      <c r="C29" s="15">
        <f>IFERROR(B29/B444, "NA")</f>
        <v>4.3787666651120084E-2</v>
      </c>
      <c r="D29" s="2"/>
      <c r="E29" s="14">
        <f>IFERROR(E21+E22+E23+E24+E25+E26+E27+E28, "NA")</f>
        <v>9887.06</v>
      </c>
      <c r="F29" s="15">
        <f>IFERROR(E29/E444, "NA")</f>
        <v>7.7999993530938949E-2</v>
      </c>
      <c r="G29" s="2"/>
      <c r="H29" s="14">
        <f t="shared" si="4"/>
        <v>-3146.1299999999992</v>
      </c>
      <c r="I29" s="15">
        <f>IFERROR(H29/H444, "NA")</f>
        <v>-0.11571474441375769</v>
      </c>
      <c r="J29" s="2"/>
      <c r="K29" s="14">
        <f>IFERROR(K21+K22+K23+K24+K25+K26+K27+K28, "NA")</f>
        <v>8634.4600000000009</v>
      </c>
      <c r="L29" s="15">
        <f>IFERROR(K29/K444, "NA")</f>
        <v>7.4248987085027765E-2</v>
      </c>
      <c r="M29" s="2"/>
      <c r="N29" s="14">
        <f t="shared" si="5"/>
        <v>-1893.5300000000007</v>
      </c>
      <c r="O29" s="15">
        <f>IFERROR(N29/N444, "NA")</f>
        <v>-5.0285949502393464E-2</v>
      </c>
      <c r="P29" s="2"/>
      <c r="Q29" s="14">
        <f>IFERROR(Q21+Q22+Q23+Q24+Q25+Q26+Q27+Q28, "NA")</f>
        <v>88100.010000000009</v>
      </c>
      <c r="R29" s="15">
        <f>IFERROR(Q29/Q444, "NA")</f>
        <v>7.676563533485023E-2</v>
      </c>
      <c r="S29" s="2"/>
      <c r="T29" s="14">
        <f>IFERROR(T21+T22+T23+T24+T25+T26+T27+T28, "NA")</f>
        <v>94072.78</v>
      </c>
      <c r="U29" s="15">
        <f>IFERROR(T29/T444, "NA")</f>
        <v>7.8000003366329923E-2</v>
      </c>
      <c r="V29" s="2"/>
      <c r="W29" s="14">
        <f t="shared" si="6"/>
        <v>-5972.7699999999895</v>
      </c>
      <c r="X29" s="15">
        <f>IFERROR(W29/W444, "NA")</f>
        <v>0.10225216804172278</v>
      </c>
      <c r="Y29" s="2"/>
      <c r="Z29" s="14">
        <f>IFERROR(Z21+Z22+Z23+Z24+Z25+Z26+Z27+Z28, "NA")</f>
        <v>81935.63</v>
      </c>
      <c r="AA29" s="15">
        <f>IFERROR(Z29/Z444, "NA")</f>
        <v>7.6556513652051281E-2</v>
      </c>
      <c r="AB29" s="2"/>
      <c r="AC29" s="14">
        <f t="shared" si="7"/>
        <v>6164.3800000000047</v>
      </c>
      <c r="AD29" s="15">
        <f>IFERROR(AC29/AC444, "NA")</f>
        <v>7.9657838725563562E-2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30802</v>
      </c>
      <c r="F31" s="8">
        <f>IFERROR(E31/E444, "NA")</f>
        <v>0.2430000223261497</v>
      </c>
      <c r="G31" s="9"/>
      <c r="H31" s="10">
        <f t="shared" ref="H31:H40" si="8">IFERROR(B31-E31, "NA")</f>
        <v>-30802</v>
      </c>
      <c r="I31" s="8">
        <f>IFERROR(H31/H444, "NA")</f>
        <v>-1.1328983727412933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293072.88</v>
      </c>
      <c r="U31" s="8">
        <f>IFERROR(T31/T444, "NA")</f>
        <v>0.24300000092035129</v>
      </c>
      <c r="V31" s="9"/>
      <c r="W31" s="10">
        <f t="shared" ref="W31:W40" si="10">IFERROR(Q31-T31, "NA")</f>
        <v>-293072.88</v>
      </c>
      <c r="X31" s="8">
        <f>IFERROR(W31/W444, "NA")</f>
        <v>5.0173265292706253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10411.59</v>
      </c>
      <c r="C33" s="8">
        <f>IFERROR(B33/B444, "NA")</f>
        <v>6.7631503698767872E-2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10411.59</v>
      </c>
      <c r="I33" s="8">
        <f>IFERROR(H33/H444, "NA")</f>
        <v>0.38293855492011952</v>
      </c>
      <c r="J33" s="9"/>
      <c r="K33" s="7">
        <v>11179.7</v>
      </c>
      <c r="L33" s="8">
        <f>IFERROR(K33/K444, "NA")</f>
        <v>9.6135878898562843E-2</v>
      </c>
      <c r="M33" s="9"/>
      <c r="N33" s="10">
        <f t="shared" si="9"/>
        <v>-768.11000000000058</v>
      </c>
      <c r="O33" s="8">
        <f>IFERROR(N33/N444, "NA")</f>
        <v>-2.0398483611183058E-2</v>
      </c>
      <c r="P33" s="9"/>
      <c r="Q33" s="7">
        <v>115205.24</v>
      </c>
      <c r="R33" s="8">
        <f>IFERROR(Q33/Q444, "NA")</f>
        <v>0.10038368261824147</v>
      </c>
      <c r="S33" s="9"/>
      <c r="T33" s="7">
        <v>0</v>
      </c>
      <c r="U33" s="8">
        <f>IFERROR(T33/T444, "NA")</f>
        <v>0</v>
      </c>
      <c r="V33" s="9"/>
      <c r="W33" s="10">
        <f t="shared" si="10"/>
        <v>115205.24</v>
      </c>
      <c r="X33" s="8">
        <f>IFERROR(W33/W444, "NA")</f>
        <v>-1.9722817988583228</v>
      </c>
      <c r="Y33" s="9"/>
      <c r="Z33" s="7">
        <v>97696.17</v>
      </c>
      <c r="AA33" s="8">
        <f>IFERROR(Z33/Z444, "NA")</f>
        <v>9.1282366076371441E-2</v>
      </c>
      <c r="AB33" s="9"/>
      <c r="AC33" s="10">
        <f t="shared" si="11"/>
        <v>17509.070000000007</v>
      </c>
      <c r="AD33" s="8">
        <f>IFERROR(AC33/AC444, "NA")</f>
        <v>0.22625708900077587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1062.3499999999999</v>
      </c>
      <c r="C35" s="8">
        <f>IFERROR(B35/B444, "NA")</f>
        <v>6.9008026588048554E-3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1062.3499999999999</v>
      </c>
      <c r="I35" s="8">
        <f>IFERROR(H35/H444, "NA")</f>
        <v>3.9073261031157484E-2</v>
      </c>
      <c r="J35" s="9"/>
      <c r="K35" s="7">
        <v>1400.81</v>
      </c>
      <c r="L35" s="8">
        <f>IFERROR(K35/K444, "NA")</f>
        <v>1.2045770505460414E-2</v>
      </c>
      <c r="M35" s="9"/>
      <c r="N35" s="10">
        <f t="shared" si="9"/>
        <v>-338.46000000000004</v>
      </c>
      <c r="O35" s="8">
        <f>IFERROR(N35/N444, "NA")</f>
        <v>-8.9883880733762269E-3</v>
      </c>
      <c r="P35" s="9"/>
      <c r="Q35" s="7">
        <v>13633.82</v>
      </c>
      <c r="R35" s="8">
        <f>IFERROR(Q35/Q444, "NA")</f>
        <v>1.187978133420175E-2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13633.82</v>
      </c>
      <c r="X35" s="8">
        <f>IFERROR(W35/W444, "NA")</f>
        <v>-0.2334072220578732</v>
      </c>
      <c r="Y35" s="9"/>
      <c r="Z35" s="7">
        <v>4851.51</v>
      </c>
      <c r="AA35" s="8">
        <f>IFERROR(Z35/Z444, "NA")</f>
        <v>4.5330058675092056E-3</v>
      </c>
      <c r="AB35" s="9"/>
      <c r="AC35" s="10">
        <f t="shared" si="11"/>
        <v>8782.31</v>
      </c>
      <c r="AD35" s="8">
        <f>IFERROR(AC35/AC444, "NA")</f>
        <v>0.11348746080188171</v>
      </c>
    </row>
    <row r="36" spans="1:30" ht="16.5" customHeight="1" x14ac:dyDescent="0.45">
      <c r="A36" s="12" t="s">
        <v>36</v>
      </c>
      <c r="B36" s="7">
        <v>14200.99</v>
      </c>
      <c r="C36" s="8">
        <f>IFERROR(B36/B444, "NA")</f>
        <v>9.2246650868038946E-2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14200.99</v>
      </c>
      <c r="I36" s="8">
        <f>IFERROR(H36/H444, "NA")</f>
        <v>0.52231278690719363</v>
      </c>
      <c r="J36" s="9"/>
      <c r="K36" s="7">
        <v>12759.76</v>
      </c>
      <c r="L36" s="8">
        <f>IFERROR(K36/K444, "NA")</f>
        <v>0.10972304642653435</v>
      </c>
      <c r="M36" s="9"/>
      <c r="N36" s="10">
        <f t="shared" si="9"/>
        <v>1441.2299999999996</v>
      </c>
      <c r="O36" s="8">
        <f>IFERROR(N36/N444, "NA")</f>
        <v>3.8274344214950108E-2</v>
      </c>
      <c r="P36" s="9"/>
      <c r="Q36" s="7">
        <v>139082.04999999999</v>
      </c>
      <c r="R36" s="8">
        <f>IFERROR(Q36/Q444, "NA")</f>
        <v>0.12118865743515131</v>
      </c>
      <c r="S36" s="9"/>
      <c r="T36" s="7">
        <v>0</v>
      </c>
      <c r="U36" s="8">
        <f>IFERROR(T36/T444, "NA")</f>
        <v>0</v>
      </c>
      <c r="V36" s="9"/>
      <c r="W36" s="10">
        <f t="shared" si="10"/>
        <v>139082.04999999999</v>
      </c>
      <c r="X36" s="8">
        <f>IFERROR(W36/W444, "NA")</f>
        <v>-2.3810461725777676</v>
      </c>
      <c r="Y36" s="9"/>
      <c r="Z36" s="7">
        <v>142842.74</v>
      </c>
      <c r="AA36" s="8">
        <f>IFERROR(Z36/Z444, "NA")</f>
        <v>0.13346504048246666</v>
      </c>
      <c r="AB36" s="9"/>
      <c r="AC36" s="10">
        <f t="shared" si="11"/>
        <v>-3760.6900000000023</v>
      </c>
      <c r="AD36" s="8">
        <f>IFERROR(AC36/AC444, "NA")</f>
        <v>-4.8596685719705726E-2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785.9</v>
      </c>
      <c r="C39" s="8">
        <f>IFERROR(B39/B444, "NA")</f>
        <v>5.105041473671329E-3</v>
      </c>
      <c r="D39" s="9"/>
      <c r="E39" s="7">
        <v>0</v>
      </c>
      <c r="F39" s="8">
        <f>IFERROR(E39/E444, "NA")</f>
        <v>0</v>
      </c>
      <c r="G39" s="9"/>
      <c r="H39" s="10">
        <f t="shared" si="8"/>
        <v>785.9</v>
      </c>
      <c r="I39" s="8">
        <f>IFERROR(H39/H444, "NA")</f>
        <v>2.8905422736750289E-2</v>
      </c>
      <c r="J39" s="9"/>
      <c r="K39" s="7">
        <v>990.25</v>
      </c>
      <c r="L39" s="8">
        <f>IFERROR(K39/K444, "NA")</f>
        <v>8.5153048900508815E-3</v>
      </c>
      <c r="M39" s="9"/>
      <c r="N39" s="10">
        <f t="shared" si="9"/>
        <v>-204.35000000000002</v>
      </c>
      <c r="O39" s="8">
        <f>IFERROR(N39/N444, "NA")</f>
        <v>-5.4268661076476744E-3</v>
      </c>
      <c r="P39" s="9"/>
      <c r="Q39" s="7">
        <v>9112.6</v>
      </c>
      <c r="R39" s="8">
        <f>IFERROR(Q39/Q444, "NA")</f>
        <v>7.940232112940239E-3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9112.6</v>
      </c>
      <c r="X39" s="8">
        <f>IFERROR(W39/W444, "NA")</f>
        <v>-0.15600518796086318</v>
      </c>
      <c r="Y39" s="9"/>
      <c r="Z39" s="7">
        <v>11445.24</v>
      </c>
      <c r="AA39" s="8">
        <f>IFERROR(Z39/Z444, "NA")</f>
        <v>1.0693854093890573E-2</v>
      </c>
      <c r="AB39" s="9"/>
      <c r="AC39" s="10">
        <f t="shared" si="11"/>
        <v>-2332.6399999999994</v>
      </c>
      <c r="AD39" s="8">
        <f>IFERROR(AC39/AC444, "NA")</f>
        <v>-3.0143025077104008E-2</v>
      </c>
    </row>
    <row r="40" spans="1:30" ht="16.5" customHeight="1" x14ac:dyDescent="0.45">
      <c r="A40" s="13" t="s">
        <v>40</v>
      </c>
      <c r="B40" s="14">
        <f>IFERROR(B31+B32+B33+B34+B35+B36+B37+B38+B39, "NA")</f>
        <v>26460.83</v>
      </c>
      <c r="C40" s="15">
        <f>IFERROR(B40/B444, "NA")</f>
        <v>0.171883998699283</v>
      </c>
      <c r="D40" s="2"/>
      <c r="E40" s="14">
        <f>IFERROR(E31+E32+E33+E34+E35+E36+E37+E38+E39, "NA")</f>
        <v>30802</v>
      </c>
      <c r="F40" s="15">
        <f>IFERROR(E40/E444, "NA")</f>
        <v>0.2430000223261497</v>
      </c>
      <c r="G40" s="2"/>
      <c r="H40" s="14">
        <f t="shared" si="8"/>
        <v>-4341.1699999999983</v>
      </c>
      <c r="I40" s="15">
        <f>IFERROR(H40/H444, "NA")</f>
        <v>-0.15966834714607228</v>
      </c>
      <c r="J40" s="2"/>
      <c r="K40" s="14">
        <f>IFERROR(K31+K32+K33+K34+K35+K36+K37+K38+K39, "NA")</f>
        <v>26330.52</v>
      </c>
      <c r="L40" s="15">
        <f>IFERROR(K40/K444, "NA")</f>
        <v>0.22642000072060847</v>
      </c>
      <c r="M40" s="2"/>
      <c r="N40" s="14">
        <f t="shared" si="9"/>
        <v>130.31000000000131</v>
      </c>
      <c r="O40" s="15">
        <f>IFERROR(N40/N444, "NA")</f>
        <v>3.4606064227432126E-3</v>
      </c>
      <c r="P40" s="2"/>
      <c r="Q40" s="14">
        <f>IFERROR(Q31+Q32+Q33+Q34+Q35+Q36+Q37+Q38+Q39, "NA")</f>
        <v>277033.70999999996</v>
      </c>
      <c r="R40" s="15">
        <f>IFERROR(Q40/Q444, "NA")</f>
        <v>0.24139235350053476</v>
      </c>
      <c r="S40" s="2"/>
      <c r="T40" s="14">
        <f>IFERROR(T31+T32+T33+T34+T35+T36+T37+T38+T39, "NA")</f>
        <v>293072.88</v>
      </c>
      <c r="U40" s="15">
        <f>IFERROR(T40/T444, "NA")</f>
        <v>0.24300000092035129</v>
      </c>
      <c r="V40" s="2"/>
      <c r="W40" s="14">
        <f t="shared" si="10"/>
        <v>-16039.170000000042</v>
      </c>
      <c r="X40" s="15">
        <f>IFERROR(W40/W444, "NA")</f>
        <v>0.27458614781579838</v>
      </c>
      <c r="Y40" s="2"/>
      <c r="Z40" s="14">
        <f>IFERROR(Z31+Z32+Z33+Z34+Z35+Z36+Z37+Z38+Z39, "NA")</f>
        <v>256835.65999999997</v>
      </c>
      <c r="AA40" s="15">
        <f>IFERROR(Z40/Z444, "NA")</f>
        <v>0.23997426652023787</v>
      </c>
      <c r="AB40" s="2"/>
      <c r="AC40" s="14">
        <f t="shared" si="11"/>
        <v>20198.049999999988</v>
      </c>
      <c r="AD40" s="15">
        <f>IFERROR(AC40/AC444, "NA")</f>
        <v>0.26100483900584764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4835.71</v>
      </c>
      <c r="C43" s="8">
        <f>IFERROR(B43/B444, "NA")</f>
        <v>3.1411757354176333E-2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4835.71</v>
      </c>
      <c r="I43" s="8">
        <f>IFERROR(H43/H444, "NA")</f>
        <v>0.17785754139500032</v>
      </c>
      <c r="J43" s="9"/>
      <c r="K43" s="7">
        <v>33145.85</v>
      </c>
      <c r="L43" s="8">
        <f>IFERROR(K43/K444, "NA")</f>
        <v>0.28502602230739005</v>
      </c>
      <c r="M43" s="9"/>
      <c r="N43" s="10">
        <f>IFERROR(B43-K43, "NA")</f>
        <v>-28310.14</v>
      </c>
      <c r="O43" s="8">
        <f>IFERROR(N43/N444, "NA")</f>
        <v>-0.75182451318209309</v>
      </c>
      <c r="P43" s="9"/>
      <c r="Q43" s="7">
        <v>60602.75</v>
      </c>
      <c r="R43" s="8">
        <f>IFERROR(Q43/Q444, "NA")</f>
        <v>5.2805994083191296E-2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60602.75</v>
      </c>
      <c r="X43" s="8">
        <f>IFERROR(W43/W444, "NA")</f>
        <v>-1.0375022940428857</v>
      </c>
      <c r="Y43" s="9"/>
      <c r="Z43" s="7">
        <v>47180.12</v>
      </c>
      <c r="AA43" s="8">
        <f>IFERROR(Z43/Z444, "NA")</f>
        <v>4.4082720800284532E-2</v>
      </c>
      <c r="AB43" s="9"/>
      <c r="AC43" s="10">
        <f>IFERROR(Q43-Z43, "NA")</f>
        <v>13422.629999999997</v>
      </c>
      <c r="AD43" s="8">
        <f>IFERROR(AC43/AC444, "NA")</f>
        <v>0.17345097087021083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25731.71</v>
      </c>
      <c r="F46" s="8">
        <f>IFERROR(E46/E444, "NA")</f>
        <v>0.2030000033923125</v>
      </c>
      <c r="G46" s="9"/>
      <c r="H46" s="10">
        <f t="shared" ref="H46:H62" si="12">IFERROR(B46-E46, "NA")</f>
        <v>-25731.71</v>
      </c>
      <c r="I46" s="8">
        <f>IFERROR(H46/H444, "NA")</f>
        <v>-0.94641297275666714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244830.41</v>
      </c>
      <c r="U46" s="8">
        <f>IFERROR(T46/T444, "NA")</f>
        <v>0.20299998367412905</v>
      </c>
      <c r="V46" s="9"/>
      <c r="W46" s="10">
        <f t="shared" ref="W46:W62" si="14">IFERROR(Q46-T46, "NA")</f>
        <v>-244830.41</v>
      </c>
      <c r="X46" s="8">
        <f>IFERROR(W46/W444, "NA")</f>
        <v>4.1914288052350805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22471.599999999999</v>
      </c>
      <c r="C48" s="8">
        <f>IFERROR(B48/B444, "NA")</f>
        <v>0.1459707977856631</v>
      </c>
      <c r="D48" s="9"/>
      <c r="E48" s="7">
        <v>0</v>
      </c>
      <c r="F48" s="8">
        <f>IFERROR(E48/E444, "NA")</f>
        <v>0</v>
      </c>
      <c r="G48" s="9"/>
      <c r="H48" s="10">
        <f t="shared" si="12"/>
        <v>22471.599999999999</v>
      </c>
      <c r="I48" s="8">
        <f>IFERROR(H48/H444, "NA")</f>
        <v>0.82650604093543423</v>
      </c>
      <c r="J48" s="9"/>
      <c r="K48" s="7">
        <v>8959.58</v>
      </c>
      <c r="L48" s="8">
        <f>IFERROR(K48/K444, "NA")</f>
        <v>7.7044741617573423E-2</v>
      </c>
      <c r="M48" s="9"/>
      <c r="N48" s="10">
        <f t="shared" si="13"/>
        <v>13512.019999999999</v>
      </c>
      <c r="O48" s="8">
        <f>IFERROR(N48/N444, "NA")</f>
        <v>0.35883495661295578</v>
      </c>
      <c r="P48" s="9"/>
      <c r="Q48" s="7">
        <v>120329.96</v>
      </c>
      <c r="R48" s="8">
        <f>IFERROR(Q48/Q444, "NA")</f>
        <v>0.10484908945205698</v>
      </c>
      <c r="S48" s="9"/>
      <c r="T48" s="7">
        <v>0</v>
      </c>
      <c r="U48" s="8">
        <f>IFERROR(T48/T444, "NA")</f>
        <v>0</v>
      </c>
      <c r="V48" s="9"/>
      <c r="W48" s="10">
        <f t="shared" si="14"/>
        <v>120329.96</v>
      </c>
      <c r="X48" s="8">
        <f>IFERROR(W48/W444, "NA")</f>
        <v>-2.0600155857958375</v>
      </c>
      <c r="Y48" s="9"/>
      <c r="Z48" s="7">
        <v>169828.02</v>
      </c>
      <c r="AA48" s="8">
        <f>IFERROR(Z48/Z444, "NA")</f>
        <v>0.15867872293934684</v>
      </c>
      <c r="AB48" s="9"/>
      <c r="AC48" s="10">
        <f t="shared" si="15"/>
        <v>-49498.059999999983</v>
      </c>
      <c r="AD48" s="8">
        <f>IFERROR(AC48/AC444, "NA")</f>
        <v>-0.63962774532203803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1117.1600000000001</v>
      </c>
      <c r="R49" s="8">
        <f>IFERROR(Q49/Q444, "NA")</f>
        <v>9.7343345557714784E-4</v>
      </c>
      <c r="S49" s="9"/>
      <c r="T49" s="7">
        <v>0</v>
      </c>
      <c r="U49" s="8">
        <f>IFERROR(T49/T444, "NA")</f>
        <v>0</v>
      </c>
      <c r="V49" s="9"/>
      <c r="W49" s="10">
        <f t="shared" si="14"/>
        <v>1117.1600000000001</v>
      </c>
      <c r="X49" s="8">
        <f>IFERROR(W49/W444, "NA")</f>
        <v>-1.9125469765199604E-2</v>
      </c>
      <c r="Y49" s="9"/>
      <c r="Z49" s="7">
        <v>890.27</v>
      </c>
      <c r="AA49" s="8">
        <f>IFERROR(Z49/Z444, "NA")</f>
        <v>8.3182331555895384E-4</v>
      </c>
      <c r="AB49" s="9"/>
      <c r="AC49" s="10">
        <f t="shared" si="15"/>
        <v>226.8900000000001</v>
      </c>
      <c r="AD49" s="8">
        <f>IFERROR(AC49/AC444, "NA")</f>
        <v>2.9319359008437365E-3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customHeight="1" x14ac:dyDescent="0.45">
      <c r="A52" s="17" t="s">
        <v>50</v>
      </c>
      <c r="B52" s="7">
        <v>49770</v>
      </c>
      <c r="C52" s="8">
        <f>IFERROR(B52/B444, "NA")</f>
        <v>0.32329547543532516</v>
      </c>
      <c r="D52" s="9"/>
      <c r="E52" s="7">
        <v>0</v>
      </c>
      <c r="F52" s="8">
        <f>IFERROR(E52/E444, "NA")</f>
        <v>0</v>
      </c>
      <c r="G52" s="9"/>
      <c r="H52" s="10">
        <f t="shared" si="12"/>
        <v>49770</v>
      </c>
      <c r="I52" s="8">
        <f>IFERROR(H52/H444, "NA")</f>
        <v>1.8305419132307696</v>
      </c>
      <c r="J52" s="9"/>
      <c r="K52" s="7">
        <v>0</v>
      </c>
      <c r="L52" s="8">
        <f>IFERROR(K52/K444, "NA")</f>
        <v>0</v>
      </c>
      <c r="M52" s="9"/>
      <c r="N52" s="10">
        <f t="shared" si="13"/>
        <v>49770</v>
      </c>
      <c r="O52" s="8">
        <f>IFERROR(N52/N444, "NA")</f>
        <v>1.3217280458900158</v>
      </c>
      <c r="P52" s="9"/>
      <c r="Q52" s="7">
        <v>49770</v>
      </c>
      <c r="R52" s="8">
        <f>IFERROR(Q52/Q444, "NA")</f>
        <v>4.3366915288834761E-2</v>
      </c>
      <c r="S52" s="9"/>
      <c r="T52" s="7">
        <v>0</v>
      </c>
      <c r="U52" s="8">
        <f>IFERROR(T52/T444, "NA")</f>
        <v>0</v>
      </c>
      <c r="V52" s="9"/>
      <c r="W52" s="10">
        <f t="shared" si="14"/>
        <v>49770</v>
      </c>
      <c r="X52" s="8">
        <f>IFERROR(W52/W444, "NA")</f>
        <v>-0.85204861453505698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49770</v>
      </c>
      <c r="AD52" s="8">
        <f>IFERROR(AC52/AC444, "NA")</f>
        <v>0.64314182989551194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2.7142443464882517E-5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-5.3327937196638586E-4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4.025289933945187E-4</v>
      </c>
    </row>
    <row r="55" spans="1:30" ht="16.5" customHeight="1" x14ac:dyDescent="0.45">
      <c r="A55" s="17" t="s">
        <v>53</v>
      </c>
      <c r="B55" s="7">
        <v>263.55</v>
      </c>
      <c r="C55" s="8">
        <f>IFERROR(B55/B444, "NA")</f>
        <v>1.7119654922841058E-3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263.55</v>
      </c>
      <c r="I55" s="8">
        <f>IFERROR(H55/H444, "NA")</f>
        <v>9.6933759540279163E-3</v>
      </c>
      <c r="J55" s="9"/>
      <c r="K55" s="7">
        <v>409.22</v>
      </c>
      <c r="L55" s="8">
        <f>IFERROR(K55/K444, "NA")</f>
        <v>3.5189427590069399E-3</v>
      </c>
      <c r="M55" s="9"/>
      <c r="N55" s="10">
        <f t="shared" si="13"/>
        <v>-145.67000000000002</v>
      </c>
      <c r="O55" s="8">
        <f>IFERROR(N55/N444, "NA")</f>
        <v>-3.868517670178795E-3</v>
      </c>
      <c r="P55" s="9"/>
      <c r="Q55" s="7">
        <v>3822.65</v>
      </c>
      <c r="R55" s="8">
        <f>IFERROR(Q55/Q444, "NA")</f>
        <v>3.3308526969834081E-3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3822.65</v>
      </c>
      <c r="X55" s="8">
        <f>IFERROR(W55/W444, "NA")</f>
        <v>-6.5442709189319576E-2</v>
      </c>
      <c r="Y55" s="9"/>
      <c r="Z55" s="7">
        <v>4859.66</v>
      </c>
      <c r="AA55" s="8">
        <f>IFERROR(Z55/Z444, "NA")</f>
        <v>4.5406208158078176E-3</v>
      </c>
      <c r="AB55" s="9"/>
      <c r="AC55" s="10">
        <f t="shared" si="15"/>
        <v>-1037.0099999999998</v>
      </c>
      <c r="AD55" s="8">
        <f>IFERROR(AC55/AC444, "NA")</f>
        <v>-1.3400532630499189E-2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4.0126386091109125E-3</v>
      </c>
      <c r="AB59" s="9"/>
      <c r="AC59" s="10">
        <f t="shared" si="15"/>
        <v>-4294.58</v>
      </c>
      <c r="AD59" s="8">
        <f>IFERROR(AC59/AC444, "NA")</f>
        <v>-5.549576129862703E-2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12.85</v>
      </c>
      <c r="R60" s="8">
        <f>IFERROR(Q60/Q444, "NA")</f>
        <v>1.1196802520826336E-5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-2.1998844076301952E-4</v>
      </c>
      <c r="Y60" s="9"/>
      <c r="Z60" s="7">
        <v>319.54000000000002</v>
      </c>
      <c r="AA60" s="8">
        <f>IFERROR(Z60/Z444, "NA")</f>
        <v>2.9856203427466741E-4</v>
      </c>
      <c r="AB60" s="9"/>
      <c r="AC60" s="10">
        <f t="shared" si="15"/>
        <v>-306.69</v>
      </c>
      <c r="AD60" s="8">
        <f>IFERROR(AC60/AC444, "NA")</f>
        <v>-3.9631337715622774E-3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72505.150000000009</v>
      </c>
      <c r="C61" s="15">
        <f>IFERROR(B61/B444, "NA")</f>
        <v>0.47097823871327243</v>
      </c>
      <c r="D61" s="2"/>
      <c r="E61" s="14">
        <f>IFERROR(E46+E47+E48+E49+E50+E51+E52+E53+E54+E55+E56+E57+E58+E59+E60, "NA")</f>
        <v>25731.71</v>
      </c>
      <c r="F61" s="15">
        <f>IFERROR(E61/E444, "NA")</f>
        <v>0.2030000033923125</v>
      </c>
      <c r="G61" s="2"/>
      <c r="H61" s="14">
        <f t="shared" si="12"/>
        <v>46773.44000000001</v>
      </c>
      <c r="I61" s="15">
        <f>IFERROR(H61/H444, "NA")</f>
        <v>1.720328357363565</v>
      </c>
      <c r="J61" s="2"/>
      <c r="K61" s="14">
        <f>IFERROR(K46+K47+K48+K49+K50+K51+K52+K53+K54+K55+K56+K57+K58+K59+K60, "NA")</f>
        <v>9368.7999999999993</v>
      </c>
      <c r="L61" s="15">
        <f>IFERROR(K61/K444, "NA")</f>
        <v>8.0563684376580361E-2</v>
      </c>
      <c r="M61" s="2"/>
      <c r="N61" s="14">
        <f t="shared" si="13"/>
        <v>63136.350000000006</v>
      </c>
      <c r="O61" s="15">
        <f>IFERROR(N61/N444, "NA")</f>
        <v>1.6766944848327932</v>
      </c>
      <c r="P61" s="2"/>
      <c r="Q61" s="14">
        <f>IFERROR(Q46+Q47+Q48+Q49+Q50+Q51+Q52+Q53+Q54+Q55+Q56+Q57+Q58+Q59+Q60, "NA")</f>
        <v>175083.77</v>
      </c>
      <c r="R61" s="15">
        <f>IFERROR(Q61/Q444, "NA")</f>
        <v>0.15255863013943799</v>
      </c>
      <c r="S61" s="2"/>
      <c r="T61" s="14">
        <f>IFERROR(T46+T47+T48+T49+T50+T51+T52+T53+T54+T55+T56+T57+T58+T59+T60, "NA")</f>
        <v>244830.41</v>
      </c>
      <c r="U61" s="15">
        <f>IFERROR(T61/T444, "NA")</f>
        <v>0.20299998367412905</v>
      </c>
      <c r="V61" s="2"/>
      <c r="W61" s="14">
        <f t="shared" si="14"/>
        <v>-69746.640000000014</v>
      </c>
      <c r="X61" s="15">
        <f>IFERROR(W61/W444, "NA")</f>
        <v>1.1940431581369377</v>
      </c>
      <c r="Y61" s="2"/>
      <c r="Z61" s="14">
        <f>IFERROR(Z46+Z47+Z48+Z49+Z50+Z51+Z52+Z53+Z54+Z55+Z56+Z57+Z58+Z59+Z60, "NA")</f>
        <v>180192.06999999998</v>
      </c>
      <c r="AA61" s="15">
        <f>IFERROR(Z61/Z444, "NA")</f>
        <v>0.16836236771409918</v>
      </c>
      <c r="AB61" s="2"/>
      <c r="AC61" s="14">
        <f t="shared" si="15"/>
        <v>-5108.2999999999884</v>
      </c>
      <c r="AD61" s="15">
        <f>IFERROR(AC61/AC444, "NA")</f>
        <v>-6.6010878232976411E-2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77340.86</v>
      </c>
      <c r="C62" s="15">
        <f>IFERROR(B62/B444, "NA")</f>
        <v>0.50238999606744872</v>
      </c>
      <c r="D62" s="2"/>
      <c r="E62" s="14">
        <f>IFERROR(E42+E43+E44+E46+E47+E48+E49+E50+E51+E52+E53+E54+E55+E56+E57+E58+E59+E60, "NA")</f>
        <v>25731.71</v>
      </c>
      <c r="F62" s="15">
        <f>IFERROR(E62/E444, "NA")</f>
        <v>0.2030000033923125</v>
      </c>
      <c r="G62" s="2"/>
      <c r="H62" s="14">
        <f t="shared" si="12"/>
        <v>51609.15</v>
      </c>
      <c r="I62" s="15">
        <f>IFERROR(H62/H444, "NA")</f>
        <v>1.8981858987585649</v>
      </c>
      <c r="J62" s="2"/>
      <c r="K62" s="14">
        <f>IFERROR(K42+K43+K44+K46+K47+K48+K49+K50+K51+K52+K53+K54+K55+K56+K57+K58+K59+K60, "NA")</f>
        <v>42514.65</v>
      </c>
      <c r="L62" s="15">
        <f>IFERROR(K62/K444, "NA")</f>
        <v>0.36558970668397045</v>
      </c>
      <c r="M62" s="2"/>
      <c r="N62" s="14">
        <f t="shared" si="13"/>
        <v>34826.21</v>
      </c>
      <c r="O62" s="15">
        <f>IFERROR(N62/N444, "NA")</f>
        <v>0.92486997165069973</v>
      </c>
      <c r="P62" s="2"/>
      <c r="Q62" s="14">
        <f>IFERROR(Q42+Q43+Q44+Q46+Q47+Q48+Q49+Q50+Q51+Q52+Q53+Q54+Q55+Q56+Q57+Q58+Q59+Q60, "NA")</f>
        <v>235686.52000000002</v>
      </c>
      <c r="R62" s="15">
        <f>IFERROR(Q62/Q444, "NA")</f>
        <v>0.20536462422262933</v>
      </c>
      <c r="S62" s="2"/>
      <c r="T62" s="14">
        <f>IFERROR(T42+T43+T44+T46+T47+T48+T49+T50+T51+T52+T53+T54+T55+T56+T57+T58+T59+T60, "NA")</f>
        <v>244830.41</v>
      </c>
      <c r="U62" s="15">
        <f>IFERROR(T62/T444, "NA")</f>
        <v>0.20299998367412905</v>
      </c>
      <c r="V62" s="2"/>
      <c r="W62" s="14">
        <f t="shared" si="14"/>
        <v>-9143.8899999999849</v>
      </c>
      <c r="X62" s="15">
        <f>IFERROR(W62/W444, "NA")</f>
        <v>0.1565408640940516</v>
      </c>
      <c r="Y62" s="2"/>
      <c r="Z62" s="14">
        <f>IFERROR(Z42+Z43+Z44+Z46+Z47+Z48+Z49+Z50+Z51+Z52+Z53+Z54+Z55+Z56+Z57+Z58+Z59+Z60, "NA")</f>
        <v>227372.18999999997</v>
      </c>
      <c r="AA62" s="15">
        <f>IFERROR(Z62/Z444, "NA")</f>
        <v>0.21244508851438371</v>
      </c>
      <c r="AB62" s="2"/>
      <c r="AC62" s="14">
        <f t="shared" si="15"/>
        <v>8314.3300000000454</v>
      </c>
      <c r="AD62" s="15">
        <f>IFERROR(AC62/AC444, "NA")</f>
        <v>0.10744009263723489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1509.54</v>
      </c>
      <c r="C65" s="8">
        <f>IFERROR(B65/B444, "NA")</f>
        <v>9.8056550530166917E-3</v>
      </c>
      <c r="D65" s="9"/>
      <c r="E65" s="7">
        <v>0</v>
      </c>
      <c r="F65" s="8">
        <f>IFERROR(E65/E444, "NA")</f>
        <v>0</v>
      </c>
      <c r="G65" s="9"/>
      <c r="H65" s="10">
        <f t="shared" si="16"/>
        <v>1509.54</v>
      </c>
      <c r="I65" s="8">
        <f>IFERROR(H65/H444, "NA")</f>
        <v>5.5520921030708777E-2</v>
      </c>
      <c r="J65" s="9"/>
      <c r="K65" s="7">
        <v>824.18</v>
      </c>
      <c r="L65" s="8">
        <f>IFERROR(K65/K444, "NA")</f>
        <v>7.0872446193205102E-3</v>
      </c>
      <c r="M65" s="9"/>
      <c r="N65" s="10">
        <f t="shared" si="17"/>
        <v>685.36</v>
      </c>
      <c r="O65" s="8">
        <f>IFERROR(N65/N444, "NA")</f>
        <v>1.8200914879067335E-2</v>
      </c>
      <c r="P65" s="9"/>
      <c r="Q65" s="7">
        <v>26878.37</v>
      </c>
      <c r="R65" s="8">
        <f>IFERROR(Q65/Q444, "NA")</f>
        <v>2.3420373616474935E-2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26878.37</v>
      </c>
      <c r="X65" s="8">
        <f>IFERROR(W65/W444, "NA")</f>
        <v>-0.46015024953708333</v>
      </c>
      <c r="Y65" s="9"/>
      <c r="Z65" s="7">
        <v>3755.02</v>
      </c>
      <c r="AA65" s="8">
        <f>IFERROR(Z65/Z444, "NA")</f>
        <v>3.5085010012582507E-3</v>
      </c>
      <c r="AB65" s="9"/>
      <c r="AC65" s="10">
        <f t="shared" si="19"/>
        <v>23123.35</v>
      </c>
      <c r="AD65" s="8">
        <f>IFERROR(AC65/AC444, "NA")</f>
        <v>0.29880638200350379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15344</v>
      </c>
      <c r="R66" s="8">
        <f>IFERROR(Q66/Q444, "NA")</f>
        <v>1.3369940691016286E-2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15344</v>
      </c>
      <c r="X66" s="8">
        <f>IFERROR(W66/W444, "NA")</f>
        <v>-0.26268502996636356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15344</v>
      </c>
      <c r="AD66" s="8">
        <f>IFERROR(AC66/AC444, "NA")</f>
        <v>0.19827945022938989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16898.55</v>
      </c>
      <c r="R68" s="8">
        <f>IFERROR(Q68/Q444, "NA")</f>
        <v>1.4724492392086371E-2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16898.55</v>
      </c>
      <c r="X68" s="8">
        <f>IFERROR(W68/W444, "NA")</f>
        <v>-0.28929849538178393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16898.55</v>
      </c>
      <c r="AD68" s="8">
        <f>IFERROR(AC68/AC444, "NA")</f>
        <v>0.21836777917582484</v>
      </c>
    </row>
    <row r="69" spans="1:30" ht="16.5" customHeight="1" x14ac:dyDescent="0.45">
      <c r="A69" s="12" t="s">
        <v>66</v>
      </c>
      <c r="B69" s="7">
        <v>4128</v>
      </c>
      <c r="C69" s="8">
        <f>IFERROR(B69/B444, "NA")</f>
        <v>2.6814621711814791E-2</v>
      </c>
      <c r="D69" s="9"/>
      <c r="E69" s="7">
        <v>0</v>
      </c>
      <c r="F69" s="8">
        <f>IFERROR(E69/E444, "NA")</f>
        <v>0</v>
      </c>
      <c r="G69" s="9"/>
      <c r="H69" s="10">
        <f t="shared" si="16"/>
        <v>4128</v>
      </c>
      <c r="I69" s="8">
        <f>IFERROR(H69/H444, "NA")</f>
        <v>0.15182794892137064</v>
      </c>
      <c r="J69" s="9"/>
      <c r="K69" s="7">
        <v>0</v>
      </c>
      <c r="L69" s="8">
        <f>IFERROR(K69/K444, "NA")</f>
        <v>0</v>
      </c>
      <c r="M69" s="9"/>
      <c r="N69" s="10">
        <f t="shared" si="17"/>
        <v>4128</v>
      </c>
      <c r="O69" s="8">
        <f>IFERROR(N69/N444, "NA")</f>
        <v>0.10962614774832199</v>
      </c>
      <c r="P69" s="9"/>
      <c r="Q69" s="7">
        <v>14193</v>
      </c>
      <c r="R69" s="8">
        <f>IFERROR(Q69/Q444, "NA")</f>
        <v>1.236702086989013E-2</v>
      </c>
      <c r="S69" s="9"/>
      <c r="T69" s="7">
        <v>0</v>
      </c>
      <c r="U69" s="8">
        <f>IFERROR(T69/T444, "NA")</f>
        <v>0</v>
      </c>
      <c r="V69" s="9"/>
      <c r="W69" s="10">
        <f t="shared" si="18"/>
        <v>14193</v>
      </c>
      <c r="X69" s="8">
        <f>IFERROR(W69/W444, "NA")</f>
        <v>-0.24298022877428296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14193</v>
      </c>
      <c r="AD69" s="8">
        <f>IFERROR(AC69/AC444, "NA")</f>
        <v>0.1834059070063693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5637.54</v>
      </c>
      <c r="C73" s="15">
        <f>IFERROR(B73/B444, "NA")</f>
        <v>3.6620276764831483E-2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5637.54</v>
      </c>
      <c r="I73" s="15">
        <f>IFERROR(H73/H444, "NA")</f>
        <v>0.20734886995207943</v>
      </c>
      <c r="J73" s="2"/>
      <c r="K73" s="14">
        <f>IFERROR(K64+K65+K66+K67+K68+K69+K70+K71+K72, "NA")</f>
        <v>824.18</v>
      </c>
      <c r="L73" s="15">
        <f>IFERROR(K73/K444, "NA")</f>
        <v>7.0872446193205102E-3</v>
      </c>
      <c r="M73" s="2"/>
      <c r="N73" s="14">
        <f t="shared" si="17"/>
        <v>4813.3599999999997</v>
      </c>
      <c r="O73" s="15">
        <f>IFERROR(N73/N444, "NA")</f>
        <v>0.12782706262738933</v>
      </c>
      <c r="P73" s="2"/>
      <c r="Q73" s="14">
        <f>IFERROR(Q64+Q65+Q66+Q67+Q68+Q69+Q70+Q71+Q72, "NA")</f>
        <v>73313.919999999998</v>
      </c>
      <c r="R73" s="15">
        <f>IFERROR(Q73/Q444, "NA")</f>
        <v>6.3881827569467725E-2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73313.919999999998</v>
      </c>
      <c r="X73" s="15">
        <f>IFERROR(W73/W444, "NA")</f>
        <v>-1.2551140036595139</v>
      </c>
      <c r="Y73" s="2"/>
      <c r="Z73" s="14">
        <f>IFERROR(Z64+Z65+Z66+Z67+Z68+Z69+Z70+Z71+Z72, "NA")</f>
        <v>3755.02</v>
      </c>
      <c r="AA73" s="15">
        <f>IFERROR(Z73/Z444, "NA")</f>
        <v>3.5085010012582507E-3</v>
      </c>
      <c r="AB73" s="2"/>
      <c r="AC73" s="14">
        <f t="shared" si="19"/>
        <v>69558.899999999994</v>
      </c>
      <c r="AD73" s="15">
        <f>IFERROR(AC73/AC444, "NA")</f>
        <v>0.89885951841508782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2154.87</v>
      </c>
      <c r="F75" s="8">
        <f>IFERROR(E75/E444, "NA")</f>
        <v>1.6999982407309596E-2</v>
      </c>
      <c r="G75" s="9"/>
      <c r="H75" s="10">
        <f t="shared" ref="H75:H92" si="20">IFERROR(B75-E75, "NA")</f>
        <v>-2154.87</v>
      </c>
      <c r="I75" s="8">
        <f>IFERROR(H75/H444, "NA")</f>
        <v>-7.9256175458380318E-2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20503.04</v>
      </c>
      <c r="U75" s="8">
        <f>IFERROR(T75/T444, "NA")</f>
        <v>1.6999999245477779E-2</v>
      </c>
      <c r="V75" s="9"/>
      <c r="W75" s="10">
        <f t="shared" ref="W75:W92" si="22">IFERROR(Q75-T75, "NA")</f>
        <v>-20503.04</v>
      </c>
      <c r="X75" s="8">
        <f>IFERROR(W75/W444, "NA")</f>
        <v>0.35100636579780703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517.45000000000005</v>
      </c>
      <c r="C77" s="8">
        <f>IFERROR(B77/B444, "NA")</f>
        <v>3.3612466096847298E-3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517.45000000000005</v>
      </c>
      <c r="I77" s="8">
        <f>IFERROR(H77/H444, "NA")</f>
        <v>1.903182465343102E-2</v>
      </c>
      <c r="J77" s="9"/>
      <c r="K77" s="7">
        <v>617.51</v>
      </c>
      <c r="L77" s="8">
        <f>IFERROR(K77/K444, "NA")</f>
        <v>5.3100589978846962E-3</v>
      </c>
      <c r="M77" s="9"/>
      <c r="N77" s="10">
        <f t="shared" si="21"/>
        <v>-100.05999999999995</v>
      </c>
      <c r="O77" s="8">
        <f>IFERROR(N77/N444, "NA")</f>
        <v>-2.6572655871359234E-3</v>
      </c>
      <c r="P77" s="9"/>
      <c r="Q77" s="7">
        <v>4238.78</v>
      </c>
      <c r="R77" s="8">
        <f>IFERROR(Q77/Q444, "NA")</f>
        <v>3.693446115893249E-3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4238.78</v>
      </c>
      <c r="X77" s="8">
        <f>IFERROR(W77/W444, "NA")</f>
        <v>-7.2566739528207927E-2</v>
      </c>
      <c r="Y77" s="9"/>
      <c r="Z77" s="7">
        <v>2346.2600000000002</v>
      </c>
      <c r="AA77" s="8">
        <f>IFERROR(Z77/Z444, "NA")</f>
        <v>2.1922268214848882E-3</v>
      </c>
      <c r="AB77" s="9"/>
      <c r="AC77" s="10">
        <f t="shared" si="23"/>
        <v>1892.5199999999995</v>
      </c>
      <c r="AD77" s="8">
        <f>IFERROR(AC77/AC444, "NA")</f>
        <v>2.4455671607672369E-2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5.3080394214007182E-5</v>
      </c>
      <c r="AB79" s="9"/>
      <c r="AC79" s="10">
        <f t="shared" si="23"/>
        <v>-56.81</v>
      </c>
      <c r="AD79" s="8">
        <f>IFERROR(AC79/AC444, "NA")</f>
        <v>-7.3411467463058134E-4</v>
      </c>
    </row>
    <row r="80" spans="1:30" ht="16.5" customHeight="1" x14ac:dyDescent="0.45">
      <c r="A80" s="12" t="s">
        <v>76</v>
      </c>
      <c r="B80" s="7">
        <v>2262.92</v>
      </c>
      <c r="C80" s="8">
        <f>IFERROR(B80/B444, "NA")</f>
        <v>1.4699453431225759E-2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2262.92</v>
      </c>
      <c r="I80" s="8">
        <f>IFERROR(H80/H444, "NA")</f>
        <v>8.3230257309386643E-2</v>
      </c>
      <c r="J80" s="9"/>
      <c r="K80" s="7">
        <v>905.33</v>
      </c>
      <c r="L80" s="8">
        <f>IFERROR(K80/K444, "NA")</f>
        <v>7.7850653634029439E-3</v>
      </c>
      <c r="M80" s="9"/>
      <c r="N80" s="10">
        <f t="shared" si="21"/>
        <v>1357.5900000000001</v>
      </c>
      <c r="O80" s="8">
        <f>IFERROR(N80/N444, "NA")</f>
        <v>3.6053140000398366E-2</v>
      </c>
      <c r="P80" s="9"/>
      <c r="Q80" s="7">
        <v>12451.51</v>
      </c>
      <c r="R80" s="8">
        <f>IFERROR(Q80/Q444, "NA")</f>
        <v>1.0849579654170764E-2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12451.51</v>
      </c>
      <c r="X80" s="8">
        <f>IFERROR(W80/W444, "NA")</f>
        <v>-0.2131664023381436</v>
      </c>
      <c r="Y80" s="9"/>
      <c r="Z80" s="7">
        <v>16209.25</v>
      </c>
      <c r="AA80" s="8">
        <f>IFERROR(Z80/Z444, "NA")</f>
        <v>1.5145104381506704E-2</v>
      </c>
      <c r="AB80" s="9"/>
      <c r="AC80" s="10">
        <f t="shared" si="23"/>
        <v>-3757.74</v>
      </c>
      <c r="AD80" s="8">
        <f>IFERROR(AC80/AC444, "NA")</f>
        <v>-4.855856499641472E-2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2.1783662491880031E-5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-4.2799307541443489E-4</v>
      </c>
      <c r="Y82" s="9"/>
      <c r="Z82" s="7">
        <v>25</v>
      </c>
      <c r="AA82" s="8">
        <f>IFERROR(Z82/Z444, "NA")</f>
        <v>2.3358737112307331E-5</v>
      </c>
      <c r="AB82" s="9"/>
      <c r="AC82" s="10">
        <f t="shared" si="23"/>
        <v>0</v>
      </c>
      <c r="AD82" s="8">
        <f>IFERROR(AC82/AC444, "NA")</f>
        <v>0</v>
      </c>
    </row>
    <row r="83" spans="1:30" ht="16.5" customHeight="1" x14ac:dyDescent="0.45">
      <c r="A83" s="12" t="s">
        <v>79</v>
      </c>
      <c r="B83" s="7">
        <v>185.41</v>
      </c>
      <c r="C83" s="8">
        <f>IFERROR(B83/B444, "NA")</f>
        <v>1.2043844504814876E-3</v>
      </c>
      <c r="D83" s="9"/>
      <c r="E83" s="7">
        <v>0</v>
      </c>
      <c r="F83" s="8">
        <f>IFERROR(E83/E444, "NA")</f>
        <v>0</v>
      </c>
      <c r="G83" s="9"/>
      <c r="H83" s="10">
        <f t="shared" si="20"/>
        <v>185.41</v>
      </c>
      <c r="I83" s="8">
        <f>IFERROR(H83/H444, "NA")</f>
        <v>6.819384692226582E-3</v>
      </c>
      <c r="J83" s="9"/>
      <c r="K83" s="7">
        <v>0</v>
      </c>
      <c r="L83" s="8">
        <f>IFERROR(K83/K444, "NA")</f>
        <v>0</v>
      </c>
      <c r="M83" s="9"/>
      <c r="N83" s="10">
        <f t="shared" si="21"/>
        <v>185.41</v>
      </c>
      <c r="O83" s="8">
        <f>IFERROR(N83/N444, "NA")</f>
        <v>4.9238817960311002E-3</v>
      </c>
      <c r="P83" s="9"/>
      <c r="Q83" s="7">
        <v>512.19000000000005</v>
      </c>
      <c r="R83" s="8">
        <f>IFERROR(Q83/Q444, "NA")</f>
        <v>4.4629496366864132E-4</v>
      </c>
      <c r="S83" s="9"/>
      <c r="T83" s="7">
        <v>0</v>
      </c>
      <c r="U83" s="8">
        <f>IFERROR(T83/T444, "NA")</f>
        <v>0</v>
      </c>
      <c r="V83" s="9"/>
      <c r="W83" s="10">
        <f t="shared" si="22"/>
        <v>512.19000000000005</v>
      </c>
      <c r="X83" s="8">
        <f>IFERROR(W83/W444, "NA")</f>
        <v>-8.768550931860776E-3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512.19000000000005</v>
      </c>
      <c r="AD83" s="8">
        <f>IFERROR(AC83/AC444, "NA")</f>
        <v>6.6186621228487494E-3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2965.7799999999997</v>
      </c>
      <c r="C88" s="15">
        <f>IFERROR(B88/B444, "NA")</f>
        <v>1.9265084491391974E-2</v>
      </c>
      <c r="D88" s="2"/>
      <c r="E88" s="14">
        <f>IFERROR(E75+E76+E77+E78+E79+E80+E81+E82+E83+E84+E85+E86+E87, "NA")</f>
        <v>2154.87</v>
      </c>
      <c r="F88" s="15">
        <f>IFERROR(E88/E444, "NA")</f>
        <v>1.6999982407309596E-2</v>
      </c>
      <c r="G88" s="2"/>
      <c r="H88" s="14">
        <f t="shared" si="20"/>
        <v>810.90999999999985</v>
      </c>
      <c r="I88" s="15">
        <f>IFERROR(H88/H444, "NA")</f>
        <v>2.9825291196663918E-2</v>
      </c>
      <c r="J88" s="2"/>
      <c r="K88" s="14">
        <f>IFERROR(K75+K76+K77+K78+K79+K80+K81+K82+K83+K84+K85+K86+K87, "NA")</f>
        <v>1522.8400000000001</v>
      </c>
      <c r="L88" s="15">
        <f>IFERROR(K88/K444, "NA")</f>
        <v>1.309512436128764E-2</v>
      </c>
      <c r="M88" s="2"/>
      <c r="N88" s="14">
        <f t="shared" si="21"/>
        <v>1442.9399999999996</v>
      </c>
      <c r="O88" s="15">
        <f>IFERROR(N88/N444, "NA")</f>
        <v>3.831975620929353E-2</v>
      </c>
      <c r="P88" s="2"/>
      <c r="Q88" s="14">
        <f>IFERROR(Q75+Q76+Q77+Q78+Q79+Q80+Q81+Q82+Q83+Q84+Q85+Q86+Q87, "NA")</f>
        <v>17227.48</v>
      </c>
      <c r="R88" s="15">
        <f>IFERROR(Q88/Q444, "NA")</f>
        <v>1.5011104396224535E-2</v>
      </c>
      <c r="S88" s="2"/>
      <c r="T88" s="14">
        <f>IFERROR(T75+T76+T77+T78+T79+T80+T81+T82+T83+T84+T85+T86+T87, "NA")</f>
        <v>20503.04</v>
      </c>
      <c r="U88" s="15">
        <f>IFERROR(T88/T444, "NA")</f>
        <v>1.6999999245477779E-2</v>
      </c>
      <c r="V88" s="2"/>
      <c r="W88" s="14">
        <f t="shared" si="22"/>
        <v>-3275.5600000000013</v>
      </c>
      <c r="X88" s="15">
        <f>IFERROR(W88/W444, "NA")</f>
        <v>5.6076679924180271E-2</v>
      </c>
      <c r="Y88" s="2"/>
      <c r="Z88" s="14">
        <f>IFERROR(Z75+Z76+Z77+Z78+Z79+Z80+Z81+Z82+Z83+Z84+Z85+Z86+Z87, "NA")</f>
        <v>18637.32</v>
      </c>
      <c r="AA88" s="15">
        <f>IFERROR(Z88/Z444, "NA")</f>
        <v>1.7413770334317905E-2</v>
      </c>
      <c r="AB88" s="2"/>
      <c r="AC88" s="14">
        <f t="shared" si="23"/>
        <v>-1409.8400000000001</v>
      </c>
      <c r="AD88" s="15">
        <f>IFERROR(AC88/AC444, "NA")</f>
        <v>-1.8218345940524183E-2</v>
      </c>
    </row>
    <row r="89" spans="1:30" ht="16.5" customHeight="1" x14ac:dyDescent="0.45">
      <c r="A89" s="6" t="s">
        <v>85</v>
      </c>
      <c r="B89" s="7">
        <v>-27.9</v>
      </c>
      <c r="C89" s="8">
        <f>IFERROR(B89/B444, "NA")</f>
        <v>-1.8123254499991101E-4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-27.9</v>
      </c>
      <c r="I89" s="8">
        <f>IFERROR(H89/H444, "NA")</f>
        <v>-1.0261627361691475E-3</v>
      </c>
      <c r="J89" s="9"/>
      <c r="K89" s="7">
        <v>-16.440000000000001</v>
      </c>
      <c r="L89" s="8">
        <f>IFERROR(K89/K444, "NA")</f>
        <v>-1.4136996959599748E-4</v>
      </c>
      <c r="M89" s="9"/>
      <c r="N89" s="10">
        <f t="shared" si="21"/>
        <v>-11.459999999999997</v>
      </c>
      <c r="O89" s="8">
        <f>IFERROR(N89/N444, "NA")</f>
        <v>-3.0434003226641708E-4</v>
      </c>
      <c r="P89" s="9"/>
      <c r="Q89" s="7">
        <v>-168.23</v>
      </c>
      <c r="R89" s="8">
        <f>IFERROR(Q89/Q444, "NA")</f>
        <v>-1.465866216403591E-4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-168.23</v>
      </c>
      <c r="X89" s="8">
        <f>IFERROR(W89/W444, "NA")</f>
        <v>2.8800510030788148E-3</v>
      </c>
      <c r="Y89" s="9"/>
      <c r="Z89" s="7">
        <v>1428.3</v>
      </c>
      <c r="AA89" s="8">
        <f>IFERROR(Z89/Z444, "NA")</f>
        <v>1.3345313687003423E-3</v>
      </c>
      <c r="AB89" s="9"/>
      <c r="AC89" s="10">
        <f t="shared" si="23"/>
        <v>-1596.53</v>
      </c>
      <c r="AD89" s="8">
        <f>IFERROR(AC89/AC444, "NA")</f>
        <v>-2.0630806222284141E-2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-4436.5</v>
      </c>
      <c r="F94" s="8">
        <f>IFERROR(E94/E444, "NA")</f>
        <v>-3.4999986982986918E-2</v>
      </c>
      <c r="G94" s="9"/>
      <c r="H94" s="10">
        <f t="shared" ref="H94:H124" si="24">IFERROR(B94-E94, "NA")</f>
        <v>4436.5</v>
      </c>
      <c r="I94" s="8">
        <f>IFERROR(H94/H444, "NA")</f>
        <v>0.16317458706144886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-42212.14</v>
      </c>
      <c r="U94" s="8">
        <f>IFERROR(T94/T444, "NA")</f>
        <v>-3.4999997471106839E-2</v>
      </c>
      <c r="V94" s="9"/>
      <c r="W94" s="10">
        <f t="shared" ref="W94:W124" si="26">IFERROR(Q94-T94, "NA")</f>
        <v>42212.14</v>
      </c>
      <c r="X94" s="8">
        <f>IFERROR(W94/W444, "NA")</f>
        <v>-0.72266014473698725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-1962.65</v>
      </c>
      <c r="C96" s="8">
        <f>IFERROR(B96/B444, "NA")</f>
        <v>-1.2748962524877254E-2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-1962.65</v>
      </c>
      <c r="I96" s="8">
        <f>IFERROR(H96/H444, "NA")</f>
        <v>-7.2186318786465142E-2</v>
      </c>
      <c r="J96" s="9"/>
      <c r="K96" s="7">
        <v>-15.65</v>
      </c>
      <c r="L96" s="8">
        <f>IFERROR(K96/K444, "NA")</f>
        <v>-1.3457664380640879E-4</v>
      </c>
      <c r="M96" s="9"/>
      <c r="N96" s="10">
        <f t="shared" si="25"/>
        <v>-1947</v>
      </c>
      <c r="O96" s="8">
        <f>IFERROR(N96/N444, "NA")</f>
        <v>-5.170593741908501E-2</v>
      </c>
      <c r="P96" s="9"/>
      <c r="Q96" s="7">
        <v>-21563.65</v>
      </c>
      <c r="R96" s="8">
        <f>IFERROR(Q96/Q444, "NA")</f>
        <v>-1.8789410947721154E-2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-21563.65</v>
      </c>
      <c r="X96" s="8">
        <f>IFERROR(W96/W444, "NA")</f>
        <v>0.36916371522641916</v>
      </c>
      <c r="Y96" s="9"/>
      <c r="Z96" s="7">
        <v>-919.56</v>
      </c>
      <c r="AA96" s="8">
        <f>IFERROR(Z96/Z444, "NA")</f>
        <v>-8.5919041195973306E-4</v>
      </c>
      <c r="AB96" s="9"/>
      <c r="AC96" s="10">
        <f t="shared" si="27"/>
        <v>-20644.09</v>
      </c>
      <c r="AD96" s="8">
        <f>IFERROR(AC96/AC444, "NA")</f>
        <v>-0.26676869236744299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-1561.79</v>
      </c>
      <c r="C98" s="8">
        <f>IFERROR(B98/B444, "NA")</f>
        <v>-1.0145060088007564E-2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-1561.79</v>
      </c>
      <c r="I98" s="8">
        <f>IFERROR(H98/H444, "NA")</f>
        <v>-5.7442677409376808E-2</v>
      </c>
      <c r="J98" s="9"/>
      <c r="K98" s="7">
        <v>-2179.31</v>
      </c>
      <c r="L98" s="8">
        <f>IFERROR(K98/K444, "NA")</f>
        <v>-1.8740206109504456E-2</v>
      </c>
      <c r="M98" s="9"/>
      <c r="N98" s="10">
        <f t="shared" si="25"/>
        <v>617.52</v>
      </c>
      <c r="O98" s="8">
        <f>IFERROR(N98/N444, "NA")</f>
        <v>1.6399306869560027E-2</v>
      </c>
      <c r="P98" s="9"/>
      <c r="Q98" s="7">
        <v>-20509.580000000002</v>
      </c>
      <c r="R98" s="8">
        <f>IFERROR(Q98/Q444, "NA")</f>
        <v>-1.7870950742808513E-2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-20509.580000000002</v>
      </c>
      <c r="X98" s="8">
        <f>IFERROR(W98/W444, "NA")</f>
        <v>0.35111832878633542</v>
      </c>
      <c r="Y98" s="9"/>
      <c r="Z98" s="7">
        <v>-22784.46</v>
      </c>
      <c r="AA98" s="8">
        <f>IFERROR(Z98/Z444, "NA")</f>
        <v>-2.1288648455435273E-2</v>
      </c>
      <c r="AB98" s="9"/>
      <c r="AC98" s="10">
        <f t="shared" si="27"/>
        <v>2274.8799999999974</v>
      </c>
      <c r="AD98" s="8">
        <f>IFERROR(AC98/AC444, "NA")</f>
        <v>2.9396634237345801E-2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-5.6</v>
      </c>
      <c r="C100" s="8">
        <f>IFERROR(B100/B444, "NA")</f>
        <v>-3.6376424802849525E-5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-5.6</v>
      </c>
      <c r="I100" s="8">
        <f>IFERROR(H100/H444, "NA")</f>
        <v>-2.0596814776154931E-4</v>
      </c>
      <c r="J100" s="9"/>
      <c r="K100" s="7">
        <v>-27.38</v>
      </c>
      <c r="L100" s="8">
        <f>IFERROR(K100/K444, "NA")</f>
        <v>-2.3544463306194712E-4</v>
      </c>
      <c r="M100" s="9"/>
      <c r="N100" s="10">
        <f t="shared" si="25"/>
        <v>21.78</v>
      </c>
      <c r="O100" s="8">
        <f>IFERROR(N100/N444, "NA")</f>
        <v>5.7840540163722211E-4</v>
      </c>
      <c r="P100" s="9"/>
      <c r="Q100" s="7">
        <v>-2309.38</v>
      </c>
      <c r="R100" s="8">
        <f>IFERROR(Q100/Q444, "NA")</f>
        <v>-2.012270179419916E-3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-2309.38</v>
      </c>
      <c r="X100" s="8">
        <f>IFERROR(W100/W444, "NA")</f>
        <v>3.9535945940023506E-2</v>
      </c>
      <c r="Y100" s="9"/>
      <c r="Z100" s="7">
        <v>-7420.04</v>
      </c>
      <c r="AA100" s="8">
        <f>IFERROR(Z100/Z444, "NA")</f>
        <v>-6.9329105489121948E-3</v>
      </c>
      <c r="AB100" s="9"/>
      <c r="AC100" s="10">
        <f t="shared" si="27"/>
        <v>5110.66</v>
      </c>
      <c r="AD100" s="8">
        <f>IFERROR(AC100/AC444, "NA")</f>
        <v>6.6041374811609335E-2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-535.22</v>
      </c>
      <c r="C102" s="8">
        <f>IFERROR(B102/B444, "NA")</f>
        <v>-3.4766768005323437E-3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-535.22</v>
      </c>
      <c r="I102" s="8">
        <f>IFERROR(H102/H444, "NA")</f>
        <v>-1.9685405722310079E-2</v>
      </c>
      <c r="J102" s="9"/>
      <c r="K102" s="7">
        <v>-2445.81</v>
      </c>
      <c r="L102" s="8">
        <f>IFERROR(K102/K444, "NA")</f>
        <v>-2.10318786701695E-2</v>
      </c>
      <c r="M102" s="9"/>
      <c r="N102" s="10">
        <f t="shared" si="25"/>
        <v>1910.59</v>
      </c>
      <c r="O102" s="8">
        <f>IFERROR(N102/N444, "NA")</f>
        <v>5.0739007176954093E-2</v>
      </c>
      <c r="P102" s="9"/>
      <c r="Q102" s="7">
        <v>-8020.27</v>
      </c>
      <c r="R102" s="8">
        <f>IFERROR(Q102/Q444, "NA")</f>
        <v>-6.9884341909500266E-3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-8020.27</v>
      </c>
      <c r="X102" s="8">
        <f>IFERROR(W102/W444, "NA")</f>
        <v>0.13730480091816519</v>
      </c>
      <c r="Y102" s="9"/>
      <c r="Z102" s="7">
        <v>-5519.98</v>
      </c>
      <c r="AA102" s="8">
        <f>IFERROR(Z102/Z444, "NA")</f>
        <v>-5.157590467407768E-3</v>
      </c>
      <c r="AB102" s="9"/>
      <c r="AC102" s="10">
        <f t="shared" si="27"/>
        <v>-2500.2900000000009</v>
      </c>
      <c r="AD102" s="8">
        <f>IFERROR(AC102/AC444, "NA")</f>
        <v>-3.2309445165148686E-2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-201.98</v>
      </c>
      <c r="C104" s="8">
        <f>IFERROR(B104/B444, "NA")</f>
        <v>-1.3120196931570619E-3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-201.98</v>
      </c>
      <c r="I104" s="8">
        <f>IFERROR(H104/H444, "NA")</f>
        <v>-7.4288297294424523E-3</v>
      </c>
      <c r="J104" s="9"/>
      <c r="K104" s="7">
        <v>-719.48</v>
      </c>
      <c r="L104" s="8">
        <f>IFERROR(K104/K444, "NA")</f>
        <v>-6.1869139735357829E-3</v>
      </c>
      <c r="M104" s="9"/>
      <c r="N104" s="10">
        <f t="shared" si="25"/>
        <v>517.5</v>
      </c>
      <c r="O104" s="8">
        <f>IFERROR(N104/N444, "NA")</f>
        <v>1.3743103551297634E-2</v>
      </c>
      <c r="P104" s="9"/>
      <c r="Q104" s="7">
        <v>-5123.95</v>
      </c>
      <c r="R104" s="8">
        <f>IFERROR(Q104/Q444, "NA")</f>
        <v>-4.464735897010747E-3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-5123.95</v>
      </c>
      <c r="X104" s="8">
        <f>IFERROR(W104/W444, "NA")</f>
        <v>8.7720604750791742E-2</v>
      </c>
      <c r="Y104" s="9"/>
      <c r="Z104" s="7">
        <v>-6355.86</v>
      </c>
      <c r="AA104" s="8">
        <f>IFERROR(Z104/Z444, "NA")</f>
        <v>-5.938594514505186E-3</v>
      </c>
      <c r="AB104" s="9"/>
      <c r="AC104" s="10">
        <f t="shared" si="27"/>
        <v>1231.9099999999999</v>
      </c>
      <c r="AD104" s="8">
        <f>IFERROR(AC104/AC444, "NA")</f>
        <v>1.5919084823519791E-2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-17.8</v>
      </c>
      <c r="C106" s="8">
        <f>IFERROR(B106/B444, "NA")</f>
        <v>-1.1562506455191456E-4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-17.8</v>
      </c>
      <c r="I106" s="8">
        <f>IFERROR(H106/H444, "NA")</f>
        <v>-6.5468446967063896E-4</v>
      </c>
      <c r="J106" s="9"/>
      <c r="K106" s="7">
        <v>-468.22</v>
      </c>
      <c r="L106" s="8">
        <f>IFERROR(K106/K444, "NA")</f>
        <v>-4.026292406583816E-3</v>
      </c>
      <c r="M106" s="9"/>
      <c r="N106" s="10">
        <f t="shared" si="25"/>
        <v>450.42</v>
      </c>
      <c r="O106" s="8">
        <f>IFERROR(N106/N444, "NA")</f>
        <v>1.1961678650387402E-2</v>
      </c>
      <c r="P106" s="9"/>
      <c r="Q106" s="7">
        <v>-80.05</v>
      </c>
      <c r="R106" s="8">
        <f>IFERROR(Q106/Q444, "NA")</f>
        <v>-6.9751287298999847E-5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-80.05</v>
      </c>
      <c r="X106" s="8">
        <f>IFERROR(W106/W444, "NA")</f>
        <v>1.3704338274770204E-3</v>
      </c>
      <c r="Y106" s="9"/>
      <c r="Z106" s="7">
        <v>-2440.94</v>
      </c>
      <c r="AA106" s="8">
        <f>IFERROR(Z106/Z444, "NA")</f>
        <v>-2.2806910306766184E-3</v>
      </c>
      <c r="AB106" s="9"/>
      <c r="AC106" s="10">
        <f t="shared" si="27"/>
        <v>2360.89</v>
      </c>
      <c r="AD106" s="8">
        <f>IFERROR(AC106/AC444, "NA")</f>
        <v>3.0508079461161644E-2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-75</v>
      </c>
      <c r="AA108" s="8">
        <f>IFERROR(Z108/Z444, "NA")</f>
        <v>-7.0076211336921987E-5</v>
      </c>
      <c r="AB108" s="9"/>
      <c r="AC108" s="10">
        <f t="shared" si="27"/>
        <v>75</v>
      </c>
      <c r="AD108" s="8">
        <f>IFERROR(AC108/AC444, "NA")</f>
        <v>9.6917093112644948E-4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-4285.04</v>
      </c>
      <c r="C118" s="15">
        <f>IFERROR(B118/B444, "NA")</f>
        <v>-2.7834720595928987E-2</v>
      </c>
      <c r="D118" s="2"/>
      <c r="E118" s="14">
        <f>IFERROR(E94+E95+E96+E97+E98+E99+E100+E101+E102+E103+E104+E105+E106+E107+E108+E109+E110+E111+E112+E113+E114+E115+E116+E117, "NA")</f>
        <v>-4436.5</v>
      </c>
      <c r="F118" s="15">
        <f>IFERROR(E118/E444, "NA")</f>
        <v>-3.4999986982986918E-2</v>
      </c>
      <c r="G118" s="2"/>
      <c r="H118" s="14">
        <f t="shared" si="24"/>
        <v>151.46000000000004</v>
      </c>
      <c r="I118" s="15">
        <f>IFERROR(H118/H444, "NA")</f>
        <v>5.5707027964221906E-3</v>
      </c>
      <c r="J118" s="2"/>
      <c r="K118" s="14">
        <f>IFERROR(K94+K95+K96+K97+K98+K99+K100+K101+K102+K103+K104+K105+K106+K107+K108+K109+K110+K111+K112+K113+K114+K115+K116+K117, "NA")</f>
        <v>-5855.8499999999995</v>
      </c>
      <c r="L118" s="15">
        <f>IFERROR(K118/K444, "NA")</f>
        <v>-5.0355312436661907E-2</v>
      </c>
      <c r="M118" s="2"/>
      <c r="N118" s="14">
        <f t="shared" si="25"/>
        <v>1570.8099999999995</v>
      </c>
      <c r="O118" s="15">
        <f>IFERROR(N118/N444, "NA")</f>
        <v>4.1715564230751359E-2</v>
      </c>
      <c r="P118" s="2"/>
      <c r="Q118" s="14">
        <f>IFERROR(Q94+Q95+Q96+Q97+Q98+Q99+Q100+Q101+Q102+Q103+Q104+Q105+Q106+Q107+Q108+Q109+Q110+Q111+Q112+Q113+Q114+Q115+Q116+Q117, "NA")</f>
        <v>-57606.880000000005</v>
      </c>
      <c r="R118" s="15">
        <f>IFERROR(Q118/Q444, "NA")</f>
        <v>-5.0195553245209357E-2</v>
      </c>
      <c r="S118" s="2"/>
      <c r="T118" s="14">
        <f>IFERROR(T94+T95+T96+T97+T98+T99+T100+T101+T102+T103+T104+T105+T106+T107+T108+T109+T110+T111+T112+T113+T114+T115+T116+T117, "NA")</f>
        <v>-42212.14</v>
      </c>
      <c r="U118" s="15">
        <f>IFERROR(T118/T444, "NA")</f>
        <v>-3.4999997471106839E-2</v>
      </c>
      <c r="V118" s="2"/>
      <c r="W118" s="14">
        <f t="shared" si="26"/>
        <v>-15394.740000000005</v>
      </c>
      <c r="X118" s="15">
        <f>IFERROR(W118/W444, "NA")</f>
        <v>0.26355368471222479</v>
      </c>
      <c r="Y118" s="2"/>
      <c r="Z118" s="14">
        <f>IFERROR(Z94+Z95+Z96+Z97+Z98+Z99+Z100+Z101+Z102+Z103+Z104+Z105+Z106+Z107+Z108+Z109+Z110+Z111+Z112+Z113+Z114+Z115+Z116+Z117, "NA")</f>
        <v>-45515.840000000004</v>
      </c>
      <c r="AA118" s="15">
        <f>IFERROR(Z118/Z444, "NA")</f>
        <v>-4.25277016402337E-2</v>
      </c>
      <c r="AB118" s="2"/>
      <c r="AC118" s="14">
        <f t="shared" si="27"/>
        <v>-12091.04</v>
      </c>
      <c r="AD118" s="15">
        <f>IFERROR(AC118/AC444, "NA")</f>
        <v>-0.15624379326782864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153945.86000000002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126757.19</v>
      </c>
      <c r="F122" s="15">
        <f>IFERROR(E122/E444, "NA")</f>
        <v>1</v>
      </c>
      <c r="G122" s="2"/>
      <c r="H122" s="14">
        <f t="shared" si="24"/>
        <v>27188.670000000013</v>
      </c>
      <c r="I122" s="15">
        <f>IFERROR(H122/H444, "NA")</f>
        <v>1.0000000000000011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116290.60999999999</v>
      </c>
      <c r="L122" s="15">
        <f>IFERROR(K122/K444, "NA")</f>
        <v>0.99999999999999989</v>
      </c>
      <c r="M122" s="2"/>
      <c r="N122" s="14">
        <f t="shared" si="25"/>
        <v>37655.250000000029</v>
      </c>
      <c r="O122" s="15">
        <f>IFERROR(N122/N444, "NA")</f>
        <v>1.0000000000000011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1147649.07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1206061.2300000002</v>
      </c>
      <c r="U122" s="15">
        <f>IFERROR(T122/T444, "NA")</f>
        <v>1.0000000000000002</v>
      </c>
      <c r="V122" s="2"/>
      <c r="W122" s="14">
        <f t="shared" si="26"/>
        <v>-58412.160000000149</v>
      </c>
      <c r="X122" s="15">
        <f>IFERROR(W122/W444, "NA")</f>
        <v>1.000000000000004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1070263.3400000001</v>
      </c>
      <c r="AA122" s="15">
        <f>IFERROR(Z122/Z444, "NA")</f>
        <v>1</v>
      </c>
      <c r="AB122" s="2"/>
      <c r="AC122" s="14">
        <f t="shared" si="27"/>
        <v>77385.729999999981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153945.86000000002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126757.19</v>
      </c>
      <c r="F124" s="15">
        <f>IFERROR(E124/E444, "NA")</f>
        <v>1</v>
      </c>
      <c r="G124" s="2"/>
      <c r="H124" s="14">
        <f t="shared" si="24"/>
        <v>27188.670000000013</v>
      </c>
      <c r="I124" s="15">
        <f>IFERROR(H124/H444, "NA")</f>
        <v>1.0000000000000011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116290.60999999999</v>
      </c>
      <c r="L124" s="15">
        <f>IFERROR(K124/K444, "NA")</f>
        <v>0.99999999999999989</v>
      </c>
      <c r="M124" s="2"/>
      <c r="N124" s="14">
        <f t="shared" si="25"/>
        <v>37655.250000000029</v>
      </c>
      <c r="O124" s="15">
        <f>IFERROR(N124/N444, "NA")</f>
        <v>1.0000000000000011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1147649.07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1206061.2300000002</v>
      </c>
      <c r="U124" s="15">
        <f>IFERROR(T124/T444, "NA")</f>
        <v>1.0000000000000002</v>
      </c>
      <c r="V124" s="2"/>
      <c r="W124" s="14">
        <f t="shared" si="26"/>
        <v>-58412.160000000149</v>
      </c>
      <c r="X124" s="15">
        <f>IFERROR(W124/W444, "NA")</f>
        <v>1.000000000000004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1070263.3400000001</v>
      </c>
      <c r="AA124" s="15">
        <f>IFERROR(Z124/Z444, "NA")</f>
        <v>1</v>
      </c>
      <c r="AB124" s="2"/>
      <c r="AC124" s="14">
        <f t="shared" si="27"/>
        <v>77385.729999999981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27379.55</v>
      </c>
      <c r="F129" s="8">
        <f>IFERROR(E129/E444, "NA")</f>
        <v>0.21599997601713952</v>
      </c>
      <c r="G129" s="9"/>
      <c r="H129" s="10">
        <f t="shared" ref="H129:H141" si="28">IFERROR(-(B129-E129), "NA")</f>
        <v>27379.55</v>
      </c>
      <c r="I129" s="8">
        <f>IFERROR(H129/H444, "NA")</f>
        <v>1.0070205714365585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268749.36</v>
      </c>
      <c r="U129" s="8">
        <f>IFERROR(T129/T444, "NA")</f>
        <v>0.22283226864029115</v>
      </c>
      <c r="V129" s="9"/>
      <c r="W129" s="10">
        <f t="shared" ref="W129:W141" si="30">IFERROR(-(Q129-T129), "NA")</f>
        <v>268749.36</v>
      </c>
      <c r="X129" s="8">
        <f>IFERROR(W129/W444, "NA")</f>
        <v>-4.600914604082444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6156.79</v>
      </c>
      <c r="C130" s="8">
        <f>IFERROR(B130/B444, "NA")</f>
        <v>3.999321579677427E-2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-6156.79</v>
      </c>
      <c r="I130" s="8">
        <f>IFERROR(H130/H444, "NA")</f>
        <v>-0.22644689865300524</v>
      </c>
      <c r="J130" s="9"/>
      <c r="K130" s="7">
        <v>5901.77</v>
      </c>
      <c r="L130" s="8">
        <f>IFERROR(K130/K444, "NA")</f>
        <v>5.0750185247114971E-2</v>
      </c>
      <c r="M130" s="9"/>
      <c r="N130" s="10">
        <f t="shared" si="29"/>
        <v>-255.01999999999953</v>
      </c>
      <c r="O130" s="8">
        <f>IFERROR(N130/N444, "NA")</f>
        <v>-6.772495203192108E-3</v>
      </c>
      <c r="P130" s="9"/>
      <c r="Q130" s="7">
        <v>53943.199999999997</v>
      </c>
      <c r="R130" s="8">
        <f>IFERROR(Q130/Q444, "NA")</f>
        <v>4.7003218501279309E-2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-53943.199999999997</v>
      </c>
      <c r="X130" s="8">
        <f>IFERROR(W130/W444, "NA")</f>
        <v>0.9234926426278377</v>
      </c>
      <c r="Y130" s="9"/>
      <c r="Z130" s="7">
        <v>62088.480000000003</v>
      </c>
      <c r="AA130" s="8">
        <f>IFERROR(Z130/Z444, "NA")</f>
        <v>5.8012339280910062E-2</v>
      </c>
      <c r="AB130" s="9"/>
      <c r="AC130" s="10">
        <f t="shared" si="31"/>
        <v>8145.2800000000061</v>
      </c>
      <c r="AD130" s="8">
        <f>IFERROR(AC130/AC444, "NA")</f>
        <v>0.10525558135847538</v>
      </c>
    </row>
    <row r="131" spans="1:30" ht="16.5" customHeight="1" x14ac:dyDescent="0.45">
      <c r="A131" s="12" t="s">
        <v>123</v>
      </c>
      <c r="B131" s="7">
        <v>3948.42</v>
      </c>
      <c r="C131" s="8">
        <f>IFERROR(B131/B444, "NA")</f>
        <v>2.5648107717869129E-2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-3948.42</v>
      </c>
      <c r="I131" s="8">
        <f>IFERROR(H131/H444, "NA")</f>
        <v>-0.1452229917829744</v>
      </c>
      <c r="J131" s="9"/>
      <c r="K131" s="7">
        <v>3103.88</v>
      </c>
      <c r="L131" s="8">
        <f>IFERROR(K131/K444, "NA")</f>
        <v>2.6690719052896876E-2</v>
      </c>
      <c r="M131" s="9"/>
      <c r="N131" s="10">
        <f t="shared" si="29"/>
        <v>-844.54</v>
      </c>
      <c r="O131" s="8">
        <f>IFERROR(N131/N444, "NA")</f>
        <v>-2.2428213861280973E-2</v>
      </c>
      <c r="P131" s="9"/>
      <c r="Q131" s="7">
        <v>31672.79</v>
      </c>
      <c r="R131" s="8">
        <f>IFERROR(Q131/Q444, "NA")</f>
        <v>2.7597974701447717E-2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-31672.79</v>
      </c>
      <c r="X131" s="8">
        <f>IFERROR(W131/W444, "NA")</f>
        <v>0.54222939196222231</v>
      </c>
      <c r="Y131" s="9"/>
      <c r="Z131" s="7">
        <v>30422.69</v>
      </c>
      <c r="AA131" s="8">
        <f>IFERROR(Z131/Z444, "NA")</f>
        <v>2.8425424718368841E-2</v>
      </c>
      <c r="AB131" s="9"/>
      <c r="AC131" s="10">
        <f t="shared" si="31"/>
        <v>-1250.1000000000022</v>
      </c>
      <c r="AD131" s="8">
        <f>IFERROR(AC131/AC444, "NA")</f>
        <v>-1.6154141080015689E-2</v>
      </c>
    </row>
    <row r="132" spans="1:30" ht="16.5" customHeight="1" x14ac:dyDescent="0.45">
      <c r="A132" s="12" t="s">
        <v>124</v>
      </c>
      <c r="B132" s="7">
        <v>4554.7</v>
      </c>
      <c r="C132" s="8">
        <f>IFERROR(B132/B444, "NA")</f>
        <v>2.9586375365989057E-2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-4554.7</v>
      </c>
      <c r="I132" s="8">
        <f>IFERROR(H132/H444, "NA")</f>
        <v>-0.16752198618027297</v>
      </c>
      <c r="J132" s="9"/>
      <c r="K132" s="7">
        <v>3787.93</v>
      </c>
      <c r="L132" s="8">
        <f>IFERROR(K132/K444, "NA")</f>
        <v>3.2572965263489455E-2</v>
      </c>
      <c r="M132" s="9"/>
      <c r="N132" s="10">
        <f t="shared" si="29"/>
        <v>-766.77</v>
      </c>
      <c r="O132" s="8">
        <f>IFERROR(N132/N444, "NA")</f>
        <v>-2.036289760391978E-2</v>
      </c>
      <c r="P132" s="9"/>
      <c r="Q132" s="7">
        <v>47728.99</v>
      </c>
      <c r="R132" s="8">
        <f>IFERROR(Q132/Q444, "NA")</f>
        <v>4.1588488369532682E-2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-47728.99</v>
      </c>
      <c r="X132" s="8">
        <f>IFERROR(W132/W444, "NA")</f>
        <v>0.81710708866099224</v>
      </c>
      <c r="Y132" s="9"/>
      <c r="Z132" s="7">
        <v>37148.31</v>
      </c>
      <c r="AA132" s="8">
        <f>IFERROR(Z132/Z444, "NA")</f>
        <v>3.4709504298259898E-2</v>
      </c>
      <c r="AB132" s="9"/>
      <c r="AC132" s="10">
        <f t="shared" si="31"/>
        <v>-10580.68</v>
      </c>
      <c r="AD132" s="8">
        <f>IFERROR(AC132/AC444, "NA")</f>
        <v>-0.13672649983401336</v>
      </c>
    </row>
    <row r="133" spans="1:30" ht="16.5" customHeight="1" x14ac:dyDescent="0.45">
      <c r="A133" s="12" t="s">
        <v>125</v>
      </c>
      <c r="B133" s="7">
        <v>2362.77</v>
      </c>
      <c r="C133" s="8">
        <f>IFERROR(B133/B444, "NA")</f>
        <v>1.5348058077040852E-2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-2362.77</v>
      </c>
      <c r="I133" s="8">
        <f>IFERROR(H133/H444, "NA")</f>
        <v>-8.6902742944027833E-2</v>
      </c>
      <c r="J133" s="9"/>
      <c r="K133" s="7">
        <v>3200.43</v>
      </c>
      <c r="L133" s="8">
        <f>IFERROR(K133/K444, "NA")</f>
        <v>2.7520966654143442E-2</v>
      </c>
      <c r="M133" s="9"/>
      <c r="N133" s="10">
        <f t="shared" si="29"/>
        <v>837.65999999999985</v>
      </c>
      <c r="O133" s="8">
        <f>IFERROR(N133/N444, "NA")</f>
        <v>2.2245503615033763E-2</v>
      </c>
      <c r="P133" s="9"/>
      <c r="Q133" s="7">
        <v>26060.85</v>
      </c>
      <c r="R133" s="8">
        <f>IFERROR(Q133/Q444, "NA")</f>
        <v>2.2708030426060465E-2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-26060.85</v>
      </c>
      <c r="X133" s="8">
        <f>IFERROR(W133/W444, "NA")</f>
        <v>0.44615453357657098</v>
      </c>
      <c r="Y133" s="9"/>
      <c r="Z133" s="7">
        <v>22774.39</v>
      </c>
      <c r="AA133" s="8">
        <f>IFERROR(Z133/Z444, "NA")</f>
        <v>2.1279239556126438E-2</v>
      </c>
      <c r="AB133" s="9"/>
      <c r="AC133" s="10">
        <f t="shared" si="31"/>
        <v>-3286.4599999999991</v>
      </c>
      <c r="AD133" s="8">
        <f>IFERROR(AC133/AC444, "NA")</f>
        <v>-4.2468553310797741E-2</v>
      </c>
    </row>
    <row r="134" spans="1:30" ht="16.5" customHeight="1" x14ac:dyDescent="0.45">
      <c r="A134" s="12" t="s">
        <v>126</v>
      </c>
      <c r="B134" s="7">
        <v>1009.81</v>
      </c>
      <c r="C134" s="8">
        <f>IFERROR(B134/B444, "NA")</f>
        <v>6.5595138446724061E-3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-1009.81</v>
      </c>
      <c r="I134" s="8">
        <f>IFERROR(H134/H444, "NA")</f>
        <v>-3.7140838444837523E-2</v>
      </c>
      <c r="J134" s="9"/>
      <c r="K134" s="7">
        <v>1931.04</v>
      </c>
      <c r="L134" s="8">
        <f>IFERROR(K134/K444, "NA")</f>
        <v>1.6605295990794099E-2</v>
      </c>
      <c r="M134" s="9"/>
      <c r="N134" s="10">
        <f t="shared" si="29"/>
        <v>921.23</v>
      </c>
      <c r="O134" s="8">
        <f>IFERROR(N134/N444, "NA")</f>
        <v>2.4464848859056847E-2</v>
      </c>
      <c r="P134" s="9"/>
      <c r="Q134" s="7">
        <v>10917.43</v>
      </c>
      <c r="R134" s="8">
        <f>IFERROR(Q134/Q444, "NA")</f>
        <v>9.5128644159490315E-3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-10917.43</v>
      </c>
      <c r="X134" s="8">
        <f>IFERROR(W134/W444, "NA")</f>
        <v>0.18690337765287254</v>
      </c>
      <c r="Y134" s="9"/>
      <c r="Z134" s="7">
        <v>11569.63</v>
      </c>
      <c r="AA134" s="8">
        <f>IFERROR(Z134/Z444, "NA")</f>
        <v>1.0810077826266569E-2</v>
      </c>
      <c r="AB134" s="9"/>
      <c r="AC134" s="10">
        <f t="shared" si="31"/>
        <v>652.19999999999891</v>
      </c>
      <c r="AD134" s="8">
        <f>IFERROR(AC134/AC444, "NA")</f>
        <v>8.4279104170755913E-3</v>
      </c>
    </row>
    <row r="135" spans="1:30" ht="16.5" customHeight="1" x14ac:dyDescent="0.45">
      <c r="A135" s="12" t="s">
        <v>127</v>
      </c>
      <c r="B135" s="7">
        <v>804.09</v>
      </c>
      <c r="C135" s="8">
        <f>IFERROR(B135/B444, "NA")</f>
        <v>5.2231998963791562E-3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-804.09</v>
      </c>
      <c r="I135" s="8">
        <f>IFERROR(H135/H444, "NA")</f>
        <v>-2.9574451416711466E-2</v>
      </c>
      <c r="J135" s="9"/>
      <c r="K135" s="7">
        <v>1929.67</v>
      </c>
      <c r="L135" s="8">
        <f>IFERROR(K135/K444, "NA")</f>
        <v>1.6593515159994431E-2</v>
      </c>
      <c r="M135" s="9"/>
      <c r="N135" s="10">
        <f t="shared" si="29"/>
        <v>1125.58</v>
      </c>
      <c r="O135" s="8">
        <f>IFERROR(N135/N444, "NA")</f>
        <v>2.9891714966704518E-2</v>
      </c>
      <c r="P135" s="9"/>
      <c r="Q135" s="7">
        <v>8963.93</v>
      </c>
      <c r="R135" s="8">
        <f>IFERROR(Q135/Q444, "NA")</f>
        <v>7.8106890288335267E-3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-8963.93</v>
      </c>
      <c r="X135" s="8">
        <f>IFERROR(W135/W444, "NA")</f>
        <v>0.15345999873998861</v>
      </c>
      <c r="Y135" s="9"/>
      <c r="Z135" s="7">
        <v>10167.969999999999</v>
      </c>
      <c r="AA135" s="8">
        <f>IFERROR(Z135/Z444, "NA")</f>
        <v>9.5004375278331023E-3</v>
      </c>
      <c r="AB135" s="9"/>
      <c r="AC135" s="10">
        <f t="shared" si="31"/>
        <v>1204.0399999999991</v>
      </c>
      <c r="AD135" s="8">
        <f>IFERROR(AC135/AC444, "NA")</f>
        <v>1.5558940905513191E-2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832.62</v>
      </c>
      <c r="L136" s="8">
        <f>IFERROR(K136/K444, "NA")</f>
        <v>7.159821416363712E-3</v>
      </c>
      <c r="M136" s="9"/>
      <c r="N136" s="10">
        <f t="shared" si="29"/>
        <v>832.62</v>
      </c>
      <c r="O136" s="8">
        <f>IFERROR(N136/N444, "NA")</f>
        <v>2.2111657736968958E-2</v>
      </c>
      <c r="P136" s="9"/>
      <c r="Q136" s="7">
        <v>4036.02</v>
      </c>
      <c r="R136" s="8">
        <f>IFERROR(Q136/Q444, "NA")</f>
        <v>3.5167718996191055E-3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-4036.02</v>
      </c>
      <c r="X136" s="8">
        <f>IFERROR(W136/W444, "NA")</f>
        <v>6.9095544489366695E-2</v>
      </c>
      <c r="Y136" s="9"/>
      <c r="Z136" s="7">
        <v>7617.37</v>
      </c>
      <c r="AA136" s="8">
        <f>IFERROR(Z136/Z444, "NA")</f>
        <v>7.1172857326870596E-3</v>
      </c>
      <c r="AB136" s="9"/>
      <c r="AC136" s="10">
        <f t="shared" si="31"/>
        <v>3581.35</v>
      </c>
      <c r="AD136" s="8">
        <f>IFERROR(AC136/AC444, "NA")</f>
        <v>4.6279204189196128E-2</v>
      </c>
    </row>
    <row r="137" spans="1:30" ht="16.5" customHeight="1" x14ac:dyDescent="0.45">
      <c r="A137" s="12" t="s">
        <v>129</v>
      </c>
      <c r="B137" s="7">
        <v>513.27</v>
      </c>
      <c r="C137" s="8">
        <f>IFERROR(B137/B444, "NA")</f>
        <v>3.3340942068854598E-3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-513.27</v>
      </c>
      <c r="I137" s="8">
        <f>IFERROR(H137/H444, "NA")</f>
        <v>-1.8878084143137575E-2</v>
      </c>
      <c r="J137" s="9"/>
      <c r="K137" s="7">
        <v>1330.05</v>
      </c>
      <c r="L137" s="8">
        <f>IFERROR(K137/K444, "NA")</f>
        <v>1.1437294894230926E-2</v>
      </c>
      <c r="M137" s="9"/>
      <c r="N137" s="10">
        <f t="shared" si="29"/>
        <v>816.78</v>
      </c>
      <c r="O137" s="8">
        <f>IFERROR(N137/N444, "NA")</f>
        <v>2.1690999263050976E-2</v>
      </c>
      <c r="P137" s="9"/>
      <c r="Q137" s="7">
        <v>5924.91</v>
      </c>
      <c r="R137" s="8">
        <f>IFERROR(Q137/Q444, "NA")</f>
        <v>5.1626495893905963E-3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-5924.91</v>
      </c>
      <c r="X137" s="8">
        <f>IFERROR(W137/W444, "NA")</f>
        <v>0.10143281809814957</v>
      </c>
      <c r="Y137" s="9"/>
      <c r="Z137" s="7">
        <v>4645.1099999999997</v>
      </c>
      <c r="AA137" s="8">
        <f>IFERROR(Z137/Z444, "NA")</f>
        <v>4.3401561339099955E-3</v>
      </c>
      <c r="AB137" s="9"/>
      <c r="AC137" s="10">
        <f t="shared" si="31"/>
        <v>-1279.8000000000002</v>
      </c>
      <c r="AD137" s="8">
        <f>IFERROR(AC137/AC444, "NA")</f>
        <v>-1.6537932768741735E-2</v>
      </c>
    </row>
    <row r="138" spans="1:30" ht="16.5" customHeight="1" x14ac:dyDescent="0.45">
      <c r="A138" s="12" t="s">
        <v>130</v>
      </c>
      <c r="B138" s="7">
        <v>11250.25</v>
      </c>
      <c r="C138" s="8">
        <f>IFERROR(B138/B444, "NA")</f>
        <v>7.3079263060403188E-2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-11250.25</v>
      </c>
      <c r="I138" s="8">
        <f>IFERROR(H138/H444, "NA")</f>
        <v>-0.41378449184899468</v>
      </c>
      <c r="J138" s="9"/>
      <c r="K138" s="7">
        <v>6561.5</v>
      </c>
      <c r="L138" s="8">
        <f>IFERROR(K138/K444, "NA")</f>
        <v>5.6423300213147044E-2</v>
      </c>
      <c r="M138" s="9"/>
      <c r="N138" s="10">
        <f t="shared" si="29"/>
        <v>-4688.75</v>
      </c>
      <c r="O138" s="8">
        <f>IFERROR(N138/N444, "NA")</f>
        <v>-0.12451782951912421</v>
      </c>
      <c r="P138" s="9"/>
      <c r="Q138" s="7">
        <v>70645.45</v>
      </c>
      <c r="R138" s="8">
        <f>IFERROR(Q138/Q444, "NA")</f>
        <v>6.1556665575479438E-2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-70645.45</v>
      </c>
      <c r="X138" s="8">
        <f>IFERROR(W138/W444, "NA")</f>
        <v>1.2094305363814675</v>
      </c>
      <c r="Y138" s="9"/>
      <c r="Z138" s="7">
        <v>49274.78</v>
      </c>
      <c r="AA138" s="8">
        <f>IFERROR(Z138/Z444, "NA")</f>
        <v>4.6039865291471159E-2</v>
      </c>
      <c r="AB138" s="9"/>
      <c r="AC138" s="10">
        <f t="shared" si="31"/>
        <v>-21370.67</v>
      </c>
      <c r="AD138" s="8">
        <f>IFERROR(AC138/AC444, "NA")</f>
        <v>-0.27615776190261437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10.25</v>
      </c>
      <c r="L140" s="8">
        <f>IFERROR(K140/K444, "NA")</f>
        <v>8.8141252333270932E-5</v>
      </c>
      <c r="M140" s="9"/>
      <c r="N140" s="10">
        <f t="shared" si="29"/>
        <v>10.25</v>
      </c>
      <c r="O140" s="8">
        <f>IFERROR(N140/N444, "NA")</f>
        <v>2.7220639884212701E-4</v>
      </c>
      <c r="P140" s="9"/>
      <c r="Q140" s="7">
        <v>107.2</v>
      </c>
      <c r="R140" s="8">
        <f>IFERROR(Q140/Q444, "NA")</f>
        <v>9.340834476518157E-5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-107.2</v>
      </c>
      <c r="X140" s="8">
        <f>IFERROR(W140/W444, "NA")</f>
        <v>1.8352343073770967E-3</v>
      </c>
      <c r="Y140" s="9"/>
      <c r="Z140" s="7">
        <v>249.83</v>
      </c>
      <c r="AA140" s="8">
        <f>IFERROR(Z140/Z444, "NA")</f>
        <v>2.3342853171070963E-4</v>
      </c>
      <c r="AB140" s="9"/>
      <c r="AC140" s="10">
        <f t="shared" si="31"/>
        <v>142.63</v>
      </c>
      <c r="AD140" s="8">
        <f>IFERROR(AC140/AC444, "NA")</f>
        <v>1.8431046654208733E-3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30600.100000000002</v>
      </c>
      <c r="C141" s="15">
        <f>IFERROR(B141/B444, "NA")</f>
        <v>0.19877182796601353</v>
      </c>
      <c r="D141" s="2"/>
      <c r="E141" s="14">
        <f>IFERROR(E129+E130+E131+E132+E133+E134+E135+E136+E137+E138+E139+E140, "NA")</f>
        <v>27379.55</v>
      </c>
      <c r="F141" s="15">
        <f>IFERROR(E141/E444, "NA")</f>
        <v>0.21599997601713952</v>
      </c>
      <c r="G141" s="2"/>
      <c r="H141" s="14">
        <f t="shared" si="28"/>
        <v>-3220.5500000000029</v>
      </c>
      <c r="I141" s="15">
        <f>IFERROR(H141/H444, "NA")</f>
        <v>-0.11845191397740326</v>
      </c>
      <c r="J141" s="2"/>
      <c r="K141" s="14">
        <f>IFERROR(K129+K130+K131+K132+K133+K134+K135+K136+K137+K138+K139+K140, "NA")</f>
        <v>28589.14</v>
      </c>
      <c r="L141" s="15">
        <f>IFERROR(K141/K444, "NA")</f>
        <v>0.24584220514450822</v>
      </c>
      <c r="M141" s="2"/>
      <c r="N141" s="14">
        <f t="shared" si="29"/>
        <v>-2010.9600000000028</v>
      </c>
      <c r="O141" s="15">
        <f>IFERROR(N141/N444, "NA")</f>
        <v>-5.3404505347859954E-2</v>
      </c>
      <c r="P141" s="2"/>
      <c r="Q141" s="14">
        <f>IFERROR(Q129+Q130+Q131+Q132+Q133+Q134+Q135+Q136+Q137+Q138+Q139+Q140, "NA")</f>
        <v>260000.76999999996</v>
      </c>
      <c r="R141" s="15">
        <f>IFERROR(Q141/Q444, "NA")</f>
        <v>0.22655076085235704</v>
      </c>
      <c r="S141" s="2"/>
      <c r="T141" s="14">
        <f>IFERROR(T129+T130+T131+T132+T133+T134+T135+T136+T137+T138+T139+T140, "NA")</f>
        <v>268749.36</v>
      </c>
      <c r="U141" s="15">
        <f>IFERROR(T141/T444, "NA")</f>
        <v>0.22283226864029115</v>
      </c>
      <c r="V141" s="2"/>
      <c r="W141" s="14">
        <f t="shared" si="30"/>
        <v>8748.5900000000256</v>
      </c>
      <c r="X141" s="15">
        <f>IFERROR(W141/W444, "NA")</f>
        <v>-0.14977343758559927</v>
      </c>
      <c r="Y141" s="2"/>
      <c r="Z141" s="14">
        <f>IFERROR(Z129+Z130+Z131+Z132+Z133+Z134+Z135+Z136+Z137+Z138+Z139+Z140, "NA")</f>
        <v>235958.55999999997</v>
      </c>
      <c r="AA141" s="15">
        <f>IFERROR(Z141/Z444, "NA")</f>
        <v>0.2204677588975438</v>
      </c>
      <c r="AB141" s="2"/>
      <c r="AC141" s="14">
        <f t="shared" si="31"/>
        <v>-24042.209999999992</v>
      </c>
      <c r="AD141" s="15">
        <f>IFERROR(AC141/AC444, "NA")</f>
        <v>-0.3106801473605017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1695.37</v>
      </c>
      <c r="C144" s="8">
        <f>IFERROR(B144/B444, "NA")</f>
        <v>1.1012767735358392E-2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-1695.37</v>
      </c>
      <c r="I144" s="8">
        <f>IFERROR(H144/H444, "NA")</f>
        <v>-6.2355753334017473E-2</v>
      </c>
      <c r="J144" s="9"/>
      <c r="K144" s="7">
        <v>1233.6500000000001</v>
      </c>
      <c r="L144" s="8">
        <f>IFERROR(K144/K444, "NA")</f>
        <v>1.0608337164969726E-2</v>
      </c>
      <c r="M144" s="9"/>
      <c r="N144" s="10">
        <f t="shared" si="33"/>
        <v>-461.7199999999998</v>
      </c>
      <c r="O144" s="8">
        <f>IFERROR(N144/N444, "NA")</f>
        <v>-1.2261769607159691E-2</v>
      </c>
      <c r="P144" s="9"/>
      <c r="Q144" s="7">
        <v>16265.34</v>
      </c>
      <c r="R144" s="8">
        <f>IFERROR(Q144/Q444, "NA")</f>
        <v>1.4172747075027038E-2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-16265.34</v>
      </c>
      <c r="X144" s="8">
        <f>IFERROR(W144/W444, "NA")</f>
        <v>0.27845811557045697</v>
      </c>
      <c r="Y144" s="9"/>
      <c r="Z144" s="7">
        <v>12389.11</v>
      </c>
      <c r="AA144" s="8">
        <f>IFERROR(Z144/Z444, "NA")</f>
        <v>1.1575758541818314E-2</v>
      </c>
      <c r="AB144" s="9"/>
      <c r="AC144" s="10">
        <f t="shared" si="35"/>
        <v>-3876.2299999999996</v>
      </c>
      <c r="AD144" s="8">
        <f>IFERROR(AC144/AC444, "NA")</f>
        <v>-5.0089725844803694E-2</v>
      </c>
    </row>
    <row r="145" spans="1:30" ht="16.5" customHeight="1" x14ac:dyDescent="0.45">
      <c r="A145" s="12" t="s">
        <v>136</v>
      </c>
      <c r="B145" s="7">
        <v>34.020000000000003</v>
      </c>
      <c r="C145" s="8">
        <f>IFERROR(B145/B444, "NA")</f>
        <v>2.2098678067731088E-4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-34.020000000000003</v>
      </c>
      <c r="I145" s="8">
        <f>IFERROR(H145/H444, "NA")</f>
        <v>-1.2512564976514123E-3</v>
      </c>
      <c r="J145" s="9"/>
      <c r="K145" s="7">
        <v>17.57</v>
      </c>
      <c r="L145" s="8">
        <f>IFERROR(K145/K444, "NA")</f>
        <v>1.5108700521908002E-4</v>
      </c>
      <c r="M145" s="9"/>
      <c r="N145" s="10">
        <f t="shared" si="33"/>
        <v>-16.450000000000003</v>
      </c>
      <c r="O145" s="8">
        <f>IFERROR(N145/N444, "NA")</f>
        <v>-4.3685807423931612E-4</v>
      </c>
      <c r="P145" s="9"/>
      <c r="Q145" s="7">
        <v>572.46</v>
      </c>
      <c r="R145" s="8">
        <f>IFERROR(Q145/Q444, "NA")</f>
        <v>4.9881101720406569E-4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-572.46</v>
      </c>
      <c r="X145" s="8">
        <f>IFERROR(W145/W444, "NA")</f>
        <v>9.8003566380698952E-3</v>
      </c>
      <c r="Y145" s="9"/>
      <c r="Z145" s="7">
        <v>390.09</v>
      </c>
      <c r="AA145" s="8">
        <f>IFERROR(Z145/Z444, "NA")</f>
        <v>3.6448039040559862E-4</v>
      </c>
      <c r="AB145" s="9"/>
      <c r="AC145" s="10">
        <f t="shared" si="35"/>
        <v>-182.37000000000006</v>
      </c>
      <c r="AD145" s="8">
        <f>IFERROR(AC145/AC444, "NA")</f>
        <v>-2.3566360361270754E-3</v>
      </c>
    </row>
    <row r="146" spans="1:30" ht="16.5" customHeight="1" x14ac:dyDescent="0.45">
      <c r="A146" s="12" t="s">
        <v>137</v>
      </c>
      <c r="B146" s="7">
        <v>-32.020000000000003</v>
      </c>
      <c r="C146" s="8">
        <f>IFERROR(B146/B444, "NA")</f>
        <v>-2.079952003905789E-4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32.020000000000003</v>
      </c>
      <c r="I146" s="8">
        <f>IFERROR(H146/H444, "NA")</f>
        <v>1.1776964448794304E-3</v>
      </c>
      <c r="J146" s="9"/>
      <c r="K146" s="7">
        <v>151.11000000000001</v>
      </c>
      <c r="L146" s="8">
        <f>IFERROR(K146/K444, "NA")</f>
        <v>1.2994170380566411E-3</v>
      </c>
      <c r="M146" s="9"/>
      <c r="N146" s="10">
        <f t="shared" si="33"/>
        <v>183.13000000000002</v>
      </c>
      <c r="O146" s="8">
        <f>IFERROR(N146/N444, "NA")</f>
        <v>4.8633324702398763E-3</v>
      </c>
      <c r="P146" s="9"/>
      <c r="Q146" s="7">
        <v>442.98</v>
      </c>
      <c r="R146" s="8">
        <f>IFERROR(Q146/Q444, "NA")</f>
        <v>3.8598907242612065E-4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-442.98</v>
      </c>
      <c r="X146" s="8">
        <f>IFERROR(W146/W444, "NA")</f>
        <v>7.5836949018834544E-3</v>
      </c>
      <c r="Y146" s="9"/>
      <c r="Z146" s="7">
        <v>3472.32</v>
      </c>
      <c r="AA146" s="8">
        <f>IFERROR(Z146/Z444, "NA")</f>
        <v>3.2443604019922797E-3</v>
      </c>
      <c r="AB146" s="9"/>
      <c r="AC146" s="10">
        <f t="shared" si="35"/>
        <v>3029.34</v>
      </c>
      <c r="AD146" s="8">
        <f>IFERROR(AC146/AC444, "NA")</f>
        <v>3.9145976913314652E-2</v>
      </c>
    </row>
    <row r="147" spans="1:30" ht="16.5" customHeight="1" x14ac:dyDescent="0.45">
      <c r="A147" s="12" t="s">
        <v>138</v>
      </c>
      <c r="B147" s="7">
        <v>7.01</v>
      </c>
      <c r="C147" s="8">
        <f>IFERROR(B147/B444, "NA")</f>
        <v>4.5535488904995566E-5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-7.01</v>
      </c>
      <c r="I147" s="8">
        <f>IFERROR(H147/H444, "NA")</f>
        <v>-2.5782798496579656E-4</v>
      </c>
      <c r="J147" s="9"/>
      <c r="K147" s="7">
        <v>-3.6</v>
      </c>
      <c r="L147" s="8">
        <f>IFERROR(K147/K444, "NA")</f>
        <v>-3.0956927648758569E-5</v>
      </c>
      <c r="M147" s="9"/>
      <c r="N147" s="10">
        <f t="shared" si="33"/>
        <v>-10.61</v>
      </c>
      <c r="O147" s="8">
        <f>IFERROR(N147/N444, "NA")</f>
        <v>-2.817668187038993E-4</v>
      </c>
      <c r="P147" s="9"/>
      <c r="Q147" s="7">
        <v>148.06</v>
      </c>
      <c r="R147" s="8">
        <f>IFERROR(Q147/Q444, "NA")</f>
        <v>1.2901156274191028E-4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-148.06</v>
      </c>
      <c r="X147" s="8">
        <f>IFERROR(W147/W444, "NA")</f>
        <v>2.534746189834449E-3</v>
      </c>
      <c r="Y147" s="9"/>
      <c r="Z147" s="7">
        <v>-141.03</v>
      </c>
      <c r="AA147" s="8">
        <f>IFERROR(Z147/Z444, "NA")</f>
        <v>-1.3177130779794811E-4</v>
      </c>
      <c r="AB147" s="9"/>
      <c r="AC147" s="10">
        <f t="shared" si="35"/>
        <v>-289.09000000000003</v>
      </c>
      <c r="AD147" s="8">
        <f>IFERROR(AC147/AC444, "NA")</f>
        <v>-3.7357016597246045E-3</v>
      </c>
    </row>
    <row r="148" spans="1:30" ht="16.5" customHeight="1" x14ac:dyDescent="0.45">
      <c r="A148" s="13" t="s">
        <v>139</v>
      </c>
      <c r="B148" s="14">
        <f>IFERROR(B143+B144+B145+B146+B147, "NA")</f>
        <v>1704.3799999999999</v>
      </c>
      <c r="C148" s="15">
        <f>IFERROR(B148/B444, "NA")</f>
        <v>1.107129480455012E-2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-1704.3799999999999</v>
      </c>
      <c r="I148" s="15">
        <f>IFERROR(H148/H444, "NA")</f>
        <v>-6.2687141371755253E-2</v>
      </c>
      <c r="J148" s="2"/>
      <c r="K148" s="14">
        <f>IFERROR(K143+K144+K145+K146+K147, "NA")</f>
        <v>1398.73</v>
      </c>
      <c r="L148" s="15">
        <f>IFERROR(K148/K444, "NA")</f>
        <v>1.2027884280596687E-2</v>
      </c>
      <c r="M148" s="2"/>
      <c r="N148" s="14">
        <f t="shared" si="33"/>
        <v>-305.64999999999986</v>
      </c>
      <c r="O148" s="15">
        <f>IFERROR(N148/N444, "NA")</f>
        <v>-8.1170620298630335E-3</v>
      </c>
      <c r="P148" s="2"/>
      <c r="Q148" s="14">
        <f>IFERROR(Q143+Q144+Q145+Q146+Q147, "NA")</f>
        <v>17428.84</v>
      </c>
      <c r="R148" s="15">
        <f>IFERROR(Q148/Q444, "NA")</f>
        <v>1.5186558727399133E-2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-17428.84</v>
      </c>
      <c r="X148" s="15">
        <f>IFERROR(W148/W444, "NA")</f>
        <v>0.29837691330024474</v>
      </c>
      <c r="Y148" s="2"/>
      <c r="Z148" s="14">
        <f>IFERROR(Z143+Z144+Z145+Z146+Z147, "NA")</f>
        <v>16110.49</v>
      </c>
      <c r="AA148" s="15">
        <f>IFERROR(Z148/Z444, "NA")</f>
        <v>1.5052828026418245E-2</v>
      </c>
      <c r="AB148" s="2"/>
      <c r="AC148" s="14">
        <f t="shared" si="35"/>
        <v>-1318.3500000000004</v>
      </c>
      <c r="AD148" s="15">
        <f>IFERROR(AC148/AC444, "NA")</f>
        <v>-1.7036086627340734E-2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32304.48</v>
      </c>
      <c r="C149" s="15">
        <f>IFERROR(B149/B444, "NA")</f>
        <v>0.20984312277056363</v>
      </c>
      <c r="D149" s="2"/>
      <c r="E149" s="14">
        <f>IFERROR(E127+E129+E130+E131+E132+E133+E134+E135+E136+E137+E138+E139+E140+E143+E144+E145+E146+E147, "NA")</f>
        <v>27379.55</v>
      </c>
      <c r="F149" s="15">
        <f>IFERROR(E149/E444, "NA")</f>
        <v>0.21599997601713952</v>
      </c>
      <c r="G149" s="2"/>
      <c r="H149" s="14">
        <f t="shared" si="32"/>
        <v>-4924.93</v>
      </c>
      <c r="I149" s="15">
        <f>IFERROR(H149/H444, "NA")</f>
        <v>-0.18113905534915842</v>
      </c>
      <c r="J149" s="2"/>
      <c r="K149" s="14">
        <f>IFERROR(K127+K129+K130+K131+K132+K133+K134+K135+K136+K137+K138+K139+K140+K143+K144+K145+K146+K147, "NA")</f>
        <v>29987.870000000003</v>
      </c>
      <c r="L149" s="15">
        <f>IFERROR(K149/K444, "NA")</f>
        <v>0.25787008942510492</v>
      </c>
      <c r="M149" s="2"/>
      <c r="N149" s="14">
        <f t="shared" si="33"/>
        <v>-2316.6099999999969</v>
      </c>
      <c r="O149" s="15">
        <f>IFERROR(N149/N444, "NA")</f>
        <v>-6.1521567377722838E-2</v>
      </c>
      <c r="P149" s="2"/>
      <c r="Q149" s="14">
        <f>IFERROR(Q127+Q129+Q130+Q131+Q132+Q133+Q134+Q135+Q136+Q137+Q138+Q139+Q140+Q143+Q144+Q145+Q146+Q147, "NA")</f>
        <v>277429.61</v>
      </c>
      <c r="R149" s="15">
        <f>IFERROR(Q149/Q444, "NA")</f>
        <v>0.24173731957975617</v>
      </c>
      <c r="S149" s="2"/>
      <c r="T149" s="14">
        <f>IFERROR(T127+T129+T130+T131+T132+T133+T134+T135+T136+T137+T138+T139+T140+T143+T144+T145+T146+T147, "NA")</f>
        <v>268749.36</v>
      </c>
      <c r="U149" s="15">
        <f>IFERROR(T149/T444, "NA")</f>
        <v>0.22283226864029115</v>
      </c>
      <c r="V149" s="2"/>
      <c r="W149" s="14">
        <f t="shared" si="34"/>
        <v>-8680.25</v>
      </c>
      <c r="X149" s="15">
        <f>IFERROR(W149/W444, "NA")</f>
        <v>0.14860347571464594</v>
      </c>
      <c r="Y149" s="2"/>
      <c r="Z149" s="14">
        <f>IFERROR(Z127+Z129+Z130+Z131+Z132+Z133+Z134+Z135+Z136+Z137+Z138+Z139+Z140+Z143+Z144+Z145+Z146+Z147, "NA")</f>
        <v>252069.05</v>
      </c>
      <c r="AA149" s="15">
        <f>IFERROR(Z149/Z444, "NA")</f>
        <v>0.23552058692396208</v>
      </c>
      <c r="AB149" s="2"/>
      <c r="AC149" s="14">
        <f t="shared" si="35"/>
        <v>-25360.559999999998</v>
      </c>
      <c r="AD149" s="15">
        <f>IFERROR(AC149/AC444, "NA")</f>
        <v>-0.3277162339878425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2281.63</v>
      </c>
      <c r="F153" s="8">
        <f>IFERROR(E153/E444, "NA")</f>
        <v>1.8000004575677325E-2</v>
      </c>
      <c r="G153" s="9"/>
      <c r="H153" s="10">
        <f t="shared" ref="H153:H158" si="36">IFERROR(-(B153-E153), "NA")</f>
        <v>2281.63</v>
      </c>
      <c r="I153" s="8">
        <f>IFERROR(H153/H444, "NA")</f>
        <v>8.3918411603068538E-2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22857.85</v>
      </c>
      <c r="U153" s="8">
        <f>IFERROR(T153/T444, "NA")</f>
        <v>1.8952478888654766E-2</v>
      </c>
      <c r="V153" s="9"/>
      <c r="W153" s="10">
        <f t="shared" ref="W153:W158" si="38">IFERROR(-(Q153-T153), "NA")</f>
        <v>22857.85</v>
      </c>
      <c r="X153" s="8">
        <f>IFERROR(W153/W444, "NA")</f>
        <v>-0.39132006075447356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3087.51</v>
      </c>
      <c r="C154" s="8">
        <f>IFERROR(B154/B444, "NA")</f>
        <v>2.0055817025543918E-2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-3087.51</v>
      </c>
      <c r="I154" s="8">
        <f>IFERROR(H154/H444, "NA")</f>
        <v>-0.11355869926701093</v>
      </c>
      <c r="J154" s="9"/>
      <c r="K154" s="7">
        <v>2852.65</v>
      </c>
      <c r="L154" s="8">
        <f>IFERROR(K154/K444, "NA")</f>
        <v>2.4530355460341983E-2</v>
      </c>
      <c r="M154" s="9"/>
      <c r="N154" s="10">
        <f t="shared" si="37"/>
        <v>-234.86000000000013</v>
      </c>
      <c r="O154" s="8">
        <f>IFERROR(N154/N444, "NA")</f>
        <v>-6.2371116909328769E-3</v>
      </c>
      <c r="P154" s="9"/>
      <c r="Q154" s="7">
        <v>35313.49</v>
      </c>
      <c r="R154" s="8">
        <f>IFERROR(Q154/Q444, "NA")</f>
        <v>3.077028590281522E-2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-35313.49</v>
      </c>
      <c r="X154" s="8">
        <f>IFERROR(W154/W444, "NA")</f>
        <v>0.60455716754867561</v>
      </c>
      <c r="Y154" s="9"/>
      <c r="Z154" s="7">
        <v>34929.39</v>
      </c>
      <c r="AA154" s="8">
        <f>IFERROR(Z154/Z444, "NA")</f>
        <v>3.2636257540130262E-2</v>
      </c>
      <c r="AB154" s="9"/>
      <c r="AC154" s="10">
        <f t="shared" si="39"/>
        <v>-384.09999999999854</v>
      </c>
      <c r="AD154" s="8">
        <f>IFERROR(AC154/AC444, "NA")</f>
        <v>-4.9634473952755711E-3</v>
      </c>
    </row>
    <row r="155" spans="1:30" ht="16.5" customHeight="1" x14ac:dyDescent="0.45">
      <c r="A155" s="12" t="s">
        <v>144</v>
      </c>
      <c r="B155" s="7">
        <v>2883.19</v>
      </c>
      <c r="C155" s="8">
        <f>IFERROR(B155/B444, "NA")</f>
        <v>1.8728597183451379E-2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-2883.19</v>
      </c>
      <c r="I155" s="8">
        <f>IFERROR(H155/H444, "NA")</f>
        <v>-0.10604380427582526</v>
      </c>
      <c r="J155" s="9"/>
      <c r="K155" s="7">
        <v>713.82</v>
      </c>
      <c r="L155" s="8">
        <f>IFERROR(K155/K444, "NA")</f>
        <v>6.1382428039546792E-3</v>
      </c>
      <c r="M155" s="9"/>
      <c r="N155" s="10">
        <f t="shared" si="37"/>
        <v>-2169.37</v>
      </c>
      <c r="O155" s="8">
        <f>IFERROR(N155/N444, "NA")</f>
        <v>-5.761135565425806E-2</v>
      </c>
      <c r="P155" s="9"/>
      <c r="Q155" s="7">
        <v>12371.22</v>
      </c>
      <c r="R155" s="8">
        <f>IFERROR(Q155/Q444, "NA")</f>
        <v>1.0779619243711841E-2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-12371.22</v>
      </c>
      <c r="X155" s="8">
        <f>IFERROR(W155/W444, "NA")</f>
        <v>0.2117918597771426</v>
      </c>
      <c r="Y155" s="9"/>
      <c r="Z155" s="7">
        <v>9357.73</v>
      </c>
      <c r="AA155" s="8">
        <f>IFERROR(Z155/Z444, "NA")</f>
        <v>8.7433902015180663E-3</v>
      </c>
      <c r="AB155" s="9"/>
      <c r="AC155" s="10">
        <f t="shared" si="39"/>
        <v>-3013.49</v>
      </c>
      <c r="AD155" s="8">
        <f>IFERROR(AC155/AC444, "NA")</f>
        <v>-3.8941158789869923E-2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24.95</v>
      </c>
      <c r="L156" s="8">
        <f>IFERROR(K156/K444, "NA")</f>
        <v>2.1454870689903508E-4</v>
      </c>
      <c r="M156" s="9"/>
      <c r="N156" s="10">
        <f t="shared" si="37"/>
        <v>24.95</v>
      </c>
      <c r="O156" s="8">
        <f>IFERROR(N156/N444, "NA")</f>
        <v>6.6259020986449461E-4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155.97999999999999</v>
      </c>
      <c r="AA156" s="8">
        <f>IFERROR(Z156/Z444, "NA")</f>
        <v>1.4573983259110788E-4</v>
      </c>
      <c r="AB156" s="9"/>
      <c r="AC156" s="10">
        <f t="shared" si="39"/>
        <v>155.97999999999999</v>
      </c>
      <c r="AD156" s="8">
        <f>IFERROR(AC156/AC444, "NA")</f>
        <v>2.0156170911613813E-3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5970.7000000000007</v>
      </c>
      <c r="C158" s="15">
        <f>IFERROR(B158/B444, "NA")</f>
        <v>3.8784414208995303E-2</v>
      </c>
      <c r="D158" s="2"/>
      <c r="E158" s="14">
        <f>IFERROR(E153+E154+E155+E156+E157, "NA")</f>
        <v>2281.63</v>
      </c>
      <c r="F158" s="15">
        <f>IFERROR(E158/E444, "NA")</f>
        <v>1.8000004575677325E-2</v>
      </c>
      <c r="G158" s="2"/>
      <c r="H158" s="14">
        <f t="shared" si="36"/>
        <v>-3689.0700000000006</v>
      </c>
      <c r="I158" s="15">
        <f>IFERROR(H158/H444, "NA")</f>
        <v>-0.13568409193976766</v>
      </c>
      <c r="J158" s="2"/>
      <c r="K158" s="14">
        <f>IFERROR(K153+K154+K155+K156+K157, "NA")</f>
        <v>3591.42</v>
      </c>
      <c r="L158" s="15">
        <f>IFERROR(K158/K444, "NA")</f>
        <v>3.0883146971195697E-2</v>
      </c>
      <c r="M158" s="2"/>
      <c r="N158" s="14">
        <f t="shared" si="37"/>
        <v>-2379.2800000000007</v>
      </c>
      <c r="O158" s="15">
        <f>IFERROR(N158/N444, "NA")</f>
        <v>-6.318587713532646E-2</v>
      </c>
      <c r="P158" s="2"/>
      <c r="Q158" s="14">
        <f>IFERROR(Q153+Q154+Q155+Q156+Q157, "NA")</f>
        <v>47684.71</v>
      </c>
      <c r="R158" s="15">
        <f>IFERROR(Q158/Q444, "NA")</f>
        <v>4.1549905146527059E-2</v>
      </c>
      <c r="S158" s="2"/>
      <c r="T158" s="14">
        <f>IFERROR(T153+T154+T155+T156+T157, "NA")</f>
        <v>22857.85</v>
      </c>
      <c r="U158" s="15">
        <f>IFERROR(T158/T444, "NA")</f>
        <v>1.8952478888654766E-2</v>
      </c>
      <c r="V158" s="2"/>
      <c r="W158" s="14">
        <f t="shared" si="38"/>
        <v>-24826.86</v>
      </c>
      <c r="X158" s="15">
        <f>IFERROR(W158/W444, "NA")</f>
        <v>0.42502896657134465</v>
      </c>
      <c r="Y158" s="2"/>
      <c r="Z158" s="14">
        <f>IFERROR(Z153+Z154+Z155+Z156+Z157, "NA")</f>
        <v>44443.1</v>
      </c>
      <c r="AA158" s="15">
        <f>IFERROR(Z158/Z444, "NA")</f>
        <v>4.1525387574239438E-2</v>
      </c>
      <c r="AB158" s="2"/>
      <c r="AC158" s="14">
        <f t="shared" si="39"/>
        <v>-3241.6100000000006</v>
      </c>
      <c r="AD158" s="15">
        <f>IFERROR(AC158/AC444, "NA")</f>
        <v>-4.1888989093984141E-2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498.21</v>
      </c>
      <c r="C161" s="8">
        <f>IFERROR(B161/B444, "NA")</f>
        <v>3.2362676073263682E-3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-498.21</v>
      </c>
      <c r="I161" s="8">
        <f>IFERROR(H161/H444, "NA")</f>
        <v>-1.8324176945764551E-2</v>
      </c>
      <c r="J161" s="9"/>
      <c r="K161" s="7">
        <v>201.38</v>
      </c>
      <c r="L161" s="8">
        <f>IFERROR(K161/K444, "NA")</f>
        <v>1.731696136085278E-3</v>
      </c>
      <c r="M161" s="9"/>
      <c r="N161" s="10">
        <f t="shared" si="41"/>
        <v>-296.83</v>
      </c>
      <c r="O161" s="8">
        <f>IFERROR(N161/N444, "NA")</f>
        <v>-7.8828317432496162E-3</v>
      </c>
      <c r="P161" s="9"/>
      <c r="Q161" s="7">
        <v>3589.6</v>
      </c>
      <c r="R161" s="8">
        <f>IFERROR(Q161/Q444, "NA")</f>
        <v>3.1277853952341021E-3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-3589.6</v>
      </c>
      <c r="X161" s="8">
        <f>IFERROR(W161/W444, "NA")</f>
        <v>6.1452957740306215E-2</v>
      </c>
      <c r="Y161" s="9"/>
      <c r="Z161" s="7">
        <v>4122.17</v>
      </c>
      <c r="AA161" s="8">
        <f>IFERROR(Z161/Z444, "NA")</f>
        <v>3.8515474144895962E-3</v>
      </c>
      <c r="AB161" s="9"/>
      <c r="AC161" s="10">
        <f t="shared" si="43"/>
        <v>532.57000000000016</v>
      </c>
      <c r="AD161" s="8">
        <f>IFERROR(AC161/AC444, "NA")</f>
        <v>6.882018170533512E-3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2.5414305978190375E-6</v>
      </c>
      <c r="AB162" s="9"/>
      <c r="AC162" s="10">
        <f t="shared" si="43"/>
        <v>2.72</v>
      </c>
      <c r="AD162" s="8">
        <f>IFERROR(AC162/AC444, "NA")</f>
        <v>3.5148599102185907E-5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498.21</v>
      </c>
      <c r="C166" s="15">
        <f>IFERROR(B166/B444, "NA")</f>
        <v>3.2362676073263682E-3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-498.21</v>
      </c>
      <c r="I166" s="15">
        <f>IFERROR(H166/H444, "NA")</f>
        <v>-1.8324176945764551E-2</v>
      </c>
      <c r="J166" s="2"/>
      <c r="K166" s="14">
        <f>IFERROR(K160+K161+K162+K163+K164+K165, "NA")</f>
        <v>201.38</v>
      </c>
      <c r="L166" s="15">
        <f>IFERROR(K166/K444, "NA")</f>
        <v>1.731696136085278E-3</v>
      </c>
      <c r="M166" s="2"/>
      <c r="N166" s="14">
        <f t="shared" si="41"/>
        <v>-296.83</v>
      </c>
      <c r="O166" s="15">
        <f>IFERROR(N166/N444, "NA")</f>
        <v>-7.8828317432496162E-3</v>
      </c>
      <c r="P166" s="2"/>
      <c r="Q166" s="14">
        <f>IFERROR(Q160+Q161+Q162+Q163+Q164+Q165, "NA")</f>
        <v>3589.6</v>
      </c>
      <c r="R166" s="15">
        <f>IFERROR(Q166/Q444, "NA")</f>
        <v>3.1277853952341021E-3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-3589.6</v>
      </c>
      <c r="X166" s="15">
        <f>IFERROR(W166/W444, "NA")</f>
        <v>6.1452957740306215E-2</v>
      </c>
      <c r="Y166" s="2"/>
      <c r="Z166" s="14">
        <f>IFERROR(Z160+Z161+Z162+Z163+Z164+Z165, "NA")</f>
        <v>4124.8900000000003</v>
      </c>
      <c r="AA166" s="15">
        <f>IFERROR(Z166/Z444, "NA")</f>
        <v>3.8540888450874157E-3</v>
      </c>
      <c r="AB166" s="2"/>
      <c r="AC166" s="14">
        <f t="shared" si="43"/>
        <v>535.29000000000042</v>
      </c>
      <c r="AD166" s="15">
        <f>IFERROR(AC166/AC444, "NA")</f>
        <v>6.9171667696357013E-3</v>
      </c>
    </row>
    <row r="167" spans="1:30" ht="16.5" customHeight="1" x14ac:dyDescent="0.45">
      <c r="A167" s="6" t="s">
        <v>155</v>
      </c>
      <c r="B167" s="7">
        <v>434.44</v>
      </c>
      <c r="C167" s="8">
        <f>IFERROR(B167/B444, "NA")</f>
        <v>2.822031069883919E-3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-434.44</v>
      </c>
      <c r="I167" s="8">
        <f>IFERROR(H167/H444, "NA")</f>
        <v>-1.597871466312991E-2</v>
      </c>
      <c r="J167" s="9"/>
      <c r="K167" s="7">
        <v>276.05</v>
      </c>
      <c r="L167" s="8">
        <f>IFERROR(K167/K444, "NA")</f>
        <v>2.3737944103999456E-3</v>
      </c>
      <c r="M167" s="9"/>
      <c r="N167" s="10">
        <f t="shared" si="41"/>
        <v>-158.38999999999999</v>
      </c>
      <c r="O167" s="8">
        <f>IFERROR(N167/N444, "NA")</f>
        <v>-4.2063191719614148E-3</v>
      </c>
      <c r="P167" s="9"/>
      <c r="Q167" s="7">
        <v>3843.81</v>
      </c>
      <c r="R167" s="8">
        <f>IFERROR(Q167/Q444, "NA")</f>
        <v>3.3492903889165348E-3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-3843.81</v>
      </c>
      <c r="X167" s="8">
        <f>IFERROR(W167/W444, "NA")</f>
        <v>6.5804962528350358E-2</v>
      </c>
      <c r="Y167" s="9"/>
      <c r="Z167" s="7">
        <v>3844.86</v>
      </c>
      <c r="AA167" s="8">
        <f>IFERROR(Z167/Z444, "NA")</f>
        <v>3.5924429589450383E-3</v>
      </c>
      <c r="AB167" s="9"/>
      <c r="AC167" s="10">
        <f t="shared" si="43"/>
        <v>1.0500000000001819</v>
      </c>
      <c r="AD167" s="8">
        <f>IFERROR(AC167/AC444, "NA")</f>
        <v>1.3568393035772644E-5</v>
      </c>
    </row>
    <row r="168" spans="1:30" ht="16.5" customHeight="1" x14ac:dyDescent="0.45">
      <c r="A168" s="6" t="s">
        <v>156</v>
      </c>
      <c r="B168" s="7">
        <v>36</v>
      </c>
      <c r="C168" s="8">
        <f>IFERROR(B168/B444, "NA")</f>
        <v>2.3384844516117551E-4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-36</v>
      </c>
      <c r="I168" s="8">
        <f>IFERROR(H168/H444, "NA")</f>
        <v>-1.3240809498956743E-3</v>
      </c>
      <c r="J168" s="9"/>
      <c r="K168" s="7">
        <v>50.6</v>
      </c>
      <c r="L168" s="8">
        <f>IFERROR(K168/K444, "NA")</f>
        <v>4.3511681639643991E-4</v>
      </c>
      <c r="M168" s="9"/>
      <c r="N168" s="10">
        <f t="shared" si="41"/>
        <v>14.600000000000001</v>
      </c>
      <c r="O168" s="8">
        <f>IFERROR(N168/N444, "NA")</f>
        <v>3.8772813883854195E-4</v>
      </c>
      <c r="P168" s="9"/>
      <c r="Q168" s="7">
        <v>536.78</v>
      </c>
      <c r="R168" s="8">
        <f>IFERROR(Q168/Q444, "NA")</f>
        <v>4.6772137409565445E-4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-536.78</v>
      </c>
      <c r="X168" s="8">
        <f>IFERROR(W168/W444, "NA")</f>
        <v>9.1895249208384135E-3</v>
      </c>
      <c r="Y168" s="9"/>
      <c r="Z168" s="7">
        <v>458.4</v>
      </c>
      <c r="AA168" s="8">
        <f>IFERROR(Z168/Z444, "NA")</f>
        <v>4.2830580369126716E-4</v>
      </c>
      <c r="AB168" s="9"/>
      <c r="AC168" s="10">
        <f t="shared" si="43"/>
        <v>-78.38</v>
      </c>
      <c r="AD168" s="8">
        <f>IFERROR(AC168/AC444, "NA")</f>
        <v>-1.0128482344225482E-3</v>
      </c>
    </row>
    <row r="169" spans="1:30" ht="16.5" customHeight="1" x14ac:dyDescent="0.45">
      <c r="A169" s="6" t="s">
        <v>157</v>
      </c>
      <c r="B169" s="7">
        <v>-1071.1099999999999</v>
      </c>
      <c r="C169" s="8">
        <f>IFERROR(B169/B444, "NA")</f>
        <v>-6.957705780460741E-3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1071.1099999999999</v>
      </c>
      <c r="I169" s="8">
        <f>IFERROR(H169/H444, "NA")</f>
        <v>3.9395454062298767E-2</v>
      </c>
      <c r="J169" s="9"/>
      <c r="K169" s="7">
        <v>-2951.73</v>
      </c>
      <c r="L169" s="8">
        <f>IFERROR(K169/K444, "NA")</f>
        <v>-2.5382358902408371E-2</v>
      </c>
      <c r="M169" s="9"/>
      <c r="N169" s="10">
        <f t="shared" si="41"/>
        <v>-1880.6200000000001</v>
      </c>
      <c r="O169" s="8">
        <f>IFERROR(N169/N444, "NA")</f>
        <v>-4.9943102223461558E-2</v>
      </c>
      <c r="P169" s="9"/>
      <c r="Q169" s="7">
        <v>-16769.59</v>
      </c>
      <c r="R169" s="8">
        <f>IFERROR(Q169/Q444, "NA")</f>
        <v>-1.4612123547488257E-2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16769.59</v>
      </c>
      <c r="X169" s="8">
        <f>IFERROR(W169/W444, "NA")</f>
        <v>-0.28709073590156614</v>
      </c>
      <c r="Y169" s="9"/>
      <c r="Z169" s="7">
        <v>-23395.22</v>
      </c>
      <c r="AA169" s="8">
        <f>IFERROR(Z169/Z444, "NA")</f>
        <v>-2.1859311746583787E-2</v>
      </c>
      <c r="AB169" s="9"/>
      <c r="AC169" s="10">
        <f t="shared" si="43"/>
        <v>-6625.630000000001</v>
      </c>
      <c r="AD169" s="8">
        <f>IFERROR(AC169/AC444, "NA")</f>
        <v>-8.5618239951991179E-2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5868.2400000000007</v>
      </c>
      <c r="C170" s="15">
        <f>IFERROR(B170/B444, "NA")</f>
        <v>3.8118855550906022E-2</v>
      </c>
      <c r="D170" s="2"/>
      <c r="E170" s="14">
        <f>IFERROR(E151+E153+E154+E155+E156+E157+E160+E161+E162+E163+E164+E165+E167+E168+E169, "NA")</f>
        <v>2281.63</v>
      </c>
      <c r="F170" s="15">
        <f>IFERROR(E170/E444, "NA")</f>
        <v>1.8000004575677325E-2</v>
      </c>
      <c r="G170" s="2"/>
      <c r="H170" s="14">
        <f t="shared" si="40"/>
        <v>-3586.6100000000006</v>
      </c>
      <c r="I170" s="15">
        <f>IFERROR(H170/H444, "NA")</f>
        <v>-0.13191561043625902</v>
      </c>
      <c r="J170" s="2"/>
      <c r="K170" s="14">
        <f>IFERROR(K151+K153+K154+K155+K156+K157+K160+K161+K162+K163+K164+K165+K167+K168+K169, "NA")</f>
        <v>1167.7200000000007</v>
      </c>
      <c r="L170" s="15">
        <f>IFERROR(K170/K444, "NA")</f>
        <v>1.0041395431668994E-2</v>
      </c>
      <c r="M170" s="2"/>
      <c r="N170" s="14">
        <f t="shared" si="41"/>
        <v>-4700.5200000000004</v>
      </c>
      <c r="O170" s="15">
        <f>IFERROR(N170/N444, "NA")</f>
        <v>-0.1248304021351605</v>
      </c>
      <c r="P170" s="2"/>
      <c r="Q170" s="14">
        <f>IFERROR(Q151+Q153+Q154+Q155+Q156+Q157+Q160+Q161+Q162+Q163+Q164+Q165+Q167+Q168+Q169, "NA")</f>
        <v>38885.31</v>
      </c>
      <c r="R170" s="15">
        <f>IFERROR(Q170/Q444, "NA")</f>
        <v>3.3882578757285092E-2</v>
      </c>
      <c r="S170" s="2"/>
      <c r="T170" s="14">
        <f>IFERROR(T151+T153+T154+T155+T156+T157+T160+T161+T162+T163+T164+T165+T167+T168+T169, "NA")</f>
        <v>22857.85</v>
      </c>
      <c r="U170" s="15">
        <f>IFERROR(T170/T444, "NA")</f>
        <v>1.8952478888654766E-2</v>
      </c>
      <c r="V170" s="2"/>
      <c r="W170" s="14">
        <f t="shared" si="42"/>
        <v>-16027.46</v>
      </c>
      <c r="X170" s="15">
        <f>IFERROR(W170/W444, "NA")</f>
        <v>0.27438567585927354</v>
      </c>
      <c r="Y170" s="2"/>
      <c r="Z170" s="14">
        <f>IFERROR(Z151+Z153+Z154+Z155+Z156+Z157+Z160+Z161+Z162+Z163+Z164+Z165+Z167+Z168+Z169, "NA")</f>
        <v>29476.03</v>
      </c>
      <c r="AA170" s="15">
        <f>IFERROR(Z170/Z444, "NA")</f>
        <v>2.7540913435379368E-2</v>
      </c>
      <c r="AB170" s="2"/>
      <c r="AC170" s="14">
        <f t="shared" si="43"/>
        <v>-9409.2799999999988</v>
      </c>
      <c r="AD170" s="15">
        <f>IFERROR(AC170/AC444, "NA")</f>
        <v>-0.12158934211772637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38172.720000000001</v>
      </c>
      <c r="C171" s="15">
        <f>IFERROR(B171/B444, "NA")</f>
        <v>0.24796197832146966</v>
      </c>
      <c r="D171" s="2"/>
      <c r="E171" s="14">
        <f>IFERROR(E127+E129+E130+E131+E132+E133+E134+E135+E136+E137+E138+E139+E140+E143+E144+E145+E146+E147+E151+E153+E154+E155+E156+E157+E160+E161+E162+E163+E164+E165+E167+E168+E169, "NA")</f>
        <v>29661.18</v>
      </c>
      <c r="F171" s="15">
        <f>IFERROR(E171/E444, "NA")</f>
        <v>0.23399998059281688</v>
      </c>
      <c r="G171" s="2"/>
      <c r="H171" s="14">
        <f t="shared" si="40"/>
        <v>-8511.5400000000009</v>
      </c>
      <c r="I171" s="15">
        <f>IFERROR(H171/H444, "NA")</f>
        <v>-0.31305466578541746</v>
      </c>
      <c r="J171" s="2"/>
      <c r="K171" s="14">
        <f>IFERROR(K127+K129+K130+K131+K132+K133+K134+K135+K136+K137+K138+K139+K140+K143+K144+K145+K146+K147+K151+K153+K154+K155+K156+K157+K160+K161+K162+K163+K164+K165+K167+K168+K169, "NA")</f>
        <v>31155.59</v>
      </c>
      <c r="L171" s="15">
        <f>IFERROR(K171/K444, "NA")</f>
        <v>0.26791148485677391</v>
      </c>
      <c r="M171" s="2"/>
      <c r="N171" s="14">
        <f t="shared" si="41"/>
        <v>-7017.130000000001</v>
      </c>
      <c r="O171" s="15">
        <f>IFERROR(N171/N444, "NA")</f>
        <v>-0.18635196951288344</v>
      </c>
      <c r="P171" s="2"/>
      <c r="Q171" s="14">
        <f>IFERROR(Q127+Q129+Q130+Q131+Q132+Q133+Q134+Q135+Q136+Q137+Q138+Q139+Q140+Q143+Q144+Q145+Q146+Q147+Q151+Q153+Q154+Q155+Q156+Q157+Q160+Q161+Q162+Q163+Q164+Q165+Q167+Q168+Q169, "NA")</f>
        <v>316314.91999999993</v>
      </c>
      <c r="R171" s="15">
        <f>IFERROR(Q171/Q444, "NA")</f>
        <v>0.2756198983370412</v>
      </c>
      <c r="S171" s="2"/>
      <c r="T171" s="14">
        <f>IFERROR(T127+T129+T130+T131+T132+T133+T134+T135+T136+T137+T138+T139+T140+T143+T144+T145+T146+T147+T151+T153+T154+T155+T156+T157+T160+T161+T162+T163+T164+T165+T167+T168+T169, "NA")</f>
        <v>291607.20999999996</v>
      </c>
      <c r="U171" s="15">
        <f>IFERROR(T171/T444, "NA")</f>
        <v>0.24178474752894591</v>
      </c>
      <c r="V171" s="2"/>
      <c r="W171" s="14">
        <f t="shared" si="42"/>
        <v>-24707.709999999963</v>
      </c>
      <c r="X171" s="15">
        <f>IFERROR(W171/W444, "NA")</f>
        <v>0.42298915157391881</v>
      </c>
      <c r="Y171" s="2"/>
      <c r="Z171" s="14">
        <f>IFERROR(Z127+Z129+Z130+Z131+Z132+Z133+Z134+Z135+Z136+Z137+Z138+Z139+Z140+Z143+Z144+Z145+Z146+Z147+Z151+Z153+Z154+Z155+Z156+Z157+Z160+Z161+Z162+Z163+Z164+Z165+Z167+Z168+Z169, "NA")</f>
        <v>281545.07999999996</v>
      </c>
      <c r="AA171" s="15">
        <f>IFERROR(Z171/Z444, "NA")</f>
        <v>0.26306150035934139</v>
      </c>
      <c r="AB171" s="2"/>
      <c r="AC171" s="14">
        <f t="shared" si="43"/>
        <v>-34769.839999999967</v>
      </c>
      <c r="AD171" s="15">
        <f>IFERROR(AC171/AC444, "NA")</f>
        <v>-0.44930557610556848</v>
      </c>
    </row>
    <row r="172" spans="1:30" ht="16.5" customHeight="1" x14ac:dyDescent="0.45">
      <c r="A172" s="22" t="s">
        <v>160</v>
      </c>
      <c r="B172" s="23">
        <f>IFERROR(B124-B171, "NA")</f>
        <v>115773.14000000001</v>
      </c>
      <c r="C172" s="24">
        <f>IFERROR(B172/B444, "NA")</f>
        <v>0.75203802167853051</v>
      </c>
      <c r="D172" s="25"/>
      <c r="E172" s="23">
        <f>IFERROR(E124-E171, "NA")</f>
        <v>97096.010000000009</v>
      </c>
      <c r="F172" s="24">
        <f>IFERROR(E172/E444, "NA")</f>
        <v>0.76600001940718321</v>
      </c>
      <c r="G172" s="25"/>
      <c r="H172" s="23">
        <f>IFERROR(B172-E172, "NA")</f>
        <v>18677.130000000005</v>
      </c>
      <c r="I172" s="24">
        <f>IFERROR(H172/H444, "NA")</f>
        <v>0.68694533421458337</v>
      </c>
      <c r="J172" s="25"/>
      <c r="K172" s="23">
        <f>IFERROR(K124-K171, "NA")</f>
        <v>85135.01999999999</v>
      </c>
      <c r="L172" s="24">
        <f>IFERROR(K172/K444, "NA")</f>
        <v>0.73208851514322604</v>
      </c>
      <c r="M172" s="25"/>
      <c r="N172" s="23">
        <f>IFERROR(B172-K172, "NA")</f>
        <v>30638.120000000024</v>
      </c>
      <c r="O172" s="24">
        <f>IFERROR(N172/N444, "NA")</f>
        <v>0.81364803048711765</v>
      </c>
      <c r="P172" s="25"/>
      <c r="Q172" s="23">
        <f>IFERROR(Q124-Q171, "NA")</f>
        <v>831334.15000000014</v>
      </c>
      <c r="R172" s="24">
        <f>IFERROR(Q172/Q444, "NA")</f>
        <v>0.72438010166295874</v>
      </c>
      <c r="S172" s="25"/>
      <c r="T172" s="23">
        <f>IFERROR(T124-T171, "NA")</f>
        <v>914454.02000000025</v>
      </c>
      <c r="U172" s="24">
        <f>IFERROR(T172/T444, "NA")</f>
        <v>0.75821525247105426</v>
      </c>
      <c r="V172" s="25"/>
      <c r="W172" s="23">
        <f>IFERROR(Q172-T172, "NA")</f>
        <v>-83119.870000000112</v>
      </c>
      <c r="X172" s="24">
        <f>IFERROR(W172/W444, "NA")</f>
        <v>1.4229891515739228</v>
      </c>
      <c r="Y172" s="25"/>
      <c r="Z172" s="23">
        <f>IFERROR(Z124-Z171, "NA")</f>
        <v>788718.26000000013</v>
      </c>
      <c r="AA172" s="24">
        <f>IFERROR(Z172/Z444, "NA")</f>
        <v>0.73693849964065861</v>
      </c>
      <c r="AB172" s="25"/>
      <c r="AC172" s="23">
        <f>IFERROR(Q172-Z172, "NA")</f>
        <v>42615.890000000014</v>
      </c>
      <c r="AD172" s="24">
        <f>IFERROR(AC172/AC444, "NA")</f>
        <v>0.55069442389443146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3.6636256408584165E-2</v>
      </c>
      <c r="D178" s="9"/>
      <c r="E178" s="7">
        <v>5576.92</v>
      </c>
      <c r="F178" s="8">
        <f>IFERROR(E178/E444, "NA")</f>
        <v>4.3996873076785625E-2</v>
      </c>
      <c r="G178" s="9"/>
      <c r="H178" s="10">
        <f t="shared" si="44"/>
        <v>-63.079999999999927</v>
      </c>
      <c r="I178" s="8">
        <f>IFERROR(H178/H444, "NA")</f>
        <v>-2.3200840644283065E-3</v>
      </c>
      <c r="J178" s="9"/>
      <c r="K178" s="7">
        <v>5423.08</v>
      </c>
      <c r="L178" s="8">
        <f>IFERROR(K178/K444, "NA")</f>
        <v>4.6633859775952677E-2</v>
      </c>
      <c r="M178" s="9"/>
      <c r="N178" s="10">
        <f t="shared" si="45"/>
        <v>-216.92000000000007</v>
      </c>
      <c r="O178" s="8">
        <f>IFERROR(N178/N444, "NA")</f>
        <v>-5.7606841011545572E-3</v>
      </c>
      <c r="P178" s="9"/>
      <c r="Q178" s="7">
        <v>65995</v>
      </c>
      <c r="R178" s="8">
        <f>IFERROR(Q178/Q444, "NA")</f>
        <v>5.7504512246064905E-2</v>
      </c>
      <c r="S178" s="9"/>
      <c r="T178" s="7">
        <v>65528.81</v>
      </c>
      <c r="U178" s="8">
        <f>IFERROR(T178/T444, "NA")</f>
        <v>5.4332904806168092E-2</v>
      </c>
      <c r="V178" s="9"/>
      <c r="W178" s="10">
        <f t="shared" si="46"/>
        <v>-466.19000000000233</v>
      </c>
      <c r="X178" s="8">
        <f>IFERROR(W178/W444, "NA")</f>
        <v>7.9810436730982561E-3</v>
      </c>
      <c r="Y178" s="9"/>
      <c r="Z178" s="7">
        <v>63721.19</v>
      </c>
      <c r="AA178" s="8">
        <f>IFERROR(Z178/Z444, "NA")</f>
        <v>5.9537861027735471E-2</v>
      </c>
      <c r="AB178" s="9"/>
      <c r="AC178" s="10">
        <f t="shared" si="47"/>
        <v>-2273.8099999999977</v>
      </c>
      <c r="AD178" s="8">
        <f>IFERROR(AC178/AC444, "NA")</f>
        <v>-2.9382807398728398E-2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22286.6</v>
      </c>
      <c r="C180" s="8">
        <f>IFERROR(B180/B444, "NA")</f>
        <v>0.14476907660914037</v>
      </c>
      <c r="D180" s="9"/>
      <c r="E180" s="7">
        <v>23450.080000000002</v>
      </c>
      <c r="F180" s="8">
        <f>IFERROR(E180/E444, "NA")</f>
        <v>0.18499999881663517</v>
      </c>
      <c r="G180" s="9"/>
      <c r="H180" s="10">
        <f t="shared" si="44"/>
        <v>1163.4800000000032</v>
      </c>
      <c r="I180" s="8">
        <f>IFERROR(H180/H444, "NA")</f>
        <v>4.279282509957287E-2</v>
      </c>
      <c r="J180" s="9"/>
      <c r="K180" s="7">
        <v>19536.91</v>
      </c>
      <c r="L180" s="8">
        <f>IFERROR(K180/K444, "NA")</f>
        <v>0.16800075259730773</v>
      </c>
      <c r="M180" s="9"/>
      <c r="N180" s="10">
        <f t="shared" si="45"/>
        <v>-2749.6899999999987</v>
      </c>
      <c r="O180" s="8">
        <f>IFERROR(N180/N444, "NA")</f>
        <v>-7.3022752471434915E-2</v>
      </c>
      <c r="P180" s="9"/>
      <c r="Q180" s="7">
        <v>219933.45</v>
      </c>
      <c r="R180" s="8">
        <f>IFERROR(Q180/Q444, "NA")</f>
        <v>0.19163824181899089</v>
      </c>
      <c r="S180" s="9"/>
      <c r="T180" s="7">
        <v>235115.27</v>
      </c>
      <c r="U180" s="8">
        <f>IFERROR(T180/T444, "NA")</f>
        <v>0.19494472100724106</v>
      </c>
      <c r="V180" s="9"/>
      <c r="W180" s="10">
        <f t="shared" si="46"/>
        <v>15181.819999999978</v>
      </c>
      <c r="X180" s="8">
        <f>IFERROR(W180/W444, "NA")</f>
        <v>-0.25990855328753465</v>
      </c>
      <c r="Y180" s="9"/>
      <c r="Z180" s="7">
        <v>214607.47</v>
      </c>
      <c r="AA180" s="8">
        <f>IFERROR(Z180/Z444, "NA")</f>
        <v>0.20051837896269528</v>
      </c>
      <c r="AB180" s="9"/>
      <c r="AC180" s="10">
        <f t="shared" si="47"/>
        <v>-5325.9800000000105</v>
      </c>
      <c r="AD180" s="8">
        <f>IFERROR(AC180/AC444, "NA")</f>
        <v>-6.8823799943478106E-2</v>
      </c>
    </row>
    <row r="181" spans="1:30" ht="16.5" customHeight="1" x14ac:dyDescent="0.45">
      <c r="A181" s="12" t="s">
        <v>166</v>
      </c>
      <c r="B181" s="7">
        <v>2292.2399999999998</v>
      </c>
      <c r="C181" s="8">
        <f>IFERROR(B181/B444, "NA")</f>
        <v>1.4889909998229247E-2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-2292.2399999999998</v>
      </c>
      <c r="I181" s="8">
        <f>IFERROR(H181/H444, "NA")</f>
        <v>-8.4308647683023888E-2</v>
      </c>
      <c r="J181" s="9"/>
      <c r="K181" s="7">
        <v>229.79</v>
      </c>
      <c r="L181" s="8">
        <f>IFERROR(K181/K444, "NA")</f>
        <v>1.9759978901133977E-3</v>
      </c>
      <c r="M181" s="9"/>
      <c r="N181" s="10">
        <f t="shared" si="45"/>
        <v>-2062.4499999999998</v>
      </c>
      <c r="O181" s="8">
        <f>IFERROR(N181/N444, "NA")</f>
        <v>-5.4771910955311691E-2</v>
      </c>
      <c r="P181" s="9"/>
      <c r="Q181" s="7">
        <v>4229.95</v>
      </c>
      <c r="R181" s="8">
        <f>IFERROR(Q181/Q444, "NA")</f>
        <v>3.6857521263011172E-3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-4229.95</v>
      </c>
      <c r="X181" s="8">
        <f>IFERROR(W181/W444, "NA")</f>
        <v>7.2415572373971546E-2</v>
      </c>
      <c r="Y181" s="9"/>
      <c r="Z181" s="7">
        <v>1038.6400000000001</v>
      </c>
      <c r="AA181" s="8">
        <f>IFERROR(Z181/Z444, "NA")</f>
        <v>9.704527485730755E-4</v>
      </c>
      <c r="AB181" s="9"/>
      <c r="AC181" s="10">
        <f t="shared" si="47"/>
        <v>-3191.3099999999995</v>
      </c>
      <c r="AD181" s="8">
        <f>IFERROR(AC181/AC444, "NA")</f>
        <v>-4.1238998456175319E-2</v>
      </c>
    </row>
    <row r="182" spans="1:30" ht="16.5" customHeight="1" x14ac:dyDescent="0.45">
      <c r="A182" s="13" t="s">
        <v>167</v>
      </c>
      <c r="B182" s="14">
        <f>IFERROR(B177+B178+B179+B180+B181, "NA")</f>
        <v>30218.839999999997</v>
      </c>
      <c r="C182" s="15">
        <f>IFERROR(B182/B444, "NA")</f>
        <v>0.19629524301595377</v>
      </c>
      <c r="D182" s="2"/>
      <c r="E182" s="14">
        <f>IFERROR(E177+E178+E179+E180+E181, "NA")</f>
        <v>29027</v>
      </c>
      <c r="F182" s="15">
        <f>IFERROR(E182/E444, "NA")</f>
        <v>0.2289968718934208</v>
      </c>
      <c r="G182" s="2"/>
      <c r="H182" s="14">
        <f t="shared" si="44"/>
        <v>-1191.8399999999965</v>
      </c>
      <c r="I182" s="15">
        <f>IFERROR(H182/H444, "NA")</f>
        <v>-4.3835906647879327E-2</v>
      </c>
      <c r="J182" s="2"/>
      <c r="K182" s="14">
        <f>IFERROR(K177+K178+K179+K180+K181, "NA")</f>
        <v>25189.78</v>
      </c>
      <c r="L182" s="15">
        <f>IFERROR(K182/K444, "NA")</f>
        <v>0.2166106102633738</v>
      </c>
      <c r="M182" s="2"/>
      <c r="N182" s="14">
        <f t="shared" si="45"/>
        <v>-5029.0599999999977</v>
      </c>
      <c r="O182" s="15">
        <f>IFERROR(N182/N444, "NA")</f>
        <v>-0.13355534752790116</v>
      </c>
      <c r="P182" s="2"/>
      <c r="Q182" s="14">
        <f>IFERROR(Q177+Q178+Q179+Q180+Q181, "NA")</f>
        <v>290158.40000000002</v>
      </c>
      <c r="R182" s="15">
        <f>IFERROR(Q182/Q444, "NA")</f>
        <v>0.25282850619135694</v>
      </c>
      <c r="S182" s="2"/>
      <c r="T182" s="14">
        <f>IFERROR(T177+T178+T179+T180+T181, "NA")</f>
        <v>300644.07999999996</v>
      </c>
      <c r="U182" s="15">
        <f>IFERROR(T182/T444, "NA")</f>
        <v>0.24927762581340912</v>
      </c>
      <c r="V182" s="2"/>
      <c r="W182" s="14">
        <f t="shared" si="46"/>
        <v>10485.679999999935</v>
      </c>
      <c r="X182" s="15">
        <f>IFERROR(W182/W444, "NA")</f>
        <v>-0.17951193724046413</v>
      </c>
      <c r="Y182" s="2"/>
      <c r="Z182" s="14">
        <f>IFERROR(Z177+Z178+Z179+Z180+Z181, "NA")</f>
        <v>279367.30000000005</v>
      </c>
      <c r="AA182" s="15">
        <f>IFERROR(Z182/Z444, "NA")</f>
        <v>0.26102669273900386</v>
      </c>
      <c r="AB182" s="2"/>
      <c r="AC182" s="14">
        <f t="shared" si="47"/>
        <v>-10791.099999999977</v>
      </c>
      <c r="AD182" s="15">
        <f>IFERROR(AC182/AC444, "NA")</f>
        <v>-0.13944560579838142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-500</v>
      </c>
      <c r="C184" s="8">
        <f>IFERROR(B184/B444, "NA")</f>
        <v>-3.2478950716829931E-3</v>
      </c>
      <c r="D184" s="9"/>
      <c r="E184" s="7">
        <v>500</v>
      </c>
      <c r="F184" s="8">
        <f>IFERROR(E184/E444, "NA")</f>
        <v>3.9445494176701141E-3</v>
      </c>
      <c r="G184" s="9"/>
      <c r="H184" s="10">
        <f t="shared" si="44"/>
        <v>1000</v>
      </c>
      <c r="I184" s="8">
        <f>IFERROR(H184/H444, "NA")</f>
        <v>3.6780026385990948E-2</v>
      </c>
      <c r="J184" s="9"/>
      <c r="K184" s="7">
        <v>300</v>
      </c>
      <c r="L184" s="8">
        <f>IFERROR(K184/K444, "NA")</f>
        <v>2.5797439707298808E-3</v>
      </c>
      <c r="M184" s="9"/>
      <c r="N184" s="10">
        <f t="shared" si="45"/>
        <v>800</v>
      </c>
      <c r="O184" s="8">
        <f>IFERROR(N184/N444, "NA")</f>
        <v>2.1245377470605037E-2</v>
      </c>
      <c r="P184" s="9"/>
      <c r="Q184" s="7">
        <v>2200</v>
      </c>
      <c r="R184" s="8">
        <f>IFERROR(Q184/Q444, "NA")</f>
        <v>1.9169622992854427E-3</v>
      </c>
      <c r="S184" s="9"/>
      <c r="T184" s="7">
        <v>5500</v>
      </c>
      <c r="U184" s="8">
        <f>IFERROR(T184/T444, "NA")</f>
        <v>4.5602991483276517E-3</v>
      </c>
      <c r="V184" s="9"/>
      <c r="W184" s="10">
        <f t="shared" si="46"/>
        <v>3300</v>
      </c>
      <c r="X184" s="8">
        <f>IFERROR(W184/W444, "NA")</f>
        <v>-5.6495085954705405E-2</v>
      </c>
      <c r="Y184" s="9"/>
      <c r="Z184" s="7">
        <v>2450</v>
      </c>
      <c r="AA184" s="8">
        <f>IFERROR(Z184/Z444, "NA")</f>
        <v>2.2891562370061184E-3</v>
      </c>
      <c r="AB184" s="9"/>
      <c r="AC184" s="10">
        <f t="shared" si="47"/>
        <v>250</v>
      </c>
      <c r="AD184" s="8">
        <f>IFERROR(AC184/AC444, "NA")</f>
        <v>3.2305697704214983E-3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2634.13</v>
      </c>
      <c r="C186" s="8">
        <f>IFERROR(B186/B444, "NA")</f>
        <v>1.7110755690344648E-2</v>
      </c>
      <c r="D186" s="9"/>
      <c r="E186" s="7">
        <v>2659.4</v>
      </c>
      <c r="F186" s="8">
        <f>IFERROR(E186/E444, "NA")</f>
        <v>2.0980269442703803E-2</v>
      </c>
      <c r="G186" s="9"/>
      <c r="H186" s="10">
        <f t="shared" ref="H186:H197" si="48">IFERROR(-(B186-E186), "NA")</f>
        <v>25.269999999999982</v>
      </c>
      <c r="I186" s="8">
        <f>IFERROR(H186/H444, "NA")</f>
        <v>9.2943126677399069E-4</v>
      </c>
      <c r="J186" s="9"/>
      <c r="K186" s="7">
        <v>2313.2800000000002</v>
      </c>
      <c r="L186" s="8">
        <f>IFERROR(K186/K444, "NA")</f>
        <v>1.9892233775366731E-2</v>
      </c>
      <c r="M186" s="9"/>
      <c r="N186" s="10">
        <f t="shared" ref="N186:N197" si="49">IFERROR(-(B186-K186), "NA")</f>
        <v>-320.84999999999991</v>
      </c>
      <c r="O186" s="8">
        <f>IFERROR(N186/N444, "NA")</f>
        <v>-8.52072420180453E-3</v>
      </c>
      <c r="P186" s="9"/>
      <c r="Q186" s="7">
        <v>26009.81</v>
      </c>
      <c r="R186" s="8">
        <f>IFERROR(Q186/Q444, "NA")</f>
        <v>2.2663556900717044E-2</v>
      </c>
      <c r="S186" s="9"/>
      <c r="T186" s="7">
        <v>31891.96</v>
      </c>
      <c r="U186" s="8">
        <f>IFERROR(T186/T444, "NA")</f>
        <v>2.6443068732090826E-2</v>
      </c>
      <c r="V186" s="9"/>
      <c r="W186" s="10">
        <f t="shared" ref="W186:W197" si="50">IFERROR(-(Q186-T186), "NA")</f>
        <v>5882.1499999999978</v>
      </c>
      <c r="X186" s="8">
        <f>IFERROR(W186/W444, "NA")</f>
        <v>-0.10070077874196069</v>
      </c>
      <c r="Y186" s="9"/>
      <c r="Z186" s="7">
        <v>25412.14</v>
      </c>
      <c r="AA186" s="8">
        <f>IFERROR(Z186/Z444, "NA")</f>
        <v>2.3743819908845984E-2</v>
      </c>
      <c r="AB186" s="9"/>
      <c r="AC186" s="10">
        <f t="shared" ref="AC186:AC197" si="51">IFERROR(-(Q186-Z186), "NA")</f>
        <v>-597.67000000000189</v>
      </c>
      <c r="AD186" s="8">
        <f>IFERROR(AC186/AC444, "NA")</f>
        <v>-7.723258538751292E-3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1.8686989689845864E-8</v>
      </c>
      <c r="AB187" s="9"/>
      <c r="AC187" s="10">
        <f t="shared" si="51"/>
        <v>0.02</v>
      </c>
      <c r="AD187" s="8">
        <f>IFERROR(AC187/AC444, "NA")</f>
        <v>2.5844558163371987E-7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2634.13</v>
      </c>
      <c r="C193" s="15">
        <f>IFERROR(B193/B444, "NA")</f>
        <v>1.7110755690344648E-2</v>
      </c>
      <c r="D193" s="2"/>
      <c r="E193" s="14">
        <f>IFERROR(E186+E187+E188+E189+E190+E191+E192, "NA")</f>
        <v>2659.4</v>
      </c>
      <c r="F193" s="15">
        <f>IFERROR(E193/E444, "NA")</f>
        <v>2.0980269442703803E-2</v>
      </c>
      <c r="G193" s="2"/>
      <c r="H193" s="14">
        <f t="shared" si="48"/>
        <v>25.269999999999982</v>
      </c>
      <c r="I193" s="15">
        <f>IFERROR(H193/H444, "NA")</f>
        <v>9.2943126677399069E-4</v>
      </c>
      <c r="J193" s="2"/>
      <c r="K193" s="14">
        <f>IFERROR(K186+K187+K188+K189+K190+K191+K192, "NA")</f>
        <v>2313.2800000000002</v>
      </c>
      <c r="L193" s="15">
        <f>IFERROR(K193/K444, "NA")</f>
        <v>1.9892233775366731E-2</v>
      </c>
      <c r="M193" s="2"/>
      <c r="N193" s="14">
        <f t="shared" si="49"/>
        <v>-320.84999999999991</v>
      </c>
      <c r="O193" s="15">
        <f>IFERROR(N193/N444, "NA")</f>
        <v>-8.52072420180453E-3</v>
      </c>
      <c r="P193" s="2"/>
      <c r="Q193" s="14">
        <f>IFERROR(Q186+Q187+Q188+Q189+Q190+Q191+Q192, "NA")</f>
        <v>26009.81</v>
      </c>
      <c r="R193" s="15">
        <f>IFERROR(Q193/Q444, "NA")</f>
        <v>2.2663556900717044E-2</v>
      </c>
      <c r="S193" s="2"/>
      <c r="T193" s="14">
        <f>IFERROR(T186+T187+T188+T189+T190+T191+T192, "NA")</f>
        <v>31891.96</v>
      </c>
      <c r="U193" s="15">
        <f>IFERROR(T193/T444, "NA")</f>
        <v>2.6443068732090826E-2</v>
      </c>
      <c r="V193" s="2"/>
      <c r="W193" s="14">
        <f t="shared" si="50"/>
        <v>5882.1499999999978</v>
      </c>
      <c r="X193" s="15">
        <f>IFERROR(W193/W444, "NA")</f>
        <v>-0.10070077874196069</v>
      </c>
      <c r="Y193" s="2"/>
      <c r="Z193" s="14">
        <f>IFERROR(Z186+Z187+Z188+Z189+Z190+Z191+Z192, "NA")</f>
        <v>25412.16</v>
      </c>
      <c r="AA193" s="15">
        <f>IFERROR(Z193/Z444, "NA")</f>
        <v>2.3743838595835672E-2</v>
      </c>
      <c r="AB193" s="2"/>
      <c r="AC193" s="14">
        <f t="shared" si="51"/>
        <v>-597.65000000000146</v>
      </c>
      <c r="AD193" s="15">
        <f>IFERROR(AC193/AC444, "NA")</f>
        <v>-7.7230000931696532E-3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1.6109559555547647E-3</v>
      </c>
      <c r="D194" s="9"/>
      <c r="E194" s="7">
        <v>236.22</v>
      </c>
      <c r="F194" s="8">
        <f>IFERROR(E194/E444, "NA")</f>
        <v>1.8635629268840687E-3</v>
      </c>
      <c r="G194" s="9"/>
      <c r="H194" s="10">
        <f t="shared" si="48"/>
        <v>-11.780000000000001</v>
      </c>
      <c r="I194" s="8">
        <f>IFERROR(H194/H444, "NA")</f>
        <v>-4.3326871082697345E-4</v>
      </c>
      <c r="J194" s="9"/>
      <c r="K194" s="7">
        <v>248</v>
      </c>
      <c r="L194" s="8">
        <f>IFERROR(K194/K444, "NA")</f>
        <v>2.1325883491367017E-3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2814</v>
      </c>
      <c r="R194" s="8">
        <f>IFERROR(Q194/Q444, "NA")</f>
        <v>2.4519690500860161E-3</v>
      </c>
      <c r="S194" s="9"/>
      <c r="T194" s="7">
        <v>2449.17</v>
      </c>
      <c r="U194" s="8">
        <f>IFERROR(T194/T444, "NA")</f>
        <v>2.0307177936562974E-3</v>
      </c>
      <c r="V194" s="9"/>
      <c r="W194" s="10">
        <f t="shared" si="50"/>
        <v>-364.82999999999993</v>
      </c>
      <c r="X194" s="8">
        <f>IFERROR(W194/W444, "NA")</f>
        <v>6.2457885481379295E-3</v>
      </c>
      <c r="Y194" s="9"/>
      <c r="Z194" s="7">
        <v>2285</v>
      </c>
      <c r="AA194" s="8">
        <f>IFERROR(Z194/Z444, "NA")</f>
        <v>2.1349885720648898E-3</v>
      </c>
      <c r="AB194" s="9"/>
      <c r="AC194" s="10">
        <f t="shared" si="51"/>
        <v>-529</v>
      </c>
      <c r="AD194" s="8">
        <f>IFERROR(AC194/AC444, "NA")</f>
        <v>-6.8358856342118903E-3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32600.969999999998</v>
      </c>
      <c r="C196" s="15">
        <f>IFERROR(B196/B444, "NA")</f>
        <v>0.2117690595901702</v>
      </c>
      <c r="D196" s="2"/>
      <c r="E196" s="14">
        <f>IFERROR(E175+E177+E178+E179+E180+E181+E183+E184+E186+E187+E188+E189+E190+E191+E192+E194+E195, "NA")</f>
        <v>32422.620000000003</v>
      </c>
      <c r="F196" s="15">
        <f>IFERROR(E196/E444, "NA")</f>
        <v>0.25578525368067878</v>
      </c>
      <c r="G196" s="2"/>
      <c r="H196" s="14">
        <f t="shared" si="48"/>
        <v>-178.34999999999491</v>
      </c>
      <c r="I196" s="15">
        <f>IFERROR(H196/H444, "NA")</f>
        <v>-6.559717705941299E-3</v>
      </c>
      <c r="J196" s="2"/>
      <c r="K196" s="14">
        <f>IFERROR(K175+K177+K178+K179+K180+K181+K183+K184+K186+K187+K188+K189+K190+K191+K192+K194+K195, "NA")</f>
        <v>28051.059999999998</v>
      </c>
      <c r="L196" s="15">
        <f>IFERROR(K196/K444, "NA")</f>
        <v>0.24121517635860709</v>
      </c>
      <c r="M196" s="2"/>
      <c r="N196" s="14">
        <f t="shared" si="49"/>
        <v>-4549.91</v>
      </c>
      <c r="O196" s="15">
        <f>IFERROR(N196/N444, "NA")</f>
        <v>-0.1208306942591007</v>
      </c>
      <c r="P196" s="2"/>
      <c r="Q196" s="14">
        <f>IFERROR(Q175+Q177+Q178+Q179+Q180+Q181+Q183+Q184+Q186+Q187+Q188+Q189+Q190+Q191+Q192+Q194+Q195, "NA")</f>
        <v>321182.21000000002</v>
      </c>
      <c r="R196" s="15">
        <f>IFERROR(Q196/Q444, "NA")</f>
        <v>0.27986099444144541</v>
      </c>
      <c r="S196" s="2"/>
      <c r="T196" s="14">
        <f>IFERROR(T175+T177+T178+T179+T180+T181+T183+T184+T186+T187+T188+T189+T190+T191+T192+T194+T195, "NA")</f>
        <v>340485.20999999996</v>
      </c>
      <c r="U196" s="15">
        <f>IFERROR(T196/T444, "NA")</f>
        <v>0.28231171148748391</v>
      </c>
      <c r="V196" s="2"/>
      <c r="W196" s="14">
        <f t="shared" si="50"/>
        <v>19302.999999999942</v>
      </c>
      <c r="X196" s="15">
        <f>IFERROR(W196/W444, "NA")</f>
        <v>-0.33046201338899245</v>
      </c>
      <c r="Y196" s="2"/>
      <c r="Z196" s="14">
        <f>IFERROR(Z175+Z177+Z178+Z179+Z180+Z181+Z183+Z184+Z186+Z187+Z188+Z189+Z190+Z191+Z192+Z194+Z195, "NA")</f>
        <v>309514.46000000008</v>
      </c>
      <c r="AA196" s="15">
        <f>IFERROR(Z196/Z444, "NA")</f>
        <v>0.28919467614391059</v>
      </c>
      <c r="AB196" s="2"/>
      <c r="AC196" s="14">
        <f t="shared" si="51"/>
        <v>-11667.749999999942</v>
      </c>
      <c r="AD196" s="15">
        <f>IFERROR(AC196/AC444, "NA")</f>
        <v>-0.15077392175534099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32600.969999999998</v>
      </c>
      <c r="C197" s="15">
        <f>IFERROR(B197/B444, "NA")</f>
        <v>0.2117690595901702</v>
      </c>
      <c r="D197" s="2"/>
      <c r="E197" s="14">
        <f>IFERROR(E175+E177+E178+E179+E180+E181+E183+E184+E186+E187+E188+E189+E190+E191+E192+E194+E195, "NA")</f>
        <v>32422.620000000003</v>
      </c>
      <c r="F197" s="15">
        <f>IFERROR(E197/E444, "NA")</f>
        <v>0.25578525368067878</v>
      </c>
      <c r="G197" s="2"/>
      <c r="H197" s="14">
        <f t="shared" si="48"/>
        <v>-178.34999999999491</v>
      </c>
      <c r="I197" s="15">
        <f>IFERROR(H197/H444, "NA")</f>
        <v>-6.559717705941299E-3</v>
      </c>
      <c r="J197" s="2"/>
      <c r="K197" s="14">
        <f>IFERROR(K175+K177+K178+K179+K180+K181+K183+K184+K186+K187+K188+K189+K190+K191+K192+K194+K195, "NA")</f>
        <v>28051.059999999998</v>
      </c>
      <c r="L197" s="15">
        <f>IFERROR(K197/K444, "NA")</f>
        <v>0.24121517635860709</v>
      </c>
      <c r="M197" s="2"/>
      <c r="N197" s="14">
        <f t="shared" si="49"/>
        <v>-4549.91</v>
      </c>
      <c r="O197" s="15">
        <f>IFERROR(N197/N444, "NA")</f>
        <v>-0.1208306942591007</v>
      </c>
      <c r="P197" s="2"/>
      <c r="Q197" s="14">
        <f>IFERROR(Q175+Q177+Q178+Q179+Q180+Q181+Q183+Q184+Q186+Q187+Q188+Q189+Q190+Q191+Q192+Q194+Q195, "NA")</f>
        <v>321182.21000000002</v>
      </c>
      <c r="R197" s="15">
        <f>IFERROR(Q197/Q444, "NA")</f>
        <v>0.27986099444144541</v>
      </c>
      <c r="S197" s="2"/>
      <c r="T197" s="14">
        <f>IFERROR(T175+T177+T178+T179+T180+T181+T183+T184+T186+T187+T188+T189+T190+T191+T192+T194+T195, "NA")</f>
        <v>340485.20999999996</v>
      </c>
      <c r="U197" s="15">
        <f>IFERROR(T197/T444, "NA")</f>
        <v>0.28231171148748391</v>
      </c>
      <c r="V197" s="2"/>
      <c r="W197" s="14">
        <f t="shared" si="50"/>
        <v>19302.999999999942</v>
      </c>
      <c r="X197" s="15">
        <f>IFERROR(W197/W444, "NA")</f>
        <v>-0.33046201338899245</v>
      </c>
      <c r="Y197" s="2"/>
      <c r="Z197" s="14">
        <f>IFERROR(Z175+Z177+Z178+Z179+Z180+Z181+Z183+Z184+Z186+Z187+Z188+Z189+Z190+Z191+Z192+Z194+Z195, "NA")</f>
        <v>309514.46000000008</v>
      </c>
      <c r="AA197" s="15">
        <f>IFERROR(Z197/Z444, "NA")</f>
        <v>0.28919467614391059</v>
      </c>
      <c r="AB197" s="2"/>
      <c r="AC197" s="14">
        <f t="shared" si="51"/>
        <v>-11667.749999999942</v>
      </c>
      <c r="AD197" s="15">
        <f>IFERROR(AC197/AC444, "NA")</f>
        <v>-0.15077392175534099</v>
      </c>
    </row>
    <row r="198" spans="1:30" ht="16.5" customHeight="1" x14ac:dyDescent="0.45">
      <c r="A198" s="22" t="s">
        <v>181</v>
      </c>
      <c r="B198" s="23">
        <f>IFERROR(B172-B197, "NA")</f>
        <v>83172.170000000013</v>
      </c>
      <c r="C198" s="24">
        <f>IFERROR(B198/B444, "NA")</f>
        <v>0.54026896208836028</v>
      </c>
      <c r="D198" s="25"/>
      <c r="E198" s="23">
        <f>IFERROR(E172-E197, "NA")</f>
        <v>64673.390000000007</v>
      </c>
      <c r="F198" s="24">
        <f>IFERROR(E198/E444, "NA")</f>
        <v>0.51021476572650437</v>
      </c>
      <c r="G198" s="25"/>
      <c r="H198" s="23">
        <f>IFERROR(B198-E198, "NA")</f>
        <v>18498.780000000006</v>
      </c>
      <c r="I198" s="24">
        <f>IFERROR(H198/H444, "NA")</f>
        <v>0.68038561650864193</v>
      </c>
      <c r="J198" s="25"/>
      <c r="K198" s="23">
        <f>IFERROR(K172-K197, "NA")</f>
        <v>57083.959999999992</v>
      </c>
      <c r="L198" s="24">
        <f>IFERROR(K198/K444, "NA")</f>
        <v>0.49087333878461892</v>
      </c>
      <c r="M198" s="25"/>
      <c r="N198" s="23">
        <f>IFERROR(B198-K198, "NA")</f>
        <v>26088.210000000021</v>
      </c>
      <c r="O198" s="24">
        <f>IFERROR(N198/N444, "NA")</f>
        <v>0.69281733622801689</v>
      </c>
      <c r="P198" s="25"/>
      <c r="Q198" s="23">
        <f>IFERROR(Q172-Q197, "NA")</f>
        <v>510151.94000000012</v>
      </c>
      <c r="R198" s="24">
        <f>IFERROR(Q198/Q444, "NA")</f>
        <v>0.44451910722151333</v>
      </c>
      <c r="S198" s="25"/>
      <c r="T198" s="23">
        <f>IFERROR(T172-T197, "NA")</f>
        <v>573968.81000000029</v>
      </c>
      <c r="U198" s="24">
        <f>IFERROR(T198/T444, "NA")</f>
        <v>0.47590354098357035</v>
      </c>
      <c r="V198" s="25"/>
      <c r="W198" s="23">
        <f>IFERROR(Q198-T198, "NA")</f>
        <v>-63816.87000000017</v>
      </c>
      <c r="X198" s="24">
        <f>IFERROR(W198/W444, "NA")</f>
        <v>1.0925271381849304</v>
      </c>
      <c r="Y198" s="25"/>
      <c r="Z198" s="23">
        <f>IFERROR(Z172-Z197, "NA")</f>
        <v>479203.80000000005</v>
      </c>
      <c r="AA198" s="24">
        <f>IFERROR(Z198/Z444, "NA")</f>
        <v>0.44774382349674802</v>
      </c>
      <c r="AB198" s="25"/>
      <c r="AC198" s="23">
        <f>IFERROR(Q198-Z198, "NA")</f>
        <v>30948.140000000072</v>
      </c>
      <c r="AD198" s="24">
        <f>IFERROR(AC198/AC444, "NA")</f>
        <v>0.39992050213909047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2281.63</v>
      </c>
      <c r="F201" s="8">
        <f>IFERROR(E201/E444, "NA")</f>
        <v>1.8000004575677325E-2</v>
      </c>
      <c r="G201" s="9"/>
      <c r="H201" s="10">
        <f t="shared" ref="H201:H209" si="52">IFERROR(-(B201-E201), "NA")</f>
        <v>2281.63</v>
      </c>
      <c r="I201" s="8">
        <f>IFERROR(H201/H444, "NA")</f>
        <v>8.3918411603068538E-2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21964.38</v>
      </c>
      <c r="U201" s="8">
        <f>IFERROR(T201/T444, "NA")</f>
        <v>1.8211662437735438E-2</v>
      </c>
      <c r="V201" s="9"/>
      <c r="W201" s="10">
        <f t="shared" ref="W201:W209" si="54">IFERROR(-(Q201-T201), "NA")</f>
        <v>21964.38</v>
      </c>
      <c r="X201" s="8">
        <f>IFERROR(W201/W444, "NA")</f>
        <v>-0.37602410183085222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954.15</v>
      </c>
      <c r="C202" s="8">
        <f>IFERROR(B202/B444, "NA")</f>
        <v>6.1979581652926562E-3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-954.15</v>
      </c>
      <c r="I202" s="8">
        <f>IFERROR(H202/H444, "NA")</f>
        <v>-3.5093662176193266E-2</v>
      </c>
      <c r="J202" s="9"/>
      <c r="K202" s="7">
        <v>1064.92</v>
      </c>
      <c r="L202" s="8">
        <f>IFERROR(K202/K444, "NA")</f>
        <v>9.1574031643655504E-3</v>
      </c>
      <c r="M202" s="9"/>
      <c r="N202" s="10">
        <f t="shared" si="53"/>
        <v>110.7700000000001</v>
      </c>
      <c r="O202" s="8">
        <f>IFERROR(N202/N444, "NA")</f>
        <v>2.9416880780236522E-3</v>
      </c>
      <c r="P202" s="9"/>
      <c r="Q202" s="7">
        <v>11012.64</v>
      </c>
      <c r="R202" s="8">
        <f>IFERROR(Q202/Q444, "NA")</f>
        <v>9.5958253161831063E-3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-11012.64</v>
      </c>
      <c r="X202" s="8">
        <f>IFERROR(W202/W444, "NA")</f>
        <v>0.18853334648128087</v>
      </c>
      <c r="Y202" s="9"/>
      <c r="Z202" s="7">
        <v>10327.290000000001</v>
      </c>
      <c r="AA202" s="8">
        <f>IFERROR(Z202/Z444, "NA")</f>
        <v>9.6492980877024154E-3</v>
      </c>
      <c r="AB202" s="9"/>
      <c r="AC202" s="10">
        <f t="shared" si="55"/>
        <v>-685.34999999999854</v>
      </c>
      <c r="AD202" s="8">
        <f>IFERROR(AC202/AC444, "NA")</f>
        <v>-8.8562839686334768E-3</v>
      </c>
    </row>
    <row r="203" spans="1:30" ht="16.5" customHeight="1" x14ac:dyDescent="0.45">
      <c r="A203" s="6" t="s">
        <v>185</v>
      </c>
      <c r="B203" s="7">
        <v>577.69000000000005</v>
      </c>
      <c r="C203" s="8">
        <f>IFERROR(B203/B444, "NA")</f>
        <v>3.752553007921097E-3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-577.69000000000005</v>
      </c>
      <c r="I203" s="8">
        <f>IFERROR(H203/H444, "NA")</f>
        <v>-2.1247453442923114E-2</v>
      </c>
      <c r="J203" s="9"/>
      <c r="K203" s="7">
        <v>602.07000000000005</v>
      </c>
      <c r="L203" s="8">
        <f>IFERROR(K203/K444, "NA")</f>
        <v>5.1772881748577988E-3</v>
      </c>
      <c r="M203" s="9"/>
      <c r="N203" s="10">
        <f t="shared" si="53"/>
        <v>24.379999999999995</v>
      </c>
      <c r="O203" s="8">
        <f>IFERROR(N203/N444, "NA")</f>
        <v>6.4745287841668842E-4</v>
      </c>
      <c r="P203" s="9"/>
      <c r="Q203" s="7">
        <v>8408.2999999999993</v>
      </c>
      <c r="R203" s="8">
        <f>IFERROR(Q203/Q444, "NA")</f>
        <v>7.3265427732189933E-3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-8408.2999999999993</v>
      </c>
      <c r="X203" s="8">
        <f>IFERROR(W203/W444, "NA")</f>
        <v>0.14394776704028769</v>
      </c>
      <c r="Y203" s="9"/>
      <c r="Z203" s="7">
        <v>8071.81</v>
      </c>
      <c r="AA203" s="8">
        <f>IFERROR(Z203/Z444, "NA")</f>
        <v>7.5418915124197379E-3</v>
      </c>
      <c r="AB203" s="9"/>
      <c r="AC203" s="10">
        <f t="shared" si="55"/>
        <v>-336.48999999999887</v>
      </c>
      <c r="AD203" s="8">
        <f>IFERROR(AC203/AC444, "NA")</f>
        <v>-4.3482176881965056E-3</v>
      </c>
    </row>
    <row r="204" spans="1:30" ht="16.5" customHeight="1" x14ac:dyDescent="0.45">
      <c r="A204" s="6" t="s">
        <v>186</v>
      </c>
      <c r="B204" s="7">
        <v>401.08</v>
      </c>
      <c r="C204" s="8">
        <f>IFERROR(B204/B444, "NA")</f>
        <v>2.6053315107012298E-3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-401.08</v>
      </c>
      <c r="I204" s="8">
        <f>IFERROR(H204/H444, "NA")</f>
        <v>-1.4751732982893249E-2</v>
      </c>
      <c r="J204" s="9"/>
      <c r="K204" s="7">
        <v>234.45</v>
      </c>
      <c r="L204" s="8">
        <f>IFERROR(K204/K444, "NA")</f>
        <v>2.0160699131254018E-3</v>
      </c>
      <c r="M204" s="9"/>
      <c r="N204" s="10">
        <f t="shared" si="53"/>
        <v>-166.63</v>
      </c>
      <c r="O204" s="8">
        <f>IFERROR(N204/N444, "NA")</f>
        <v>-4.4251465599086468E-3</v>
      </c>
      <c r="P204" s="9"/>
      <c r="Q204" s="7">
        <v>2935.99</v>
      </c>
      <c r="R204" s="8">
        <f>IFERROR(Q204/Q444, "NA")</f>
        <v>2.5582646095813938E-3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-2935.99</v>
      </c>
      <c r="X204" s="8">
        <f>IFERROR(W204/W444, "NA")</f>
        <v>5.0263335579441064E-2</v>
      </c>
      <c r="Y204" s="9"/>
      <c r="Z204" s="7">
        <v>1347.88</v>
      </c>
      <c r="AA204" s="8">
        <f>IFERROR(Z204/Z444, "NA")</f>
        <v>1.2593909831574723E-3</v>
      </c>
      <c r="AB204" s="9"/>
      <c r="AC204" s="10">
        <f t="shared" si="55"/>
        <v>-1588.1099999999997</v>
      </c>
      <c r="AD204" s="8">
        <f>IFERROR(AC204/AC444, "NA")</f>
        <v>-2.052200063241634E-2</v>
      </c>
    </row>
    <row r="205" spans="1:30" ht="16.5" customHeight="1" x14ac:dyDescent="0.45">
      <c r="A205" s="6" t="s">
        <v>187</v>
      </c>
      <c r="B205" s="7">
        <v>357.52</v>
      </c>
      <c r="C205" s="8">
        <f>IFERROR(B205/B444, "NA")</f>
        <v>2.3223748920562074E-3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-357.52</v>
      </c>
      <c r="I205" s="8">
        <f>IFERROR(H205/H444, "NA")</f>
        <v>-1.3149595033519484E-2</v>
      </c>
      <c r="J205" s="9"/>
      <c r="K205" s="7">
        <v>344</v>
      </c>
      <c r="L205" s="8">
        <f>IFERROR(K205/K444, "NA")</f>
        <v>2.9581064197702635E-3</v>
      </c>
      <c r="M205" s="9"/>
      <c r="N205" s="10">
        <f t="shared" si="53"/>
        <v>-13.519999999999982</v>
      </c>
      <c r="O205" s="8">
        <f>IFERROR(N205/N444, "NA")</f>
        <v>-3.5904687925322466E-4</v>
      </c>
      <c r="P205" s="9"/>
      <c r="Q205" s="7">
        <v>3996.97</v>
      </c>
      <c r="R205" s="8">
        <f>IFERROR(Q205/Q444, "NA")</f>
        <v>3.4827458188067886E-3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-3996.97</v>
      </c>
      <c r="X205" s="8">
        <f>IFERROR(W205/W444, "NA")</f>
        <v>6.8427019305569339E-2</v>
      </c>
      <c r="Y205" s="9"/>
      <c r="Z205" s="7">
        <v>3876.09</v>
      </c>
      <c r="AA205" s="8">
        <f>IFERROR(Z205/Z444, "NA")</f>
        <v>3.6216226933457329E-3</v>
      </c>
      <c r="AB205" s="9"/>
      <c r="AC205" s="10">
        <f t="shared" si="55"/>
        <v>-120.87999999999965</v>
      </c>
      <c r="AD205" s="8">
        <f>IFERROR(AC205/AC444, "NA")</f>
        <v>-1.5620450953941984E-3</v>
      </c>
    </row>
    <row r="206" spans="1:30" ht="16.5" customHeight="1" x14ac:dyDescent="0.45">
      <c r="A206" s="6" t="s">
        <v>188</v>
      </c>
      <c r="B206" s="7">
        <v>77.180000000000007</v>
      </c>
      <c r="C206" s="8">
        <f>IFERROR(B206/B444, "NA")</f>
        <v>5.0134508326498686E-4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-77.180000000000007</v>
      </c>
      <c r="I206" s="8">
        <f>IFERROR(H206/H444, "NA")</f>
        <v>-2.8386824364707818E-3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-77.180000000000007</v>
      </c>
      <c r="O206" s="8">
        <f>IFERROR(N206/N444, "NA")</f>
        <v>-2.0496477914766211E-3</v>
      </c>
      <c r="P206" s="9"/>
      <c r="Q206" s="7">
        <v>654.67999999999995</v>
      </c>
      <c r="R206" s="8">
        <f>IFERROR(Q206/Q444, "NA")</f>
        <v>5.7045312640736066E-4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-654.67999999999995</v>
      </c>
      <c r="X206" s="8">
        <f>IFERROR(W206/W444, "NA")</f>
        <v>1.1207940264492887E-2</v>
      </c>
      <c r="Y206" s="9"/>
      <c r="Z206" s="7">
        <v>435.18</v>
      </c>
      <c r="AA206" s="8">
        <f>IFERROR(Z206/Z444, "NA")</f>
        <v>4.0661020866135616E-4</v>
      </c>
      <c r="AB206" s="9"/>
      <c r="AC206" s="10">
        <f t="shared" si="55"/>
        <v>-219.49999999999994</v>
      </c>
      <c r="AD206" s="8">
        <f>IFERROR(AC206/AC444, "NA")</f>
        <v>-2.8364402584300751E-3</v>
      </c>
    </row>
    <row r="207" spans="1:30" ht="16.5" customHeight="1" x14ac:dyDescent="0.45">
      <c r="A207" s="6" t="s">
        <v>189</v>
      </c>
      <c r="B207" s="7">
        <v>153.55000000000001</v>
      </c>
      <c r="C207" s="8">
        <f>IFERROR(B207/B444, "NA")</f>
        <v>9.9742857651384737E-4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-153.55000000000001</v>
      </c>
      <c r="I207" s="8">
        <f>IFERROR(H207/H444, "NA")</f>
        <v>-5.6475730515689109E-3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-153.55000000000001</v>
      </c>
      <c r="O207" s="8">
        <f>IFERROR(N207/N444, "NA")</f>
        <v>-4.0777846382642549E-3</v>
      </c>
      <c r="P207" s="9"/>
      <c r="Q207" s="7">
        <v>1142.07</v>
      </c>
      <c r="R207" s="8">
        <f>IFERROR(Q207/Q444, "NA")</f>
        <v>9.9513869688405698E-4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-1142.07</v>
      </c>
      <c r="X207" s="8">
        <f>IFERROR(W207/W444, "NA")</f>
        <v>1.9551922065542543E-2</v>
      </c>
      <c r="Y207" s="9"/>
      <c r="Z207" s="7">
        <v>574.41999999999996</v>
      </c>
      <c r="AA207" s="8">
        <f>IFERROR(Z207/Z444, "NA")</f>
        <v>5.3670903088206298E-4</v>
      </c>
      <c r="AB207" s="9"/>
      <c r="AC207" s="10">
        <f t="shared" si="55"/>
        <v>-567.65</v>
      </c>
      <c r="AD207" s="8">
        <f>IFERROR(AC207/AC444, "NA")</f>
        <v>-7.3353317207190544E-3</v>
      </c>
    </row>
    <row r="208" spans="1:30" ht="16.5" customHeight="1" x14ac:dyDescent="0.45">
      <c r="A208" s="6" t="s">
        <v>190</v>
      </c>
      <c r="B208" s="7">
        <v>184.89</v>
      </c>
      <c r="C208" s="8">
        <f>IFERROR(B208/B444, "NA")</f>
        <v>1.2010066396069372E-3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-184.89</v>
      </c>
      <c r="I208" s="8">
        <f>IFERROR(H208/H444, "NA")</f>
        <v>-6.8002590785058662E-3</v>
      </c>
      <c r="J208" s="9"/>
      <c r="K208" s="7">
        <v>88.93</v>
      </c>
      <c r="L208" s="8">
        <f>IFERROR(K208/K444, "NA")</f>
        <v>7.6472210439002778E-4</v>
      </c>
      <c r="M208" s="9"/>
      <c r="N208" s="10">
        <f t="shared" si="53"/>
        <v>-95.95999999999998</v>
      </c>
      <c r="O208" s="8">
        <f>IFERROR(N208/N444, "NA")</f>
        <v>-2.5483830275990736E-3</v>
      </c>
      <c r="P208" s="9"/>
      <c r="Q208" s="7">
        <v>1684.9</v>
      </c>
      <c r="R208" s="8">
        <f>IFERROR(Q208/Q444, "NA")</f>
        <v>1.4681317173027466E-3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-1684.9</v>
      </c>
      <c r="X208" s="8">
        <f>IFERROR(W208/W444, "NA")</f>
        <v>2.8845021310631255E-2</v>
      </c>
      <c r="Y208" s="9"/>
      <c r="Z208" s="7">
        <v>1554.57</v>
      </c>
      <c r="AA208" s="8">
        <f>IFERROR(Z208/Z444, "NA")</f>
        <v>1.4525116781071842E-3</v>
      </c>
      <c r="AB208" s="9"/>
      <c r="AC208" s="10">
        <f t="shared" si="55"/>
        <v>-130.33000000000015</v>
      </c>
      <c r="AD208" s="8">
        <f>IFERROR(AC208/AC444, "NA")</f>
        <v>-1.6841606327161376E-3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2706.06</v>
      </c>
      <c r="C209" s="15">
        <f>IFERROR(B209/B444, "NA")</f>
        <v>1.7577997875356962E-2</v>
      </c>
      <c r="D209" s="2"/>
      <c r="E209" s="14">
        <f>IFERROR(E201+E202+E203+E204+E205+E206+E207+E208, "NA")</f>
        <v>2281.63</v>
      </c>
      <c r="F209" s="15">
        <f>IFERROR(E209/E444, "NA")</f>
        <v>1.8000004575677325E-2</v>
      </c>
      <c r="G209" s="2"/>
      <c r="H209" s="14">
        <f t="shared" si="52"/>
        <v>-424.42999999999984</v>
      </c>
      <c r="I209" s="15">
        <f>IFERROR(H209/H444, "NA")</f>
        <v>-1.5610546599006134E-2</v>
      </c>
      <c r="J209" s="2"/>
      <c r="K209" s="14">
        <f>IFERROR(K201+K202+K203+K204+K205+K206+K207+K208, "NA")</f>
        <v>2334.3700000000003</v>
      </c>
      <c r="L209" s="15">
        <f>IFERROR(K209/K444, "NA")</f>
        <v>2.0073589776509044E-2</v>
      </c>
      <c r="M209" s="2"/>
      <c r="N209" s="14">
        <f t="shared" si="53"/>
        <v>-371.6899999999996</v>
      </c>
      <c r="O209" s="15">
        <f>IFERROR(N209/N444, "NA")</f>
        <v>-9.8708679400614716E-3</v>
      </c>
      <c r="P209" s="2"/>
      <c r="Q209" s="14">
        <f>IFERROR(Q201+Q202+Q203+Q204+Q205+Q206+Q207+Q208, "NA")</f>
        <v>29835.550000000003</v>
      </c>
      <c r="R209" s="15">
        <f>IFERROR(Q209/Q444, "NA")</f>
        <v>2.5997102058384451E-2</v>
      </c>
      <c r="S209" s="2"/>
      <c r="T209" s="14">
        <f>IFERROR(T201+T202+T203+T204+T205+T206+T207+T208, "NA")</f>
        <v>21964.38</v>
      </c>
      <c r="U209" s="15">
        <f>IFERROR(T209/T444, "NA")</f>
        <v>1.8211662437735438E-2</v>
      </c>
      <c r="V209" s="2"/>
      <c r="W209" s="14">
        <f t="shared" si="54"/>
        <v>-7871.1700000000019</v>
      </c>
      <c r="X209" s="15">
        <f>IFERROR(W209/W444, "NA")</f>
        <v>0.13475225021639353</v>
      </c>
      <c r="Y209" s="2"/>
      <c r="Z209" s="14">
        <f>IFERROR(Z201+Z202+Z203+Z204+Z205+Z206+Z207+Z208, "NA")</f>
        <v>26187.24</v>
      </c>
      <c r="AA209" s="15">
        <f>IFERROR(Z209/Z444, "NA")</f>
        <v>2.4468034194275963E-2</v>
      </c>
      <c r="AB209" s="2"/>
      <c r="AC209" s="14">
        <f t="shared" si="55"/>
        <v>-3648.3100000000013</v>
      </c>
      <c r="AD209" s="15">
        <f>IFERROR(AC209/AC444, "NA")</f>
        <v>-4.7144479996505846E-2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3516.28</v>
      </c>
      <c r="F213" s="8">
        <f>IFERROR(E213/E444, "NA")</f>
        <v>2.7740280452730137E-2</v>
      </c>
      <c r="G213" s="9"/>
      <c r="H213" s="10">
        <f t="shared" ref="H213:H227" si="56">IFERROR(-(B213-E213), "NA")</f>
        <v>3516.28</v>
      </c>
      <c r="I213" s="8">
        <f>IFERROR(H213/H444, "NA")</f>
        <v>0.12932887118053227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46941.72</v>
      </c>
      <c r="U213" s="8">
        <f>IFERROR(T213/T444, "NA")</f>
        <v>3.8921506497642748E-2</v>
      </c>
      <c r="V213" s="9"/>
      <c r="W213" s="10">
        <f t="shared" ref="W213:W227" si="58">IFERROR(-(Q213-T213), "NA")</f>
        <v>46941.72</v>
      </c>
      <c r="X213" s="8">
        <f>IFERROR(W213/W444, "NA")</f>
        <v>-0.80362924432173144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1324.19</v>
      </c>
      <c r="C214" s="8">
        <f>IFERROR(B214/B444, "NA")</f>
        <v>8.6016603499438054E-3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-1324.19</v>
      </c>
      <c r="I214" s="8">
        <f>IFERROR(H214/H444, "NA")</f>
        <v>-4.8703743140065363E-2</v>
      </c>
      <c r="J214" s="9"/>
      <c r="K214" s="7">
        <v>3508.08</v>
      </c>
      <c r="L214" s="8">
        <f>IFERROR(K214/K444, "NA")</f>
        <v>3.0166494096126935E-2</v>
      </c>
      <c r="M214" s="9"/>
      <c r="N214" s="10">
        <f t="shared" si="57"/>
        <v>2183.89</v>
      </c>
      <c r="O214" s="8">
        <f>IFERROR(N214/N444, "NA")</f>
        <v>5.7996959255349541E-2</v>
      </c>
      <c r="P214" s="9"/>
      <c r="Q214" s="7">
        <v>23751.22</v>
      </c>
      <c r="R214" s="8">
        <f>IFERROR(Q214/Q444, "NA")</f>
        <v>2.0695542410015633E-2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-23751.22</v>
      </c>
      <c r="X214" s="8">
        <f>IFERROR(W214/W444, "NA")</f>
        <v>0.40661430770579338</v>
      </c>
      <c r="Y214" s="9"/>
      <c r="Z214" s="7">
        <v>16002.54</v>
      </c>
      <c r="AA214" s="8">
        <f>IFERROR(Z214/Z444, "NA")</f>
        <v>1.4951964999567302E-2</v>
      </c>
      <c r="AB214" s="9"/>
      <c r="AC214" s="10">
        <f t="shared" si="59"/>
        <v>-7748.68</v>
      </c>
      <c r="AD214" s="8">
        <f>IFERROR(AC214/AC444, "NA")</f>
        <v>-0.10013060547467863</v>
      </c>
    </row>
    <row r="215" spans="1:30" ht="16.5" customHeight="1" x14ac:dyDescent="0.45">
      <c r="A215" s="12" t="s">
        <v>195</v>
      </c>
      <c r="B215" s="7">
        <v>1131.47</v>
      </c>
      <c r="C215" s="8">
        <f>IFERROR(B215/B444, "NA")</f>
        <v>7.3497916735143134E-3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-1131.47</v>
      </c>
      <c r="I215" s="8">
        <f>IFERROR(H215/H444, "NA")</f>
        <v>-4.1615496454957185E-2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-1131.47</v>
      </c>
      <c r="O215" s="8">
        <f>IFERROR(N215/N444, "NA")</f>
        <v>-3.004813405833185E-2</v>
      </c>
      <c r="P215" s="9"/>
      <c r="Q215" s="7">
        <v>3743.07</v>
      </c>
      <c r="R215" s="8">
        <f>IFERROR(Q215/Q444, "NA")</f>
        <v>3.2615109425392554E-3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-3743.07</v>
      </c>
      <c r="X215" s="8">
        <f>IFERROR(W215/W444, "NA")</f>
        <v>6.4080321631660359E-2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-3743.07</v>
      </c>
      <c r="AD215" s="8">
        <f>IFERROR(AC215/AC444, "NA")</f>
        <v>-4.8368995162286391E-2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192</v>
      </c>
      <c r="L216" s="8">
        <f>IFERROR(K216/K444, "NA")</f>
        <v>1.6510361412671237E-3</v>
      </c>
      <c r="M216" s="9"/>
      <c r="N216" s="10">
        <f t="shared" si="57"/>
        <v>192</v>
      </c>
      <c r="O216" s="8">
        <f>IFERROR(N216/N444, "NA")</f>
        <v>5.0988905929452086E-3</v>
      </c>
      <c r="P216" s="9"/>
      <c r="Q216" s="7">
        <v>5.73</v>
      </c>
      <c r="R216" s="8">
        <f>IFERROR(Q216/Q444, "NA")</f>
        <v>4.9928154431389033E-6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9.8096012884988477E-5</v>
      </c>
      <c r="Y216" s="9"/>
      <c r="Z216" s="7">
        <v>616.64</v>
      </c>
      <c r="AA216" s="8">
        <f>IFERROR(Z216/Z444, "NA")</f>
        <v>5.7615726611732771E-4</v>
      </c>
      <c r="AB216" s="9"/>
      <c r="AC216" s="10">
        <f t="shared" si="59"/>
        <v>610.91</v>
      </c>
      <c r="AD216" s="8">
        <f>IFERROR(AC216/AC444, "NA")</f>
        <v>7.8943495137927897E-3</v>
      </c>
    </row>
    <row r="217" spans="1:30" ht="16.5" customHeight="1" x14ac:dyDescent="0.45">
      <c r="A217" s="12" t="s">
        <v>197</v>
      </c>
      <c r="B217" s="7">
        <v>2151.9499999999998</v>
      </c>
      <c r="C217" s="8">
        <f>IFERROR(B217/B444, "NA")</f>
        <v>1.3978615599016433E-2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-2151.9499999999998</v>
      </c>
      <c r="I217" s="8">
        <f>IFERROR(H217/H444, "NA")</f>
        <v>-7.9148777781333224E-2</v>
      </c>
      <c r="J217" s="9"/>
      <c r="K217" s="7">
        <v>2581.2600000000002</v>
      </c>
      <c r="L217" s="8">
        <f>IFERROR(K217/K444, "NA")</f>
        <v>2.2196633072954042E-2</v>
      </c>
      <c r="M217" s="9"/>
      <c r="N217" s="10">
        <f t="shared" si="57"/>
        <v>429.3100000000004</v>
      </c>
      <c r="O217" s="8">
        <f>IFERROR(N217/N444, "NA")</f>
        <v>1.1401066252381822E-2</v>
      </c>
      <c r="P217" s="9"/>
      <c r="Q217" s="7">
        <v>23328.99</v>
      </c>
      <c r="R217" s="8">
        <f>IFERROR(Q217/Q444, "NA")</f>
        <v>2.0327633777457773E-2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-23328.99</v>
      </c>
      <c r="X217" s="8">
        <f>IFERROR(W217/W444, "NA")</f>
        <v>0.39938584705650393</v>
      </c>
      <c r="Y217" s="9"/>
      <c r="Z217" s="7">
        <v>28892.63</v>
      </c>
      <c r="AA217" s="8">
        <f>IFERROR(Z217/Z444, "NA")</f>
        <v>2.6995813946126566E-2</v>
      </c>
      <c r="AB217" s="9"/>
      <c r="AC217" s="10">
        <f t="shared" si="59"/>
        <v>5563.6399999999994</v>
      </c>
      <c r="AD217" s="8">
        <f>IFERROR(AC217/AC444, "NA")</f>
        <v>7.189490879003145E-2</v>
      </c>
    </row>
    <row r="218" spans="1:30" ht="16.5" customHeight="1" x14ac:dyDescent="0.45">
      <c r="A218" s="13" t="s">
        <v>198</v>
      </c>
      <c r="B218" s="14">
        <f>IFERROR(B213+B214+B215+B216+B217, "NA")</f>
        <v>4607.6099999999997</v>
      </c>
      <c r="C218" s="15">
        <f>IFERROR(B218/B444, "NA")</f>
        <v>2.9930067622474552E-2</v>
      </c>
      <c r="D218" s="2"/>
      <c r="E218" s="14">
        <f>IFERROR(E213+E214+E215+E216+E217, "NA")</f>
        <v>3516.28</v>
      </c>
      <c r="F218" s="15">
        <f>IFERROR(E218/E444, "NA")</f>
        <v>2.7740280452730137E-2</v>
      </c>
      <c r="G218" s="2"/>
      <c r="H218" s="14">
        <f t="shared" si="56"/>
        <v>-1091.3299999999995</v>
      </c>
      <c r="I218" s="15">
        <f>IFERROR(H218/H444, "NA")</f>
        <v>-4.0139146195823483E-2</v>
      </c>
      <c r="J218" s="2"/>
      <c r="K218" s="14">
        <f>IFERROR(K213+K214+K215+K216+K217, "NA")</f>
        <v>6281.34</v>
      </c>
      <c r="L218" s="15">
        <f>IFERROR(K218/K444, "NA")</f>
        <v>5.4014163310348105E-2</v>
      </c>
      <c r="M218" s="2"/>
      <c r="N218" s="14">
        <f t="shared" si="57"/>
        <v>1673.7300000000005</v>
      </c>
      <c r="O218" s="15">
        <f>IFERROR(N218/N444, "NA")</f>
        <v>4.4448782042344724E-2</v>
      </c>
      <c r="P218" s="2"/>
      <c r="Q218" s="14">
        <f>IFERROR(Q213+Q214+Q215+Q216+Q217, "NA")</f>
        <v>50829.01</v>
      </c>
      <c r="R218" s="15">
        <f>IFERROR(Q218/Q444, "NA")</f>
        <v>4.4289679945455802E-2</v>
      </c>
      <c r="S218" s="2"/>
      <c r="T218" s="14">
        <f>IFERROR(T213+T214+T215+T216+T217, "NA")</f>
        <v>46941.72</v>
      </c>
      <c r="U218" s="15">
        <f>IFERROR(T218/T444, "NA")</f>
        <v>3.8921506497642748E-2</v>
      </c>
      <c r="V218" s="2"/>
      <c r="W218" s="14">
        <f t="shared" si="58"/>
        <v>-3887.2900000000009</v>
      </c>
      <c r="X218" s="15">
        <f>IFERROR(W218/W444, "NA")</f>
        <v>6.6549328085111159E-2</v>
      </c>
      <c r="Y218" s="2"/>
      <c r="Z218" s="14">
        <f>IFERROR(Z213+Z214+Z215+Z216+Z217, "NA")</f>
        <v>45511.81</v>
      </c>
      <c r="AA218" s="15">
        <f>IFERROR(Z218/Z444, "NA")</f>
        <v>4.2523936211811192E-2</v>
      </c>
      <c r="AB218" s="2"/>
      <c r="AC218" s="14">
        <f t="shared" si="59"/>
        <v>-5317.2000000000044</v>
      </c>
      <c r="AD218" s="15">
        <f>IFERROR(AC218/AC444, "NA")</f>
        <v>-6.8710342333140828E-2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151.56</v>
      </c>
      <c r="C222" s="8">
        <f>IFERROR(B222/B444, "NA")</f>
        <v>9.8450195412854899E-4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-151.56</v>
      </c>
      <c r="I222" s="8">
        <f>IFERROR(H222/H444, "NA")</f>
        <v>-5.5743807990607883E-3</v>
      </c>
      <c r="J222" s="9"/>
      <c r="K222" s="7">
        <v>211.42</v>
      </c>
      <c r="L222" s="8">
        <f>IFERROR(K222/K444, "NA")</f>
        <v>1.8180315676390379E-3</v>
      </c>
      <c r="M222" s="9"/>
      <c r="N222" s="10">
        <f t="shared" si="57"/>
        <v>59.859999999999985</v>
      </c>
      <c r="O222" s="8">
        <f>IFERROR(N222/N444, "NA")</f>
        <v>1.5896853692380214E-3</v>
      </c>
      <c r="P222" s="9"/>
      <c r="Q222" s="7">
        <v>2156.4499999999998</v>
      </c>
      <c r="R222" s="8">
        <f>IFERROR(Q222/Q444, "NA")</f>
        <v>1.8790151592245874E-3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-2156.4499999999998</v>
      </c>
      <c r="X222" s="8">
        <f>IFERROR(W222/W444, "NA")</f>
        <v>3.6917826699098322E-2</v>
      </c>
      <c r="Y222" s="9"/>
      <c r="Z222" s="7">
        <v>613.63</v>
      </c>
      <c r="AA222" s="8">
        <f>IFERROR(Z222/Z444, "NA")</f>
        <v>5.7334487416900589E-4</v>
      </c>
      <c r="AB222" s="9"/>
      <c r="AC222" s="10">
        <f t="shared" si="59"/>
        <v>-1542.8199999999997</v>
      </c>
      <c r="AD222" s="8">
        <f>IFERROR(AC222/AC444, "NA")</f>
        <v>-1.9936750612806781E-2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126.76</v>
      </c>
      <c r="F226" s="8">
        <f>IFERROR(E226/E444, "NA")</f>
        <v>1.0000221683677272E-3</v>
      </c>
      <c r="G226" s="9"/>
      <c r="H226" s="10">
        <f t="shared" si="56"/>
        <v>126.76</v>
      </c>
      <c r="I226" s="8">
        <f>IFERROR(H226/H444, "NA")</f>
        <v>4.662236144688213E-3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1206.07</v>
      </c>
      <c r="U226" s="8">
        <f>IFERROR(T226/T444, "NA")</f>
        <v>1.0000072716042784E-3</v>
      </c>
      <c r="V226" s="9"/>
      <c r="W226" s="10">
        <f t="shared" si="58"/>
        <v>1206.07</v>
      </c>
      <c r="X226" s="8">
        <f>IFERROR(W226/W444, "NA")</f>
        <v>-2.0647584338603496E-2</v>
      </c>
      <c r="Y226" s="9"/>
      <c r="Z226" s="7">
        <v>1334.74</v>
      </c>
      <c r="AA226" s="8">
        <f>IFERROR(Z226/Z444, "NA")</f>
        <v>1.2471136309312434E-3</v>
      </c>
      <c r="AB226" s="9"/>
      <c r="AC226" s="10">
        <f t="shared" si="59"/>
        <v>1334.74</v>
      </c>
      <c r="AD226" s="8">
        <f>IFERROR(AC226/AC444, "NA")</f>
        <v>1.7247882781489563E-2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4759.17</v>
      </c>
      <c r="C227" s="15">
        <f>IFERROR(B227/B444, "NA")</f>
        <v>3.0914569576603101E-2</v>
      </c>
      <c r="D227" s="2"/>
      <c r="E227" s="14">
        <f>IFERROR(E211+E213+E214+E215+E216+E217+E219+E220+E221+E222+E223+E224+E225+E226, "NA")</f>
        <v>3643.0400000000004</v>
      </c>
      <c r="F227" s="15">
        <f>IFERROR(E227/E444, "NA")</f>
        <v>2.8740302621097866E-2</v>
      </c>
      <c r="G227" s="2"/>
      <c r="H227" s="14">
        <f t="shared" si="56"/>
        <v>-1116.1299999999997</v>
      </c>
      <c r="I227" s="15">
        <f>IFERROR(H227/H444, "NA")</f>
        <v>-4.105129085019607E-2</v>
      </c>
      <c r="J227" s="2"/>
      <c r="K227" s="14">
        <f>IFERROR(K211+K213+K214+K215+K216+K217+K219+K220+K221+K222+K223+K224+K225+K226, "NA")</f>
        <v>6492.76</v>
      </c>
      <c r="L227" s="15">
        <f>IFERROR(K227/K444, "NA")</f>
        <v>5.5832194877987143E-2</v>
      </c>
      <c r="M227" s="2"/>
      <c r="N227" s="14">
        <f t="shared" si="57"/>
        <v>1733.5900000000001</v>
      </c>
      <c r="O227" s="15">
        <f>IFERROR(N227/N444, "NA")</f>
        <v>4.6038467411582733E-2</v>
      </c>
      <c r="P227" s="2"/>
      <c r="Q227" s="14">
        <f>IFERROR(Q211+Q213+Q214+Q215+Q216+Q217+Q219+Q220+Q221+Q222+Q223+Q224+Q225+Q226, "NA")</f>
        <v>52985.46</v>
      </c>
      <c r="R227" s="15">
        <f>IFERROR(Q227/Q444, "NA")</f>
        <v>4.6168695104680385E-2</v>
      </c>
      <c r="S227" s="2"/>
      <c r="T227" s="14">
        <f>IFERROR(T211+T213+T214+T215+T216+T217+T219+T220+T221+T222+T223+T224+T225+T226, "NA")</f>
        <v>48147.79</v>
      </c>
      <c r="U227" s="15">
        <f>IFERROR(T227/T444, "NA")</f>
        <v>3.9921513769247026E-2</v>
      </c>
      <c r="V227" s="2"/>
      <c r="W227" s="14">
        <f t="shared" si="58"/>
        <v>-4837.6699999999983</v>
      </c>
      <c r="X227" s="15">
        <f>IFERROR(W227/W444, "NA")</f>
        <v>8.2819570445605936E-2</v>
      </c>
      <c r="Y227" s="2"/>
      <c r="Z227" s="14">
        <f>IFERROR(Z211+Z213+Z214+Z215+Z216+Z217+Z219+Z220+Z221+Z222+Z223+Z224+Z225+Z226, "NA")</f>
        <v>47460.179999999993</v>
      </c>
      <c r="AA227" s="15">
        <f>IFERROR(Z227/Z444, "NA")</f>
        <v>4.4344394716911435E-2</v>
      </c>
      <c r="AB227" s="2"/>
      <c r="AC227" s="14">
        <f t="shared" si="59"/>
        <v>-5525.2800000000061</v>
      </c>
      <c r="AD227" s="15">
        <f>IFERROR(AC227/AC444, "NA")</f>
        <v>-7.1399210164458063E-2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1673.19</v>
      </c>
      <c r="F229" s="8">
        <f>IFERROR(E229/E444, "NA")</f>
        <v>1.3199961280302916E-2</v>
      </c>
      <c r="G229" s="9"/>
      <c r="H229" s="10">
        <f t="shared" ref="H229:H236" si="60">IFERROR(-(B229-E229), "NA")</f>
        <v>1673.19</v>
      </c>
      <c r="I229" s="8">
        <f>IFERROR(H229/H444, "NA")</f>
        <v>6.1539972348776201E-2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15920.02</v>
      </c>
      <c r="U229" s="8">
        <f>IFERROR(T229/T444, "NA")</f>
        <v>1.3200009754065305E-2</v>
      </c>
      <c r="V229" s="9"/>
      <c r="W229" s="10">
        <f t="shared" ref="W229:W236" si="62">IFERROR(-(Q229-T229), "NA")</f>
        <v>15920.02</v>
      </c>
      <c r="X229" s="8">
        <f>IFERROR(W229/W444, "NA")</f>
        <v>-0.27254633281837248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-4.2045726802153192E-5</v>
      </c>
      <c r="AB230" s="9"/>
      <c r="AC230" s="10">
        <f t="shared" si="63"/>
        <v>-45</v>
      </c>
      <c r="AD230" s="8">
        <f>IFERROR(AC230/AC444, "NA")</f>
        <v>-5.8150255867586969E-4</v>
      </c>
    </row>
    <row r="231" spans="1:30" ht="16.5" customHeight="1" x14ac:dyDescent="0.45">
      <c r="A231" s="6" t="s">
        <v>210</v>
      </c>
      <c r="B231" s="7">
        <v>273</v>
      </c>
      <c r="C231" s="8">
        <f>IFERROR(B231/B444, "NA")</f>
        <v>1.7733507091389144E-3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-273</v>
      </c>
      <c r="I231" s="8">
        <f>IFERROR(H231/H444, "NA")</f>
        <v>-1.004094720337553E-2</v>
      </c>
      <c r="J231" s="9"/>
      <c r="K231" s="7">
        <v>313.61</v>
      </c>
      <c r="L231" s="8">
        <f>IFERROR(K231/K444, "NA")</f>
        <v>2.6967783555353268E-3</v>
      </c>
      <c r="M231" s="9"/>
      <c r="N231" s="10">
        <f t="shared" si="61"/>
        <v>40.610000000000014</v>
      </c>
      <c r="O231" s="8">
        <f>IFERROR(N231/N444, "NA")</f>
        <v>1.0784684738515886E-3</v>
      </c>
      <c r="P231" s="9"/>
      <c r="Q231" s="7">
        <v>2271.13</v>
      </c>
      <c r="R231" s="8">
        <f>IFERROR(Q231/Q444, "NA")</f>
        <v>1.9789411758073397E-3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-2271.13</v>
      </c>
      <c r="X231" s="8">
        <f>IFERROR(W231/W444, "NA")</f>
        <v>3.8881116534639423E-2</v>
      </c>
      <c r="Y231" s="9"/>
      <c r="Z231" s="7">
        <v>3563.17</v>
      </c>
      <c r="AA231" s="8">
        <f>IFERROR(Z231/Z444, "NA")</f>
        <v>3.3292460526584042E-3</v>
      </c>
      <c r="AB231" s="9"/>
      <c r="AC231" s="10">
        <f t="shared" si="63"/>
        <v>1292.04</v>
      </c>
      <c r="AD231" s="8">
        <f>IFERROR(AC231/AC444, "NA")</f>
        <v>1.669610146470157E-2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2634.68</v>
      </c>
      <c r="C234" s="8">
        <f>IFERROR(B234/B444, "NA")</f>
        <v>1.7114328374923497E-2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-2634.68</v>
      </c>
      <c r="I234" s="8">
        <f>IFERROR(H234/H444, "NA")</f>
        <v>-9.6903599918642627E-2</v>
      </c>
      <c r="J234" s="9"/>
      <c r="K234" s="7">
        <v>1143.53</v>
      </c>
      <c r="L234" s="8">
        <f>IFERROR(K234/K444, "NA")</f>
        <v>9.8333820761624686E-3</v>
      </c>
      <c r="M234" s="9"/>
      <c r="N234" s="10">
        <f t="shared" si="61"/>
        <v>-1491.1499999999999</v>
      </c>
      <c r="O234" s="8">
        <f>IFERROR(N234/N444, "NA")</f>
        <v>-3.960005576911587E-2</v>
      </c>
      <c r="P234" s="9"/>
      <c r="Q234" s="7">
        <v>14607.29</v>
      </c>
      <c r="R234" s="8">
        <f>IFERROR(Q234/Q444, "NA")</f>
        <v>1.272801101124057E-2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-14607.29</v>
      </c>
      <c r="X234" s="8">
        <f>IFERROR(W234/W444, "NA")</f>
        <v>0.25007275882282082</v>
      </c>
      <c r="Y234" s="9"/>
      <c r="Z234" s="7">
        <v>15563.17</v>
      </c>
      <c r="AA234" s="8">
        <f>IFERROR(Z234/Z444, "NA")</f>
        <v>1.4541439866565923E-2</v>
      </c>
      <c r="AB234" s="9"/>
      <c r="AC234" s="10">
        <f t="shared" si="63"/>
        <v>955.8799999999992</v>
      </c>
      <c r="AD234" s="8">
        <f>IFERROR(AC234/AC444, "NA")</f>
        <v>1.2352148128601997E-2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2907.68</v>
      </c>
      <c r="C236" s="15">
        <f>IFERROR(B236/B444, "NA")</f>
        <v>1.8887679084062411E-2</v>
      </c>
      <c r="D236" s="2"/>
      <c r="E236" s="14">
        <f>IFERROR(E229+E230+E231+E232+E233+E234+E235, "NA")</f>
        <v>1673.19</v>
      </c>
      <c r="F236" s="15">
        <f>IFERROR(E236/E444, "NA")</f>
        <v>1.3199961280302916E-2</v>
      </c>
      <c r="G236" s="2"/>
      <c r="H236" s="14">
        <f t="shared" si="60"/>
        <v>-1234.4899999999998</v>
      </c>
      <c r="I236" s="15">
        <f>IFERROR(H236/H444, "NA")</f>
        <v>-4.540457477324196E-2</v>
      </c>
      <c r="J236" s="2"/>
      <c r="K236" s="14">
        <f>IFERROR(K229+K230+K231+K232+K233+K234+K235, "NA")</f>
        <v>1457.1399999999999</v>
      </c>
      <c r="L236" s="15">
        <f>IFERROR(K236/K444, "NA")</f>
        <v>1.2530160431697794E-2</v>
      </c>
      <c r="M236" s="2"/>
      <c r="N236" s="14">
        <f t="shared" si="61"/>
        <v>-1450.54</v>
      </c>
      <c r="O236" s="15">
        <f>IFERROR(N236/N444, "NA")</f>
        <v>-3.8521587295264288E-2</v>
      </c>
      <c r="P236" s="2"/>
      <c r="Q236" s="14">
        <f>IFERROR(Q229+Q230+Q231+Q232+Q233+Q234+Q235, "NA")</f>
        <v>16878.420000000002</v>
      </c>
      <c r="R236" s="15">
        <f>IFERROR(Q236/Q444, "NA")</f>
        <v>1.4706952187047911E-2</v>
      </c>
      <c r="S236" s="2"/>
      <c r="T236" s="14">
        <f>IFERROR(T229+T230+T231+T232+T233+T234+T235, "NA")</f>
        <v>15920.02</v>
      </c>
      <c r="U236" s="15">
        <f>IFERROR(T236/T444, "NA")</f>
        <v>1.3200009754065305E-2</v>
      </c>
      <c r="V236" s="2"/>
      <c r="W236" s="14">
        <f t="shared" si="62"/>
        <v>-958.40000000000146</v>
      </c>
      <c r="X236" s="15">
        <f>IFERROR(W236/W444, "NA")</f>
        <v>1.6407542539087799E-2</v>
      </c>
      <c r="Y236" s="2"/>
      <c r="Z236" s="14">
        <f>IFERROR(Z229+Z230+Z231+Z232+Z233+Z234+Z235, "NA")</f>
        <v>19081.34</v>
      </c>
      <c r="AA236" s="15">
        <f>IFERROR(Z236/Z444, "NA")</f>
        <v>1.7828640192422175E-2</v>
      </c>
      <c r="AB236" s="2"/>
      <c r="AC236" s="14">
        <f t="shared" si="63"/>
        <v>2202.9199999999983</v>
      </c>
      <c r="AD236" s="15">
        <f>IFERROR(AC236/AC444, "NA")</f>
        <v>2.8466747034627687E-2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7740.3</v>
      </c>
      <c r="F240" s="8">
        <f>IFERROR(E240/E444, "NA")</f>
        <v>6.1063991715183966E-2</v>
      </c>
      <c r="G240" s="9"/>
      <c r="H240" s="10">
        <f t="shared" ref="H240:H263" si="64">IFERROR(-(B240-E240), "NA")</f>
        <v>7740.3</v>
      </c>
      <c r="I240" s="8">
        <f>IFERROR(H240/H444, "NA")</f>
        <v>0.28468843823548579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73971.91</v>
      </c>
      <c r="U240" s="8">
        <f>IFERROR(T240/T444, "NA")</f>
        <v>6.133346148603086E-2</v>
      </c>
      <c r="V240" s="9"/>
      <c r="W240" s="10">
        <f t="shared" ref="W240:W263" si="66">IFERROR(-(Q240-T240), "NA")</f>
        <v>73971.91</v>
      </c>
      <c r="X240" s="8">
        <f>IFERROR(W240/W444, "NA")</f>
        <v>-1.2663786102071917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1533.4</v>
      </c>
      <c r="C242" s="8">
        <f>IFERROR(B242/B444, "NA")</f>
        <v>9.960644605837404E-3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-1533.4</v>
      </c>
      <c r="I242" s="8">
        <f>IFERROR(H242/H444, "NA")</f>
        <v>-5.6398492460278525E-2</v>
      </c>
      <c r="J242" s="9"/>
      <c r="K242" s="7">
        <v>1371.28</v>
      </c>
      <c r="L242" s="8">
        <f>IFERROR(K242/K444, "NA")</f>
        <v>1.1791837707274903E-2</v>
      </c>
      <c r="M242" s="9"/>
      <c r="N242" s="10">
        <f t="shared" si="65"/>
        <v>-162.12000000000012</v>
      </c>
      <c r="O242" s="8">
        <f>IFERROR(N242/N444, "NA")</f>
        <v>-4.3053757444181141E-3</v>
      </c>
      <c r="P242" s="9"/>
      <c r="Q242" s="7">
        <v>15997.65</v>
      </c>
      <c r="R242" s="8">
        <f>IFERROR(Q242/Q444, "NA")</f>
        <v>1.3939496330528982E-2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-15997.65</v>
      </c>
      <c r="X242" s="8">
        <f>IFERROR(W242/W444, "NA")</f>
        <v>0.27387533691614935</v>
      </c>
      <c r="Y242" s="9"/>
      <c r="Z242" s="7">
        <v>13720.33</v>
      </c>
      <c r="AA242" s="8">
        <f>IFERROR(Z242/Z444, "NA")</f>
        <v>1.2819583262564145E-2</v>
      </c>
      <c r="AB242" s="9"/>
      <c r="AC242" s="10">
        <f t="shared" si="67"/>
        <v>-2277.3199999999997</v>
      </c>
      <c r="AD242" s="8">
        <f>IFERROR(AC242/AC444, "NA")</f>
        <v>-2.9428164598305145E-2</v>
      </c>
    </row>
    <row r="243" spans="1:30" ht="16.5" customHeight="1" x14ac:dyDescent="0.45">
      <c r="A243" s="12" t="s">
        <v>220</v>
      </c>
      <c r="B243" s="7">
        <v>3733.72</v>
      </c>
      <c r="C243" s="8">
        <f>IFERROR(B243/B444, "NA")</f>
        <v>2.4253461574088451E-2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-3733.72</v>
      </c>
      <c r="I243" s="8">
        <f>IFERROR(H243/H444, "NA")</f>
        <v>-0.13732632011790213</v>
      </c>
      <c r="J243" s="9"/>
      <c r="K243" s="7">
        <v>1442.12</v>
      </c>
      <c r="L243" s="8">
        <f>IFERROR(K243/K444, "NA")</f>
        <v>1.2401001250229918E-2</v>
      </c>
      <c r="M243" s="9"/>
      <c r="N243" s="10">
        <f t="shared" si="65"/>
        <v>-2291.6</v>
      </c>
      <c r="O243" s="8">
        <f>IFERROR(N243/N444, "NA")</f>
        <v>-6.0857383764548127E-2</v>
      </c>
      <c r="P243" s="9"/>
      <c r="Q243" s="7">
        <v>20762.490000000002</v>
      </c>
      <c r="R243" s="8">
        <f>IFERROR(Q243/Q444, "NA")</f>
        <v>1.809132298604137E-2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-20762.490000000002</v>
      </c>
      <c r="X243" s="8">
        <f>IFERROR(W243/W444, "NA")</f>
        <v>0.35544807793445804</v>
      </c>
      <c r="Y243" s="9"/>
      <c r="Z243" s="7">
        <v>25373.94</v>
      </c>
      <c r="AA243" s="8">
        <f>IFERROR(Z243/Z444, "NA")</f>
        <v>2.3708127758538377E-2</v>
      </c>
      <c r="AB243" s="9"/>
      <c r="AC243" s="10">
        <f t="shared" si="67"/>
        <v>4611.4499999999971</v>
      </c>
      <c r="AD243" s="8">
        <f>IFERROR(AC243/AC444, "NA")</f>
        <v>5.9590443871240836E-2</v>
      </c>
    </row>
    <row r="244" spans="1:30" ht="16.5" customHeight="1" x14ac:dyDescent="0.45">
      <c r="A244" s="12" t="s">
        <v>221</v>
      </c>
      <c r="B244" s="7">
        <v>558.75</v>
      </c>
      <c r="C244" s="8">
        <f>IFERROR(B244/B444, "NA")</f>
        <v>3.6295227426057452E-3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-558.75</v>
      </c>
      <c r="I244" s="8">
        <f>IFERROR(H244/H444, "NA")</f>
        <v>-2.0550839743172445E-2</v>
      </c>
      <c r="J244" s="9"/>
      <c r="K244" s="7">
        <v>203.24</v>
      </c>
      <c r="L244" s="8">
        <f>IFERROR(K244/K444, "NA")</f>
        <v>1.7476905487038034E-3</v>
      </c>
      <c r="M244" s="9"/>
      <c r="N244" s="10">
        <f t="shared" si="65"/>
        <v>-355.51</v>
      </c>
      <c r="O244" s="8">
        <f>IFERROR(N244/N444, "NA")</f>
        <v>-9.4411801807184961E-3</v>
      </c>
      <c r="P244" s="9"/>
      <c r="Q244" s="7">
        <v>6735.43</v>
      </c>
      <c r="R244" s="8">
        <f>IFERROR(Q244/Q444, "NA")</f>
        <v>5.8688933543073404E-3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-6735.43</v>
      </c>
      <c r="X244" s="8">
        <f>IFERROR(W244/W444, "NA")</f>
        <v>0.11530869599754588</v>
      </c>
      <c r="Y244" s="9"/>
      <c r="Z244" s="7">
        <v>969.61</v>
      </c>
      <c r="AA244" s="8">
        <f>IFERROR(Z244/Z444, "NA")</f>
        <v>9.059546036585724E-4</v>
      </c>
      <c r="AB244" s="9"/>
      <c r="AC244" s="10">
        <f t="shared" si="67"/>
        <v>-5765.8200000000006</v>
      </c>
      <c r="AD244" s="8">
        <f>IFERROR(AC244/AC444, "NA")</f>
        <v>-7.4507535174766742E-2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172.19</v>
      </c>
      <c r="C246" s="8">
        <f>IFERROR(B246/B444, "NA")</f>
        <v>1.1185101047861891E-3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-172.19</v>
      </c>
      <c r="I246" s="8">
        <f>IFERROR(H246/H444, "NA")</f>
        <v>-6.333152743403782E-3</v>
      </c>
      <c r="J246" s="9"/>
      <c r="K246" s="7">
        <v>398.24</v>
      </c>
      <c r="L246" s="8">
        <f>IFERROR(K246/K444, "NA")</f>
        <v>3.424524129678226E-3</v>
      </c>
      <c r="M246" s="9"/>
      <c r="N246" s="10">
        <f t="shared" si="65"/>
        <v>226.05</v>
      </c>
      <c r="O246" s="8">
        <f>IFERROR(N246/N444, "NA")</f>
        <v>6.0031469715378363E-3</v>
      </c>
      <c r="P246" s="9"/>
      <c r="Q246" s="7">
        <v>3638.92</v>
      </c>
      <c r="R246" s="8">
        <f>IFERROR(Q246/Q444, "NA")</f>
        <v>3.1707602045980832E-3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-3638.92</v>
      </c>
      <c r="X246" s="8">
        <f>IFERROR(W246/W444, "NA")</f>
        <v>6.2297302479483813E-2</v>
      </c>
      <c r="Y246" s="9"/>
      <c r="Z246" s="7">
        <v>1341.94</v>
      </c>
      <c r="AA246" s="8">
        <f>IFERROR(Z246/Z444, "NA")</f>
        <v>1.2538409472195879E-3</v>
      </c>
      <c r="AB246" s="9"/>
      <c r="AC246" s="10">
        <f t="shared" si="67"/>
        <v>-2296.98</v>
      </c>
      <c r="AD246" s="8">
        <f>IFERROR(AC246/AC444, "NA")</f>
        <v>-2.9682216605051093E-2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1.3182736876701765E-4</v>
      </c>
      <c r="AB247" s="9"/>
      <c r="AC247" s="10">
        <f t="shared" si="67"/>
        <v>141.09</v>
      </c>
      <c r="AD247" s="8">
        <f>IFERROR(AC247/AC444, "NA")</f>
        <v>1.8232043556350769E-3</v>
      </c>
    </row>
    <row r="248" spans="1:30" ht="16.5" customHeight="1" x14ac:dyDescent="0.45">
      <c r="A248" s="12" t="s">
        <v>225</v>
      </c>
      <c r="B248" s="7">
        <v>245.23</v>
      </c>
      <c r="C248" s="8">
        <f>IFERROR(B248/B444, "NA")</f>
        <v>1.5929626168576408E-3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-245.23</v>
      </c>
      <c r="I248" s="8">
        <f>IFERROR(H248/H444, "NA")</f>
        <v>-9.0195658706365613E-3</v>
      </c>
      <c r="J248" s="9"/>
      <c r="K248" s="7">
        <v>232.7</v>
      </c>
      <c r="L248" s="8">
        <f>IFERROR(K248/K444, "NA")</f>
        <v>2.0010214066294774E-3</v>
      </c>
      <c r="M248" s="9"/>
      <c r="N248" s="10">
        <f t="shared" si="65"/>
        <v>-12.530000000000001</v>
      </c>
      <c r="O248" s="8">
        <f>IFERROR(N248/N444, "NA")</f>
        <v>-3.3275572463335143E-4</v>
      </c>
      <c r="P248" s="9"/>
      <c r="Q248" s="7">
        <v>2888.99</v>
      </c>
      <c r="R248" s="8">
        <f>IFERROR(Q248/Q444, "NA")</f>
        <v>2.5173113240966592E-3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-2888.99</v>
      </c>
      <c r="X248" s="8">
        <f>IFERROR(W248/W444, "NA")</f>
        <v>4.9458708597661924E-2</v>
      </c>
      <c r="Y248" s="9"/>
      <c r="Z248" s="7">
        <v>2764.95</v>
      </c>
      <c r="AA248" s="8">
        <f>IFERROR(Z248/Z444, "NA")</f>
        <v>2.5834296071469659E-3</v>
      </c>
      <c r="AB248" s="9"/>
      <c r="AC248" s="10">
        <f t="shared" si="67"/>
        <v>-124.03999999999996</v>
      </c>
      <c r="AD248" s="8">
        <f>IFERROR(AC248/AC444, "NA")</f>
        <v>-1.6028794972923301E-3</v>
      </c>
    </row>
    <row r="249" spans="1:30" ht="16.5" customHeight="1" x14ac:dyDescent="0.45">
      <c r="A249" s="12" t="s">
        <v>226</v>
      </c>
      <c r="B249" s="7">
        <v>2207.13</v>
      </c>
      <c r="C249" s="8">
        <f>IFERROR(B249/B444, "NA")</f>
        <v>1.4337053299127371E-2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-2207.13</v>
      </c>
      <c r="I249" s="8">
        <f>IFERROR(H249/H444, "NA")</f>
        <v>-8.1178299637312212E-2</v>
      </c>
      <c r="J249" s="9"/>
      <c r="K249" s="7">
        <v>1393.57</v>
      </c>
      <c r="L249" s="8">
        <f>IFERROR(K249/K444, "NA")</f>
        <v>1.1983512684300134E-2</v>
      </c>
      <c r="M249" s="9"/>
      <c r="N249" s="10">
        <f t="shared" si="65"/>
        <v>-813.56000000000017</v>
      </c>
      <c r="O249" s="8">
        <f>IFERROR(N249/N444, "NA")</f>
        <v>-2.1605486618731795E-2</v>
      </c>
      <c r="P249" s="9"/>
      <c r="Q249" s="7">
        <v>19461.45</v>
      </c>
      <c r="R249" s="8">
        <f>IFERROR(Q249/Q444, "NA")</f>
        <v>1.6957666336103946E-2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-19461.45</v>
      </c>
      <c r="X249" s="8">
        <f>IFERROR(W249/W444, "NA")</f>
        <v>0.33317463350097015</v>
      </c>
      <c r="Y249" s="9"/>
      <c r="Z249" s="7">
        <v>16045.31</v>
      </c>
      <c r="AA249" s="8">
        <f>IFERROR(Z249/Z444, "NA")</f>
        <v>1.4991927127019036E-2</v>
      </c>
      <c r="AB249" s="9"/>
      <c r="AC249" s="10">
        <f t="shared" si="67"/>
        <v>-3416.1400000000012</v>
      </c>
      <c r="AD249" s="8">
        <f>IFERROR(AC249/AC444, "NA")</f>
        <v>-4.4144314462110805E-2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5.6060969069537591E-7</v>
      </c>
      <c r="AB250" s="9"/>
      <c r="AC250" s="10">
        <f t="shared" si="67"/>
        <v>0.6</v>
      </c>
      <c r="AD250" s="8">
        <f>IFERROR(AC250/AC444, "NA")</f>
        <v>7.7533674490115952E-6</v>
      </c>
    </row>
    <row r="251" spans="1:30" ht="16.5" customHeight="1" x14ac:dyDescent="0.45">
      <c r="A251" s="12" t="s">
        <v>228</v>
      </c>
      <c r="B251" s="7">
        <v>32.950000000000003</v>
      </c>
      <c r="C251" s="8">
        <f>IFERROR(B251/B444, "NA")</f>
        <v>2.1403628522390926E-4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-32.950000000000003</v>
      </c>
      <c r="I251" s="8">
        <f>IFERROR(H251/H444, "NA")</f>
        <v>-1.2119018694184019E-3</v>
      </c>
      <c r="J251" s="9"/>
      <c r="K251" s="7">
        <v>62.08</v>
      </c>
      <c r="L251" s="8">
        <f>IFERROR(K251/K444, "NA")</f>
        <v>5.338350190097034E-4</v>
      </c>
      <c r="M251" s="9"/>
      <c r="N251" s="10">
        <f t="shared" si="65"/>
        <v>29.129999999999995</v>
      </c>
      <c r="O251" s="8">
        <f>IFERROR(N251/N444, "NA")</f>
        <v>7.7359730714840578E-4</v>
      </c>
      <c r="P251" s="9"/>
      <c r="Q251" s="7">
        <v>589.16</v>
      </c>
      <c r="R251" s="8">
        <f>IFERROR(Q251/Q444, "NA")</f>
        <v>5.133625037486415E-4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-589.16</v>
      </c>
      <c r="X251" s="8">
        <f>IFERROR(W251/W444, "NA")</f>
        <v>1.0086256012446738E-2</v>
      </c>
      <c r="Y251" s="9"/>
      <c r="Z251" s="7">
        <v>706.16</v>
      </c>
      <c r="AA251" s="8">
        <f>IFERROR(Z251/Z444, "NA")</f>
        <v>6.5980023196907773E-4</v>
      </c>
      <c r="AB251" s="9"/>
      <c r="AC251" s="10">
        <f t="shared" si="67"/>
        <v>117</v>
      </c>
      <c r="AD251" s="8">
        <f>IFERROR(AC251/AC444, "NA")</f>
        <v>1.5119066525572612E-3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2.097988332478995E-4</v>
      </c>
      <c r="AB255" s="9"/>
      <c r="AC255" s="10">
        <f t="shared" si="67"/>
        <v>224.54</v>
      </c>
      <c r="AD255" s="8">
        <f>IFERROR(AC255/AC444, "NA")</f>
        <v>2.9015685450017731E-3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7.2944664254313322E-5</v>
      </c>
      <c r="AB256" s="9"/>
      <c r="AC256" s="10">
        <f t="shared" si="67"/>
        <v>78.069999999999993</v>
      </c>
      <c r="AD256" s="8">
        <f>IFERROR(AC256/AC444, "NA")</f>
        <v>1.0088423279072255E-3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4475.75</v>
      </c>
      <c r="R258" s="8">
        <f>IFERROR(Q258/Q444, "NA")</f>
        <v>3.8999290959212817E-3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-4475.75</v>
      </c>
      <c r="X258" s="8">
        <f>IFERROR(W258/W444, "NA")</f>
        <v>7.662360029144627E-2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-4475.75</v>
      </c>
      <c r="AD258" s="8">
        <f>IFERROR(AC258/AC444, "NA")</f>
        <v>-5.7836890599856083E-2</v>
      </c>
    </row>
    <row r="259" spans="1:30" ht="16.5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1350.6</v>
      </c>
      <c r="R259" s="8">
        <f>IFERROR(Q259/Q444, "NA")</f>
        <v>1.1768405824613267E-3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-1350.6</v>
      </c>
      <c r="X259" s="8">
        <f>IFERROR(W259/W444, "NA")</f>
        <v>2.3121897906189428E-2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-1350.6</v>
      </c>
      <c r="AD259" s="8">
        <f>IFERROR(AC259/AC444, "NA")</f>
        <v>-1.74528301277251E-2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8483.369999999999</v>
      </c>
      <c r="C262" s="15">
        <f>IFERROR(B262/B444, "NA")</f>
        <v>5.5106191228526703E-2</v>
      </c>
      <c r="D262" s="2"/>
      <c r="E262" s="14">
        <f>IFERROR(E240+E241+E242+E243+E244+E245+E246+E247+E248+E249+E250+E251+E252+E253+E254+E255+E256+E257+E258+E259+E260+E261, "NA")</f>
        <v>7740.3</v>
      </c>
      <c r="F262" s="15">
        <f>IFERROR(E262/E444, "NA")</f>
        <v>6.1063991715183966E-2</v>
      </c>
      <c r="G262" s="2"/>
      <c r="H262" s="14">
        <f t="shared" si="64"/>
        <v>-743.0699999999988</v>
      </c>
      <c r="I262" s="15">
        <f>IFERROR(H262/H444, "NA")</f>
        <v>-2.7330134206638251E-2</v>
      </c>
      <c r="J262" s="2"/>
      <c r="K262" s="14">
        <f>IFERROR(K240+K241+K242+K243+K244+K245+K246+K247+K248+K249+K250+K251+K252+K253+K254+K255+K256+K257+K258+K259+K260+K261, "NA")</f>
        <v>5103.2299999999987</v>
      </c>
      <c r="L262" s="15">
        <f>IFERROR(K262/K444, "NA")</f>
        <v>4.3883422745826156E-2</v>
      </c>
      <c r="M262" s="2"/>
      <c r="N262" s="14">
        <f t="shared" si="65"/>
        <v>-3380.1400000000003</v>
      </c>
      <c r="O262" s="15">
        <f>IFERROR(N262/N444, "NA")</f>
        <v>-8.9765437754363644E-2</v>
      </c>
      <c r="P262" s="2"/>
      <c r="Q262" s="14">
        <f>IFERROR(Q240+Q241+Q242+Q243+Q244+Q245+Q246+Q247+Q248+Q249+Q250+Q251+Q252+Q253+Q254+Q255+Q256+Q257+Q258+Q259+Q260+Q261, "NA")</f>
        <v>75900.44</v>
      </c>
      <c r="R262" s="15">
        <f>IFERROR(Q262/Q444, "NA")</f>
        <v>6.6135582717807631E-2</v>
      </c>
      <c r="S262" s="2"/>
      <c r="T262" s="14">
        <f>IFERROR(T240+T241+T242+T243+T244+T245+T246+T247+T248+T249+T250+T251+T252+T253+T254+T255+T256+T257+T258+T259+T260+T261, "NA")</f>
        <v>73971.91</v>
      </c>
      <c r="U262" s="15">
        <f>IFERROR(T262/T444, "NA")</f>
        <v>6.133346148603086E-2</v>
      </c>
      <c r="V262" s="2"/>
      <c r="W262" s="14">
        <f t="shared" si="66"/>
        <v>-1928.5299999999988</v>
      </c>
      <c r="X262" s="15">
        <f>IFERROR(W262/W444, "NA")</f>
        <v>3.301589942915998E-2</v>
      </c>
      <c r="Y262" s="2"/>
      <c r="Z262" s="14">
        <f>IFERROR(Z240+Z241+Z242+Z243+Z244+Z245+Z246+Z247+Z248+Z249+Z250+Z251+Z252+Z253+Z254+Z255+Z256+Z257+Z258+Z259+Z260+Z261, "NA")</f>
        <v>61366.539999999994</v>
      </c>
      <c r="AA262" s="15">
        <f>IFERROR(Z262/Z444, "NA")</f>
        <v>5.7337795014075682E-2</v>
      </c>
      <c r="AB262" s="2"/>
      <c r="AC262" s="14">
        <f t="shared" si="67"/>
        <v>-14533.900000000009</v>
      </c>
      <c r="AD262" s="15">
        <f>IFERROR(AC262/AC444, "NA")</f>
        <v>-0.18781111194531616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8483.369999999999</v>
      </c>
      <c r="C263" s="15">
        <f>IFERROR(B263/B444, "NA")</f>
        <v>5.5106191228526703E-2</v>
      </c>
      <c r="D263" s="2"/>
      <c r="E263" s="14">
        <f>IFERROR(E238+E240+E241+E242+E243+E244+E245+E246+E247+E248+E249+E250+E251+E252+E253+E254+E255+E256+E257+E258+E259+E260+E261, "NA")</f>
        <v>7740.3</v>
      </c>
      <c r="F263" s="15">
        <f>IFERROR(E263/E444, "NA")</f>
        <v>6.1063991715183966E-2</v>
      </c>
      <c r="G263" s="2"/>
      <c r="H263" s="14">
        <f t="shared" si="64"/>
        <v>-743.0699999999988</v>
      </c>
      <c r="I263" s="15">
        <f>IFERROR(H263/H444, "NA")</f>
        <v>-2.7330134206638251E-2</v>
      </c>
      <c r="J263" s="2"/>
      <c r="K263" s="14">
        <f>IFERROR(K238+K240+K241+K242+K243+K244+K245+K246+K247+K248+K249+K250+K251+K252+K253+K254+K255+K256+K257+K258+K259+K260+K261, "NA")</f>
        <v>5103.2299999999987</v>
      </c>
      <c r="L263" s="15">
        <f>IFERROR(K263/K444, "NA")</f>
        <v>4.3883422745826156E-2</v>
      </c>
      <c r="M263" s="2"/>
      <c r="N263" s="14">
        <f t="shared" si="65"/>
        <v>-3380.1400000000003</v>
      </c>
      <c r="O263" s="15">
        <f>IFERROR(N263/N444, "NA")</f>
        <v>-8.9765437754363644E-2</v>
      </c>
      <c r="P263" s="2"/>
      <c r="Q263" s="14">
        <f>IFERROR(Q238+Q240+Q241+Q242+Q243+Q244+Q245+Q246+Q247+Q248+Q249+Q250+Q251+Q252+Q253+Q254+Q255+Q256+Q257+Q258+Q259+Q260+Q261, "NA")</f>
        <v>75900.44</v>
      </c>
      <c r="R263" s="15">
        <f>IFERROR(Q263/Q444, "NA")</f>
        <v>6.6135582717807631E-2</v>
      </c>
      <c r="S263" s="2"/>
      <c r="T263" s="14">
        <f>IFERROR(T238+T240+T241+T242+T243+T244+T245+T246+T247+T248+T249+T250+T251+T252+T253+T254+T255+T256+T257+T258+T259+T260+T261, "NA")</f>
        <v>73971.91</v>
      </c>
      <c r="U263" s="15">
        <f>IFERROR(T263/T444, "NA")</f>
        <v>6.133346148603086E-2</v>
      </c>
      <c r="V263" s="2"/>
      <c r="W263" s="14">
        <f t="shared" si="66"/>
        <v>-1928.5299999999988</v>
      </c>
      <c r="X263" s="15">
        <f>IFERROR(W263/W444, "NA")</f>
        <v>3.301589942915998E-2</v>
      </c>
      <c r="Y263" s="2"/>
      <c r="Z263" s="14">
        <f>IFERROR(Z238+Z240+Z241+Z242+Z243+Z244+Z245+Z246+Z247+Z248+Z249+Z250+Z251+Z252+Z253+Z254+Z255+Z256+Z257+Z258+Z259+Z260+Z261, "NA")</f>
        <v>61366.539999999994</v>
      </c>
      <c r="AA263" s="15">
        <f>IFERROR(Z263/Z444, "NA")</f>
        <v>5.7337795014075682E-2</v>
      </c>
      <c r="AB263" s="2"/>
      <c r="AC263" s="14">
        <f t="shared" si="67"/>
        <v>-14533.900000000009</v>
      </c>
      <c r="AD263" s="15">
        <f>IFERROR(AC263/AC444, "NA")</f>
        <v>-0.18781111194531616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2524.54</v>
      </c>
      <c r="C265" s="8">
        <f>IFERROR(B265/B444, "NA")</f>
        <v>1.6398882048533167E-2</v>
      </c>
      <c r="D265" s="9"/>
      <c r="E265" s="7">
        <v>3295.69</v>
      </c>
      <c r="F265" s="8">
        <f>IFERROR(E265/E444, "NA")</f>
        <v>2.6000024140642435E-2</v>
      </c>
      <c r="G265" s="9"/>
      <c r="H265" s="10">
        <f>IFERROR(-(B265-E265), "NA")</f>
        <v>771.15000000000009</v>
      </c>
      <c r="I265" s="8">
        <f>IFERROR(H265/H444, "NA")</f>
        <v>2.8362917347556926E-2</v>
      </c>
      <c r="J265" s="9"/>
      <c r="K265" s="7">
        <v>3211.66</v>
      </c>
      <c r="L265" s="8">
        <f>IFERROR(K265/K444, "NA")</f>
        <v>2.761753507011443E-2</v>
      </c>
      <c r="M265" s="9"/>
      <c r="N265" s="10">
        <f>IFERROR(-(B265-K265), "NA")</f>
        <v>687.11999999999989</v>
      </c>
      <c r="O265" s="8">
        <f>IFERROR(N265/N444, "NA")</f>
        <v>1.8247654709502664E-2</v>
      </c>
      <c r="P265" s="9"/>
      <c r="Q265" s="7">
        <v>26598.44</v>
      </c>
      <c r="R265" s="8">
        <f>IFERROR(Q265/Q444, "NA")</f>
        <v>2.3176457590820859E-2</v>
      </c>
      <c r="S265" s="9"/>
      <c r="T265" s="7">
        <v>31485.22</v>
      </c>
      <c r="U265" s="8">
        <f>IFERROR(T265/T444, "NA")</f>
        <v>2.61058221728925E-2</v>
      </c>
      <c r="V265" s="9"/>
      <c r="W265" s="10">
        <f>IFERROR(-(Q265-T265), "NA")</f>
        <v>4886.7800000000025</v>
      </c>
      <c r="X265" s="8">
        <f>IFERROR(W265/W444, "NA")</f>
        <v>-8.3660320042950126E-2</v>
      </c>
      <c r="Y265" s="9"/>
      <c r="Z265" s="7">
        <v>27987.82</v>
      </c>
      <c r="AA265" s="8">
        <f>IFERROR(Z265/Z444, "NA")</f>
        <v>2.6150405189063093E-2</v>
      </c>
      <c r="AB265" s="9"/>
      <c r="AC265" s="10">
        <f>IFERROR(-(Q265-Z265), "NA")</f>
        <v>1389.380000000001</v>
      </c>
      <c r="AD265" s="8">
        <f>IFERROR(AC265/AC444, "NA")</f>
        <v>1.7953956110512898E-2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30.54</v>
      </c>
      <c r="R266" s="8">
        <f>IFERROR(Q266/Q444, "NA")</f>
        <v>2.6610922100080642E-5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-30.54</v>
      </c>
      <c r="X266" s="8">
        <f>IFERROR(W266/W444, "NA")</f>
        <v>5.2283634092627359E-4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-30.54</v>
      </c>
      <c r="AD266" s="8">
        <f>IFERROR(AC266/AC444, "NA")</f>
        <v>-3.9464640315469026E-4</v>
      </c>
    </row>
    <row r="267" spans="1:30" ht="16.5" customHeight="1" x14ac:dyDescent="0.45">
      <c r="A267" s="19" t="s">
        <v>243</v>
      </c>
      <c r="B267" s="14">
        <f>IFERROR(B265+B266, "NA")</f>
        <v>2524.54</v>
      </c>
      <c r="C267" s="15">
        <f>IFERROR(B267/B444, "NA")</f>
        <v>1.6398882048533167E-2</v>
      </c>
      <c r="D267" s="2"/>
      <c r="E267" s="14">
        <f>IFERROR(E265+E266, "NA")</f>
        <v>3295.69</v>
      </c>
      <c r="F267" s="15">
        <f>IFERROR(E267/E444, "NA")</f>
        <v>2.6000024140642435E-2</v>
      </c>
      <c r="G267" s="2"/>
      <c r="H267" s="14">
        <f>IFERROR(-(B267-E267), "NA")</f>
        <v>771.15000000000009</v>
      </c>
      <c r="I267" s="15">
        <f>IFERROR(H267/H444, "NA")</f>
        <v>2.8362917347556926E-2</v>
      </c>
      <c r="J267" s="2"/>
      <c r="K267" s="14">
        <f>IFERROR(K265+K266, "NA")</f>
        <v>3211.66</v>
      </c>
      <c r="L267" s="15">
        <f>IFERROR(K267/K444, "NA")</f>
        <v>2.761753507011443E-2</v>
      </c>
      <c r="M267" s="2"/>
      <c r="N267" s="14">
        <f>IFERROR(-(B267-K267), "NA")</f>
        <v>687.11999999999989</v>
      </c>
      <c r="O267" s="15">
        <f>IFERROR(N267/N444, "NA")</f>
        <v>1.8247654709502664E-2</v>
      </c>
      <c r="P267" s="2"/>
      <c r="Q267" s="14">
        <f>IFERROR(Q265+Q266, "NA")</f>
        <v>26628.98</v>
      </c>
      <c r="R267" s="15">
        <f>IFERROR(Q267/Q444, "NA")</f>
        <v>2.3203068512920939E-2</v>
      </c>
      <c r="S267" s="2"/>
      <c r="T267" s="14">
        <f>IFERROR(T265+T266, "NA")</f>
        <v>31485.22</v>
      </c>
      <c r="U267" s="15">
        <f>IFERROR(T267/T444, "NA")</f>
        <v>2.61058221728925E-2</v>
      </c>
      <c r="V267" s="2"/>
      <c r="W267" s="14">
        <f>IFERROR(-(Q267-T267), "NA")</f>
        <v>4856.2400000000016</v>
      </c>
      <c r="X267" s="15">
        <f>IFERROR(W267/W444, "NA")</f>
        <v>-8.313748370202384E-2</v>
      </c>
      <c r="Y267" s="2"/>
      <c r="Z267" s="14">
        <f>IFERROR(Z265+Z266, "NA")</f>
        <v>27987.82</v>
      </c>
      <c r="AA267" s="15">
        <f>IFERROR(Z267/Z444, "NA")</f>
        <v>2.6150405189063093E-2</v>
      </c>
      <c r="AB267" s="2"/>
      <c r="AC267" s="14">
        <f>IFERROR(-(Q267-Z267), "NA")</f>
        <v>1358.8400000000001</v>
      </c>
      <c r="AD267" s="15">
        <f>IFERROR(AC267/AC444, "NA")</f>
        <v>1.7559309707358198E-2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2.0001837009452545E-3</v>
      </c>
      <c r="D270" s="9"/>
      <c r="E270" s="7">
        <v>177.16</v>
      </c>
      <c r="F270" s="8">
        <f>IFERROR(E270/E444, "NA")</f>
        <v>1.3976327496688747E-3</v>
      </c>
      <c r="G270" s="9"/>
      <c r="H270" s="10">
        <f>IFERROR(-(B270-E270), "NA")</f>
        <v>-130.76000000000002</v>
      </c>
      <c r="I270" s="8">
        <f>IFERROR(H270/H444, "NA")</f>
        <v>-4.8093562502321777E-3</v>
      </c>
      <c r="J270" s="9"/>
      <c r="K270" s="7">
        <v>352</v>
      </c>
      <c r="L270" s="8">
        <f>IFERROR(K270/K444, "NA")</f>
        <v>3.0268995923230604E-3</v>
      </c>
      <c r="M270" s="9"/>
      <c r="N270" s="10">
        <f>IFERROR(-(B270-K270), "NA")</f>
        <v>44.079999999999984</v>
      </c>
      <c r="O270" s="8">
        <f>IFERROR(N270/N444, "NA")</f>
        <v>1.1706202986303371E-3</v>
      </c>
      <c r="P270" s="9"/>
      <c r="Q270" s="7">
        <v>3941.59</v>
      </c>
      <c r="R270" s="8">
        <f>IFERROR(Q270/Q444, "NA")</f>
        <v>3.4344906496547763E-3</v>
      </c>
      <c r="S270" s="9"/>
      <c r="T270" s="7">
        <v>1975.52</v>
      </c>
      <c r="U270" s="8">
        <f>IFERROR(T270/T444, "NA")</f>
        <v>1.6379931224553169E-3</v>
      </c>
      <c r="V270" s="9"/>
      <c r="W270" s="10">
        <f>IFERROR(-(Q270-T270), "NA")</f>
        <v>-1966.0700000000002</v>
      </c>
      <c r="X270" s="8">
        <f>IFERROR(W270/W444, "NA")</f>
        <v>3.3658573831202319E-2</v>
      </c>
      <c r="Y270" s="9"/>
      <c r="Z270" s="7">
        <v>3483.5</v>
      </c>
      <c r="AA270" s="8">
        <f>IFERROR(Z270/Z444, "NA")</f>
        <v>3.2548064292289036E-3</v>
      </c>
      <c r="AB270" s="9"/>
      <c r="AC270" s="10">
        <f>IFERROR(-(Q270-Z270), "NA")</f>
        <v>-458.09000000000015</v>
      </c>
      <c r="AD270" s="8">
        <f>IFERROR(AC270/AC444, "NA")</f>
        <v>-5.9195668245295386E-3</v>
      </c>
    </row>
    <row r="271" spans="1:30" ht="16.5" customHeight="1" x14ac:dyDescent="0.45">
      <c r="A271" s="6" t="s">
        <v>246</v>
      </c>
      <c r="B271" s="7">
        <v>905.41</v>
      </c>
      <c r="C271" s="8">
        <f>IFERROR(B271/B444, "NA")</f>
        <v>5.8813533537049973E-3</v>
      </c>
      <c r="D271" s="9"/>
      <c r="E271" s="7">
        <v>760.54</v>
      </c>
      <c r="F271" s="8">
        <f>IFERROR(E271/E444, "NA")</f>
        <v>5.9999752282296568E-3</v>
      </c>
      <c r="G271" s="9"/>
      <c r="H271" s="10">
        <f>IFERROR(-(B271-E271), "NA")</f>
        <v>-144.87</v>
      </c>
      <c r="I271" s="8">
        <f>IFERROR(H271/H444, "NA")</f>
        <v>-5.3283224225385093E-3</v>
      </c>
      <c r="J271" s="9"/>
      <c r="K271" s="7">
        <v>223</v>
      </c>
      <c r="L271" s="8">
        <f>IFERROR(K271/K444, "NA")</f>
        <v>1.9176096849092114E-3</v>
      </c>
      <c r="M271" s="9"/>
      <c r="N271" s="10">
        <f>IFERROR(-(B271-K271), "NA")</f>
        <v>-682.41</v>
      </c>
      <c r="O271" s="8">
        <f>IFERROR(N271/N444, "NA")</f>
        <v>-1.8122572549644479E-2</v>
      </c>
      <c r="P271" s="9"/>
      <c r="Q271" s="7">
        <v>10243.56</v>
      </c>
      <c r="R271" s="8">
        <f>IFERROR(Q271/Q444, "NA")</f>
        <v>8.9256901502129029E-3</v>
      </c>
      <c r="S271" s="9"/>
      <c r="T271" s="7">
        <v>7236.36</v>
      </c>
      <c r="U271" s="8">
        <f>IFERROR(T271/T444, "NA")</f>
        <v>5.9999938809076883E-3</v>
      </c>
      <c r="V271" s="9"/>
      <c r="W271" s="10">
        <f>IFERROR(-(Q271-T271), "NA")</f>
        <v>-3007.2</v>
      </c>
      <c r="X271" s="8">
        <f>IFERROR(W271/W444, "NA")</f>
        <v>5.1482431055451541E-2</v>
      </c>
      <c r="Y271" s="9"/>
      <c r="Z271" s="7">
        <v>6226.1</v>
      </c>
      <c r="AA271" s="8">
        <f>IFERROR(Z271/Z444, "NA")</f>
        <v>5.8173533253974667E-3</v>
      </c>
      <c r="AB271" s="9"/>
      <c r="AC271" s="10">
        <f>IFERROR(-(Q271-Z271), "NA")</f>
        <v>-4017.4599999999991</v>
      </c>
      <c r="AD271" s="8">
        <f>IFERROR(AC271/AC444, "NA")</f>
        <v>-5.1914739319510197E-2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1213.33</v>
      </c>
      <c r="C273" s="15">
        <f>IFERROR(B273/B444, "NA")</f>
        <v>7.8815370546502523E-3</v>
      </c>
      <c r="D273" s="2"/>
      <c r="E273" s="14">
        <f>IFERROR(E269+E270+E271+E272, "NA")</f>
        <v>937.69999999999993</v>
      </c>
      <c r="F273" s="15">
        <f>IFERROR(E273/E444, "NA")</f>
        <v>7.3976079778985309E-3</v>
      </c>
      <c r="G273" s="2"/>
      <c r="H273" s="14">
        <f>IFERROR(-(B273-E273), "NA")</f>
        <v>-275.63</v>
      </c>
      <c r="I273" s="15">
        <f>IFERROR(H273/H444, "NA")</f>
        <v>-1.0137678672770685E-2</v>
      </c>
      <c r="J273" s="2"/>
      <c r="K273" s="14">
        <f>IFERROR(K269+K270+K271+K272, "NA")</f>
        <v>575</v>
      </c>
      <c r="L273" s="15">
        <f>IFERROR(K273/K444, "NA")</f>
        <v>4.9445092772322716E-3</v>
      </c>
      <c r="M273" s="2"/>
      <c r="N273" s="14">
        <f>IFERROR(-(B273-K273), "NA")</f>
        <v>-638.32999999999993</v>
      </c>
      <c r="O273" s="15">
        <f>IFERROR(N273/N444, "NA")</f>
        <v>-1.6951952251014139E-2</v>
      </c>
      <c r="P273" s="2"/>
      <c r="Q273" s="14">
        <f>IFERROR(Q269+Q270+Q271+Q272, "NA")</f>
        <v>14185.15</v>
      </c>
      <c r="R273" s="15">
        <f>IFERROR(Q273/Q444, "NA")</f>
        <v>1.2360180799867679E-2</v>
      </c>
      <c r="S273" s="2"/>
      <c r="T273" s="14">
        <f>IFERROR(T269+T270+T271+T272, "NA")</f>
        <v>9211.8799999999992</v>
      </c>
      <c r="U273" s="15">
        <f>IFERROR(T273/T444, "NA")</f>
        <v>7.6379870033630049E-3</v>
      </c>
      <c r="V273" s="2"/>
      <c r="W273" s="14">
        <f>IFERROR(-(Q273-T273), "NA")</f>
        <v>-4973.2700000000004</v>
      </c>
      <c r="X273" s="15">
        <f>IFERROR(W273/W444, "NA")</f>
        <v>8.5141004886653868E-2</v>
      </c>
      <c r="Y273" s="2"/>
      <c r="Z273" s="14">
        <f>IFERROR(Z269+Z270+Z271+Z272, "NA")</f>
        <v>9709.6</v>
      </c>
      <c r="AA273" s="15">
        <f>IFERROR(Z273/Z444, "NA")</f>
        <v>9.0721597546263699E-3</v>
      </c>
      <c r="AB273" s="2"/>
      <c r="AC273" s="14">
        <f>IFERROR(-(Q273-Z273), "NA")</f>
        <v>-4475.5499999999993</v>
      </c>
      <c r="AD273" s="15">
        <f>IFERROR(AC273/AC444, "NA")</f>
        <v>-5.783430614403974E-2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2.6112917144976155E-3</v>
      </c>
      <c r="G287" s="9"/>
      <c r="H287" s="10">
        <f t="shared" si="72"/>
        <v>331</v>
      </c>
      <c r="I287" s="8">
        <f>IFERROR(H287/H444, "NA")</f>
        <v>1.2174188733763004E-2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3641</v>
      </c>
      <c r="U287" s="8">
        <f>IFERROR(T287/T444, "NA")</f>
        <v>3.0189180361929057E-3</v>
      </c>
      <c r="V287" s="9"/>
      <c r="W287" s="10">
        <f t="shared" si="74"/>
        <v>3641</v>
      </c>
      <c r="X287" s="8">
        <f>IFERROR(W287/W444, "NA")</f>
        <v>-6.2332911503358297E-2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8.9317114471282311E-4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-5.0572536280737556E-3</v>
      </c>
      <c r="J288" s="9"/>
      <c r="K288" s="7">
        <v>137.5</v>
      </c>
      <c r="L288" s="8">
        <f>IFERROR(K288/K444, "NA")</f>
        <v>1.1823826532511954E-3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1512.5</v>
      </c>
      <c r="R288" s="8">
        <f>IFERROR(Q288/Q444, "NA")</f>
        <v>1.3179115807587418E-3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-1512.5</v>
      </c>
      <c r="X288" s="8">
        <f>IFERROR(W288/W444, "NA")</f>
        <v>2.589358106257331E-2</v>
      </c>
      <c r="Y288" s="9"/>
      <c r="Z288" s="7">
        <v>1489</v>
      </c>
      <c r="AA288" s="8">
        <f>IFERROR(Z288/Z444, "NA")</f>
        <v>1.3912463824090246E-3</v>
      </c>
      <c r="AB288" s="9"/>
      <c r="AC288" s="10">
        <f t="shared" si="75"/>
        <v>-23.5</v>
      </c>
      <c r="AD288" s="8">
        <f>IFERROR(AC288/AC444, "NA")</f>
        <v>-3.0367355841962084E-4</v>
      </c>
    </row>
    <row r="289" spans="1:30" ht="16.5" customHeight="1" x14ac:dyDescent="0.45">
      <c r="A289" s="6" t="s">
        <v>262</v>
      </c>
      <c r="B289" s="7">
        <v>233.81</v>
      </c>
      <c r="C289" s="8">
        <f>IFERROR(B289/B444, "NA")</f>
        <v>1.5187806934204014E-3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-233.81</v>
      </c>
      <c r="I289" s="8">
        <f>IFERROR(H289/H444, "NA")</f>
        <v>-8.599537969308544E-3</v>
      </c>
      <c r="J289" s="9"/>
      <c r="K289" s="7">
        <v>208.38</v>
      </c>
      <c r="L289" s="8">
        <f>IFERROR(K289/K444, "NA")</f>
        <v>1.7918901620689752E-3</v>
      </c>
      <c r="M289" s="9"/>
      <c r="N289" s="10">
        <f t="shared" si="73"/>
        <v>-25.430000000000007</v>
      </c>
      <c r="O289" s="8">
        <f>IFERROR(N289/N444, "NA")</f>
        <v>-6.7533743634685776E-4</v>
      </c>
      <c r="P289" s="9"/>
      <c r="Q289" s="7">
        <v>2489.62</v>
      </c>
      <c r="R289" s="8">
        <f>IFERROR(Q289/Q444, "NA")</f>
        <v>2.1693216725213742E-3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-2489.62</v>
      </c>
      <c r="X289" s="8">
        <f>IFERROR(W289/W444, "NA")</f>
        <v>4.2621604816531412E-2</v>
      </c>
      <c r="Y289" s="9"/>
      <c r="Z289" s="7">
        <v>2203.98</v>
      </c>
      <c r="AA289" s="8">
        <f>IFERROR(Z289/Z444, "NA")</f>
        <v>2.0592875768313244E-3</v>
      </c>
      <c r="AB289" s="9"/>
      <c r="AC289" s="10">
        <f t="shared" si="75"/>
        <v>-285.63999999999987</v>
      </c>
      <c r="AD289" s="8">
        <f>IFERROR(AC289/AC444, "NA")</f>
        <v>-3.6911197968927854E-3</v>
      </c>
    </row>
    <row r="290" spans="1:30" ht="16.5" customHeight="1" x14ac:dyDescent="0.45">
      <c r="A290" s="6" t="s">
        <v>263</v>
      </c>
      <c r="B290" s="7">
        <v>395</v>
      </c>
      <c r="C290" s="8">
        <f>IFERROR(B290/B444, "NA")</f>
        <v>2.5658371066295646E-3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-395</v>
      </c>
      <c r="I290" s="8">
        <f>IFERROR(H290/H444, "NA")</f>
        <v>-1.4528110422466425E-2</v>
      </c>
      <c r="J290" s="9"/>
      <c r="K290" s="7">
        <v>395</v>
      </c>
      <c r="L290" s="8">
        <f>IFERROR(K290/K444, "NA")</f>
        <v>3.3966628947943432E-3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10319.280000000001</v>
      </c>
      <c r="R290" s="8">
        <f>IFERROR(Q290/Q444, "NA")</f>
        <v>8.9916685071683104E-3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-10319.280000000001</v>
      </c>
      <c r="X290" s="8">
        <f>IFERROR(W290/W444, "NA")</f>
        <v>0.1766632153305068</v>
      </c>
      <c r="Y290" s="9"/>
      <c r="Z290" s="7">
        <v>7157.18</v>
      </c>
      <c r="AA290" s="8">
        <f>IFERROR(Z290/Z444, "NA")</f>
        <v>6.687307443418551E-3</v>
      </c>
      <c r="AB290" s="9"/>
      <c r="AC290" s="10">
        <f t="shared" si="75"/>
        <v>-3162.1000000000004</v>
      </c>
      <c r="AD290" s="8">
        <f>IFERROR(AC290/AC444, "NA")</f>
        <v>-4.0861538684199283E-2</v>
      </c>
    </row>
    <row r="291" spans="1:30" ht="16.5" customHeight="1" x14ac:dyDescent="0.45">
      <c r="A291" s="6" t="s">
        <v>264</v>
      </c>
      <c r="B291" s="7">
        <v>1383.69</v>
      </c>
      <c r="C291" s="8">
        <f>IFERROR(B291/B444, "NA")</f>
        <v>8.9881598634740829E-3</v>
      </c>
      <c r="D291" s="9"/>
      <c r="E291" s="7">
        <v>1521.09</v>
      </c>
      <c r="F291" s="8">
        <f>IFERROR(E291/E444, "NA")</f>
        <v>1.2000029347447667E-2</v>
      </c>
      <c r="G291" s="9"/>
      <c r="H291" s="10">
        <f t="shared" si="72"/>
        <v>137.39999999999986</v>
      </c>
      <c r="I291" s="8">
        <f>IFERROR(H291/H444, "NA")</f>
        <v>5.0535756254351518E-3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-1383.69</v>
      </c>
      <c r="O291" s="8">
        <f>IFERROR(N291/N444, "NA")</f>
        <v>-3.6746270440376858E-2</v>
      </c>
      <c r="P291" s="9"/>
      <c r="Q291" s="7">
        <v>19240.91</v>
      </c>
      <c r="R291" s="8">
        <f>IFERROR(Q291/Q444, "NA")</f>
        <v>1.6765499579065576E-2</v>
      </c>
      <c r="S291" s="9"/>
      <c r="T291" s="7">
        <v>14472.73</v>
      </c>
      <c r="U291" s="8">
        <f>IFERROR(T291/T444, "NA")</f>
        <v>1.1999996053268373E-2</v>
      </c>
      <c r="V291" s="9"/>
      <c r="W291" s="10">
        <f t="shared" si="74"/>
        <v>-4768.18</v>
      </c>
      <c r="X291" s="8">
        <f>IFERROR(W291/W444, "NA")</f>
        <v>8.1629920893184008E-2</v>
      </c>
      <c r="Y291" s="9"/>
      <c r="Z291" s="7">
        <v>4450.4399999999996</v>
      </c>
      <c r="AA291" s="8">
        <f>IFERROR(Z291/Z444, "NA")</f>
        <v>4.158266319763881E-3</v>
      </c>
      <c r="AB291" s="9"/>
      <c r="AC291" s="10">
        <f t="shared" si="75"/>
        <v>-14790.470000000001</v>
      </c>
      <c r="AD291" s="8">
        <f>IFERROR(AC291/AC444, "NA")</f>
        <v>-0.19112658108930425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2647.1</v>
      </c>
      <c r="R292" s="8">
        <f>IFERROR(Q292/Q444, "NA")</f>
        <v>2.306541319290225E-3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-2647.1</v>
      </c>
      <c r="X292" s="8">
        <f>IFERROR(W292/W444, "NA")</f>
        <v>4.5317618797182019E-2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-2647.1</v>
      </c>
      <c r="AD292" s="8">
        <f>IFERROR(AC292/AC444, "NA")</f>
        <v>-3.4206564957130994E-2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1.2188743376056583E-3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2.3947753344509121E-2</v>
      </c>
      <c r="Y293" s="9"/>
      <c r="Z293" s="7">
        <v>1091.2</v>
      </c>
      <c r="AA293" s="8">
        <f>IFERROR(Z293/Z444, "NA")</f>
        <v>1.0195621574779904E-3</v>
      </c>
      <c r="AB293" s="9"/>
      <c r="AC293" s="10">
        <f t="shared" si="75"/>
        <v>-307.63999999999987</v>
      </c>
      <c r="AD293" s="8">
        <f>IFERROR(AC293/AC444, "NA")</f>
        <v>-3.9754099366898776E-3</v>
      </c>
    </row>
    <row r="294" spans="1:30" ht="16.5" customHeight="1" x14ac:dyDescent="0.45">
      <c r="A294" s="6" t="s">
        <v>267</v>
      </c>
      <c r="B294" s="7">
        <v>312.5</v>
      </c>
      <c r="C294" s="8">
        <f>IFERROR(B294/B444, "NA")</f>
        <v>2.0299344198018709E-3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-312.5</v>
      </c>
      <c r="I294" s="8">
        <f>IFERROR(H294/H444, "NA")</f>
        <v>-1.1493758245622172E-2</v>
      </c>
      <c r="J294" s="9"/>
      <c r="K294" s="7">
        <v>325</v>
      </c>
      <c r="L294" s="8">
        <f>IFERROR(K294/K444, "NA")</f>
        <v>2.7947226349573709E-3</v>
      </c>
      <c r="M294" s="9"/>
      <c r="N294" s="10">
        <f t="shared" si="73"/>
        <v>12.5</v>
      </c>
      <c r="O294" s="8">
        <f>IFERROR(N294/N444, "NA")</f>
        <v>3.319590229782037E-4</v>
      </c>
      <c r="P294" s="9"/>
      <c r="Q294" s="7">
        <v>4071.9</v>
      </c>
      <c r="R294" s="8">
        <f>IFERROR(Q294/Q444, "NA")</f>
        <v>3.548035812027452E-3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-4071.9</v>
      </c>
      <c r="X294" s="8">
        <f>IFERROR(W294/W444, "NA")</f>
        <v>6.9709800151201498E-2</v>
      </c>
      <c r="Y294" s="9"/>
      <c r="Z294" s="7">
        <v>1133.97</v>
      </c>
      <c r="AA294" s="8">
        <f>IFERROR(Z294/Z444, "NA")</f>
        <v>1.0595242849297257E-3</v>
      </c>
      <c r="AB294" s="9"/>
      <c r="AC294" s="10">
        <f t="shared" si="75"/>
        <v>-2937.9300000000003</v>
      </c>
      <c r="AD294" s="8">
        <f>IFERROR(AC294/AC444, "NA")</f>
        <v>-3.7964751382457737E-2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2462.5</v>
      </c>
      <c r="C295" s="15">
        <f>IFERROR(B295/B444, "NA")</f>
        <v>1.5995883228038743E-2</v>
      </c>
      <c r="D295" s="2"/>
      <c r="E295" s="14">
        <f>IFERROR(E286+E287+E288+E289+E290+E291+E292+E293+E294, "NA")</f>
        <v>1852.09</v>
      </c>
      <c r="F295" s="15">
        <f>IFERROR(E295/E444, "NA")</f>
        <v>1.4611321061945282E-2</v>
      </c>
      <c r="G295" s="2"/>
      <c r="H295" s="14">
        <f t="shared" si="72"/>
        <v>-610.41000000000008</v>
      </c>
      <c r="I295" s="15">
        <f>IFERROR(H295/H444, "NA")</f>
        <v>-2.2450895906272739E-2</v>
      </c>
      <c r="J295" s="2"/>
      <c r="K295" s="14">
        <f>IFERROR(K286+K287+K288+K289+K290+K291+K292+K293+K294, "NA")</f>
        <v>1065.8800000000001</v>
      </c>
      <c r="L295" s="15">
        <f>IFERROR(K295/K444, "NA")</f>
        <v>9.1656583450718861E-3</v>
      </c>
      <c r="M295" s="2"/>
      <c r="N295" s="14">
        <f t="shared" si="73"/>
        <v>-1396.62</v>
      </c>
      <c r="O295" s="15">
        <f>IFERROR(N295/N444, "NA")</f>
        <v>-3.7089648853745508E-2</v>
      </c>
      <c r="P295" s="2"/>
      <c r="Q295" s="14">
        <f>IFERROR(Q286+Q287+Q288+Q289+Q290+Q291+Q292+Q293+Q294, "NA")</f>
        <v>41680.149999999994</v>
      </c>
      <c r="R295" s="15">
        <f>IFERROR(Q295/Q444, "NA")</f>
        <v>3.6317852808437329E-2</v>
      </c>
      <c r="S295" s="2"/>
      <c r="T295" s="14">
        <f>IFERROR(T286+T287+T288+T289+T290+T291+T292+T293+T294, "NA")</f>
        <v>18113.73</v>
      </c>
      <c r="U295" s="15">
        <f>IFERROR(T295/T444, "NA")</f>
        <v>1.5018914089461278E-2</v>
      </c>
      <c r="V295" s="2"/>
      <c r="W295" s="14">
        <f t="shared" si="74"/>
        <v>-23566.419999999995</v>
      </c>
      <c r="X295" s="15">
        <f>IFERROR(W295/W444, "NA")</f>
        <v>0.40345058289232977</v>
      </c>
      <c r="Y295" s="2"/>
      <c r="Z295" s="14">
        <f>IFERROR(Z286+Z287+Z288+Z289+Z290+Z291+Z292+Z293+Z294, "NA")</f>
        <v>17525.77</v>
      </c>
      <c r="AA295" s="15">
        <f>IFERROR(Z295/Z444, "NA")</f>
        <v>1.6375194164830499E-2</v>
      </c>
      <c r="AB295" s="2"/>
      <c r="AC295" s="14">
        <f t="shared" si="75"/>
        <v>-24154.379999999994</v>
      </c>
      <c r="AD295" s="15">
        <f>IFERROR(AC295/AC444, "NA")</f>
        <v>-0.31212963940509447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1647.84</v>
      </c>
      <c r="F297" s="8">
        <f>IFERROR(E297/E444, "NA")</f>
        <v>1.2999972624827041E-2</v>
      </c>
      <c r="G297" s="9"/>
      <c r="H297" s="10">
        <f t="shared" ref="H297:H325" si="76">IFERROR(-(B297-E297), "NA")</f>
        <v>1647.84</v>
      </c>
      <c r="I297" s="8">
        <f>IFERROR(H297/H444, "NA")</f>
        <v>6.0607598679891329E-2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15678.79</v>
      </c>
      <c r="U297" s="8">
        <f>IFERROR(T297/T444, "NA")</f>
        <v>1.2999995033419656E-2</v>
      </c>
      <c r="V297" s="9"/>
      <c r="W297" s="10">
        <f t="shared" ref="W297:W325" si="78">IFERROR(-(Q297-T297), "NA")</f>
        <v>15678.79</v>
      </c>
      <c r="X297" s="8">
        <f>IFERROR(W297/W444, "NA")</f>
        <v>-0.26841654203508353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159</v>
      </c>
      <c r="C299" s="8">
        <f>IFERROR(B299/B444, "NA")</f>
        <v>1.0328306327951919E-3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-159</v>
      </c>
      <c r="I299" s="8">
        <f>IFERROR(H299/H444, "NA")</f>
        <v>-5.8480241953725613E-3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-159</v>
      </c>
      <c r="O299" s="8">
        <f>IFERROR(N299/N444, "NA")</f>
        <v>-4.2225187722827514E-3</v>
      </c>
      <c r="P299" s="9"/>
      <c r="Q299" s="7">
        <v>720.65</v>
      </c>
      <c r="R299" s="8">
        <f>IFERROR(Q299/Q444, "NA")</f>
        <v>6.2793585499093367E-4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-720.65</v>
      </c>
      <c r="X299" s="8">
        <f>IFERROR(W299/W444, "NA")</f>
        <v>1.2337328391896499E-2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-720.65</v>
      </c>
      <c r="AD299" s="8">
        <f>IFERROR(AC299/AC444, "NA")</f>
        <v>-9.3124404202170104E-3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2.3373869853787272E-4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4.5923656991968863E-3</v>
      </c>
      <c r="Y304" s="9"/>
      <c r="Z304" s="7">
        <v>174.68</v>
      </c>
      <c r="AA304" s="8">
        <f>IFERROR(Z304/Z444, "NA")</f>
        <v>1.6321216795111377E-4</v>
      </c>
      <c r="AB304" s="9"/>
      <c r="AC304" s="10">
        <f t="shared" si="79"/>
        <v>-93.57</v>
      </c>
      <c r="AD304" s="8">
        <f>IFERROR(AC304/AC444, "NA")</f>
        <v>-1.2091376536733584E-3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356.26</v>
      </c>
      <c r="R305" s="8">
        <f>IFERROR(Q305/Q444, "NA")</f>
        <v>3.1042590397428716E-4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-356.26</v>
      </c>
      <c r="X305" s="8">
        <f>IFERROR(W305/W444, "NA")</f>
        <v>6.0990725218858623E-3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-356.26</v>
      </c>
      <c r="AD305" s="8">
        <f>IFERROR(AC305/AC444, "NA")</f>
        <v>-4.6036911456414521E-3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49.64</v>
      </c>
      <c r="C310" s="8">
        <f>IFERROR(B310/B444, "NA")</f>
        <v>3.224510227166876E-4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-49.64</v>
      </c>
      <c r="I310" s="8">
        <f>IFERROR(H310/H444, "NA")</f>
        <v>-1.8257605098005909E-3</v>
      </c>
      <c r="J310" s="9"/>
      <c r="K310" s="7">
        <v>97.12</v>
      </c>
      <c r="L310" s="8">
        <f>IFERROR(K310/K444, "NA")</f>
        <v>8.3514911479095353E-4</v>
      </c>
      <c r="M310" s="9"/>
      <c r="N310" s="10">
        <f t="shared" si="77"/>
        <v>47.480000000000004</v>
      </c>
      <c r="O310" s="8">
        <f>IFERROR(N310/N444, "NA")</f>
        <v>1.2609131528804091E-3</v>
      </c>
      <c r="P310" s="9"/>
      <c r="Q310" s="7">
        <v>400.63</v>
      </c>
      <c r="R310" s="8">
        <f>IFERROR(Q310/Q444, "NA")</f>
        <v>3.4908754816487584E-4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-400.63</v>
      </c>
      <c r="X310" s="8">
        <f>IFERROR(W310/W444, "NA")</f>
        <v>6.8586746321314014E-3</v>
      </c>
      <c r="Y310" s="9"/>
      <c r="Z310" s="7">
        <v>826.35</v>
      </c>
      <c r="AA310" s="8">
        <f>IFERROR(Z310/Z444, "NA")</f>
        <v>7.7209969651020655E-4</v>
      </c>
      <c r="AB310" s="9"/>
      <c r="AC310" s="10">
        <f t="shared" si="79"/>
        <v>425.72</v>
      </c>
      <c r="AD310" s="8">
        <f>IFERROR(AC310/AC444, "NA")</f>
        <v>5.5012726506553618E-3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5.2821024810310695E-5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1.0377976092649215E-3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-7.8334855793180493E-4</v>
      </c>
    </row>
    <row r="312" spans="1:30" ht="16.5" customHeight="1" x14ac:dyDescent="0.45">
      <c r="A312" s="6" t="s">
        <v>284</v>
      </c>
      <c r="B312" s="7">
        <v>484.47</v>
      </c>
      <c r="C312" s="8">
        <f>IFERROR(B312/B444, "NA")</f>
        <v>3.1470154507565198E-3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-484.47</v>
      </c>
      <c r="I312" s="8">
        <f>IFERROR(H312/H444, "NA")</f>
        <v>-1.7818819383221038E-2</v>
      </c>
      <c r="J312" s="9"/>
      <c r="K312" s="7">
        <v>318.89</v>
      </c>
      <c r="L312" s="8">
        <f>IFERROR(K312/K444, "NA")</f>
        <v>2.7421818494201724E-3</v>
      </c>
      <c r="M312" s="9"/>
      <c r="N312" s="10">
        <f t="shared" si="77"/>
        <v>-165.58000000000004</v>
      </c>
      <c r="O312" s="8">
        <f>IFERROR(N312/N444, "NA")</f>
        <v>-4.3972620019784789E-3</v>
      </c>
      <c r="P312" s="9"/>
      <c r="Q312" s="7">
        <v>2559.09</v>
      </c>
      <c r="R312" s="8">
        <f>IFERROR(Q312/Q444, "NA")</f>
        <v>2.2298541138538108E-3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-2559.09</v>
      </c>
      <c r="X312" s="8">
        <f>IFERROR(W312/W444, "NA")</f>
        <v>4.381091197449305E-2</v>
      </c>
      <c r="Y312" s="9"/>
      <c r="Z312" s="7">
        <v>464.99</v>
      </c>
      <c r="AA312" s="8">
        <f>IFERROR(Z312/Z444, "NA")</f>
        <v>4.344631667940714E-4</v>
      </c>
      <c r="AB312" s="9"/>
      <c r="AC312" s="10">
        <f t="shared" si="79"/>
        <v>-2094.1000000000004</v>
      </c>
      <c r="AD312" s="8">
        <f>IFERROR(AC312/AC444, "NA")</f>
        <v>-2.7060544624958643E-2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5.05</v>
      </c>
      <c r="L313" s="8">
        <f>IFERROR(K313/K444, "NA")</f>
        <v>4.3425690173952994E-5</v>
      </c>
      <c r="M313" s="9"/>
      <c r="N313" s="10">
        <f t="shared" si="77"/>
        <v>5.05</v>
      </c>
      <c r="O313" s="8">
        <f>IFERROR(N313/N444, "NA")</f>
        <v>1.3411144528319429E-4</v>
      </c>
      <c r="P313" s="9"/>
      <c r="Q313" s="7">
        <v>87</v>
      </c>
      <c r="R313" s="8">
        <f>IFERROR(Q313/Q444, "NA")</f>
        <v>7.5807145471742509E-5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-87</v>
      </c>
      <c r="X313" s="8">
        <f>IFERROR(W313/W444, "NA")</f>
        <v>1.4894159024422334E-3</v>
      </c>
      <c r="Y313" s="9"/>
      <c r="Z313" s="7">
        <v>5.05</v>
      </c>
      <c r="AA313" s="8">
        <f>IFERROR(Z313/Z444, "NA")</f>
        <v>4.7184648966860801E-6</v>
      </c>
      <c r="AB313" s="9"/>
      <c r="AC313" s="10">
        <f t="shared" si="79"/>
        <v>-81.95</v>
      </c>
      <c r="AD313" s="8">
        <f>IFERROR(AC313/AC444, "NA")</f>
        <v>-1.0589807707441672E-3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2.6507370838033581E-3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-408.07</v>
      </c>
      <c r="I315" s="8">
        <f>IFERROR(H315/H444, "NA")</f>
        <v>-1.5008825367331327E-2</v>
      </c>
      <c r="J315" s="9"/>
      <c r="K315" s="7">
        <v>455.52</v>
      </c>
      <c r="L315" s="8">
        <f>IFERROR(K315/K444, "NA")</f>
        <v>3.9170832451562512E-3</v>
      </c>
      <c r="M315" s="9"/>
      <c r="N315" s="10">
        <f t="shared" si="77"/>
        <v>47.449999999999989</v>
      </c>
      <c r="O315" s="8">
        <f>IFERROR(N315/N444, "NA")</f>
        <v>1.2601164512252609E-3</v>
      </c>
      <c r="P315" s="9"/>
      <c r="Q315" s="7">
        <v>4821</v>
      </c>
      <c r="R315" s="8">
        <f>IFERROR(Q315/Q444, "NA")</f>
        <v>4.2007614749341449E-3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-4821</v>
      </c>
      <c r="X315" s="8">
        <f>IFERROR(W315/W444, "NA")</f>
        <v>8.2534184662919619E-2</v>
      </c>
      <c r="Y315" s="9"/>
      <c r="Z315" s="7">
        <v>6060.17</v>
      </c>
      <c r="AA315" s="8">
        <f>IFERROR(Z315/Z444, "NA")</f>
        <v>5.6623167154356609E-3</v>
      </c>
      <c r="AB315" s="9"/>
      <c r="AC315" s="10">
        <f t="shared" si="79"/>
        <v>1239.17</v>
      </c>
      <c r="AD315" s="8">
        <f>IFERROR(AC315/AC444, "NA")</f>
        <v>1.6012900569652832E-2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2.6930246776366708E-3</v>
      </c>
      <c r="D318" s="9"/>
      <c r="E318" s="7">
        <v>415</v>
      </c>
      <c r="F318" s="8">
        <f>IFERROR(E318/E444, "NA")</f>
        <v>3.2739760166661945E-3</v>
      </c>
      <c r="G318" s="9"/>
      <c r="H318" s="10">
        <f t="shared" si="76"/>
        <v>0.42000000000001592</v>
      </c>
      <c r="I318" s="8">
        <f>IFERROR(H318/H444, "NA")</f>
        <v>1.5447611082116786E-5</v>
      </c>
      <c r="J318" s="9"/>
      <c r="K318" s="7">
        <v>414.58</v>
      </c>
      <c r="L318" s="8">
        <f>IFERROR(K318/K444, "NA")</f>
        <v>3.5650341846173131E-3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4560.38</v>
      </c>
      <c r="R318" s="8">
        <f>IFERROR(Q318/Q444, "NA")</f>
        <v>3.9736711501887944E-3</v>
      </c>
      <c r="S318" s="9"/>
      <c r="T318" s="7">
        <v>4565</v>
      </c>
      <c r="U318" s="8">
        <f>IFERROR(T318/T444, "NA")</f>
        <v>3.785048293111951E-3</v>
      </c>
      <c r="V318" s="9"/>
      <c r="W318" s="10">
        <f t="shared" si="78"/>
        <v>4.6199999999998909</v>
      </c>
      <c r="X318" s="8">
        <f>IFERROR(W318/W444, "NA")</f>
        <v>-7.909312033658569E-5</v>
      </c>
      <c r="Y318" s="9"/>
      <c r="Z318" s="7">
        <v>4560.38</v>
      </c>
      <c r="AA318" s="8">
        <f>IFERROR(Z318/Z444, "NA")</f>
        <v>4.2609887020889645E-3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308.79000000000002</v>
      </c>
      <c r="C319" s="8">
        <f>IFERROR(B319/B444, "NA")</f>
        <v>2.0058350383699831E-3</v>
      </c>
      <c r="D319" s="9"/>
      <c r="E319" s="7">
        <v>249</v>
      </c>
      <c r="F319" s="8">
        <f>IFERROR(E319/E444, "NA")</f>
        <v>1.9643856099997169E-3</v>
      </c>
      <c r="G319" s="9"/>
      <c r="H319" s="10">
        <f t="shared" si="76"/>
        <v>-59.79000000000002</v>
      </c>
      <c r="I319" s="8">
        <f>IFERROR(H319/H444, "NA")</f>
        <v>-2.1990777776183996E-3</v>
      </c>
      <c r="J319" s="9"/>
      <c r="K319" s="7">
        <v>249.13</v>
      </c>
      <c r="L319" s="8">
        <f>IFERROR(K319/K444, "NA")</f>
        <v>2.1423053847597841E-3</v>
      </c>
      <c r="M319" s="9"/>
      <c r="N319" s="10">
        <f t="shared" si="77"/>
        <v>-59.660000000000025</v>
      </c>
      <c r="O319" s="8">
        <f>IFERROR(N319/N444, "NA")</f>
        <v>-1.5843740248703713E-3</v>
      </c>
      <c r="P319" s="9"/>
      <c r="Q319" s="7">
        <v>3172.46</v>
      </c>
      <c r="R319" s="8">
        <f>IFERROR(Q319/Q444, "NA")</f>
        <v>2.7643119163595887E-3</v>
      </c>
      <c r="S319" s="9"/>
      <c r="T319" s="7">
        <v>2739</v>
      </c>
      <c r="U319" s="8">
        <f>IFERROR(T319/T444, "NA")</f>
        <v>2.2710289758671705E-3</v>
      </c>
      <c r="V319" s="9"/>
      <c r="W319" s="10">
        <f t="shared" si="78"/>
        <v>-433.46000000000004</v>
      </c>
      <c r="X319" s="8">
        <f>IFERROR(W319/W444, "NA")</f>
        <v>7.4207151387656383E-3</v>
      </c>
      <c r="Y319" s="9"/>
      <c r="Z319" s="7">
        <v>2593.83</v>
      </c>
      <c r="AA319" s="8">
        <f>IFERROR(Z319/Z444, "NA")</f>
        <v>2.4235437233606446E-3</v>
      </c>
      <c r="AB319" s="9"/>
      <c r="AC319" s="10">
        <f t="shared" si="79"/>
        <v>-578.63000000000011</v>
      </c>
      <c r="AD319" s="8">
        <f>IFERROR(AC319/AC444, "NA")</f>
        <v>-7.4772183450359676E-3</v>
      </c>
    </row>
    <row r="320" spans="1:30" ht="16.5" customHeight="1" x14ac:dyDescent="0.45">
      <c r="A320" s="6" t="s">
        <v>292</v>
      </c>
      <c r="B320" s="7">
        <v>1133.27</v>
      </c>
      <c r="C320" s="8">
        <f>IFERROR(B320/B444, "NA")</f>
        <v>7.3614840957723715E-3</v>
      </c>
      <c r="D320" s="9"/>
      <c r="E320" s="7">
        <v>878</v>
      </c>
      <c r="F320" s="8">
        <f>IFERROR(E320/E444, "NA")</f>
        <v>6.9266287774287201E-3</v>
      </c>
      <c r="G320" s="9"/>
      <c r="H320" s="10">
        <f t="shared" si="76"/>
        <v>-255.26999999999998</v>
      </c>
      <c r="I320" s="8">
        <f>IFERROR(H320/H444, "NA")</f>
        <v>-9.3888373355519097E-3</v>
      </c>
      <c r="J320" s="9"/>
      <c r="K320" s="7">
        <v>1168.24</v>
      </c>
      <c r="L320" s="8">
        <f>IFERROR(K320/K444, "NA")</f>
        <v>1.004586698788492E-2</v>
      </c>
      <c r="M320" s="9"/>
      <c r="N320" s="10">
        <f t="shared" si="77"/>
        <v>34.970000000000027</v>
      </c>
      <c r="O320" s="8">
        <f>IFERROR(N320/N444, "NA")</f>
        <v>9.2868856268382336E-4</v>
      </c>
      <c r="P320" s="9"/>
      <c r="Q320" s="7">
        <v>13013.25</v>
      </c>
      <c r="R320" s="8">
        <f>IFERROR(Q320/Q444, "NA")</f>
        <v>1.1339049836898311E-2</v>
      </c>
      <c r="S320" s="9"/>
      <c r="T320" s="7">
        <v>9658</v>
      </c>
      <c r="U320" s="8">
        <f>IFERROR(T320/T444, "NA")</f>
        <v>8.0078853044633566E-3</v>
      </c>
      <c r="V320" s="9"/>
      <c r="W320" s="10">
        <f t="shared" si="78"/>
        <v>-3355.25</v>
      </c>
      <c r="X320" s="8">
        <f>IFERROR(W320/W444, "NA")</f>
        <v>5.7440950651371302E-2</v>
      </c>
      <c r="Y320" s="9"/>
      <c r="Z320" s="7">
        <v>9285.36</v>
      </c>
      <c r="AA320" s="8">
        <f>IFERROR(Z320/Z444, "NA")</f>
        <v>8.6757713293253609E-3</v>
      </c>
      <c r="AB320" s="9"/>
      <c r="AC320" s="10">
        <f t="shared" si="79"/>
        <v>-3727.8899999999994</v>
      </c>
      <c r="AD320" s="8">
        <f>IFERROR(AC320/AC444, "NA")</f>
        <v>-4.8172834965826389E-2</v>
      </c>
    </row>
    <row r="321" spans="1:30" ht="16.5" customHeight="1" x14ac:dyDescent="0.45">
      <c r="A321" s="6" t="s">
        <v>293</v>
      </c>
      <c r="B321" s="7">
        <v>1071.1099999999999</v>
      </c>
      <c r="C321" s="8">
        <f>IFERROR(B321/B444, "NA")</f>
        <v>6.957705780460741E-3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-1071.1099999999999</v>
      </c>
      <c r="I321" s="8">
        <f>IFERROR(H321/H444, "NA")</f>
        <v>-3.9395454062298767E-2</v>
      </c>
      <c r="J321" s="9"/>
      <c r="K321" s="7">
        <v>2951.73</v>
      </c>
      <c r="L321" s="8">
        <f>IFERROR(K321/K444, "NA")</f>
        <v>2.5382358902408371E-2</v>
      </c>
      <c r="M321" s="9"/>
      <c r="N321" s="10">
        <f t="shared" si="77"/>
        <v>1880.6200000000001</v>
      </c>
      <c r="O321" s="8">
        <f>IFERROR(N321/N444, "NA")</f>
        <v>4.9943102223461558E-2</v>
      </c>
      <c r="P321" s="9"/>
      <c r="Q321" s="7">
        <v>16769.59</v>
      </c>
      <c r="R321" s="8">
        <f>IFERROR(Q321/Q444, "NA")</f>
        <v>1.4612123547488257E-2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-16769.59</v>
      </c>
      <c r="X321" s="8">
        <f>IFERROR(W321/W444, "NA")</f>
        <v>0.28709073590156614</v>
      </c>
      <c r="Y321" s="9"/>
      <c r="Z321" s="7">
        <v>23395.22</v>
      </c>
      <c r="AA321" s="8">
        <f>IFERROR(Z321/Z444, "NA")</f>
        <v>2.1859311746583787E-2</v>
      </c>
      <c r="AB321" s="9"/>
      <c r="AC321" s="10">
        <f t="shared" si="79"/>
        <v>6625.630000000001</v>
      </c>
      <c r="AD321" s="8">
        <f>IFERROR(AC321/AC444, "NA")</f>
        <v>8.5618239951991179E-2</v>
      </c>
    </row>
    <row r="322" spans="1:30" ht="16.5" customHeight="1" x14ac:dyDescent="0.45">
      <c r="A322" s="6" t="s">
        <v>294</v>
      </c>
      <c r="B322" s="7">
        <v>302.16000000000003</v>
      </c>
      <c r="C322" s="8">
        <f>IFERROR(B322/B444, "NA")</f>
        <v>1.9627679497194665E-3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-302.16000000000003</v>
      </c>
      <c r="I322" s="8">
        <f>IFERROR(H322/H444, "NA")</f>
        <v>-1.1113452772791027E-2</v>
      </c>
      <c r="J322" s="9"/>
      <c r="K322" s="7">
        <v>339.72</v>
      </c>
      <c r="L322" s="8">
        <f>IFERROR(K322/K444, "NA")</f>
        <v>2.9213020724545174E-3</v>
      </c>
      <c r="M322" s="9"/>
      <c r="N322" s="10">
        <f t="shared" si="77"/>
        <v>37.56</v>
      </c>
      <c r="O322" s="8">
        <f>IFERROR(N322/N444, "NA")</f>
        <v>9.9747047224490646E-4</v>
      </c>
      <c r="P322" s="9"/>
      <c r="Q322" s="7">
        <v>3950.05</v>
      </c>
      <c r="R322" s="8">
        <f>IFERROR(Q322/Q444, "NA")</f>
        <v>3.4418622410420287E-3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-3950.05</v>
      </c>
      <c r="X322" s="8">
        <f>IFERROR(W322/W444, "NA")</f>
        <v>6.7623761901631538E-2</v>
      </c>
      <c r="Y322" s="9"/>
      <c r="Z322" s="7">
        <v>3905.89</v>
      </c>
      <c r="AA322" s="8">
        <f>IFERROR(Z322/Z444, "NA")</f>
        <v>3.6494663079836031E-3</v>
      </c>
      <c r="AB322" s="9"/>
      <c r="AC322" s="10">
        <f t="shared" si="79"/>
        <v>-44.160000000000309</v>
      </c>
      <c r="AD322" s="8">
        <f>IFERROR(AC322/AC444, "NA")</f>
        <v>-5.7064784424725747E-4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4331.0899999999992</v>
      </c>
      <c r="C324" s="15">
        <f>IFERROR(B324/B444, "NA")</f>
        <v>2.8133851732030986E-2</v>
      </c>
      <c r="D324" s="2"/>
      <c r="E324" s="14">
        <f>IFERROR(E297+E298+E299+E300+E301+E302+E303+E304+E305+E306+E307+E308+E309+E310+E311+E312+E313+E314+E315+E316+E317+E318+E319+E320+E321+E322+E323, "NA")</f>
        <v>3189.84</v>
      </c>
      <c r="F324" s="15">
        <f>IFERROR(E324/E444, "NA")</f>
        <v>2.5164963028921673E-2</v>
      </c>
      <c r="G324" s="2"/>
      <c r="H324" s="14">
        <f t="shared" si="76"/>
        <v>-1141.2499999999991</v>
      </c>
      <c r="I324" s="15">
        <f>IFERROR(H324/H444, "NA")</f>
        <v>-4.1975205113012143E-2</v>
      </c>
      <c r="J324" s="2"/>
      <c r="K324" s="14">
        <f>IFERROR(K297+K298+K299+K300+K301+K302+K303+K304+K305+K306+K307+K308+K309+K310+K311+K312+K313+K314+K315+K316+K317+K318+K319+K320+K321+K322+K323, "NA")</f>
        <v>5999.9800000000005</v>
      </c>
      <c r="L324" s="15">
        <f>IFERROR(K324/K444, "NA")</f>
        <v>5.1594707431666241E-2</v>
      </c>
      <c r="M324" s="2"/>
      <c r="N324" s="14">
        <f t="shared" si="77"/>
        <v>1668.8900000000012</v>
      </c>
      <c r="O324" s="15">
        <f>IFERROR(N324/N444, "NA")</f>
        <v>4.4320247508647583E-2</v>
      </c>
      <c r="P324" s="2"/>
      <c r="Q324" s="14">
        <f>IFERROR(Q297+Q298+Q299+Q300+Q301+Q302+Q303+Q304+Q305+Q306+Q307+Q308+Q309+Q310+Q311+Q312+Q313+Q314+Q315+Q316+Q317+Q318+Q319+Q320+Q321+Q322+Q323, "NA")</f>
        <v>50739.23</v>
      </c>
      <c r="R324" s="15">
        <f>IFERROR(Q324/Q444, "NA")</f>
        <v>4.4211450456714964E-2</v>
      </c>
      <c r="S324" s="2"/>
      <c r="T324" s="14">
        <f>IFERROR(T297+T298+T299+T300+T301+T302+T303+T304+T305+T306+T307+T308+T309+T310+T311+T312+T313+T314+T315+T316+T317+T318+T319+T320+T321+T322+T323, "NA")</f>
        <v>32640.79</v>
      </c>
      <c r="U324" s="15">
        <f>IFERROR(T324/T444, "NA")</f>
        <v>2.7063957606862133E-2</v>
      </c>
      <c r="V324" s="2"/>
      <c r="W324" s="14">
        <f t="shared" si="78"/>
        <v>-18098.440000000002</v>
      </c>
      <c r="X324" s="15">
        <f>IFERROR(W324/W444, "NA")</f>
        <v>0.30984027983214502</v>
      </c>
      <c r="Y324" s="2"/>
      <c r="Z324" s="14">
        <f>IFERROR(Z297+Z298+Z299+Z300+Z301+Z302+Z303+Z304+Z305+Z306+Z307+Z308+Z309+Z310+Z311+Z312+Z313+Z314+Z315+Z316+Z317+Z318+Z319+Z320+Z321+Z322+Z323, "NA")</f>
        <v>51271.92</v>
      </c>
      <c r="AA324" s="15">
        <f>IFERROR(Z324/Z444, "NA")</f>
        <v>4.7905892020930096E-2</v>
      </c>
      <c r="AB324" s="2"/>
      <c r="AC324" s="14">
        <f t="shared" si="79"/>
        <v>532.68999999999505</v>
      </c>
      <c r="AD324" s="15">
        <f>IFERROR(AC324/AC444, "NA")</f>
        <v>6.8835688440232476E-3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29387.740000000005</v>
      </c>
      <c r="C325" s="15">
        <f>IFERROR(B325/B444, "NA")</f>
        <v>0.19089659182780236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24613.48</v>
      </c>
      <c r="F325" s="15">
        <f>IFERROR(E325/E444, "NA")</f>
        <v>0.19417817640166998</v>
      </c>
      <c r="G325" s="2"/>
      <c r="H325" s="14">
        <f t="shared" si="76"/>
        <v>-4774.2600000000057</v>
      </c>
      <c r="I325" s="15">
        <f>IFERROR(H325/H444, "NA")</f>
        <v>-0.17559740877358138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26240.020000000008</v>
      </c>
      <c r="L325" s="15">
        <f>IFERROR(K325/K444, "NA")</f>
        <v>0.22564177795610504</v>
      </c>
      <c r="M325" s="2"/>
      <c r="N325" s="14">
        <f t="shared" si="77"/>
        <v>-3147.7199999999975</v>
      </c>
      <c r="O325" s="15">
        <f>IFERROR(N325/N444, "NA")</f>
        <v>-8.3593124464716048E-2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308833.38000000006</v>
      </c>
      <c r="R325" s="15">
        <f>IFERROR(Q325/Q444, "NA")</f>
        <v>0.26910088464586135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251455.72000000003</v>
      </c>
      <c r="U325" s="15">
        <f>IFERROR(T325/T444, "NA")</f>
        <v>0.20849332831965756</v>
      </c>
      <c r="V325" s="2"/>
      <c r="W325" s="14">
        <f t="shared" si="78"/>
        <v>-57377.660000000033</v>
      </c>
      <c r="X325" s="15">
        <f>IFERROR(W325/W444, "NA")</f>
        <v>0.98228964653935269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260590.41000000006</v>
      </c>
      <c r="AA325" s="15">
        <f>IFERROR(Z325/Z444, "NA")</f>
        <v>0.24348251524713538</v>
      </c>
      <c r="AB325" s="2"/>
      <c r="AC325" s="14">
        <f t="shared" si="79"/>
        <v>-48242.97</v>
      </c>
      <c r="AD325" s="15">
        <f>IFERROR(AC325/AC444, "NA")</f>
        <v>-0.62340912206940491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7.4324311157182146E-2</v>
      </c>
      <c r="D329" s="9"/>
      <c r="E329" s="7">
        <v>10560</v>
      </c>
      <c r="F329" s="8">
        <f>IFERROR(E329/E444, "NA")</f>
        <v>8.3308883701192812E-2</v>
      </c>
      <c r="G329" s="9"/>
      <c r="H329" s="10">
        <f t="shared" si="80"/>
        <v>-881.92000000000007</v>
      </c>
      <c r="I329" s="8">
        <f>IFERROR(H329/H444, "NA")</f>
        <v>-3.2437040870333139E-2</v>
      </c>
      <c r="J329" s="9"/>
      <c r="K329" s="7">
        <v>4125.3</v>
      </c>
      <c r="L329" s="8">
        <f>IFERROR(K329/K444, "NA")</f>
        <v>3.5474059341506596E-2</v>
      </c>
      <c r="M329" s="9"/>
      <c r="N329" s="10">
        <f t="shared" si="81"/>
        <v>-7316.62</v>
      </c>
      <c r="O329" s="8">
        <f>IFERROR(N329/N444, "NA")</f>
        <v>-0.19430544213622278</v>
      </c>
      <c r="P329" s="9"/>
      <c r="Q329" s="7">
        <v>106714.97</v>
      </c>
      <c r="R329" s="8">
        <f>IFERROR(Q329/Q444, "NA")</f>
        <v>9.2985715572444103E-2</v>
      </c>
      <c r="S329" s="9"/>
      <c r="T329" s="7">
        <v>104945</v>
      </c>
      <c r="U329" s="8">
        <f>IFERROR(T329/T444, "NA")</f>
        <v>8.701465347659007E-2</v>
      </c>
      <c r="V329" s="9"/>
      <c r="W329" s="10">
        <f t="shared" si="82"/>
        <v>-1769.9700000000012</v>
      </c>
      <c r="X329" s="8">
        <f>IFERROR(W329/W444, "NA")</f>
        <v>3.030139614765151E-2</v>
      </c>
      <c r="Y329" s="9"/>
      <c r="Z329" s="7">
        <v>45378.3</v>
      </c>
      <c r="AA329" s="8">
        <f>IFERROR(Z329/Z444, "NA")</f>
        <v>4.239919121213663E-2</v>
      </c>
      <c r="AB329" s="9"/>
      <c r="AC329" s="10">
        <f t="shared" si="83"/>
        <v>-61336.67</v>
      </c>
      <c r="AD329" s="8">
        <f>IFERROR(AC329/AC444, "NA")</f>
        <v>-0.79260956768127677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6.6674738768551503E-3</v>
      </c>
      <c r="D330" s="9"/>
      <c r="E330" s="7">
        <v>1117</v>
      </c>
      <c r="F330" s="8">
        <f>IFERROR(E330/E444, "NA")</f>
        <v>8.812123399075035E-3</v>
      </c>
      <c r="G330" s="9"/>
      <c r="H330" s="10">
        <f t="shared" si="80"/>
        <v>90.569999999999936</v>
      </c>
      <c r="I330" s="8">
        <f>IFERROR(H330/H444, "NA")</f>
        <v>3.3311669897791983E-3</v>
      </c>
      <c r="J330" s="9"/>
      <c r="K330" s="7">
        <v>1117.48</v>
      </c>
      <c r="L330" s="8">
        <f>IFERROR(K330/K444, "NA")</f>
        <v>9.6093743080374241E-3</v>
      </c>
      <c r="M330" s="9"/>
      <c r="N330" s="10">
        <f t="shared" si="81"/>
        <v>91.049999999999955</v>
      </c>
      <c r="O330" s="8">
        <f>IFERROR(N330/N444, "NA")</f>
        <v>2.4179895233732347E-3</v>
      </c>
      <c r="P330" s="9"/>
      <c r="Q330" s="7">
        <v>9081.0300000000007</v>
      </c>
      <c r="R330" s="8">
        <f>IFERROR(Q330/Q444, "NA")</f>
        <v>7.9127237039454922E-3</v>
      </c>
      <c r="S330" s="9"/>
      <c r="T330" s="7">
        <v>12287</v>
      </c>
      <c r="U330" s="8">
        <f>IFERROR(T330/T444, "NA")</f>
        <v>1.0187708297363974E-2</v>
      </c>
      <c r="V330" s="9"/>
      <c r="W330" s="10">
        <f t="shared" si="82"/>
        <v>3205.9699999999993</v>
      </c>
      <c r="X330" s="8">
        <f>IFERROR(W330/W444, "NA")</f>
        <v>-5.4885318399456616E-2</v>
      </c>
      <c r="Y330" s="9"/>
      <c r="Z330" s="7">
        <v>11319.56</v>
      </c>
      <c r="AA330" s="8">
        <f>IFERROR(Z330/Z444, "NA")</f>
        <v>1.0576425050679582E-2</v>
      </c>
      <c r="AB330" s="9"/>
      <c r="AC330" s="10">
        <f t="shared" si="83"/>
        <v>2238.5299999999988</v>
      </c>
      <c r="AD330" s="8">
        <f>IFERROR(AC330/AC444, "NA")</f>
        <v>2.8926909392726532E-2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5.5874188497176871E-3</v>
      </c>
      <c r="D333" s="9"/>
      <c r="E333" s="7">
        <v>726</v>
      </c>
      <c r="F333" s="8">
        <f>IFERROR(E333/E444, "NA")</f>
        <v>5.7274857544570056E-3</v>
      </c>
      <c r="G333" s="9"/>
      <c r="H333" s="10">
        <f t="shared" si="80"/>
        <v>-134.15999999999997</v>
      </c>
      <c r="I333" s="8">
        <f>IFERROR(H333/H444, "NA")</f>
        <v>-4.9344083399445451E-3</v>
      </c>
      <c r="J333" s="9"/>
      <c r="K333" s="7">
        <v>726.35</v>
      </c>
      <c r="L333" s="8">
        <f>IFERROR(K333/K444, "NA")</f>
        <v>6.2459901104654969E-3</v>
      </c>
      <c r="M333" s="9"/>
      <c r="N333" s="10">
        <f t="shared" si="81"/>
        <v>-133.80999999999995</v>
      </c>
      <c r="O333" s="8">
        <f>IFERROR(N333/N444, "NA")</f>
        <v>-3.5535549491770733E-3</v>
      </c>
      <c r="P333" s="9"/>
      <c r="Q333" s="7">
        <v>10750.79</v>
      </c>
      <c r="R333" s="8">
        <f>IFERROR(Q333/Q444, "NA")</f>
        <v>9.3676632352431566E-3</v>
      </c>
      <c r="S333" s="9"/>
      <c r="T333" s="7">
        <v>7986</v>
      </c>
      <c r="U333" s="8">
        <f>IFERROR(T333/T444, "NA")</f>
        <v>6.6215543633717502E-3</v>
      </c>
      <c r="V333" s="9"/>
      <c r="W333" s="10">
        <f t="shared" si="82"/>
        <v>-2764.7900000000009</v>
      </c>
      <c r="X333" s="8">
        <f>IFERROR(W333/W444, "NA")</f>
        <v>4.7332438999003031E-2</v>
      </c>
      <c r="Y333" s="9"/>
      <c r="Z333" s="7">
        <v>7780.52</v>
      </c>
      <c r="AA333" s="8">
        <f>IFERROR(Z333/Z444, "NA")</f>
        <v>7.2697248510819774E-3</v>
      </c>
      <c r="AB333" s="9"/>
      <c r="AC333" s="10">
        <f t="shared" si="83"/>
        <v>-2970.2700000000004</v>
      </c>
      <c r="AD333" s="8">
        <f>IFERROR(AC333/AC444, "NA")</f>
        <v>-3.8382657887959463E-2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-5.7229859900097347E-3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881.03</v>
      </c>
      <c r="I334" s="8">
        <f>IFERROR(H334/H444, "NA")</f>
        <v>3.2404306646849609E-2</v>
      </c>
      <c r="J334" s="9"/>
      <c r="K334" s="7">
        <v>-317.64999999999998</v>
      </c>
      <c r="L334" s="8">
        <f>IFERROR(K334/K444, "NA")</f>
        <v>-2.7315189076744886E-3</v>
      </c>
      <c r="M334" s="9"/>
      <c r="N334" s="10">
        <f t="shared" si="81"/>
        <v>563.38</v>
      </c>
      <c r="O334" s="8">
        <f>IFERROR(N334/N444, "NA")</f>
        <v>1.4961525949236831E-2</v>
      </c>
      <c r="P334" s="9"/>
      <c r="Q334" s="7">
        <v>-1762.06</v>
      </c>
      <c r="R334" s="8">
        <f>IFERROR(Q334/Q444, "NA")</f>
        <v>-1.535364813217685E-3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1762.06</v>
      </c>
      <c r="X334" s="8">
        <f>IFERROR(W334/W444, "NA")</f>
        <v>-3.0165979138590364E-2</v>
      </c>
      <c r="Y334" s="9"/>
      <c r="Z334" s="7">
        <v>-635.29999999999995</v>
      </c>
      <c r="AA334" s="8">
        <f>IFERROR(Z334/Z444, "NA")</f>
        <v>-5.9359222749795384E-4</v>
      </c>
      <c r="AB334" s="9"/>
      <c r="AC334" s="10">
        <f t="shared" si="83"/>
        <v>1126.76</v>
      </c>
      <c r="AD334" s="8">
        <f>IFERROR(AC334/AC444, "NA")</f>
        <v>1.456030717808051E-2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2392.9299999999998</v>
      </c>
      <c r="F337" s="8">
        <f>IFERROR(E337/E444, "NA")</f>
        <v>1.8878061276050691E-2</v>
      </c>
      <c r="G337" s="9"/>
      <c r="H337" s="10">
        <f t="shared" ref="H337:H344" si="84">IFERROR(-(B337-E337), "NA")</f>
        <v>2392.9299999999998</v>
      </c>
      <c r="I337" s="8">
        <f>IFERROR(H337/H444, "NA")</f>
        <v>8.8012028539829326E-2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23504.34</v>
      </c>
      <c r="U337" s="8">
        <f>IFERROR(T337/T444, "NA")</f>
        <v>1.9488513033455192E-2</v>
      </c>
      <c r="V337" s="9"/>
      <c r="W337" s="10">
        <f t="shared" ref="W337:W344" si="86">IFERROR(-(Q337-T337), "NA")</f>
        <v>23504.34</v>
      </c>
      <c r="X337" s="8">
        <f>IFERROR(W337/W444, "NA")</f>
        <v>-0.40238779048746071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938.2</v>
      </c>
      <c r="C338" s="8">
        <f>IFERROR(B338/B444, "NA")</f>
        <v>6.0943503125059691E-3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-938.2</v>
      </c>
      <c r="I338" s="8">
        <f>IFERROR(H338/H444, "NA")</f>
        <v>-3.4507020755336709E-2</v>
      </c>
      <c r="J338" s="9"/>
      <c r="K338" s="7">
        <v>965.72</v>
      </c>
      <c r="L338" s="8">
        <f>IFERROR(K338/K444, "NA")</f>
        <v>8.304367824710869E-3</v>
      </c>
      <c r="M338" s="9"/>
      <c r="N338" s="10">
        <f t="shared" si="85"/>
        <v>27.519999999999982</v>
      </c>
      <c r="O338" s="8">
        <f>IFERROR(N338/N444, "NA")</f>
        <v>7.3084098498881281E-4</v>
      </c>
      <c r="P338" s="9"/>
      <c r="Q338" s="7">
        <v>13208.66</v>
      </c>
      <c r="R338" s="8">
        <f>IFERROR(Q338/Q444, "NA")</f>
        <v>1.1509319656399843E-2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-13208.66</v>
      </c>
      <c r="X338" s="8">
        <f>IFERROR(W338/W444, "NA")</f>
        <v>0.22612860062014517</v>
      </c>
      <c r="Y338" s="9"/>
      <c r="Z338" s="7">
        <v>12959.27</v>
      </c>
      <c r="AA338" s="8">
        <f>IFERROR(Z338/Z444, "NA")</f>
        <v>1.2108487243896441E-2</v>
      </c>
      <c r="AB338" s="9"/>
      <c r="AC338" s="10">
        <f t="shared" si="87"/>
        <v>-249.38999999999942</v>
      </c>
      <c r="AD338" s="8">
        <f>IFERROR(AC338/AC444, "NA")</f>
        <v>-3.2226871801816622E-3</v>
      </c>
    </row>
    <row r="339" spans="1:30" ht="16.5" customHeight="1" x14ac:dyDescent="0.45">
      <c r="A339" s="12" t="s">
        <v>309</v>
      </c>
      <c r="B339" s="7">
        <v>407.52</v>
      </c>
      <c r="C339" s="8">
        <f>IFERROR(B339/B444, "NA")</f>
        <v>2.6471643992245068E-3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-407.52</v>
      </c>
      <c r="I339" s="8">
        <f>IFERROR(H339/H444, "NA")</f>
        <v>-1.4988596352819033E-2</v>
      </c>
      <c r="J339" s="9"/>
      <c r="K339" s="7">
        <v>448.91</v>
      </c>
      <c r="L339" s="8">
        <f>IFERROR(K339/K444, "NA")</f>
        <v>3.860242886334503E-3</v>
      </c>
      <c r="M339" s="9"/>
      <c r="N339" s="10">
        <f t="shared" si="85"/>
        <v>41.390000000000043</v>
      </c>
      <c r="O339" s="8">
        <f>IFERROR(N339/N444, "NA")</f>
        <v>1.0991827168854293E-3</v>
      </c>
      <c r="P339" s="9"/>
      <c r="Q339" s="7">
        <v>4747.7</v>
      </c>
      <c r="R339" s="8">
        <f>IFERROR(Q339/Q444, "NA")</f>
        <v>4.1368917765079527E-3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-4747.7</v>
      </c>
      <c r="X339" s="8">
        <f>IFERROR(W339/W444, "NA")</f>
        <v>8.12793089658045E-2</v>
      </c>
      <c r="Y339" s="9"/>
      <c r="Z339" s="7">
        <v>4244.38</v>
      </c>
      <c r="AA339" s="8">
        <f>IFERROR(Z339/Z444, "NA")</f>
        <v>3.9657342649893996E-3</v>
      </c>
      <c r="AB339" s="9"/>
      <c r="AC339" s="10">
        <f t="shared" si="87"/>
        <v>-503.31999999999971</v>
      </c>
      <c r="AD339" s="8">
        <f>IFERROR(AC339/AC444, "NA")</f>
        <v>-6.5040415073941904E-3</v>
      </c>
    </row>
    <row r="340" spans="1:30" ht="16.5" customHeight="1" x14ac:dyDescent="0.45">
      <c r="A340" s="12" t="s">
        <v>310</v>
      </c>
      <c r="B340" s="7">
        <v>600.46</v>
      </c>
      <c r="C340" s="8">
        <f>IFERROR(B340/B444, "NA")</f>
        <v>3.9004621494855406E-3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-600.46</v>
      </c>
      <c r="I340" s="8">
        <f>IFERROR(H340/H444, "NA")</f>
        <v>-2.2084934643732127E-2</v>
      </c>
      <c r="J340" s="9"/>
      <c r="K340" s="7">
        <v>360</v>
      </c>
      <c r="L340" s="8">
        <f>IFERROR(K340/K444, "NA")</f>
        <v>3.0956927648758572E-3</v>
      </c>
      <c r="M340" s="9"/>
      <c r="N340" s="10">
        <f t="shared" si="85"/>
        <v>-240.46000000000004</v>
      </c>
      <c r="O340" s="8">
        <f>IFERROR(N340/N444, "NA")</f>
        <v>-6.38582933322711E-3</v>
      </c>
      <c r="P340" s="9"/>
      <c r="Q340" s="7">
        <v>4499</v>
      </c>
      <c r="R340" s="8">
        <f>IFERROR(Q340/Q444, "NA")</f>
        <v>3.9201879020387305E-3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-4499</v>
      </c>
      <c r="X340" s="8">
        <f>IFERROR(W340/W444, "NA")</f>
        <v>7.70216338515817E-2</v>
      </c>
      <c r="Y340" s="9"/>
      <c r="Z340" s="7">
        <v>3784.82</v>
      </c>
      <c r="AA340" s="8">
        <f>IFERROR(Z340/Z444, "NA")</f>
        <v>3.5363446158961213E-3</v>
      </c>
      <c r="AB340" s="9"/>
      <c r="AC340" s="10">
        <f t="shared" si="87"/>
        <v>-714.17999999999984</v>
      </c>
      <c r="AD340" s="8">
        <f>IFERROR(AC340/AC444, "NA")</f>
        <v>-9.2288332745585015E-3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1946.18</v>
      </c>
      <c r="C342" s="15">
        <f>IFERROR(B342/B444, "NA")</f>
        <v>1.2641976861216016E-2</v>
      </c>
      <c r="D342" s="2"/>
      <c r="E342" s="14">
        <f>IFERROR(E337+E338+E339+E340+E341, "NA")</f>
        <v>2392.9299999999998</v>
      </c>
      <c r="F342" s="15">
        <f>IFERROR(E342/E444, "NA")</f>
        <v>1.8878061276050691E-2</v>
      </c>
      <c r="G342" s="2"/>
      <c r="H342" s="14">
        <f t="shared" si="84"/>
        <v>446.74999999999977</v>
      </c>
      <c r="I342" s="15">
        <f>IFERROR(H342/H444, "NA")</f>
        <v>1.6431476787941449E-2</v>
      </c>
      <c r="J342" s="2"/>
      <c r="K342" s="14">
        <f>IFERROR(K337+K338+K339+K340+K341, "NA")</f>
        <v>1774.63</v>
      </c>
      <c r="L342" s="15">
        <f>IFERROR(K342/K444, "NA")</f>
        <v>1.5260303475921229E-2</v>
      </c>
      <c r="M342" s="2"/>
      <c r="N342" s="14">
        <f t="shared" si="85"/>
        <v>-171.54999999999995</v>
      </c>
      <c r="O342" s="15">
        <f>IFERROR(N342/N444, "NA")</f>
        <v>-4.5558056313528663E-3</v>
      </c>
      <c r="P342" s="2"/>
      <c r="Q342" s="14">
        <f>IFERROR(Q337+Q338+Q339+Q340+Q341, "NA")</f>
        <v>22455.360000000001</v>
      </c>
      <c r="R342" s="15">
        <f>IFERROR(Q342/Q444, "NA")</f>
        <v>1.9566399334946527E-2</v>
      </c>
      <c r="S342" s="2"/>
      <c r="T342" s="14">
        <f>IFERROR(T337+T338+T339+T340+T341, "NA")</f>
        <v>23504.34</v>
      </c>
      <c r="U342" s="15">
        <f>IFERROR(T342/T444, "NA")</f>
        <v>1.9488513033455192E-2</v>
      </c>
      <c r="V342" s="2"/>
      <c r="W342" s="14">
        <f t="shared" si="86"/>
        <v>1048.9799999999996</v>
      </c>
      <c r="X342" s="15">
        <f>IFERROR(W342/W444, "NA")</f>
        <v>-1.7958247049929349E-2</v>
      </c>
      <c r="Y342" s="2"/>
      <c r="Z342" s="14">
        <f>IFERROR(Z337+Z338+Z339+Z340+Z341, "NA")</f>
        <v>20988.47</v>
      </c>
      <c r="AA342" s="15">
        <f>IFERROR(Z342/Z444, "NA")</f>
        <v>1.9610566124781962E-2</v>
      </c>
      <c r="AB342" s="2"/>
      <c r="AC342" s="14">
        <f t="shared" si="87"/>
        <v>-1466.8899999999994</v>
      </c>
      <c r="AD342" s="15">
        <f>IFERROR(AC342/AC444, "NA")</f>
        <v>-1.8955561962134361E-2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14393.66</v>
      </c>
      <c r="C343" s="15">
        <f>IFERROR(B343/B444, "NA")</f>
        <v>9.3498194754961267E-2</v>
      </c>
      <c r="D343" s="2"/>
      <c r="E343" s="14">
        <f>IFERROR(E328+E329+E330+E331+E332+E333+E334+E335+E337+E338+E339+E340+E341, "NA")</f>
        <v>14795.93</v>
      </c>
      <c r="F343" s="15">
        <f>IFERROR(E343/E444, "NA")</f>
        <v>0.11672655413077554</v>
      </c>
      <c r="G343" s="2"/>
      <c r="H343" s="14">
        <f t="shared" si="84"/>
        <v>402.27000000000044</v>
      </c>
      <c r="I343" s="15">
        <f>IFERROR(H343/H444, "NA")</f>
        <v>1.4795501214292597E-2</v>
      </c>
      <c r="J343" s="2"/>
      <c r="K343" s="14">
        <f>IFERROR(K328+K329+K330+K331+K332+K333+K334+K335+K337+K338+K339+K340+K341, "NA")</f>
        <v>7426.1100000000015</v>
      </c>
      <c r="L343" s="15">
        <f>IFERROR(K343/K444, "NA")</f>
        <v>6.3858208328256269E-2</v>
      </c>
      <c r="M343" s="2"/>
      <c r="N343" s="14">
        <f t="shared" si="85"/>
        <v>-6967.5499999999984</v>
      </c>
      <c r="O343" s="15">
        <f>IFERROR(N343/N444, "NA")</f>
        <v>-0.18503528724414262</v>
      </c>
      <c r="P343" s="2"/>
      <c r="Q343" s="14">
        <f>IFERROR(Q328+Q329+Q330+Q331+Q332+Q333+Q334+Q335+Q337+Q338+Q339+Q340+Q341, "NA")</f>
        <v>147240.09000000003</v>
      </c>
      <c r="R343" s="15">
        <f>IFERROR(Q343/Q444, "NA")</f>
        <v>0.12829713703336162</v>
      </c>
      <c r="S343" s="2"/>
      <c r="T343" s="14">
        <f>IFERROR(T328+T329+T330+T331+T332+T333+T334+T335+T337+T338+T339+T340+T341, "NA")</f>
        <v>148722.34</v>
      </c>
      <c r="U343" s="15">
        <f>IFERROR(T343/T444, "NA")</f>
        <v>0.12331242917078099</v>
      </c>
      <c r="V343" s="2"/>
      <c r="W343" s="14">
        <f t="shared" si="86"/>
        <v>1482.2499999999709</v>
      </c>
      <c r="X343" s="15">
        <f>IFERROR(W343/W444, "NA")</f>
        <v>-2.5375709441321344E-2</v>
      </c>
      <c r="Y343" s="2"/>
      <c r="Z343" s="14">
        <f>IFERROR(Z328+Z329+Z330+Z331+Z332+Z333+Z334+Z335+Z337+Z338+Z339+Z340+Z341, "NA")</f>
        <v>84831.550000000017</v>
      </c>
      <c r="AA343" s="15">
        <f>IFERROR(Z343/Z444, "NA")</f>
        <v>7.9262315011182208E-2</v>
      </c>
      <c r="AB343" s="2"/>
      <c r="AC343" s="14">
        <f t="shared" si="87"/>
        <v>-62408.540000000008</v>
      </c>
      <c r="AD343" s="15">
        <f>IFERROR(AC343/AC444, "NA")</f>
        <v>-0.80646057096056367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14393.66</v>
      </c>
      <c r="C344" s="15">
        <f>IFERROR(B344/B444, "NA")</f>
        <v>9.3498194754961267E-2</v>
      </c>
      <c r="D344" s="2"/>
      <c r="E344" s="14">
        <f>IFERROR(E328+E329+E330+E331+E332+E333+E334+E335+E337+E338+E339+E340+E341, "NA")</f>
        <v>14795.93</v>
      </c>
      <c r="F344" s="15">
        <f>IFERROR(E344/E444, "NA")</f>
        <v>0.11672655413077554</v>
      </c>
      <c r="G344" s="2"/>
      <c r="H344" s="14">
        <f t="shared" si="84"/>
        <v>402.27000000000044</v>
      </c>
      <c r="I344" s="15">
        <f>IFERROR(H344/H444, "NA")</f>
        <v>1.4795501214292597E-2</v>
      </c>
      <c r="J344" s="2"/>
      <c r="K344" s="14">
        <f>IFERROR(K328+K329+K330+K331+K332+K333+K334+K335+K337+K338+K339+K340+K341, "NA")</f>
        <v>7426.1100000000015</v>
      </c>
      <c r="L344" s="15">
        <f>IFERROR(K344/K444, "NA")</f>
        <v>6.3858208328256269E-2</v>
      </c>
      <c r="M344" s="2"/>
      <c r="N344" s="14">
        <f t="shared" si="85"/>
        <v>-6967.5499999999984</v>
      </c>
      <c r="O344" s="15">
        <f>IFERROR(N344/N444, "NA")</f>
        <v>-0.18503528724414262</v>
      </c>
      <c r="P344" s="2"/>
      <c r="Q344" s="14">
        <f>IFERROR(Q328+Q329+Q330+Q331+Q332+Q333+Q334+Q335+Q337+Q338+Q339+Q340+Q341, "NA")</f>
        <v>147240.09000000003</v>
      </c>
      <c r="R344" s="15">
        <f>IFERROR(Q344/Q444, "NA")</f>
        <v>0.12829713703336162</v>
      </c>
      <c r="S344" s="2"/>
      <c r="T344" s="14">
        <f>IFERROR(T328+T329+T330+T331+T332+T333+T334+T335+T337+T338+T339+T340+T341, "NA")</f>
        <v>148722.34</v>
      </c>
      <c r="U344" s="15">
        <f>IFERROR(T344/T444, "NA")</f>
        <v>0.12331242917078099</v>
      </c>
      <c r="V344" s="2"/>
      <c r="W344" s="14">
        <f t="shared" si="86"/>
        <v>1482.2499999999709</v>
      </c>
      <c r="X344" s="15">
        <f>IFERROR(W344/W444, "NA")</f>
        <v>-2.5375709441321344E-2</v>
      </c>
      <c r="Y344" s="2"/>
      <c r="Z344" s="14">
        <f>IFERROR(Z328+Z329+Z330+Z331+Z332+Z333+Z334+Z335+Z337+Z338+Z339+Z340+Z341, "NA")</f>
        <v>84831.550000000017</v>
      </c>
      <c r="AA344" s="15">
        <f>IFERROR(Z344/Z444, "NA")</f>
        <v>7.9262315011182208E-2</v>
      </c>
      <c r="AB344" s="2"/>
      <c r="AC344" s="14">
        <f t="shared" si="87"/>
        <v>-62408.540000000008</v>
      </c>
      <c r="AD344" s="15">
        <f>IFERROR(AC344/AC444, "NA")</f>
        <v>-0.80646057096056367</v>
      </c>
    </row>
    <row r="345" spans="1:30" ht="16.5" customHeight="1" x14ac:dyDescent="0.45">
      <c r="A345" s="22" t="s">
        <v>315</v>
      </c>
      <c r="B345" s="23">
        <f>IFERROR(B198-B325-B344, "NA")</f>
        <v>39390.770000000004</v>
      </c>
      <c r="C345" s="24">
        <f>IFERROR(B345/B444, "NA")</f>
        <v>0.2558741755055966</v>
      </c>
      <c r="D345" s="25"/>
      <c r="E345" s="23">
        <f>IFERROR(E198-E325-E344, "NA")</f>
        <v>25263.980000000003</v>
      </c>
      <c r="F345" s="24">
        <f>IFERROR(E345/E444, "NA")</f>
        <v>0.19931003519405885</v>
      </c>
      <c r="G345" s="25"/>
      <c r="H345" s="23">
        <f>IFERROR(B345-E345, "NA")</f>
        <v>14126.79</v>
      </c>
      <c r="I345" s="24">
        <f>IFERROR(H345/H444, "NA")</f>
        <v>0.51958370894935313</v>
      </c>
      <c r="J345" s="25"/>
      <c r="K345" s="23">
        <f>IFERROR(K198-K325-K344, "NA")</f>
        <v>23417.829999999984</v>
      </c>
      <c r="L345" s="24">
        <f>IFERROR(K345/K444, "NA")</f>
        <v>0.20137335250025762</v>
      </c>
      <c r="M345" s="25"/>
      <c r="N345" s="23">
        <f>IFERROR(B345-K345, "NA")</f>
        <v>15972.940000000021</v>
      </c>
      <c r="O345" s="24">
        <f>IFERROR(N345/N444, "NA")</f>
        <v>0.42418892451915807</v>
      </c>
      <c r="P345" s="25"/>
      <c r="Q345" s="23">
        <f>IFERROR(Q198-Q325-Q344, "NA")</f>
        <v>54078.47000000003</v>
      </c>
      <c r="R345" s="24">
        <f>IFERROR(Q345/Q444, "NA")</f>
        <v>4.71210855422904E-2</v>
      </c>
      <c r="S345" s="25"/>
      <c r="T345" s="23">
        <f>IFERROR(T198-T325-T344, "NA")</f>
        <v>173790.75000000026</v>
      </c>
      <c r="U345" s="24">
        <f>IFERROR(T345/T444, "NA")</f>
        <v>0.14409778349313182</v>
      </c>
      <c r="V345" s="25"/>
      <c r="W345" s="23">
        <f>IFERROR(Q345-T345, "NA")</f>
        <v>-119712.28000000023</v>
      </c>
      <c r="X345" s="24">
        <f>IFERROR(W345/W444, "NA")</f>
        <v>2.0494410752829615</v>
      </c>
      <c r="Y345" s="25"/>
      <c r="Z345" s="23">
        <f>IFERROR(Z198-Z325-Z344, "NA")</f>
        <v>133781.83999999997</v>
      </c>
      <c r="AA345" s="24">
        <f>IFERROR(Z345/Z444, "NA")</f>
        <v>0.12499899323843042</v>
      </c>
      <c r="AB345" s="25"/>
      <c r="AC345" s="23">
        <f>IFERROR(Q345-Z345, "NA")</f>
        <v>-79703.369999999937</v>
      </c>
      <c r="AD345" s="24">
        <f>IFERROR(AC345/AC444, "NA")</f>
        <v>-1.0299491908908782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39390.770000000004</v>
      </c>
      <c r="C404" s="24">
        <f>IFERROR(B404/B444, "NA")</f>
        <v>0.2558741755055966</v>
      </c>
      <c r="D404" s="25"/>
      <c r="E404" s="23">
        <f>IFERROR(E345-E403, "NA")</f>
        <v>25263.980000000003</v>
      </c>
      <c r="F404" s="24">
        <f>IFERROR(E404/E444, "NA")</f>
        <v>0.19931003519405885</v>
      </c>
      <c r="G404" s="25"/>
      <c r="H404" s="23">
        <f>IFERROR(B404-E404, "NA")</f>
        <v>14126.79</v>
      </c>
      <c r="I404" s="24">
        <f>IFERROR(H404/H444, "NA")</f>
        <v>0.51958370894935313</v>
      </c>
      <c r="J404" s="25"/>
      <c r="K404" s="23">
        <f>IFERROR(K345-K403, "NA")</f>
        <v>23417.829999999984</v>
      </c>
      <c r="L404" s="24">
        <f>IFERROR(K404/K444, "NA")</f>
        <v>0.20137335250025762</v>
      </c>
      <c r="M404" s="25"/>
      <c r="N404" s="23">
        <f>IFERROR(B404-K404, "NA")</f>
        <v>15972.940000000021</v>
      </c>
      <c r="O404" s="24">
        <f>IFERROR(N404/N444, "NA")</f>
        <v>0.42418892451915807</v>
      </c>
      <c r="P404" s="25"/>
      <c r="Q404" s="23">
        <f>IFERROR(Q345-Q403, "NA")</f>
        <v>54078.47000000003</v>
      </c>
      <c r="R404" s="24">
        <f>IFERROR(Q404/Q444, "NA")</f>
        <v>4.71210855422904E-2</v>
      </c>
      <c r="S404" s="25"/>
      <c r="T404" s="23">
        <f>IFERROR(T345-T403, "NA")</f>
        <v>173790.75000000026</v>
      </c>
      <c r="U404" s="24">
        <f>IFERROR(T404/T444, "NA")</f>
        <v>0.14409778349313182</v>
      </c>
      <c r="V404" s="25"/>
      <c r="W404" s="23">
        <f>IFERROR(Q404-T404, "NA")</f>
        <v>-119712.28000000023</v>
      </c>
      <c r="X404" s="24">
        <f>IFERROR(W404/W444, "NA")</f>
        <v>2.0494410752829615</v>
      </c>
      <c r="Y404" s="25"/>
      <c r="Z404" s="23">
        <f>IFERROR(Z345-Z403, "NA")</f>
        <v>133781.83999999997</v>
      </c>
      <c r="AA404" s="24">
        <f>IFERROR(Z404/Z444, "NA")</f>
        <v>0.12499899323843042</v>
      </c>
      <c r="AB404" s="25"/>
      <c r="AC404" s="23">
        <f>IFERROR(Q404-Z404, "NA")</f>
        <v>-79703.369999999937</v>
      </c>
      <c r="AD404" s="24">
        <f>IFERROR(AC404/AC444, "NA")</f>
        <v>-1.0299491908908782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661.5</v>
      </c>
      <c r="AA408" s="8">
        <f>IFERROR(Z408/Z444, "NA")</f>
        <v>6.1807218399165199E-4</v>
      </c>
      <c r="AB408" s="9"/>
      <c r="AC408" s="10">
        <f t="shared" si="103"/>
        <v>661.5</v>
      </c>
      <c r="AD408" s="8">
        <f>IFERROR(AC408/AC444, "NA")</f>
        <v>8.548087612535284E-3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3333.25</v>
      </c>
      <c r="C410" s="8">
        <f>IFERROR(B410/B444, "NA")</f>
        <v>2.1652092495374673E-2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-3333.25</v>
      </c>
      <c r="I410" s="8">
        <f>IFERROR(H410/H444, "NA")</f>
        <v>-0.12259702295110433</v>
      </c>
      <c r="J410" s="9"/>
      <c r="K410" s="7">
        <v>3009.38</v>
      </c>
      <c r="L410" s="8">
        <f>IFERROR(K410/K444, "NA")</f>
        <v>2.5878099702116963E-2</v>
      </c>
      <c r="M410" s="9"/>
      <c r="N410" s="10">
        <f t="shared" si="101"/>
        <v>-323.86999999999989</v>
      </c>
      <c r="O410" s="8">
        <f>IFERROR(N410/N444, "NA")</f>
        <v>-8.6009255017560644E-3</v>
      </c>
      <c r="P410" s="9"/>
      <c r="Q410" s="7">
        <v>33878.699999999997</v>
      </c>
      <c r="R410" s="8">
        <f>IFERROR(Q410/Q444, "NA")</f>
        <v>2.9520086658546236E-2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-33878.699999999997</v>
      </c>
      <c r="X410" s="8">
        <f>IFERROR(W410/W444, "NA")</f>
        <v>0.57999396016172056</v>
      </c>
      <c r="Y410" s="9"/>
      <c r="Z410" s="7">
        <v>57085.51</v>
      </c>
      <c r="AA410" s="8">
        <f>IFERROR(Z410/Z444, "NA")</f>
        <v>5.3337816840479647E-2</v>
      </c>
      <c r="AB410" s="9"/>
      <c r="AC410" s="10">
        <f t="shared" si="103"/>
        <v>23206.810000000005</v>
      </c>
      <c r="AD410" s="8">
        <f>IFERROR(AC410/AC444, "NA")</f>
        <v>0.29988487541566139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-32.75</v>
      </c>
      <c r="C416" s="8">
        <f>IFERROR(B416/B444, "NA")</f>
        <v>-2.1273712719523607E-4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32.75</v>
      </c>
      <c r="I416" s="8">
        <f>IFERROR(H416/H444, "NA")</f>
        <v>1.2045458641412037E-3</v>
      </c>
      <c r="J416" s="9"/>
      <c r="K416" s="7">
        <v>-11.09</v>
      </c>
      <c r="L416" s="8">
        <f>IFERROR(K416/K444, "NA")</f>
        <v>-9.5364535451314598E-5</v>
      </c>
      <c r="M416" s="9"/>
      <c r="N416" s="10">
        <f t="shared" si="101"/>
        <v>21.66</v>
      </c>
      <c r="O416" s="8">
        <f>IFERROR(N416/N444, "NA")</f>
        <v>5.7521859501663141E-4</v>
      </c>
      <c r="P416" s="9"/>
      <c r="Q416" s="7">
        <v>-292.63</v>
      </c>
      <c r="R416" s="8">
        <f>IFERROR(Q416/Q444, "NA")</f>
        <v>-2.5498212619995414E-4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292.63</v>
      </c>
      <c r="X416" s="8">
        <f>IFERROR(W416/W444, "NA")</f>
        <v>-5.0097445463410427E-3</v>
      </c>
      <c r="Y416" s="9"/>
      <c r="Z416" s="7">
        <v>-320.68</v>
      </c>
      <c r="AA416" s="8">
        <f>IFERROR(Z416/Z444, "NA")</f>
        <v>-2.9962719268698861E-4</v>
      </c>
      <c r="AB416" s="9"/>
      <c r="AC416" s="10">
        <f t="shared" si="103"/>
        <v>-28.050000000000011</v>
      </c>
      <c r="AD416" s="8">
        <f>IFERROR(AC416/AC444, "NA")</f>
        <v>-3.6246992824129229E-4</v>
      </c>
    </row>
    <row r="417" spans="1:30" ht="16.5" customHeight="1" x14ac:dyDescent="0.45">
      <c r="A417" s="6" t="s">
        <v>382</v>
      </c>
      <c r="B417" s="7">
        <v>-3.35</v>
      </c>
      <c r="C417" s="8">
        <f>IFERROR(B417/B444, "NA")</f>
        <v>-2.1760896980276054E-5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3.35</v>
      </c>
      <c r="I417" s="8">
        <f>IFERROR(H417/H444, "NA")</f>
        <v>1.2321308839306969E-4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3.35</v>
      </c>
      <c r="O417" s="8">
        <f>IFERROR(N417/N444, "NA")</f>
        <v>8.8965018158158597E-5</v>
      </c>
      <c r="P417" s="9"/>
      <c r="Q417" s="7">
        <v>67.209999999999994</v>
      </c>
      <c r="R417" s="8">
        <f>IFERROR(Q417/Q444, "NA")</f>
        <v>5.8563198243170267E-5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-67.209999999999994</v>
      </c>
      <c r="X417" s="8">
        <f>IFERROR(W417/W444, "NA")</f>
        <v>1.1506165839441666E-3</v>
      </c>
      <c r="Y417" s="9"/>
      <c r="Z417" s="7">
        <v>14.34</v>
      </c>
      <c r="AA417" s="8">
        <f>IFERROR(Z417/Z444, "NA")</f>
        <v>1.3398571607619484E-5</v>
      </c>
      <c r="AB417" s="9"/>
      <c r="AC417" s="10">
        <f t="shared" si="103"/>
        <v>-52.86999999999999</v>
      </c>
      <c r="AD417" s="8">
        <f>IFERROR(AC417/AC444, "NA")</f>
        <v>-6.8320089504873838E-4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3297.15</v>
      </c>
      <c r="C428" s="15">
        <f>IFERROR(B428/B444, "NA")</f>
        <v>2.1417594471199165E-2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-3297.15</v>
      </c>
      <c r="I428" s="15">
        <f>IFERROR(H428/H444, "NA")</f>
        <v>-0.12126926399857006</v>
      </c>
      <c r="J428" s="2"/>
      <c r="K428" s="14">
        <f>IFERROR(K407+K408+K409+K410+K411+K412+K413+K414+K415+K416+K417+K418+K419+K420+K421+K422+K423+K424+K425+K426+K427, "NA")</f>
        <v>2998.29</v>
      </c>
      <c r="L428" s="15">
        <f>IFERROR(K428/K444, "NA")</f>
        <v>2.5782735166665648E-2</v>
      </c>
      <c r="M428" s="2"/>
      <c r="N428" s="14">
        <f t="shared" si="101"/>
        <v>-298.86000000000013</v>
      </c>
      <c r="O428" s="15">
        <f>IFERROR(N428/N444, "NA")</f>
        <v>-7.9367418885812804E-3</v>
      </c>
      <c r="P428" s="2"/>
      <c r="Q428" s="14">
        <f>IFERROR(Q407+Q408+Q409+Q410+Q411+Q412+Q413+Q414+Q415+Q416+Q417+Q418+Q419+Q420+Q421+Q422+Q423+Q424+Q425+Q426+Q427, "NA")</f>
        <v>33653.279999999999</v>
      </c>
      <c r="R428" s="15">
        <f>IFERROR(Q428/Q444, "NA")</f>
        <v>2.9323667730589455E-2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-33653.279999999999</v>
      </c>
      <c r="X428" s="15">
        <f>IFERROR(W428/W444, "NA")</f>
        <v>0.57613483219932371</v>
      </c>
      <c r="Y428" s="2"/>
      <c r="Z428" s="14">
        <f>IFERROR(Z407+Z408+Z409+Z410+Z411+Z412+Z413+Z414+Z415+Z416+Z417+Z418+Z419+Z420+Z421+Z422+Z423+Z424+Z425+Z426+Z427, "NA")</f>
        <v>57440.67</v>
      </c>
      <c r="AA428" s="15">
        <f>IFERROR(Z428/Z444, "NA")</f>
        <v>5.3669660403391932E-2</v>
      </c>
      <c r="AB428" s="2"/>
      <c r="AC428" s="14">
        <f t="shared" si="103"/>
        <v>23787.39</v>
      </c>
      <c r="AD428" s="15">
        <f>IFERROR(AC428/AC444, "NA")</f>
        <v>0.30738729220490657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3297.15</v>
      </c>
      <c r="C429" s="15">
        <f>IFERROR(B429/B444, "NA")</f>
        <v>2.1417594471199165E-2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-3297.15</v>
      </c>
      <c r="I429" s="15">
        <f>IFERROR(H429/H444, "NA")</f>
        <v>-0.12126926399857006</v>
      </c>
      <c r="J429" s="2"/>
      <c r="K429" s="14">
        <f>IFERROR(K407+K408+K409+K410+K411+K412+K413+K414+K415+K416+K417+K418+K419+K420+K421+K422+K423+K424+K425+K426+K427, "NA")</f>
        <v>2998.29</v>
      </c>
      <c r="L429" s="15">
        <f>IFERROR(K429/K444, "NA")</f>
        <v>2.5782735166665648E-2</v>
      </c>
      <c r="M429" s="2"/>
      <c r="N429" s="14">
        <f t="shared" si="101"/>
        <v>-298.86000000000013</v>
      </c>
      <c r="O429" s="15">
        <f>IFERROR(N429/N444, "NA")</f>
        <v>-7.9367418885812804E-3</v>
      </c>
      <c r="P429" s="2"/>
      <c r="Q429" s="14">
        <f>IFERROR(Q407+Q408+Q409+Q410+Q411+Q412+Q413+Q414+Q415+Q416+Q417+Q418+Q419+Q420+Q421+Q422+Q423+Q424+Q425+Q426+Q427, "NA")</f>
        <v>33653.279999999999</v>
      </c>
      <c r="R429" s="15">
        <f>IFERROR(Q429/Q444, "NA")</f>
        <v>2.9323667730589455E-2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-33653.279999999999</v>
      </c>
      <c r="X429" s="15">
        <f>IFERROR(W429/W444, "NA")</f>
        <v>0.57613483219932371</v>
      </c>
      <c r="Y429" s="2"/>
      <c r="Z429" s="14">
        <f>IFERROR(Z407+Z408+Z409+Z410+Z411+Z412+Z413+Z414+Z415+Z416+Z417+Z418+Z419+Z420+Z421+Z422+Z423+Z424+Z425+Z426+Z427, "NA")</f>
        <v>57440.67</v>
      </c>
      <c r="AA429" s="15">
        <f>IFERROR(Z429/Z444, "NA")</f>
        <v>5.3669660403391932E-2</v>
      </c>
      <c r="AB429" s="2"/>
      <c r="AC429" s="14">
        <f t="shared" si="103"/>
        <v>23787.39</v>
      </c>
      <c r="AD429" s="15">
        <f>IFERROR(AC429/AC444, "NA")</f>
        <v>0.30738729220490657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36093.620000000003</v>
      </c>
      <c r="C443" s="24">
        <f>IFERROR(B443/B444, "NA")</f>
        <v>0.23445658103439745</v>
      </c>
      <c r="D443" s="25"/>
      <c r="E443" s="23">
        <f>IFERROR(E404-E429-E442, "NA")</f>
        <v>25263.980000000003</v>
      </c>
      <c r="F443" s="24">
        <f>IFERROR(E443/E444, "NA")</f>
        <v>0.19931003519405885</v>
      </c>
      <c r="G443" s="25"/>
      <c r="H443" s="23">
        <f>IFERROR(B443-E443, "NA")</f>
        <v>10829.64</v>
      </c>
      <c r="I443" s="24">
        <f>IFERROR(H443/H444, "NA")</f>
        <v>0.398314444950783</v>
      </c>
      <c r="J443" s="25"/>
      <c r="K443" s="23">
        <f>IFERROR(K404-K429-K442, "NA")</f>
        <v>20419.539999999983</v>
      </c>
      <c r="L443" s="24">
        <f>IFERROR(K443/K444, "NA")</f>
        <v>0.17559061733359196</v>
      </c>
      <c r="M443" s="25"/>
      <c r="N443" s="23">
        <f>IFERROR(B443-K443, "NA")</f>
        <v>15674.08000000002</v>
      </c>
      <c r="O443" s="24">
        <f>IFERROR(N443/N444, "NA")</f>
        <v>0.41625218263057678</v>
      </c>
      <c r="P443" s="25"/>
      <c r="Q443" s="23">
        <f>IFERROR(Q404-Q429-Q442, "NA")</f>
        <v>20425.190000000031</v>
      </c>
      <c r="R443" s="24">
        <f>IFERROR(Q443/Q444, "NA")</f>
        <v>1.7797417811700949E-2</v>
      </c>
      <c r="S443" s="25"/>
      <c r="T443" s="23">
        <f>IFERROR(T404-T429-T442, "NA")</f>
        <v>173790.75000000026</v>
      </c>
      <c r="U443" s="24">
        <f>IFERROR(T443/T444, "NA")</f>
        <v>0.14409778349313182</v>
      </c>
      <c r="V443" s="25"/>
      <c r="W443" s="23">
        <f>IFERROR(Q443-T443, "NA")</f>
        <v>-153365.56000000023</v>
      </c>
      <c r="X443" s="24">
        <f>IFERROR(W443/W444, "NA")</f>
        <v>2.6255759074822853</v>
      </c>
      <c r="Y443" s="25"/>
      <c r="Z443" s="23">
        <f>IFERROR(Z404-Z429-Z442, "NA")</f>
        <v>76341.169999999969</v>
      </c>
      <c r="AA443" s="24">
        <f>IFERROR(Z443/Z444, "NA")</f>
        <v>7.1329332835038492E-2</v>
      </c>
      <c r="AB443" s="25"/>
      <c r="AC443" s="23">
        <f>IFERROR(Q443-Z443, "NA")</f>
        <v>-55915.979999999938</v>
      </c>
      <c r="AD443" s="24">
        <f>IFERROR(AC443/AC444, "NA")</f>
        <v>-0.72256189868597154</v>
      </c>
    </row>
    <row r="444" spans="1:30" ht="15.75" hidden="1" x14ac:dyDescent="0.45">
      <c r="A444" s="26" t="s">
        <v>117</v>
      </c>
      <c r="B444" s="7">
        <v>153945.85999999999</v>
      </c>
      <c r="C444" s="27"/>
      <c r="D444" s="9"/>
      <c r="E444" s="7">
        <v>126757.19</v>
      </c>
      <c r="F444" s="27"/>
      <c r="G444" s="9"/>
      <c r="H444" s="10">
        <f>IFERROR(B444-E444, "NA")</f>
        <v>27188.669999999984</v>
      </c>
      <c r="I444" s="27"/>
      <c r="J444" s="9"/>
      <c r="K444" s="7">
        <v>116290.61</v>
      </c>
      <c r="L444" s="27"/>
      <c r="M444" s="9"/>
      <c r="N444" s="10">
        <f>IFERROR(B444-K444, "NA")</f>
        <v>37655.249999999985</v>
      </c>
      <c r="O444" s="27"/>
      <c r="P444" s="9"/>
      <c r="Q444" s="7">
        <v>1147649.07</v>
      </c>
      <c r="R444" s="27"/>
      <c r="S444" s="9"/>
      <c r="T444" s="7">
        <v>1206061.23</v>
      </c>
      <c r="U444" s="27"/>
      <c r="V444" s="9"/>
      <c r="W444" s="10">
        <f>IFERROR(Q444-T444, "NA")</f>
        <v>-58412.159999999916</v>
      </c>
      <c r="X444" s="27"/>
      <c r="Y444" s="9"/>
      <c r="Z444" s="7">
        <v>1070263.3400000001</v>
      </c>
      <c r="AA444" s="27"/>
      <c r="AB444" s="9"/>
      <c r="AC444" s="10">
        <f>IFERROR(Q444-Z444, "NA")</f>
        <v>77385.729999999981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62032.46</v>
      </c>
      <c r="F10" s="8">
        <f>IFERROR(E10/E444, "NA")</f>
        <v>0.5889999902201204</v>
      </c>
      <c r="G10" s="9"/>
      <c r="H10" s="10">
        <f t="shared" ref="H10:H19" si="0">IFERROR(B10-E10, "NA")</f>
        <v>-62032.46</v>
      </c>
      <c r="I10" s="8">
        <f>IFERROR(H10/H444, "NA")</f>
        <v>68.526739060790391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776060.69</v>
      </c>
      <c r="U10" s="8">
        <f>IFERROR(T10/T444, "NA")</f>
        <v>0.58899998462344516</v>
      </c>
      <c r="V10" s="9"/>
      <c r="W10" s="10">
        <f t="shared" ref="W10:W19" si="2">IFERROR(Q10-T10, "NA")</f>
        <v>-776060.69</v>
      </c>
      <c r="X10" s="8">
        <f>IFERROR(W10/W444, "NA")</f>
        <v>8.2342395346066173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48318.22</v>
      </c>
      <c r="C11" s="8">
        <f>IFERROR(B11/B444, "NA")</f>
        <v>0.46276039850961148</v>
      </c>
      <c r="D11" s="9"/>
      <c r="E11" s="7">
        <v>0</v>
      </c>
      <c r="F11" s="8">
        <f>IFERROR(E11/E444, "NA")</f>
        <v>0</v>
      </c>
      <c r="G11" s="9"/>
      <c r="H11" s="10">
        <f t="shared" si="0"/>
        <v>48318.22</v>
      </c>
      <c r="I11" s="8">
        <f>IFERROR(H11/H444, "NA")</f>
        <v>-53.376732984986624</v>
      </c>
      <c r="J11" s="9"/>
      <c r="K11" s="7">
        <v>52136</v>
      </c>
      <c r="L11" s="8">
        <f>IFERROR(K11/K444, "NA")</f>
        <v>0.55938965841566202</v>
      </c>
      <c r="M11" s="9"/>
      <c r="N11" s="10">
        <f t="shared" si="1"/>
        <v>-3817.7799999999988</v>
      </c>
      <c r="O11" s="8">
        <f>IFERROR(N11/N444, "NA")</f>
        <v>-0.34052478446161355</v>
      </c>
      <c r="P11" s="9"/>
      <c r="Q11" s="7">
        <v>654768.91</v>
      </c>
      <c r="R11" s="8">
        <f>IFERROR(Q11/Q444, "NA")</f>
        <v>0.53522950521952428</v>
      </c>
      <c r="S11" s="9"/>
      <c r="T11" s="7">
        <v>0</v>
      </c>
      <c r="U11" s="8">
        <f>IFERROR(T11/T444, "NA")</f>
        <v>0</v>
      </c>
      <c r="V11" s="9"/>
      <c r="W11" s="10">
        <f t="shared" si="2"/>
        <v>654768.91</v>
      </c>
      <c r="X11" s="8">
        <f>IFERROR(W11/W444, "NA")</f>
        <v>-6.9472969243594633</v>
      </c>
      <c r="Y11" s="9"/>
      <c r="Z11" s="7">
        <v>617393.04</v>
      </c>
      <c r="AA11" s="8">
        <f>IFERROR(Z11/Z444, "NA")</f>
        <v>0.53410366010035015</v>
      </c>
      <c r="AB11" s="9"/>
      <c r="AC11" s="10">
        <f t="shared" si="3"/>
        <v>37375.869999999995</v>
      </c>
      <c r="AD11" s="8">
        <f>IFERROR(AC11/AC444, "NA")</f>
        <v>0.55453829511522124</v>
      </c>
    </row>
    <row r="12" spans="1:30" ht="16.5" customHeight="1" x14ac:dyDescent="0.45">
      <c r="A12" s="12" t="s">
        <v>14</v>
      </c>
      <c r="B12" s="7">
        <v>5037</v>
      </c>
      <c r="C12" s="8">
        <f>IFERROR(B12/B444, "NA")</f>
        <v>4.8241100919961727E-2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5037</v>
      </c>
      <c r="I12" s="8">
        <f>IFERROR(H12/H444, "NA")</f>
        <v>-5.5643317168011901</v>
      </c>
      <c r="J12" s="9"/>
      <c r="K12" s="7">
        <v>5758.6</v>
      </c>
      <c r="L12" s="8">
        <f>IFERROR(K12/K444, "NA")</f>
        <v>6.1786506194422885E-2</v>
      </c>
      <c r="M12" s="9"/>
      <c r="N12" s="10">
        <f t="shared" si="1"/>
        <v>-721.60000000000036</v>
      </c>
      <c r="O12" s="8">
        <f>IFERROR(N12/N444, "NA")</f>
        <v>-6.4362714579546371E-2</v>
      </c>
      <c r="P12" s="9"/>
      <c r="Q12" s="7">
        <v>71583.350000000006</v>
      </c>
      <c r="R12" s="8">
        <f>IFERROR(Q12/Q444, "NA")</f>
        <v>5.8514569670780545E-2</v>
      </c>
      <c r="S12" s="9"/>
      <c r="T12" s="7">
        <v>0</v>
      </c>
      <c r="U12" s="8">
        <f>IFERROR(T12/T444, "NA")</f>
        <v>0</v>
      </c>
      <c r="V12" s="9"/>
      <c r="W12" s="10">
        <f t="shared" si="2"/>
        <v>71583.350000000006</v>
      </c>
      <c r="X12" s="8">
        <f>IFERROR(W12/W444, "NA")</f>
        <v>-0.75952107636012689</v>
      </c>
      <c r="Y12" s="9"/>
      <c r="Z12" s="7">
        <v>69376.7</v>
      </c>
      <c r="AA12" s="8">
        <f>IFERROR(Z12/Z444, "NA")</f>
        <v>6.0017439451024515E-2</v>
      </c>
      <c r="AB12" s="9"/>
      <c r="AC12" s="10">
        <f t="shared" si="3"/>
        <v>2206.6500000000087</v>
      </c>
      <c r="AD12" s="8">
        <f>IFERROR(AC12/AC444, "NA")</f>
        <v>3.2739623958345523E-2</v>
      </c>
    </row>
    <row r="13" spans="1:30" ht="16.5" customHeight="1" x14ac:dyDescent="0.45">
      <c r="A13" s="12" t="s">
        <v>15</v>
      </c>
      <c r="B13" s="7">
        <v>202</v>
      </c>
      <c r="C13" s="8">
        <f>IFERROR(B13/B444, "NA")</f>
        <v>1.9346242576597714E-3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202</v>
      </c>
      <c r="I13" s="8">
        <f>IFERROR(H13/H444, "NA")</f>
        <v>-0.22314770831722067</v>
      </c>
      <c r="J13" s="9"/>
      <c r="K13" s="7">
        <v>175</v>
      </c>
      <c r="L13" s="8">
        <f>IFERROR(K13/K444, "NA")</f>
        <v>1.8776505720181998E-3</v>
      </c>
      <c r="M13" s="9"/>
      <c r="N13" s="10">
        <f t="shared" si="1"/>
        <v>27</v>
      </c>
      <c r="O13" s="8">
        <f>IFERROR(N13/N444, "NA")</f>
        <v>2.4082501297779256E-3</v>
      </c>
      <c r="P13" s="9"/>
      <c r="Q13" s="7">
        <v>3256</v>
      </c>
      <c r="R13" s="8">
        <f>IFERROR(Q13/Q444, "NA")</f>
        <v>2.6615608077585279E-3</v>
      </c>
      <c r="S13" s="9"/>
      <c r="T13" s="7">
        <v>0</v>
      </c>
      <c r="U13" s="8">
        <f>IFERROR(T13/T444, "NA")</f>
        <v>0</v>
      </c>
      <c r="V13" s="9"/>
      <c r="W13" s="10">
        <f t="shared" si="2"/>
        <v>3256</v>
      </c>
      <c r="X13" s="8">
        <f>IFERROR(W13/W444, "NA")</f>
        <v>-3.4547148528653281E-2</v>
      </c>
      <c r="Y13" s="9"/>
      <c r="Z13" s="7">
        <v>2139.9899999999998</v>
      </c>
      <c r="AA13" s="8">
        <f>IFERROR(Z13/Z444, "NA")</f>
        <v>1.8512947466627549E-3</v>
      </c>
      <c r="AB13" s="9"/>
      <c r="AC13" s="10">
        <f t="shared" si="3"/>
        <v>1116.0100000000002</v>
      </c>
      <c r="AD13" s="8">
        <f>IFERROR(AC13/AC444, "NA")</f>
        <v>1.6558016782794307E-2</v>
      </c>
    </row>
    <row r="14" spans="1:30" ht="16.5" customHeight="1" x14ac:dyDescent="0.45">
      <c r="A14" s="12" t="s">
        <v>16</v>
      </c>
      <c r="B14" s="7">
        <v>0</v>
      </c>
      <c r="C14" s="8">
        <f>IFERROR(B14/B444, "NA")</f>
        <v>0</v>
      </c>
      <c r="D14" s="9"/>
      <c r="E14" s="7">
        <v>0</v>
      </c>
      <c r="F14" s="8">
        <f>IFERROR(E14/E444, "NA")</f>
        <v>0</v>
      </c>
      <c r="G14" s="9"/>
      <c r="H14" s="10">
        <f t="shared" si="0"/>
        <v>0</v>
      </c>
      <c r="I14" s="8">
        <f>IFERROR(H14/H444, "NA")</f>
        <v>0</v>
      </c>
      <c r="J14" s="9"/>
      <c r="K14" s="7">
        <v>325</v>
      </c>
      <c r="L14" s="8">
        <f>IFERROR(K14/K444, "NA")</f>
        <v>3.4870653480337994E-3</v>
      </c>
      <c r="M14" s="9"/>
      <c r="N14" s="10">
        <f t="shared" si="1"/>
        <v>-325</v>
      </c>
      <c r="O14" s="8">
        <f>IFERROR(N14/N444, "NA")</f>
        <v>-2.8988196006586139E-2</v>
      </c>
      <c r="P14" s="9"/>
      <c r="Q14" s="7">
        <v>3265</v>
      </c>
      <c r="R14" s="8">
        <f>IFERROR(Q14/Q444, "NA")</f>
        <v>2.6689177018831677E-3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3265</v>
      </c>
      <c r="X14" s="8">
        <f>IFERROR(W14/W444, "NA")</f>
        <v>-3.4642641261072776E-2</v>
      </c>
      <c r="Y14" s="9"/>
      <c r="Z14" s="7">
        <v>6475</v>
      </c>
      <c r="AA14" s="8">
        <f>IFERROR(Z14/Z444, "NA")</f>
        <v>5.6014904203483843E-3</v>
      </c>
      <c r="AB14" s="9"/>
      <c r="AC14" s="10">
        <f t="shared" si="3"/>
        <v>-3210</v>
      </c>
      <c r="AD14" s="8">
        <f>IFERROR(AC14/AC444, "NA")</f>
        <v>-4.7626126892025798E-2</v>
      </c>
    </row>
    <row r="15" spans="1:30" ht="16.5" customHeight="1" x14ac:dyDescent="0.45">
      <c r="A15" s="12" t="s">
        <v>17</v>
      </c>
      <c r="B15" s="7">
        <v>10</v>
      </c>
      <c r="C15" s="8">
        <f>IFERROR(B15/B444, "NA")</f>
        <v>9.5773478101968883E-5</v>
      </c>
      <c r="D15" s="9"/>
      <c r="E15" s="7">
        <v>0</v>
      </c>
      <c r="F15" s="8">
        <f>IFERROR(E15/E444, "NA")</f>
        <v>0</v>
      </c>
      <c r="G15" s="9"/>
      <c r="H15" s="10">
        <f t="shared" si="0"/>
        <v>10</v>
      </c>
      <c r="I15" s="8">
        <f>IFERROR(H15/H444, "NA")</f>
        <v>-1.1046916253327755E-2</v>
      </c>
      <c r="J15" s="9"/>
      <c r="K15" s="7">
        <v>36</v>
      </c>
      <c r="L15" s="8">
        <f>IFERROR(K15/K444, "NA")</f>
        <v>3.8625954624374394E-4</v>
      </c>
      <c r="M15" s="9"/>
      <c r="N15" s="10">
        <f t="shared" si="1"/>
        <v>-26</v>
      </c>
      <c r="O15" s="8">
        <f>IFERROR(N15/N444, "NA")</f>
        <v>-2.3190556805268913E-3</v>
      </c>
      <c r="P15" s="9"/>
      <c r="Q15" s="7">
        <v>530</v>
      </c>
      <c r="R15" s="8">
        <f>IFERROR(Q15/Q444, "NA")</f>
        <v>4.3323932067322477E-4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530</v>
      </c>
      <c r="X15" s="8">
        <f>IFERROR(W15/W444, "NA")</f>
        <v>-5.6234609091481078E-3</v>
      </c>
      <c r="Y15" s="9"/>
      <c r="Z15" s="7">
        <v>607</v>
      </c>
      <c r="AA15" s="8">
        <f>IFERROR(Z15/Z444, "NA")</f>
        <v>5.251126926874856E-4</v>
      </c>
      <c r="AB15" s="9"/>
      <c r="AC15" s="10">
        <f t="shared" si="3"/>
        <v>-77</v>
      </c>
      <c r="AD15" s="8">
        <f>IFERROR(AC15/AC444, "NA")</f>
        <v>-1.1424335734224256E-3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53567.22</v>
      </c>
      <c r="C18" s="15">
        <f>IFERROR(B18/B444, "NA")</f>
        <v>0.51303189716533493</v>
      </c>
      <c r="D18" s="2"/>
      <c r="E18" s="14">
        <f>IFERROR(E10+E11+E12+E13+E14+E15+E16+E17, "NA")</f>
        <v>62032.46</v>
      </c>
      <c r="F18" s="15">
        <f>IFERROR(E18/E444, "NA")</f>
        <v>0.5889999902201204</v>
      </c>
      <c r="G18" s="2"/>
      <c r="H18" s="14">
        <f t="shared" si="0"/>
        <v>-8465.239999999998</v>
      </c>
      <c r="I18" s="15">
        <f>IFERROR(H18/H444, "NA")</f>
        <v>9.3514797344320222</v>
      </c>
      <c r="J18" s="2"/>
      <c r="K18" s="14">
        <f>IFERROR(K10+K11+K12+K13+K14+K15+K16+K17, "NA")</f>
        <v>58430.6</v>
      </c>
      <c r="L18" s="15">
        <f>IFERROR(K18/K444, "NA")</f>
        <v>0.62692714007638062</v>
      </c>
      <c r="M18" s="2"/>
      <c r="N18" s="14">
        <f t="shared" si="1"/>
        <v>-4863.3799999999974</v>
      </c>
      <c r="O18" s="15">
        <f>IFERROR(N18/N444, "NA")</f>
        <v>-0.43378650059849483</v>
      </c>
      <c r="P18" s="2"/>
      <c r="Q18" s="14">
        <f>IFERROR(Q10+Q11+Q12+Q13+Q14+Q15+Q16+Q17, "NA")</f>
        <v>733403.26</v>
      </c>
      <c r="R18" s="15">
        <f>IFERROR(Q18/Q444, "NA")</f>
        <v>0.59950779272061971</v>
      </c>
      <c r="S18" s="2"/>
      <c r="T18" s="14">
        <f>IFERROR(T10+T11+T12+T13+T14+T15+T16+T17, "NA")</f>
        <v>776060.69</v>
      </c>
      <c r="U18" s="15">
        <f>IFERROR(T18/T444, "NA")</f>
        <v>0.58899998462344516</v>
      </c>
      <c r="V18" s="2"/>
      <c r="W18" s="14">
        <f t="shared" si="2"/>
        <v>-42657.429999999935</v>
      </c>
      <c r="X18" s="15">
        <f>IFERROR(W18/W444, "NA")</f>
        <v>0.4526082831881536</v>
      </c>
      <c r="Y18" s="2"/>
      <c r="Z18" s="14">
        <f>IFERROR(Z10+Z11+Z12+Z13+Z14+Z15+Z16+Z17, "NA")</f>
        <v>695991.73</v>
      </c>
      <c r="AA18" s="15">
        <f>IFERROR(Z18/Z444, "NA")</f>
        <v>0.6020989974110732</v>
      </c>
      <c r="AB18" s="2"/>
      <c r="AC18" s="14">
        <f t="shared" si="3"/>
        <v>37411.530000000028</v>
      </c>
      <c r="AD18" s="15">
        <f>IFERROR(AC18/AC444, "NA")</f>
        <v>0.55506737539091311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8741.42</v>
      </c>
      <c r="F21" s="8">
        <f>IFERROR(E21/E444, "NA")</f>
        <v>8.300003408715316E-2</v>
      </c>
      <c r="G21" s="9"/>
      <c r="H21" s="10">
        <f t="shared" ref="H21:H29" si="4">IFERROR(B21-E21, "NA")</f>
        <v>-8741.42</v>
      </c>
      <c r="I21" s="8">
        <f>IFERROR(H21/H444, "NA")</f>
        <v>9.6565734675164308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109360</v>
      </c>
      <c r="U21" s="8">
        <f>IFERROR(T21/T444, "NA")</f>
        <v>8.3000001350951008E-2</v>
      </c>
      <c r="V21" s="9"/>
      <c r="W21" s="10">
        <f t="shared" ref="W21:W29" si="6">IFERROR(Q21-T21, "NA")</f>
        <v>-109360</v>
      </c>
      <c r="X21" s="8">
        <f>IFERROR(W21/W444, "NA")</f>
        <v>1.1603428019329001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5559.86</v>
      </c>
      <c r="C22" s="8">
        <f>IFERROR(B22/B444, "NA")</f>
        <v>5.3248712996001264E-2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5559.86</v>
      </c>
      <c r="I22" s="8">
        <f>IFERROR(H22/H444, "NA")</f>
        <v>-6.141930780022685</v>
      </c>
      <c r="J22" s="9"/>
      <c r="K22" s="7">
        <v>7362.15</v>
      </c>
      <c r="L22" s="8">
        <f>IFERROR(K22/K444, "NA")</f>
        <v>7.8991686621621648E-2</v>
      </c>
      <c r="M22" s="9"/>
      <c r="N22" s="10">
        <f t="shared" si="5"/>
        <v>-1802.29</v>
      </c>
      <c r="O22" s="8">
        <f>IFERROR(N22/N444, "NA")</f>
        <v>-0.16075426394064657</v>
      </c>
      <c r="P22" s="9"/>
      <c r="Q22" s="7">
        <v>84657.2</v>
      </c>
      <c r="R22" s="8">
        <f>IFERROR(Q22/Q444, "NA")</f>
        <v>6.9201561920938348E-2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84657.2</v>
      </c>
      <c r="X22" s="8">
        <f>IFERROR(W22/W444, "NA")</f>
        <v>-0.89823859410930784</v>
      </c>
      <c r="Y22" s="9"/>
      <c r="Z22" s="7">
        <v>81674.429999999993</v>
      </c>
      <c r="AA22" s="8">
        <f>IFERROR(Z22/Z444, "NA")</f>
        <v>7.0656144746318872E-2</v>
      </c>
      <c r="AB22" s="9"/>
      <c r="AC22" s="10">
        <f t="shared" si="7"/>
        <v>2982.7700000000041</v>
      </c>
      <c r="AD22" s="8">
        <f>IFERROR(AC22/AC444, "NA")</f>
        <v>4.4254760906457316E-2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878.78</v>
      </c>
      <c r="C24" s="8">
        <f>IFERROR(B24/B444, "NA")</f>
        <v>8.4163817086448205E-3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878.78</v>
      </c>
      <c r="I24" s="8">
        <f>IFERROR(H24/H444, "NA")</f>
        <v>-0.97078090650993654</v>
      </c>
      <c r="J24" s="9"/>
      <c r="K24" s="7">
        <v>924.54</v>
      </c>
      <c r="L24" s="8">
        <f>IFERROR(K24/K444, "NA")</f>
        <v>9.9197889134497504E-3</v>
      </c>
      <c r="M24" s="9"/>
      <c r="N24" s="10">
        <f t="shared" si="5"/>
        <v>-45.759999999999991</v>
      </c>
      <c r="O24" s="8">
        <f>IFERROR(N24/N444, "NA")</f>
        <v>-4.0815379977273275E-3</v>
      </c>
      <c r="P24" s="9"/>
      <c r="Q24" s="7">
        <v>10057.209999999999</v>
      </c>
      <c r="R24" s="8">
        <f>IFERROR(Q24/Q444, "NA")</f>
        <v>8.2210921288074761E-3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10057.209999999999</v>
      </c>
      <c r="X24" s="8">
        <f>IFERROR(W24/W444, "NA")</f>
        <v>-0.10671005149074234</v>
      </c>
      <c r="Y24" s="9"/>
      <c r="Z24" s="7">
        <v>6482.63</v>
      </c>
      <c r="AA24" s="8">
        <f>IFERROR(Z24/Z444, "NA")</f>
        <v>5.6080910955464171E-3</v>
      </c>
      <c r="AB24" s="9"/>
      <c r="AC24" s="10">
        <f t="shared" si="7"/>
        <v>3574.579999999999</v>
      </c>
      <c r="AD24" s="8">
        <f>IFERROR(AC24/AC444, "NA")</f>
        <v>5.3035327310186148E-2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832.61</v>
      </c>
      <c r="C28" s="8">
        <f>IFERROR(B28/B444, "NA")</f>
        <v>7.9741955602480302E-3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832.61</v>
      </c>
      <c r="I28" s="8">
        <f>IFERROR(H28/H444, "NA")</f>
        <v>-0.91977729416832232</v>
      </c>
      <c r="J28" s="9"/>
      <c r="K28" s="7">
        <v>844.59</v>
      </c>
      <c r="L28" s="8">
        <f>IFERROR(K28/K444, "NA")</f>
        <v>9.0619708378334354E-3</v>
      </c>
      <c r="M28" s="9"/>
      <c r="N28" s="10">
        <f t="shared" si="5"/>
        <v>-11.980000000000018</v>
      </c>
      <c r="O28" s="8">
        <f>IFERROR(N28/N444, "NA")</f>
        <v>-1.0685495020273923E-3</v>
      </c>
      <c r="P28" s="9"/>
      <c r="Q28" s="7">
        <v>9769.69</v>
      </c>
      <c r="R28" s="8">
        <f>IFERROR(Q28/Q444, "NA")</f>
        <v>7.9860638845056561E-3</v>
      </c>
      <c r="S28" s="9"/>
      <c r="T28" s="7">
        <v>0</v>
      </c>
      <c r="U28" s="8">
        <f>IFERROR(T28/T444, "NA")</f>
        <v>0</v>
      </c>
      <c r="V28" s="9"/>
      <c r="W28" s="10">
        <f t="shared" si="6"/>
        <v>9769.69</v>
      </c>
      <c r="X28" s="8">
        <f>IFERROR(W28/W444, "NA")</f>
        <v>-0.10365937699904751</v>
      </c>
      <c r="Y28" s="9"/>
      <c r="Z28" s="7">
        <v>9666.7099999999991</v>
      </c>
      <c r="AA28" s="8">
        <f>IFERROR(Z28/Z444, "NA")</f>
        <v>8.3626229283839271E-3</v>
      </c>
      <c r="AB28" s="9"/>
      <c r="AC28" s="10">
        <f t="shared" si="7"/>
        <v>102.98000000000138</v>
      </c>
      <c r="AD28" s="8">
        <f>IFERROR(AC28/AC444, "NA")</f>
        <v>1.5278936284551035E-3</v>
      </c>
    </row>
    <row r="29" spans="1:30" ht="16.5" customHeight="1" x14ac:dyDescent="0.45">
      <c r="A29" s="13" t="s">
        <v>30</v>
      </c>
      <c r="B29" s="14">
        <f>IFERROR(B21+B22+B23+B24+B25+B26+B27+B28, "NA")</f>
        <v>7271.2499999999991</v>
      </c>
      <c r="C29" s="15">
        <f>IFERROR(B29/B444, "NA")</f>
        <v>6.9639290264894113E-2</v>
      </c>
      <c r="D29" s="2"/>
      <c r="E29" s="14">
        <f>IFERROR(E21+E22+E23+E24+E25+E26+E27+E28, "NA")</f>
        <v>8741.42</v>
      </c>
      <c r="F29" s="15">
        <f>IFERROR(E29/E444, "NA")</f>
        <v>8.300003408715316E-2</v>
      </c>
      <c r="G29" s="2"/>
      <c r="H29" s="14">
        <f t="shared" si="4"/>
        <v>-1470.170000000001</v>
      </c>
      <c r="I29" s="15">
        <f>IFERROR(H29/H444, "NA")</f>
        <v>1.6240844868154878</v>
      </c>
      <c r="J29" s="2"/>
      <c r="K29" s="14">
        <f>IFERROR(K21+K22+K23+K24+K25+K26+K27+K28, "NA")</f>
        <v>9131.2799999999988</v>
      </c>
      <c r="L29" s="15">
        <f>IFERROR(K29/K444, "NA")</f>
        <v>9.7973446372904824E-2</v>
      </c>
      <c r="M29" s="2"/>
      <c r="N29" s="14">
        <f t="shared" si="5"/>
        <v>-1860.0299999999997</v>
      </c>
      <c r="O29" s="15">
        <f>IFERROR(N29/N444, "NA")</f>
        <v>-0.16590435144040125</v>
      </c>
      <c r="P29" s="2"/>
      <c r="Q29" s="14">
        <f>IFERROR(Q21+Q22+Q23+Q24+Q25+Q26+Q27+Q28, "NA")</f>
        <v>104484.1</v>
      </c>
      <c r="R29" s="15">
        <f>IFERROR(Q29/Q444, "NA")</f>
        <v>8.5408717934251491E-2</v>
      </c>
      <c r="S29" s="2"/>
      <c r="T29" s="14">
        <f>IFERROR(T21+T22+T23+T24+T25+T26+T27+T28, "NA")</f>
        <v>109360</v>
      </c>
      <c r="U29" s="15">
        <f>IFERROR(T29/T444, "NA")</f>
        <v>8.3000001350951008E-2</v>
      </c>
      <c r="V29" s="2"/>
      <c r="W29" s="14">
        <f t="shared" si="6"/>
        <v>-4875.8999999999942</v>
      </c>
      <c r="X29" s="15">
        <f>IFERROR(W29/W444, "NA")</f>
        <v>5.1734779333802314E-2</v>
      </c>
      <c r="Y29" s="2"/>
      <c r="Z29" s="14">
        <f>IFERROR(Z21+Z22+Z23+Z24+Z25+Z26+Z27+Z28, "NA")</f>
        <v>97823.76999999999</v>
      </c>
      <c r="AA29" s="15">
        <f>IFERROR(Z29/Z444, "NA")</f>
        <v>8.4626858770249211E-2</v>
      </c>
      <c r="AB29" s="2"/>
      <c r="AC29" s="14">
        <f t="shared" si="7"/>
        <v>6660.3300000000163</v>
      </c>
      <c r="AD29" s="15">
        <f>IFERROR(AC29/AC444, "NA")</f>
        <v>9.881798184509874E-2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15903.06</v>
      </c>
      <c r="F31" s="8">
        <f>IFERROR(E31/E444, "NA")</f>
        <v>0.15100001167888533</v>
      </c>
      <c r="G31" s="9"/>
      <c r="H31" s="10">
        <f t="shared" ref="H31:H40" si="8">IFERROR(B31-E31, "NA")</f>
        <v>-15903.06</v>
      </c>
      <c r="I31" s="8">
        <f>IFERROR(H31/H444, "NA")</f>
        <v>17.567977199164648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198956.15</v>
      </c>
      <c r="U31" s="8">
        <f>IFERROR(T31/T444, "NA")</f>
        <v>0.15100000657260435</v>
      </c>
      <c r="V31" s="9"/>
      <c r="W31" s="10">
        <f t="shared" ref="W31:W40" si="10">IFERROR(Q31-T31, "NA")</f>
        <v>-198956.15</v>
      </c>
      <c r="X31" s="8">
        <f>IFERROR(W31/W444, "NA")</f>
        <v>2.1109851550181271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9135.94</v>
      </c>
      <c r="C33" s="8">
        <f>IFERROR(B33/B444, "NA")</f>
        <v>8.7498074953090157E-2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9135.94</v>
      </c>
      <c r="I33" s="8">
        <f>IFERROR(H33/H444, "NA")</f>
        <v>-10.092396407542719</v>
      </c>
      <c r="J33" s="9"/>
      <c r="K33" s="7">
        <v>8149.87</v>
      </c>
      <c r="L33" s="8">
        <f>IFERROR(K33/K444, "NA")</f>
        <v>8.7443474670708371E-2</v>
      </c>
      <c r="M33" s="9"/>
      <c r="N33" s="10">
        <f t="shared" si="9"/>
        <v>986.07000000000062</v>
      </c>
      <c r="O33" s="8">
        <f>IFERROR(N33/N444, "NA")</f>
        <v>8.7951970572967428E-2</v>
      </c>
      <c r="P33" s="9"/>
      <c r="Q33" s="7">
        <v>95812.99</v>
      </c>
      <c r="R33" s="8">
        <f>IFERROR(Q33/Q444, "NA")</f>
        <v>7.8320669243906571E-2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95812.99</v>
      </c>
      <c r="X33" s="8">
        <f>IFERROR(W33/W444, "NA")</f>
        <v>-1.0166049129313182</v>
      </c>
      <c r="Y33" s="9"/>
      <c r="Z33" s="7">
        <v>77786.22</v>
      </c>
      <c r="AA33" s="8">
        <f>IFERROR(Z33/Z444, "NA")</f>
        <v>6.7292473539013423E-2</v>
      </c>
      <c r="AB33" s="9"/>
      <c r="AC33" s="10">
        <f t="shared" si="11"/>
        <v>18026.770000000004</v>
      </c>
      <c r="AD33" s="8">
        <f>IFERROR(AC33/AC444, "NA")</f>
        <v>0.26745957491382061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674.04</v>
      </c>
      <c r="C35" s="8">
        <f>IFERROR(B35/B444, "NA")</f>
        <v>6.4555155179851099E-3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674.04</v>
      </c>
      <c r="I35" s="8">
        <f>IFERROR(H35/H444, "NA")</f>
        <v>-0.74460634313930396</v>
      </c>
      <c r="J35" s="9"/>
      <c r="K35" s="7">
        <v>1485.33</v>
      </c>
      <c r="L35" s="8">
        <f>IFERROR(K35/K444, "NA")</f>
        <v>1.593674699506167E-2</v>
      </c>
      <c r="M35" s="9"/>
      <c r="N35" s="10">
        <f t="shared" si="9"/>
        <v>-811.29</v>
      </c>
      <c r="O35" s="8">
        <f>IFERROR(N35/N444, "NA")</f>
        <v>-7.2362564732871587E-2</v>
      </c>
      <c r="P35" s="9"/>
      <c r="Q35" s="7">
        <v>10413.280000000001</v>
      </c>
      <c r="R35" s="8">
        <f>IFERROR(Q35/Q444, "NA")</f>
        <v>8.5121553833586387E-3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10413.280000000001</v>
      </c>
      <c r="X35" s="8">
        <f>IFERROR(W35/W444, "NA")</f>
        <v>-0.11048806229436568</v>
      </c>
      <c r="Y35" s="9"/>
      <c r="Z35" s="7">
        <v>6757.46</v>
      </c>
      <c r="AA35" s="8">
        <f>IFERROR(Z35/Z444, "NA")</f>
        <v>5.8458451669324164E-3</v>
      </c>
      <c r="AB35" s="9"/>
      <c r="AC35" s="10">
        <f t="shared" si="11"/>
        <v>3655.8200000000006</v>
      </c>
      <c r="AD35" s="8">
        <f>IFERROR(AC35/AC444, "NA")</f>
        <v>5.4240668914145106E-2</v>
      </c>
    </row>
    <row r="36" spans="1:30" ht="16.5" customHeight="1" x14ac:dyDescent="0.45">
      <c r="A36" s="12" t="s">
        <v>36</v>
      </c>
      <c r="B36" s="7">
        <v>9489.9599999999991</v>
      </c>
      <c r="C36" s="8">
        <f>IFERROR(B36/B444, "NA")</f>
        <v>9.0888647624856045E-2</v>
      </c>
      <c r="D36" s="9"/>
      <c r="E36" s="7">
        <v>0</v>
      </c>
      <c r="F36" s="8">
        <f>IFERROR(E36/E444, "NA")</f>
        <v>0</v>
      </c>
      <c r="G36" s="9"/>
      <c r="H36" s="10">
        <f t="shared" si="8"/>
        <v>9489.9599999999991</v>
      </c>
      <c r="I36" s="8">
        <f>IFERROR(H36/H444, "NA")</f>
        <v>-10.483479336743025</v>
      </c>
      <c r="J36" s="9"/>
      <c r="K36" s="7">
        <v>5588.78</v>
      </c>
      <c r="L36" s="8">
        <f>IFERROR(K36/K444, "NA")</f>
        <v>5.9964434079336416E-2</v>
      </c>
      <c r="M36" s="9"/>
      <c r="N36" s="10">
        <f t="shared" si="9"/>
        <v>3901.1799999999994</v>
      </c>
      <c r="O36" s="8">
        <f>IFERROR(N36/N444, "NA")</f>
        <v>0.34796360152914985</v>
      </c>
      <c r="P36" s="9"/>
      <c r="Q36" s="7">
        <v>84451.81</v>
      </c>
      <c r="R36" s="8">
        <f>IFERROR(Q36/Q444, "NA")</f>
        <v>6.9033669422687266E-2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84451.81</v>
      </c>
      <c r="X36" s="8">
        <f>IFERROR(W36/W444, "NA")</f>
        <v>-0.896059343852459</v>
      </c>
      <c r="Y36" s="9"/>
      <c r="Z36" s="7">
        <v>77707.17</v>
      </c>
      <c r="AA36" s="8">
        <f>IFERROR(Z36/Z444, "NA")</f>
        <v>6.7224087775657665E-2</v>
      </c>
      <c r="AB36" s="9"/>
      <c r="AC36" s="10">
        <f t="shared" si="11"/>
        <v>6744.6399999999994</v>
      </c>
      <c r="AD36" s="8">
        <f>IFERROR(AC36/AC444, "NA")</f>
        <v>0.10006887242399777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0</v>
      </c>
      <c r="C39" s="8">
        <f>IFERROR(B39/B444, "NA")</f>
        <v>0</v>
      </c>
      <c r="D39" s="9"/>
      <c r="E39" s="7">
        <v>0</v>
      </c>
      <c r="F39" s="8">
        <f>IFERROR(E39/E444, "NA")</f>
        <v>0</v>
      </c>
      <c r="G39" s="9"/>
      <c r="H39" s="10">
        <f t="shared" si="8"/>
        <v>0</v>
      </c>
      <c r="I39" s="8">
        <f>IFERROR(H39/H444, "NA")</f>
        <v>0</v>
      </c>
      <c r="J39" s="9"/>
      <c r="K39" s="7">
        <v>708.95</v>
      </c>
      <c r="L39" s="8">
        <f>IFERROR(K39/K444, "NA")</f>
        <v>7.6066307030417295E-3</v>
      </c>
      <c r="M39" s="9"/>
      <c r="N39" s="10">
        <f t="shared" si="9"/>
        <v>-708.95</v>
      </c>
      <c r="O39" s="8">
        <f>IFERROR(N39/N444, "NA")</f>
        <v>-6.3234404796520746E-2</v>
      </c>
      <c r="P39" s="9"/>
      <c r="Q39" s="7">
        <v>6889.17</v>
      </c>
      <c r="R39" s="8">
        <f>IFERROR(Q39/Q444, "NA")</f>
        <v>5.6314326996270946E-3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6889.17</v>
      </c>
      <c r="X39" s="8">
        <f>IFERROR(W39/W444, "NA")</f>
        <v>-7.3096185266935607E-2</v>
      </c>
      <c r="Y39" s="9"/>
      <c r="Z39" s="7">
        <v>11056.81</v>
      </c>
      <c r="AA39" s="8">
        <f>IFERROR(Z39/Z444, "NA")</f>
        <v>9.5651915512914628E-3</v>
      </c>
      <c r="AB39" s="9"/>
      <c r="AC39" s="10">
        <f t="shared" si="11"/>
        <v>-4167.6399999999994</v>
      </c>
      <c r="AD39" s="8">
        <f>IFERROR(AC39/AC444, "NA")</f>
        <v>-6.1834439713483604E-2</v>
      </c>
    </row>
    <row r="40" spans="1:30" ht="16.5" customHeight="1" x14ac:dyDescent="0.45">
      <c r="A40" s="13" t="s">
        <v>40</v>
      </c>
      <c r="B40" s="14">
        <f>IFERROR(B31+B32+B33+B34+B35+B36+B37+B38+B39, "NA")</f>
        <v>19299.939999999999</v>
      </c>
      <c r="C40" s="15">
        <f>IFERROR(B40/B444, "NA")</f>
        <v>0.18484223809593131</v>
      </c>
      <c r="D40" s="2"/>
      <c r="E40" s="14">
        <f>IFERROR(E31+E32+E33+E34+E35+E36+E37+E38+E39, "NA")</f>
        <v>15903.06</v>
      </c>
      <c r="F40" s="15">
        <f>IFERROR(E40/E444, "NA")</f>
        <v>0.15100001167888533</v>
      </c>
      <c r="G40" s="2"/>
      <c r="H40" s="14">
        <f t="shared" si="8"/>
        <v>3396.8799999999992</v>
      </c>
      <c r="I40" s="15">
        <f>IFERROR(H40/H444, "NA")</f>
        <v>-3.7525048882603977</v>
      </c>
      <c r="J40" s="2"/>
      <c r="K40" s="14">
        <f>IFERROR(K31+K32+K33+K34+K35+K36+K37+K38+K39, "NA")</f>
        <v>15932.93</v>
      </c>
      <c r="L40" s="15">
        <f>IFERROR(K40/K444, "NA")</f>
        <v>0.17095128644814819</v>
      </c>
      <c r="M40" s="2"/>
      <c r="N40" s="14">
        <f t="shared" si="9"/>
        <v>3367.0099999999984</v>
      </c>
      <c r="O40" s="15">
        <f>IFERROR(N40/N444, "NA")</f>
        <v>0.30031860257272475</v>
      </c>
      <c r="P40" s="2"/>
      <c r="Q40" s="14">
        <f>IFERROR(Q31+Q32+Q33+Q34+Q35+Q36+Q37+Q38+Q39, "NA")</f>
        <v>197567.25000000003</v>
      </c>
      <c r="R40" s="15">
        <f>IFERROR(Q40/Q444, "NA")</f>
        <v>0.16149792674957958</v>
      </c>
      <c r="S40" s="2"/>
      <c r="T40" s="14">
        <f>IFERROR(T31+T32+T33+T34+T35+T36+T37+T38+T39, "NA")</f>
        <v>198956.15</v>
      </c>
      <c r="U40" s="15">
        <f>IFERROR(T40/T444, "NA")</f>
        <v>0.15100000657260435</v>
      </c>
      <c r="V40" s="2"/>
      <c r="W40" s="14">
        <f t="shared" si="10"/>
        <v>-1388.8999999999651</v>
      </c>
      <c r="X40" s="15">
        <f>IFERROR(W40/W444, "NA")</f>
        <v>1.4736650673048322E-2</v>
      </c>
      <c r="Y40" s="2"/>
      <c r="Z40" s="14">
        <f>IFERROR(Z31+Z32+Z33+Z34+Z35+Z36+Z37+Z38+Z39, "NA")</f>
        <v>173307.66</v>
      </c>
      <c r="AA40" s="15">
        <f>IFERROR(Z40/Z444, "NA")</f>
        <v>0.14992759803289496</v>
      </c>
      <c r="AB40" s="2"/>
      <c r="AC40" s="14">
        <f t="shared" si="11"/>
        <v>24259.590000000026</v>
      </c>
      <c r="AD40" s="15">
        <f>IFERROR(AC40/AC444, "NA")</f>
        <v>0.35993467653848016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2598.65</v>
      </c>
      <c r="C43" s="8">
        <f>IFERROR(B43/B444, "NA")</f>
        <v>2.4888174886968144E-2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2598.65</v>
      </c>
      <c r="I43" s="8">
        <f>IFERROR(H43/H444, "NA")</f>
        <v>-2.8707068921710173</v>
      </c>
      <c r="J43" s="9"/>
      <c r="K43" s="7">
        <v>1382.89</v>
      </c>
      <c r="L43" s="8">
        <f>IFERROR(K43/K444, "NA")</f>
        <v>1.4837623997361419E-2</v>
      </c>
      <c r="M43" s="9"/>
      <c r="N43" s="10">
        <f>IFERROR(B43-K43, "NA")</f>
        <v>1215.76</v>
      </c>
      <c r="O43" s="8">
        <f>IFERROR(N43/N444, "NA")</f>
        <v>0.10843904362143743</v>
      </c>
      <c r="P43" s="9"/>
      <c r="Q43" s="7">
        <v>27101.74</v>
      </c>
      <c r="R43" s="8">
        <f>IFERROR(Q43/Q444, "NA")</f>
        <v>2.2153847974834648E-2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27101.74</v>
      </c>
      <c r="X43" s="8">
        <f>IFERROR(W43/W444, "NA")</f>
        <v>-0.28755768954697292</v>
      </c>
      <c r="Y43" s="9"/>
      <c r="Z43" s="7">
        <v>21757.27</v>
      </c>
      <c r="AA43" s="8">
        <f>IFERROR(Z43/Z444, "NA")</f>
        <v>1.8822106483078502E-2</v>
      </c>
      <c r="AB43" s="9"/>
      <c r="AC43" s="10">
        <f>IFERROR(Q43-Z43, "NA")</f>
        <v>5344.4700000000012</v>
      </c>
      <c r="AD43" s="8">
        <f>IFERROR(AC43/AC444, "NA")</f>
        <v>7.9294830651285092E-2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20958.330000000002</v>
      </c>
      <c r="F46" s="8">
        <f>IFERROR(E46/E444, "NA")</f>
        <v>0.19899994559348536</v>
      </c>
      <c r="G46" s="9"/>
      <c r="H46" s="10">
        <f t="shared" ref="H46:H62" si="12">IFERROR(B46-E46, "NA")</f>
        <v>-20958.330000000002</v>
      </c>
      <c r="I46" s="8">
        <f>IFERROR(H46/H444, "NA")</f>
        <v>23.152491631960672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262200.46999999997</v>
      </c>
      <c r="U46" s="8">
        <f>IFERROR(T46/T444, "NA")</f>
        <v>0.19899999418635686</v>
      </c>
      <c r="V46" s="9"/>
      <c r="W46" s="10">
        <f t="shared" ref="W46:W62" si="14">IFERROR(Q46-T46, "NA")</f>
        <v>-262200.46999999997</v>
      </c>
      <c r="X46" s="8">
        <f>IFERROR(W46/W444, "NA")</f>
        <v>2.782026591330681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20961.099999999999</v>
      </c>
      <c r="C48" s="8">
        <f>IFERROR(B48/B444, "NA")</f>
        <v>0.20075174518431796</v>
      </c>
      <c r="D48" s="9"/>
      <c r="E48" s="7">
        <v>0</v>
      </c>
      <c r="F48" s="8">
        <f>IFERROR(E48/E444, "NA")</f>
        <v>0</v>
      </c>
      <c r="G48" s="9"/>
      <c r="H48" s="10">
        <f t="shared" si="12"/>
        <v>20961.099999999999</v>
      </c>
      <c r="I48" s="8">
        <f>IFERROR(H48/H444, "NA")</f>
        <v>-23.15555162776284</v>
      </c>
      <c r="J48" s="9"/>
      <c r="K48" s="7">
        <v>10969.61</v>
      </c>
      <c r="L48" s="8">
        <f>IFERROR(K48/K444, "NA")</f>
        <v>0.11769768280752323</v>
      </c>
      <c r="M48" s="9"/>
      <c r="N48" s="10">
        <f t="shared" si="13"/>
        <v>9991.489999999998</v>
      </c>
      <c r="O48" s="8">
        <f>IFERROR(N48/N444, "NA")</f>
        <v>0.89118544774721631</v>
      </c>
      <c r="P48" s="9"/>
      <c r="Q48" s="7">
        <v>158730.14000000001</v>
      </c>
      <c r="R48" s="8">
        <f>IFERROR(Q48/Q444, "NA")</f>
        <v>0.12975120381880353</v>
      </c>
      <c r="S48" s="9"/>
      <c r="T48" s="7">
        <v>0</v>
      </c>
      <c r="U48" s="8">
        <f>IFERROR(T48/T444, "NA")</f>
        <v>0</v>
      </c>
      <c r="V48" s="9"/>
      <c r="W48" s="10">
        <f t="shared" si="14"/>
        <v>158730.14000000001</v>
      </c>
      <c r="X48" s="8">
        <f>IFERROR(W48/W444, "NA")</f>
        <v>-1.6841749762143519</v>
      </c>
      <c r="Y48" s="9"/>
      <c r="Z48" s="7">
        <v>180556.27</v>
      </c>
      <c r="AA48" s="8">
        <f>IFERROR(Z48/Z444, "NA")</f>
        <v>0.15619833463148053</v>
      </c>
      <c r="AB48" s="9"/>
      <c r="AC48" s="10">
        <f t="shared" si="15"/>
        <v>-21826.129999999976</v>
      </c>
      <c r="AD48" s="8">
        <f>IFERROR(AC48/AC444, "NA")</f>
        <v>-0.3238299180504205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36153.550000000003</v>
      </c>
      <c r="R49" s="8">
        <f>IFERROR(Q49/Q444, "NA")</f>
        <v>2.9553093286651823E-2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-0.3836001417960973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0.53640297816112126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9.5230907280057901E-6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-1.2361003696523672E-4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1.7284871597884752E-4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2.6811791920909004E-5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-3.4801795815105269E-4</v>
      </c>
      <c r="Y56" s="9"/>
      <c r="Z56" s="7">
        <v>887.25</v>
      </c>
      <c r="AA56" s="8">
        <f>IFERROR(Z56/Z444, "NA")</f>
        <v>7.6755557922071106E-4</v>
      </c>
      <c r="AB56" s="9"/>
      <c r="AC56" s="10">
        <f t="shared" si="15"/>
        <v>-854.45</v>
      </c>
      <c r="AD56" s="8">
        <f>IFERROR(AC56/AC444, "NA")</f>
        <v>-1.2677303465075217E-2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20961.099999999999</v>
      </c>
      <c r="C61" s="15">
        <f>IFERROR(B61/B444, "NA")</f>
        <v>0.20075174518431796</v>
      </c>
      <c r="D61" s="2"/>
      <c r="E61" s="14">
        <f>IFERROR(E46+E47+E48+E49+E50+E51+E52+E53+E54+E55+E56+E57+E58+E59+E60, "NA")</f>
        <v>20958.330000000002</v>
      </c>
      <c r="F61" s="15">
        <f>IFERROR(E61/E444, "NA")</f>
        <v>0.19899994559348536</v>
      </c>
      <c r="G61" s="2"/>
      <c r="H61" s="14">
        <f t="shared" si="12"/>
        <v>2.7699999999967986</v>
      </c>
      <c r="I61" s="15">
        <f>IFERROR(H61/H444, "NA")</f>
        <v>-3.0599958021682518E-3</v>
      </c>
      <c r="J61" s="2"/>
      <c r="K61" s="14">
        <f>IFERROR(K46+K47+K48+K49+K50+K51+K52+K53+K54+K55+K56+K57+K58+K59+K60, "NA")</f>
        <v>10969.61</v>
      </c>
      <c r="L61" s="15">
        <f>IFERROR(K61/K444, "NA")</f>
        <v>0.11769768280752323</v>
      </c>
      <c r="M61" s="2"/>
      <c r="N61" s="14">
        <f t="shared" si="13"/>
        <v>9991.489999999998</v>
      </c>
      <c r="O61" s="15">
        <f>IFERROR(N61/N444, "NA")</f>
        <v>0.89118544774721631</v>
      </c>
      <c r="P61" s="2"/>
      <c r="Q61" s="14">
        <f>IFERROR(Q46+Q47+Q48+Q49+Q50+Q51+Q52+Q53+Q54+Q55+Q56+Q57+Q58+Q59+Q60, "NA")</f>
        <v>194928.13999999998</v>
      </c>
      <c r="R61" s="15">
        <f>IFERROR(Q61/Q444, "NA")</f>
        <v>0.15934063198810425</v>
      </c>
      <c r="S61" s="2"/>
      <c r="T61" s="14">
        <f>IFERROR(T46+T47+T48+T49+T50+T51+T52+T53+T54+T55+T56+T57+T58+T59+T60, "NA")</f>
        <v>262200.46999999997</v>
      </c>
      <c r="U61" s="15">
        <f>IFERROR(T61/T444, "NA")</f>
        <v>0.19899999418635686</v>
      </c>
      <c r="V61" s="2"/>
      <c r="W61" s="14">
        <f t="shared" si="14"/>
        <v>-67272.329999999987</v>
      </c>
      <c r="X61" s="15">
        <f>IFERROR(W61/W444, "NA")</f>
        <v>0.71377984532511596</v>
      </c>
      <c r="Y61" s="2"/>
      <c r="Z61" s="14">
        <f>IFERROR(Z46+Z47+Z48+Z49+Z50+Z51+Z52+Z53+Z54+Z55+Z56+Z57+Z58+Z59+Z60, "NA")</f>
        <v>181443.52</v>
      </c>
      <c r="AA61" s="15">
        <f>IFERROR(Z61/Z444, "NA")</f>
        <v>0.15696589021070123</v>
      </c>
      <c r="AB61" s="2"/>
      <c r="AC61" s="14">
        <f t="shared" si="15"/>
        <v>13484.619999999995</v>
      </c>
      <c r="AD61" s="15">
        <f>IFERROR(AC61/AC444, "NA")</f>
        <v>0.20006860536160395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23559.75</v>
      </c>
      <c r="C62" s="15">
        <f>IFERROR(B62/B444, "NA")</f>
        <v>0.22563992007128614</v>
      </c>
      <c r="D62" s="2"/>
      <c r="E62" s="14">
        <f>IFERROR(E42+E43+E44+E46+E47+E48+E49+E50+E51+E52+E53+E54+E55+E56+E57+E58+E59+E60, "NA")</f>
        <v>20958.330000000002</v>
      </c>
      <c r="F62" s="15">
        <f>IFERROR(E62/E444, "NA")</f>
        <v>0.19899994559348536</v>
      </c>
      <c r="G62" s="2"/>
      <c r="H62" s="14">
        <f t="shared" si="12"/>
        <v>2601.4199999999983</v>
      </c>
      <c r="I62" s="15">
        <f>IFERROR(H62/H444, "NA")</f>
        <v>-2.8737668879731872</v>
      </c>
      <c r="J62" s="2"/>
      <c r="K62" s="14">
        <f>IFERROR(K42+K43+K44+K46+K47+K48+K49+K50+K51+K52+K53+K54+K55+K56+K57+K58+K59+K60, "NA")</f>
        <v>12352.5</v>
      </c>
      <c r="L62" s="15">
        <f>IFERROR(K62/K444, "NA")</f>
        <v>0.13253530680488462</v>
      </c>
      <c r="M62" s="2"/>
      <c r="N62" s="14">
        <f t="shared" si="13"/>
        <v>11207.25</v>
      </c>
      <c r="O62" s="15">
        <f>IFERROR(N62/N444, "NA")</f>
        <v>0.99962449136865383</v>
      </c>
      <c r="P62" s="2"/>
      <c r="Q62" s="14">
        <f>IFERROR(Q42+Q43+Q44+Q46+Q47+Q48+Q49+Q50+Q51+Q52+Q53+Q54+Q55+Q56+Q57+Q58+Q59+Q60, "NA")</f>
        <v>222029.87999999998</v>
      </c>
      <c r="R62" s="15">
        <f>IFERROR(Q62/Q444, "NA")</f>
        <v>0.18149447996293888</v>
      </c>
      <c r="S62" s="2"/>
      <c r="T62" s="14">
        <f>IFERROR(T42+T43+T44+T46+T47+T48+T49+T50+T51+T52+T53+T54+T55+T56+T57+T58+T59+T60, "NA")</f>
        <v>262200.46999999997</v>
      </c>
      <c r="U62" s="15">
        <f>IFERROR(T62/T444, "NA")</f>
        <v>0.19899999418635686</v>
      </c>
      <c r="V62" s="2"/>
      <c r="W62" s="14">
        <f t="shared" si="14"/>
        <v>-40170.589999999997</v>
      </c>
      <c r="X62" s="15">
        <f>IFERROR(W62/W444, "NA")</f>
        <v>0.42622215577814315</v>
      </c>
      <c r="Y62" s="2"/>
      <c r="Z62" s="14">
        <f>IFERROR(Z42+Z43+Z44+Z46+Z47+Z48+Z49+Z50+Z51+Z52+Z53+Z54+Z55+Z56+Z57+Z58+Z59+Z60, "NA")</f>
        <v>203200.78999999998</v>
      </c>
      <c r="AA62" s="15">
        <f>IFERROR(Z62/Z444, "NA")</f>
        <v>0.17578799669377973</v>
      </c>
      <c r="AB62" s="2"/>
      <c r="AC62" s="14">
        <f t="shared" si="15"/>
        <v>18829.089999999997</v>
      </c>
      <c r="AD62" s="15">
        <f>IFERROR(AC62/AC444, "NA")</f>
        <v>0.27936343601288904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3919.67</v>
      </c>
      <c r="C65" s="8">
        <f>IFERROR(B65/B444, "NA")</f>
        <v>3.7540042891194433E-2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3919.67</v>
      </c>
      <c r="I65" s="8">
        <f>IFERROR(H65/H444, "NA")</f>
        <v>-4.3300266230681208</v>
      </c>
      <c r="J65" s="9"/>
      <c r="K65" s="7">
        <v>0</v>
      </c>
      <c r="L65" s="8">
        <f>IFERROR(K65/K444, "NA")</f>
        <v>0</v>
      </c>
      <c r="M65" s="9"/>
      <c r="N65" s="10">
        <f t="shared" si="17"/>
        <v>3919.67</v>
      </c>
      <c r="O65" s="8">
        <f>IFERROR(N65/N444, "NA")</f>
        <v>0.34961280689580154</v>
      </c>
      <c r="P65" s="9"/>
      <c r="Q65" s="7">
        <v>23421.09</v>
      </c>
      <c r="R65" s="8">
        <f>IFERROR(Q65/Q444, "NA")</f>
        <v>1.9145164379295206E-2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23421.09</v>
      </c>
      <c r="X65" s="8">
        <f>IFERROR(W65/W444, "NA")</f>
        <v>-0.24850487559365972</v>
      </c>
      <c r="Y65" s="9"/>
      <c r="Z65" s="7">
        <v>2104.2800000000002</v>
      </c>
      <c r="AA65" s="8">
        <f>IFERROR(Z65/Z444, "NA")</f>
        <v>1.8204022025838918E-3</v>
      </c>
      <c r="AB65" s="9"/>
      <c r="AC65" s="10">
        <f t="shared" si="19"/>
        <v>21316.81</v>
      </c>
      <c r="AD65" s="8">
        <f>IFERROR(AC65/AC444, "NA")</f>
        <v>0.3162732392502195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11.85</v>
      </c>
      <c r="R66" s="8">
        <f>IFERROR(Q66/Q444, "NA")</f>
        <v>9.6865772641088931E-6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-1.2573209768566995E-4</v>
      </c>
      <c r="Y66" s="9"/>
      <c r="Z66" s="7">
        <v>12322.44</v>
      </c>
      <c r="AA66" s="8">
        <f>IFERROR(Z66/Z444, "NA")</f>
        <v>1.0660081793871467E-2</v>
      </c>
      <c r="AB66" s="9"/>
      <c r="AC66" s="10">
        <f t="shared" si="19"/>
        <v>-12310.59</v>
      </c>
      <c r="AD66" s="8">
        <f>IFERROR(AC66/AC444, "NA")</f>
        <v>-0.1826497574628361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3919.67</v>
      </c>
      <c r="C73" s="15">
        <f>IFERROR(B73/B444, "NA")</f>
        <v>3.7540042891194433E-2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3919.67</v>
      </c>
      <c r="I73" s="15">
        <f>IFERROR(H73/H444, "NA")</f>
        <v>-4.3300266230681208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3919.67</v>
      </c>
      <c r="O73" s="15">
        <f>IFERROR(N73/N444, "NA")</f>
        <v>0.34961280689580154</v>
      </c>
      <c r="P73" s="2"/>
      <c r="Q73" s="14">
        <f>IFERROR(Q64+Q65+Q66+Q67+Q68+Q69+Q70+Q71+Q72, "NA")</f>
        <v>23432.94</v>
      </c>
      <c r="R73" s="15">
        <f>IFERROR(Q73/Q444, "NA")</f>
        <v>1.9154850956559312E-2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23432.94</v>
      </c>
      <c r="X73" s="15">
        <f>IFERROR(W73/W444, "NA")</f>
        <v>-0.24863060769134537</v>
      </c>
      <c r="Y73" s="2"/>
      <c r="Z73" s="14">
        <f>IFERROR(Z64+Z65+Z66+Z67+Z68+Z69+Z70+Z71+Z72, "NA")</f>
        <v>14426.720000000001</v>
      </c>
      <c r="AA73" s="15">
        <f>IFERROR(Z73/Z444, "NA")</f>
        <v>1.248048399645536E-2</v>
      </c>
      <c r="AB73" s="2"/>
      <c r="AC73" s="14">
        <f t="shared" si="19"/>
        <v>9006.2199999999975</v>
      </c>
      <c r="AD73" s="15">
        <f>IFERROR(AC73/AC444, "NA")</f>
        <v>0.13362348178738331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1369.14</v>
      </c>
      <c r="F75" s="8">
        <f>IFERROR(E75/E444, "NA")</f>
        <v>1.3000023642621551E-2</v>
      </c>
      <c r="G75" s="9"/>
      <c r="H75" s="10">
        <f t="shared" ref="H75:H92" si="20">IFERROR(B75-E75, "NA")</f>
        <v>-1369.14</v>
      </c>
      <c r="I75" s="8">
        <f>IFERROR(H75/H444, "NA")</f>
        <v>1.5124774919081165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17128.68</v>
      </c>
      <c r="U75" s="8">
        <f>IFERROR(T75/T444, "NA")</f>
        <v>1.3000004235003726E-2</v>
      </c>
      <c r="V75" s="9"/>
      <c r="W75" s="10">
        <f t="shared" ref="W75:W92" si="22">IFERROR(Q75-T75, "NA")</f>
        <v>-17128.68</v>
      </c>
      <c r="X75" s="8">
        <f>IFERROR(W75/W444, "NA")</f>
        <v>0.18174049510435286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170.81</v>
      </c>
      <c r="C77" s="8">
        <f>IFERROR(B77/B444, "NA")</f>
        <v>1.6359067794597304E-3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170.81</v>
      </c>
      <c r="I77" s="8">
        <f>IFERROR(H77/H444, "NA")</f>
        <v>-0.1886923765230914</v>
      </c>
      <c r="J77" s="9"/>
      <c r="K77" s="7">
        <v>180.15</v>
      </c>
      <c r="L77" s="8">
        <f>IFERROR(K77/K444, "NA")</f>
        <v>1.9329071459947354E-3</v>
      </c>
      <c r="M77" s="9"/>
      <c r="N77" s="10">
        <f t="shared" si="21"/>
        <v>-9.3400000000000034</v>
      </c>
      <c r="O77" s="8">
        <f>IFERROR(N77/N444, "NA")</f>
        <v>-8.3307615600466045E-4</v>
      </c>
      <c r="P77" s="9"/>
      <c r="Q77" s="7">
        <v>2822.03</v>
      </c>
      <c r="R77" s="8">
        <f>IFERROR(Q77/Q444, "NA")</f>
        <v>2.3068195473952089E-3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2822.03</v>
      </c>
      <c r="X77" s="8">
        <f>IFERROR(W77/W444, "NA")</f>
        <v>-2.9942595074421201E-2</v>
      </c>
      <c r="Y77" s="9"/>
      <c r="Z77" s="7">
        <v>1045.23</v>
      </c>
      <c r="AA77" s="8">
        <f>IFERROR(Z77/Z444, "NA")</f>
        <v>9.0422329452675553E-4</v>
      </c>
      <c r="AB77" s="9"/>
      <c r="AC77" s="10">
        <f t="shared" si="23"/>
        <v>1776.8000000000002</v>
      </c>
      <c r="AD77" s="8">
        <f>IFERROR(AC77/AC444, "NA")</f>
        <v>2.6362025626713845E-2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4.1770809974342998E-6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-5.4218651407069495E-5</v>
      </c>
      <c r="Y79" s="9"/>
      <c r="Z79" s="7">
        <v>17.940000000000001</v>
      </c>
      <c r="AA79" s="8">
        <f>IFERROR(Z79/Z444, "NA")</f>
        <v>1.5519805118308883E-5</v>
      </c>
      <c r="AB79" s="9"/>
      <c r="AC79" s="10">
        <f t="shared" si="23"/>
        <v>-12.830000000000002</v>
      </c>
      <c r="AD79" s="8">
        <f>IFERROR(AC79/AC444, "NA")</f>
        <v>-1.9035613957155484E-4</v>
      </c>
    </row>
    <row r="80" spans="1:30" ht="16.5" customHeight="1" x14ac:dyDescent="0.45">
      <c r="A80" s="12" t="s">
        <v>76</v>
      </c>
      <c r="B80" s="7">
        <v>1987.42</v>
      </c>
      <c r="C80" s="8">
        <f>IFERROR(B80/B444, "NA")</f>
        <v>1.90342125849415E-2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1987.42</v>
      </c>
      <c r="I80" s="8">
        <f>IFERROR(H80/H444, "NA")</f>
        <v>-2.1954862300188651</v>
      </c>
      <c r="J80" s="9"/>
      <c r="K80" s="7">
        <v>1102.58</v>
      </c>
      <c r="L80" s="8">
        <f>IFERROR(K80/K444, "NA")</f>
        <v>1.1830056958261866E-2</v>
      </c>
      <c r="M80" s="9"/>
      <c r="N80" s="10">
        <f t="shared" si="21"/>
        <v>884.84000000000015</v>
      </c>
      <c r="O80" s="8">
        <f>IFERROR(N80/N444, "NA")</f>
        <v>7.8922816475285179E-2</v>
      </c>
      <c r="P80" s="9"/>
      <c r="Q80" s="7">
        <v>13817.83</v>
      </c>
      <c r="R80" s="8">
        <f>IFERROR(Q80/Q444, "NA")</f>
        <v>1.1295145815807746E-2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13817.83</v>
      </c>
      <c r="X80" s="8">
        <f>IFERROR(W80/W444, "NA")</f>
        <v>-0.14661137142312075</v>
      </c>
      <c r="Y80" s="9"/>
      <c r="Z80" s="7">
        <v>15751.93</v>
      </c>
      <c r="AA80" s="8">
        <f>IFERROR(Z80/Z444, "NA")</f>
        <v>1.3626916601853023E-2</v>
      </c>
      <c r="AB80" s="9"/>
      <c r="AC80" s="10">
        <f t="shared" si="23"/>
        <v>-1934.1000000000004</v>
      </c>
      <c r="AD80" s="8">
        <f>IFERROR(AC80/AC444, "NA")</f>
        <v>-2.8695854212419662E-2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2158.23</v>
      </c>
      <c r="C88" s="15">
        <f>IFERROR(B88/B444, "NA")</f>
        <v>2.0670119364401229E-2</v>
      </c>
      <c r="D88" s="2"/>
      <c r="E88" s="14">
        <f>IFERROR(E75+E76+E77+E78+E79+E80+E81+E82+E83+E84+E85+E86+E87, "NA")</f>
        <v>1369.14</v>
      </c>
      <c r="F88" s="15">
        <f>IFERROR(E88/E444, "NA")</f>
        <v>1.3000023642621551E-2</v>
      </c>
      <c r="G88" s="2"/>
      <c r="H88" s="14">
        <f t="shared" si="20"/>
        <v>789.08999999999992</v>
      </c>
      <c r="I88" s="15">
        <f>IFERROR(H88/H444, "NA")</f>
        <v>-0.87170111463383981</v>
      </c>
      <c r="J88" s="2"/>
      <c r="K88" s="14">
        <f>IFERROR(K75+K76+K77+K78+K79+K80+K81+K82+K83+K84+K85+K86+K87, "NA")</f>
        <v>1282.73</v>
      </c>
      <c r="L88" s="15">
        <f>IFERROR(K88/K444, "NA")</f>
        <v>1.3762964104256602E-2</v>
      </c>
      <c r="M88" s="2"/>
      <c r="N88" s="14">
        <f t="shared" si="21"/>
        <v>875.5</v>
      </c>
      <c r="O88" s="15">
        <f>IFERROR(N88/N444, "NA")</f>
        <v>7.808974031928051E-2</v>
      </c>
      <c r="P88" s="2"/>
      <c r="Q88" s="14">
        <f>IFERROR(Q75+Q76+Q77+Q78+Q79+Q80+Q81+Q82+Q83+Q84+Q85+Q86+Q87, "NA")</f>
        <v>16644.97</v>
      </c>
      <c r="R88" s="15">
        <f>IFERROR(Q88/Q444, "NA")</f>
        <v>1.360614244420039E-2</v>
      </c>
      <c r="S88" s="2"/>
      <c r="T88" s="14">
        <f>IFERROR(T75+T76+T77+T78+T79+T80+T81+T82+T83+T84+T85+T86+T87, "NA")</f>
        <v>17128.68</v>
      </c>
      <c r="U88" s="15">
        <f>IFERROR(T88/T444, "NA")</f>
        <v>1.3000004235003726E-2</v>
      </c>
      <c r="V88" s="2"/>
      <c r="W88" s="14">
        <f t="shared" si="22"/>
        <v>-483.70999999999913</v>
      </c>
      <c r="X88" s="15">
        <f>IFERROR(W88/W444, "NA")</f>
        <v>5.1323099554038227E-3</v>
      </c>
      <c r="Y88" s="2"/>
      <c r="Z88" s="14">
        <f>IFERROR(Z75+Z76+Z77+Z78+Z79+Z80+Z81+Z82+Z83+Z84+Z85+Z86+Z87, "NA")</f>
        <v>16815.099999999999</v>
      </c>
      <c r="AA88" s="15">
        <f>IFERROR(Z88/Z444, "NA")</f>
        <v>1.4546659701498087E-2</v>
      </c>
      <c r="AB88" s="2"/>
      <c r="AC88" s="14">
        <f t="shared" si="23"/>
        <v>-170.12999999999738</v>
      </c>
      <c r="AD88" s="15">
        <f>IFERROR(AC88/AC444, "NA")</f>
        <v>-2.5241847252773283E-3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-70.55</v>
      </c>
      <c r="L89" s="8">
        <f>IFERROR(K89/K444, "NA")</f>
        <v>-7.5696141631933708E-4</v>
      </c>
      <c r="M89" s="9"/>
      <c r="N89" s="10">
        <f t="shared" si="21"/>
        <v>70.55</v>
      </c>
      <c r="O89" s="8">
        <f>IFERROR(N89/N444, "NA")</f>
        <v>6.2926683946604679E-3</v>
      </c>
      <c r="P89" s="9"/>
      <c r="Q89" s="7">
        <v>121.65</v>
      </c>
      <c r="R89" s="8">
        <f>IFERROR(Q89/Q444, "NA")</f>
        <v>9.9440685584712817E-5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121.65</v>
      </c>
      <c r="X89" s="8">
        <f>IFERROR(W89/W444, "NA")</f>
        <v>-1.2907434332035232E-3</v>
      </c>
      <c r="Y89" s="9"/>
      <c r="Z89" s="7">
        <v>1246.8900000000001</v>
      </c>
      <c r="AA89" s="8">
        <f>IFERROR(Z89/Z444, "NA")</f>
        <v>1.0786783614252042E-3</v>
      </c>
      <c r="AB89" s="9"/>
      <c r="AC89" s="10">
        <f t="shared" si="23"/>
        <v>-1125.24</v>
      </c>
      <c r="AD89" s="8">
        <f>IFERROR(AC89/AC444, "NA")</f>
        <v>-1.6694960443608443E-2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-3686.14</v>
      </c>
      <c r="F94" s="8">
        <f>IFERROR(E94/E444, "NA")</f>
        <v>-3.5000005222265804E-2</v>
      </c>
      <c r="G94" s="9"/>
      <c r="H94" s="10">
        <f t="shared" ref="H94:H124" si="24">IFERROR(B94-E94, "NA")</f>
        <v>3686.14</v>
      </c>
      <c r="I94" s="8">
        <f>IFERROR(H94/H444, "NA")</f>
        <v>-4.0720479878041571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-46115.65</v>
      </c>
      <c r="U94" s="8">
        <f>IFERROR(T94/T444, "NA")</f>
        <v>-3.4999990968361226E-2</v>
      </c>
      <c r="V94" s="9"/>
      <c r="W94" s="10">
        <f t="shared" ref="W94:W124" si="26">IFERROR(Q94-T94, "NA")</f>
        <v>46115.65</v>
      </c>
      <c r="X94" s="8">
        <f>IFERROR(W94/W444, "NA")</f>
        <v>-0.48930104731123764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-1606.71</v>
      </c>
      <c r="C96" s="8">
        <f>IFERROR(B96/B444, "NA")</f>
        <v>-1.5388020500121441E-2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-1606.71</v>
      </c>
      <c r="I96" s="8">
        <f>IFERROR(H96/H444, "NA")</f>
        <v>1.7749190813384239</v>
      </c>
      <c r="J96" s="9"/>
      <c r="K96" s="7">
        <v>-362.05</v>
      </c>
      <c r="L96" s="8">
        <f>IFERROR(K96/K444, "NA")</f>
        <v>-3.8845907977096525E-3</v>
      </c>
      <c r="M96" s="9"/>
      <c r="N96" s="10">
        <f t="shared" si="25"/>
        <v>-1244.6600000000001</v>
      </c>
      <c r="O96" s="8">
        <f>IFERROR(N96/N444, "NA")</f>
        <v>-0.11101676320479233</v>
      </c>
      <c r="P96" s="9"/>
      <c r="Q96" s="7">
        <v>-18432.53</v>
      </c>
      <c r="R96" s="8">
        <f>IFERROR(Q96/Q444, "NA")</f>
        <v>-1.5067352406582708E-2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-18432.53</v>
      </c>
      <c r="X96" s="8">
        <f>IFERROR(W96/W444, "NA")</f>
        <v>0.19557473945603729</v>
      </c>
      <c r="Y96" s="9"/>
      <c r="Z96" s="7">
        <v>-1521.11</v>
      </c>
      <c r="AA96" s="8">
        <f>IFERROR(Z96/Z444, "NA")</f>
        <v>-1.3159047248333792E-3</v>
      </c>
      <c r="AB96" s="9"/>
      <c r="AC96" s="10">
        <f t="shared" si="27"/>
        <v>-16911.419999999998</v>
      </c>
      <c r="AD96" s="8">
        <f>IFERROR(AC96/AC444, "NA")</f>
        <v>-0.25091135041879836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-1769.3</v>
      </c>
      <c r="C98" s="8">
        <f>IFERROR(B98/B444, "NA")</f>
        <v>-1.6945201480581353E-2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-1769.3</v>
      </c>
      <c r="I98" s="8">
        <f>IFERROR(H98/H444, "NA")</f>
        <v>1.9545308927012797</v>
      </c>
      <c r="J98" s="9"/>
      <c r="K98" s="7">
        <v>-1937.22</v>
      </c>
      <c r="L98" s="8">
        <f>IFERROR(K98/K444, "NA")</f>
        <v>-2.0785269949286266E-2</v>
      </c>
      <c r="M98" s="9"/>
      <c r="N98" s="10">
        <f t="shared" si="25"/>
        <v>167.92000000000007</v>
      </c>
      <c r="O98" s="8">
        <f>IFERROR(N98/N444, "NA")</f>
        <v>1.4977531918233682E-2</v>
      </c>
      <c r="P98" s="9"/>
      <c r="Q98" s="7">
        <v>-27169.45</v>
      </c>
      <c r="R98" s="8">
        <f>IFERROR(Q98/Q444, "NA")</f>
        <v>-2.2209196341632355E-2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-27169.45</v>
      </c>
      <c r="X98" s="8">
        <f>IFERROR(W98/W444, "NA")</f>
        <v>0.28827611320387558</v>
      </c>
      <c r="Y98" s="9"/>
      <c r="Z98" s="7">
        <v>-24755.54</v>
      </c>
      <c r="AA98" s="8">
        <f>IFERROR(Z98/Z444, "NA")</f>
        <v>-2.1415895005490539E-2</v>
      </c>
      <c r="AB98" s="9"/>
      <c r="AC98" s="10">
        <f t="shared" si="27"/>
        <v>-2413.91</v>
      </c>
      <c r="AD98" s="8">
        <f>IFERROR(AC98/AC444, "NA")</f>
        <v>-3.5814699054806852E-2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-21.05</v>
      </c>
      <c r="C100" s="8">
        <f>IFERROR(B100/B444, "NA")</f>
        <v>-2.0160317140464451E-4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-21.05</v>
      </c>
      <c r="I100" s="8">
        <f>IFERROR(H100/H444, "NA")</f>
        <v>2.3253758713254927E-2</v>
      </c>
      <c r="J100" s="9"/>
      <c r="K100" s="7">
        <v>0</v>
      </c>
      <c r="L100" s="8">
        <f>IFERROR(K100/K444, "NA")</f>
        <v>0</v>
      </c>
      <c r="M100" s="9"/>
      <c r="N100" s="10">
        <f t="shared" si="25"/>
        <v>-21.05</v>
      </c>
      <c r="O100" s="8">
        <f>IFERROR(N100/N444, "NA")</f>
        <v>-1.8775431567342716E-3</v>
      </c>
      <c r="P100" s="9"/>
      <c r="Q100" s="7">
        <v>-1605.39</v>
      </c>
      <c r="R100" s="8">
        <f>IFERROR(Q100/Q444, "NA")</f>
        <v>-1.3122982509728082E-3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-1605.39</v>
      </c>
      <c r="X100" s="8">
        <f>IFERROR(W100/W444, "NA")</f>
        <v>1.7033675299881663E-2</v>
      </c>
      <c r="Y100" s="9"/>
      <c r="Z100" s="7">
        <v>-4787.26</v>
      </c>
      <c r="AA100" s="8">
        <f>IFERROR(Z100/Z444, "NA")</f>
        <v>-4.1414349080644026E-3</v>
      </c>
      <c r="AB100" s="9"/>
      <c r="AC100" s="10">
        <f t="shared" si="27"/>
        <v>3181.87</v>
      </c>
      <c r="AD100" s="8">
        <f>IFERROR(AC100/AC444, "NA")</f>
        <v>4.7208767717735238E-2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-1316.11</v>
      </c>
      <c r="C102" s="8">
        <f>IFERROR(B102/B444, "NA")</f>
        <v>-1.2604843226478224E-2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-1316.11</v>
      </c>
      <c r="I102" s="8">
        <f>IFERROR(H102/H444, "NA")</f>
        <v>1.4538956950167192</v>
      </c>
      <c r="J102" s="9"/>
      <c r="K102" s="7">
        <v>-362.9</v>
      </c>
      <c r="L102" s="8">
        <f>IFERROR(K102/K444, "NA")</f>
        <v>-3.8937108147737405E-3</v>
      </c>
      <c r="M102" s="9"/>
      <c r="N102" s="10">
        <f t="shared" si="25"/>
        <v>-953.20999999999992</v>
      </c>
      <c r="O102" s="8">
        <f>IFERROR(N102/N444, "NA")</f>
        <v>-8.5021040970578374E-2</v>
      </c>
      <c r="P102" s="9"/>
      <c r="Q102" s="7">
        <v>-14486.86</v>
      </c>
      <c r="R102" s="8">
        <f>IFERROR(Q102/Q444, "NA")</f>
        <v>-1.1842032802053044E-2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-14486.86</v>
      </c>
      <c r="X102" s="8">
        <f>IFERROR(W102/W444, "NA")</f>
        <v>0.15370998284207804</v>
      </c>
      <c r="Y102" s="9"/>
      <c r="Z102" s="7">
        <v>-4656.93</v>
      </c>
      <c r="AA102" s="8">
        <f>IFERROR(Z102/Z444, "NA")</f>
        <v>-4.0286870707695755E-3</v>
      </c>
      <c r="AB102" s="9"/>
      <c r="AC102" s="10">
        <f t="shared" si="27"/>
        <v>-9829.93</v>
      </c>
      <c r="AD102" s="8">
        <f>IFERROR(AC102/AC444, "NA")</f>
        <v>-0.14584470203106889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-649.85</v>
      </c>
      <c r="C104" s="8">
        <f>IFERROR(B104/B444, "NA")</f>
        <v>-6.2238394744564482E-3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-649.85</v>
      </c>
      <c r="I104" s="8">
        <f>IFERROR(H104/H444, "NA")</f>
        <v>0.71788385272250421</v>
      </c>
      <c r="J104" s="9"/>
      <c r="K104" s="7">
        <v>-1190.74</v>
      </c>
      <c r="L104" s="8">
        <f>IFERROR(K104/K444, "NA")</f>
        <v>-1.2775963669285434E-2</v>
      </c>
      <c r="M104" s="9"/>
      <c r="N104" s="10">
        <f t="shared" si="25"/>
        <v>540.89</v>
      </c>
      <c r="O104" s="8">
        <f>IFERROR(N104/N444, "NA")</f>
        <v>4.8244385655391929E-2</v>
      </c>
      <c r="P104" s="9"/>
      <c r="Q104" s="7">
        <v>-11426.25</v>
      </c>
      <c r="R104" s="8">
        <f>IFERROR(Q104/Q444, "NA")</f>
        <v>-9.3401901657404422E-3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-11426.25</v>
      </c>
      <c r="X104" s="8">
        <f>IFERROR(W104/W444, "NA")</f>
        <v>0.12123598153425201</v>
      </c>
      <c r="Y104" s="9"/>
      <c r="Z104" s="7">
        <v>-9058.06</v>
      </c>
      <c r="AA104" s="8">
        <f>IFERROR(Z104/Z444, "NA")</f>
        <v>-7.8360828288711794E-3</v>
      </c>
      <c r="AB104" s="9"/>
      <c r="AC104" s="10">
        <f t="shared" si="27"/>
        <v>-2368.1900000000005</v>
      </c>
      <c r="AD104" s="8">
        <f>IFERROR(AC104/AC444, "NA")</f>
        <v>-3.5136360574587723E-2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-5</v>
      </c>
      <c r="L106" s="8">
        <f>IFERROR(K106/K444, "NA")</f>
        <v>-5.3647159200519991E-5</v>
      </c>
      <c r="M106" s="9"/>
      <c r="N106" s="10">
        <f t="shared" si="25"/>
        <v>5</v>
      </c>
      <c r="O106" s="8">
        <f>IFERROR(N106/N444, "NA")</f>
        <v>4.4597224625517136E-4</v>
      </c>
      <c r="P106" s="9"/>
      <c r="Q106" s="7">
        <v>-1221.24</v>
      </c>
      <c r="R106" s="8">
        <f>IFERROR(Q106/Q444, "NA")</f>
        <v>-9.9828148675277172E-4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-1221.24</v>
      </c>
      <c r="X106" s="8">
        <f>IFERROR(W106/W444, "NA")</f>
        <v>1.29577271711095E-2</v>
      </c>
      <c r="Y106" s="9"/>
      <c r="Z106" s="7">
        <v>-2086.41</v>
      </c>
      <c r="AA106" s="8">
        <f>IFERROR(Z106/Z444, "NA")</f>
        <v>-1.8049429541187757E-3</v>
      </c>
      <c r="AB106" s="9"/>
      <c r="AC106" s="10">
        <f t="shared" si="27"/>
        <v>865.16999999999985</v>
      </c>
      <c r="AD106" s="8">
        <f>IFERROR(AC106/AC444, "NA")</f>
        <v>1.2836353957375063E-2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-4.3254752280682504E-6</v>
      </c>
      <c r="AB108" s="9"/>
      <c r="AC108" s="10">
        <f t="shared" si="27"/>
        <v>5</v>
      </c>
      <c r="AD108" s="8">
        <f>IFERROR(AC108/AC444, "NA")</f>
        <v>7.4183998274183482E-5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-5363.02</v>
      </c>
      <c r="C118" s="15">
        <f>IFERROR(B118/B444, "NA")</f>
        <v>-5.1363507853042119E-2</v>
      </c>
      <c r="D118" s="2"/>
      <c r="E118" s="14">
        <f>IFERROR(E94+E95+E96+E97+E98+E99+E100+E101+E102+E103+E104+E105+E106+E107+E108+E109+E110+E111+E112+E113+E114+E115+E116+E117, "NA")</f>
        <v>-3686.14</v>
      </c>
      <c r="F118" s="15">
        <f>IFERROR(E118/E444, "NA")</f>
        <v>-3.5000005222265804E-2</v>
      </c>
      <c r="G118" s="2"/>
      <c r="H118" s="14">
        <f t="shared" si="24"/>
        <v>-1676.8800000000006</v>
      </c>
      <c r="I118" s="15">
        <f>IFERROR(H118/H444, "NA")</f>
        <v>1.8524352926880252</v>
      </c>
      <c r="J118" s="2"/>
      <c r="K118" s="14">
        <f>IFERROR(K94+K95+K96+K97+K98+K99+K100+K101+K102+K103+K104+K105+K106+K107+K108+K109+K110+K111+K112+K113+K114+K115+K116+K117, "NA")</f>
        <v>-3857.91</v>
      </c>
      <c r="L118" s="15">
        <f>IFERROR(K118/K444, "NA")</f>
        <v>-4.1393182390255613E-2</v>
      </c>
      <c r="M118" s="2"/>
      <c r="N118" s="14">
        <f t="shared" si="25"/>
        <v>-1505.1100000000006</v>
      </c>
      <c r="O118" s="15">
        <f>IFERROR(N118/N444, "NA")</f>
        <v>-0.13424745751222425</v>
      </c>
      <c r="P118" s="2"/>
      <c r="Q118" s="14">
        <f>IFERROR(Q94+Q95+Q96+Q97+Q98+Q99+Q100+Q101+Q102+Q103+Q104+Q105+Q106+Q107+Q108+Q109+Q110+Q111+Q112+Q113+Q114+Q115+Q116+Q117, "NA")</f>
        <v>-74341.72</v>
      </c>
      <c r="R118" s="15">
        <f>IFERROR(Q118/Q444, "NA")</f>
        <v>-6.0769351453734126E-2</v>
      </c>
      <c r="S118" s="2"/>
      <c r="T118" s="14">
        <f>IFERROR(T94+T95+T96+T97+T98+T99+T100+T101+T102+T103+T104+T105+T106+T107+T108+T109+T110+T111+T112+T113+T114+T115+T116+T117, "NA")</f>
        <v>-46115.65</v>
      </c>
      <c r="U118" s="15">
        <f>IFERROR(T118/T444, "NA")</f>
        <v>-3.4999990968361226E-2</v>
      </c>
      <c r="V118" s="2"/>
      <c r="W118" s="14">
        <f t="shared" si="26"/>
        <v>-28226.07</v>
      </c>
      <c r="X118" s="15">
        <f>IFERROR(W118/W444, "NA")</f>
        <v>0.29948717219599646</v>
      </c>
      <c r="Y118" s="2"/>
      <c r="Z118" s="14">
        <f>IFERROR(Z94+Z95+Z96+Z97+Z98+Z99+Z100+Z101+Z102+Z103+Z104+Z105+Z106+Z107+Z108+Z109+Z110+Z111+Z112+Z113+Z114+Z115+Z116+Z117, "NA")</f>
        <v>-46870.31</v>
      </c>
      <c r="AA118" s="15">
        <f>IFERROR(Z118/Z444, "NA")</f>
        <v>-4.0547272967375918E-2</v>
      </c>
      <c r="AB118" s="2"/>
      <c r="AC118" s="14">
        <f t="shared" si="27"/>
        <v>-27471.410000000003</v>
      </c>
      <c r="AD118" s="15">
        <f>IFERROR(AC118/AC444, "NA")</f>
        <v>-0.40758780640587744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104413.03999999998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105318.27</v>
      </c>
      <c r="F122" s="15">
        <f>IFERROR(E122/E444, "NA")</f>
        <v>1</v>
      </c>
      <c r="G122" s="2"/>
      <c r="H122" s="14">
        <f t="shared" si="24"/>
        <v>-905.23000000002503</v>
      </c>
      <c r="I122" s="15">
        <f>IFERROR(H122/H444, "NA")</f>
        <v>1.000000000000016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93201.579999999973</v>
      </c>
      <c r="L122" s="15">
        <f>IFERROR(K122/K444, "NA")</f>
        <v>0.99999999999999967</v>
      </c>
      <c r="M122" s="2"/>
      <c r="N122" s="14">
        <f t="shared" si="25"/>
        <v>11211.460000000006</v>
      </c>
      <c r="O122" s="15">
        <f>IFERROR(N122/N444, "NA")</f>
        <v>1.0000000000000013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1223342.3300000005</v>
      </c>
      <c r="R122" s="15">
        <f>IFERROR(Q122/Q444, "NA")</f>
        <v>1.0000000000000004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1317590.3399999999</v>
      </c>
      <c r="U122" s="15">
        <f>IFERROR(T122/T444, "NA")</f>
        <v>0.99999999999999978</v>
      </c>
      <c r="V122" s="2"/>
      <c r="W122" s="14">
        <f t="shared" si="26"/>
        <v>-94248.009999999311</v>
      </c>
      <c r="X122" s="15">
        <f>IFERROR(W122/W444, "NA")</f>
        <v>0.99999999999999256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1155942.3499999996</v>
      </c>
      <c r="AA122" s="15">
        <f>IFERROR(Z122/Z444, "NA")</f>
        <v>0.99999999999999956</v>
      </c>
      <c r="AB122" s="2"/>
      <c r="AC122" s="14">
        <f t="shared" si="27"/>
        <v>67399.980000000913</v>
      </c>
      <c r="AD122" s="15">
        <f>IFERROR(AC122/AC444, "NA")</f>
        <v>1.0000000000000138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104413.03999999998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105318.27</v>
      </c>
      <c r="F124" s="15">
        <f>IFERROR(E124/E444, "NA")</f>
        <v>1</v>
      </c>
      <c r="G124" s="2"/>
      <c r="H124" s="14">
        <f t="shared" si="24"/>
        <v>-905.23000000002503</v>
      </c>
      <c r="I124" s="15">
        <f>IFERROR(H124/H444, "NA")</f>
        <v>1.000000000000016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93201.579999999973</v>
      </c>
      <c r="L124" s="15">
        <f>IFERROR(K124/K444, "NA")</f>
        <v>0.99999999999999967</v>
      </c>
      <c r="M124" s="2"/>
      <c r="N124" s="14">
        <f t="shared" si="25"/>
        <v>11211.460000000006</v>
      </c>
      <c r="O124" s="15">
        <f>IFERROR(N124/N444, "NA")</f>
        <v>1.0000000000000013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1223342.3300000005</v>
      </c>
      <c r="R124" s="15">
        <f>IFERROR(Q124/Q444, "NA")</f>
        <v>1.0000000000000004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1317590.3399999999</v>
      </c>
      <c r="U124" s="15">
        <f>IFERROR(T124/T444, "NA")</f>
        <v>0.99999999999999978</v>
      </c>
      <c r="V124" s="2"/>
      <c r="W124" s="14">
        <f t="shared" si="26"/>
        <v>-94248.009999999311</v>
      </c>
      <c r="X124" s="15">
        <f>IFERROR(W124/W444, "NA")</f>
        <v>0.99999999999999256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1155942.3499999996</v>
      </c>
      <c r="AA124" s="15">
        <f>IFERROR(Z124/Z444, "NA")</f>
        <v>0.99999999999999956</v>
      </c>
      <c r="AB124" s="2"/>
      <c r="AC124" s="14">
        <f t="shared" si="27"/>
        <v>67399.980000000913</v>
      </c>
      <c r="AD124" s="15">
        <f>IFERROR(AC124/AC444, "NA")</f>
        <v>1.0000000000000138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23380.65</v>
      </c>
      <c r="F129" s="8">
        <f>IFERROR(E129/E444, "NA")</f>
        <v>0.22199994359952932</v>
      </c>
      <c r="G129" s="9"/>
      <c r="H129" s="10">
        <f t="shared" ref="H129:H141" si="28">IFERROR(-(B129-E129), "NA")</f>
        <v>23380.65</v>
      </c>
      <c r="I129" s="8">
        <f>IFERROR(H129/H444, "NA")</f>
        <v>-25.828408249836762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304120.46000000002</v>
      </c>
      <c r="U129" s="8">
        <f>IFERROR(T129/T444, "NA")</f>
        <v>0.23081564183295394</v>
      </c>
      <c r="V129" s="9"/>
      <c r="W129" s="10">
        <f t="shared" ref="W129:W141" si="30">IFERROR(-(Q129-T129), "NA")</f>
        <v>304120.46000000002</v>
      </c>
      <c r="X129" s="8">
        <f>IFERROR(W129/W444, "NA")</f>
        <v>-3.2268104122304546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5730.93</v>
      </c>
      <c r="C130" s="8">
        <f>IFERROR(B130/B444, "NA")</f>
        <v>5.4887109885891655E-2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-5730.93</v>
      </c>
      <c r="I130" s="8">
        <f>IFERROR(H130/H444, "NA")</f>
        <v>6.3309103763683634</v>
      </c>
      <c r="J130" s="9"/>
      <c r="K130" s="7">
        <v>5411.61</v>
      </c>
      <c r="L130" s="8">
        <f>IFERROR(K130/K444, "NA")</f>
        <v>5.8063500640225196E-2</v>
      </c>
      <c r="M130" s="9"/>
      <c r="N130" s="10">
        <f t="shared" si="29"/>
        <v>-319.32000000000062</v>
      </c>
      <c r="O130" s="8">
        <f>IFERROR(N130/N444, "NA")</f>
        <v>-2.8481571534840319E-2</v>
      </c>
      <c r="P130" s="9"/>
      <c r="Q130" s="7">
        <v>65963.98</v>
      </c>
      <c r="R130" s="8">
        <f>IFERROR(Q130/Q444, "NA")</f>
        <v>5.3921112988872047E-2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-65963.98</v>
      </c>
      <c r="X130" s="8">
        <f>IFERROR(W130/W444, "NA")</f>
        <v>0.69989785460722187</v>
      </c>
      <c r="Y130" s="9"/>
      <c r="Z130" s="7">
        <v>73744.649999999994</v>
      </c>
      <c r="AA130" s="8">
        <f>IFERROR(Z130/Z444, "NA")</f>
        <v>6.3796131355512653E-2</v>
      </c>
      <c r="AB130" s="9"/>
      <c r="AC130" s="10">
        <f t="shared" si="31"/>
        <v>7780.6699999999983</v>
      </c>
      <c r="AD130" s="8">
        <f>IFERROR(AC130/AC444, "NA")</f>
        <v>0.11544024197039822</v>
      </c>
    </row>
    <row r="131" spans="1:30" ht="16.5" customHeight="1" x14ac:dyDescent="0.45">
      <c r="A131" s="12" t="s">
        <v>123</v>
      </c>
      <c r="B131" s="7">
        <v>2195.83</v>
      </c>
      <c r="C131" s="8">
        <f>IFERROR(B131/B444, "NA")</f>
        <v>2.1030227642064633E-2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-2195.83</v>
      </c>
      <c r="I131" s="8">
        <f>IFERROR(H131/H444, "NA")</f>
        <v>2.4257150116544683</v>
      </c>
      <c r="J131" s="9"/>
      <c r="K131" s="7">
        <v>3435.08</v>
      </c>
      <c r="L131" s="8">
        <f>IFERROR(K131/K444, "NA")</f>
        <v>3.6856456725304444E-2</v>
      </c>
      <c r="M131" s="9"/>
      <c r="N131" s="10">
        <f t="shared" si="29"/>
        <v>1239.25</v>
      </c>
      <c r="O131" s="8">
        <f>IFERROR(N131/N444, "NA")</f>
        <v>0.11053422123434423</v>
      </c>
      <c r="P131" s="9"/>
      <c r="Q131" s="7">
        <v>38269.94</v>
      </c>
      <c r="R131" s="8">
        <f>IFERROR(Q131/Q444, "NA")</f>
        <v>3.1283099637368063E-2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-38269.94</v>
      </c>
      <c r="X131" s="8">
        <f>IFERROR(W131/W444, "NA")</f>
        <v>0.40605568223668592</v>
      </c>
      <c r="Y131" s="9"/>
      <c r="Z131" s="7">
        <v>39840.75</v>
      </c>
      <c r="AA131" s="8">
        <f>IFERROR(Z131/Z444, "NA")</f>
        <v>3.4466035438532029E-2</v>
      </c>
      <c r="AB131" s="9"/>
      <c r="AC131" s="10">
        <f t="shared" si="31"/>
        <v>1570.8099999999977</v>
      </c>
      <c r="AD131" s="8">
        <f>IFERROR(AC131/AC444, "NA")</f>
        <v>2.3305793265813998E-2</v>
      </c>
    </row>
    <row r="132" spans="1:30" ht="16.5" customHeight="1" x14ac:dyDescent="0.45">
      <c r="A132" s="12" t="s">
        <v>124</v>
      </c>
      <c r="B132" s="7">
        <v>3233.97</v>
      </c>
      <c r="C132" s="8">
        <f>IFERROR(B132/B444, "NA")</f>
        <v>3.0972855497742428E-2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-3233.97</v>
      </c>
      <c r="I132" s="8">
        <f>IFERROR(H132/H444, "NA")</f>
        <v>3.5725395755774358</v>
      </c>
      <c r="J132" s="9"/>
      <c r="K132" s="7">
        <v>3689.61</v>
      </c>
      <c r="L132" s="8">
        <f>IFERROR(K132/K444, "NA")</f>
        <v>3.9587419011566115E-2</v>
      </c>
      <c r="M132" s="9"/>
      <c r="N132" s="10">
        <f t="shared" si="29"/>
        <v>455.64000000000033</v>
      </c>
      <c r="O132" s="8">
        <f>IFERROR(N132/N444, "NA")</f>
        <v>4.0640558856741289E-2</v>
      </c>
      <c r="P132" s="9"/>
      <c r="Q132" s="7">
        <v>55962.36</v>
      </c>
      <c r="R132" s="8">
        <f>IFERROR(Q132/Q444, "NA")</f>
        <v>4.5745461942774429E-2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-55962.36</v>
      </c>
      <c r="X132" s="8">
        <f>IFERROR(W132/W444, "NA")</f>
        <v>0.59377762989372396</v>
      </c>
      <c r="Y132" s="9"/>
      <c r="Z132" s="7">
        <v>42463.15</v>
      </c>
      <c r="AA132" s="8">
        <f>IFERROR(Z132/Z444, "NA")</f>
        <v>3.6734660686149272E-2</v>
      </c>
      <c r="AB132" s="9"/>
      <c r="AC132" s="10">
        <f t="shared" si="31"/>
        <v>-13499.21</v>
      </c>
      <c r="AD132" s="8">
        <f>IFERROR(AC132/AC444, "NA")</f>
        <v>-0.20028507426856806</v>
      </c>
    </row>
    <row r="133" spans="1:30" ht="16.5" customHeight="1" x14ac:dyDescent="0.45">
      <c r="A133" s="12" t="s">
        <v>125</v>
      </c>
      <c r="B133" s="7">
        <v>2093.1999999999998</v>
      </c>
      <c r="C133" s="8">
        <f>IFERROR(B133/B444, "NA")</f>
        <v>2.0047304436304123E-2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-2093.1999999999998</v>
      </c>
      <c r="I133" s="8">
        <f>IFERROR(H133/H444, "NA")</f>
        <v>2.3123405101465657</v>
      </c>
      <c r="J133" s="9"/>
      <c r="K133" s="7">
        <v>2162.92</v>
      </c>
      <c r="L133" s="8">
        <f>IFERROR(K133/K444, "NA")</f>
        <v>2.3206902715597739E-2</v>
      </c>
      <c r="M133" s="9"/>
      <c r="N133" s="10">
        <f t="shared" si="29"/>
        <v>69.720000000000255</v>
      </c>
      <c r="O133" s="8">
        <f>IFERROR(N133/N444, "NA")</f>
        <v>6.2186370017821326E-3</v>
      </c>
      <c r="P133" s="9"/>
      <c r="Q133" s="7">
        <v>31184.51</v>
      </c>
      <c r="R133" s="8">
        <f>IFERROR(Q133/Q444, "NA")</f>
        <v>2.5491237599862989E-2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-31184.51</v>
      </c>
      <c r="X133" s="8">
        <f>IFERROR(W133/W444, "NA")</f>
        <v>0.33087711878478915</v>
      </c>
      <c r="Y133" s="9"/>
      <c r="Z133" s="7">
        <v>26537.59</v>
      </c>
      <c r="AA133" s="8">
        <f>IFERROR(Z133/Z444, "NA")</f>
        <v>2.2957537631526345E-2</v>
      </c>
      <c r="AB133" s="9"/>
      <c r="AC133" s="10">
        <f t="shared" si="31"/>
        <v>-4646.9199999999983</v>
      </c>
      <c r="AD133" s="8">
        <f>IFERROR(AC133/AC444, "NA")</f>
        <v>-6.8945421052053715E-2</v>
      </c>
    </row>
    <row r="134" spans="1:30" ht="16.5" customHeight="1" x14ac:dyDescent="0.45">
      <c r="A134" s="12" t="s">
        <v>126</v>
      </c>
      <c r="B134" s="7">
        <v>1041.1500000000001</v>
      </c>
      <c r="C134" s="8">
        <f>IFERROR(B134/B444, "NA")</f>
        <v>9.9714556725864906E-3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-1041.1500000000001</v>
      </c>
      <c r="I134" s="8">
        <f>IFERROR(H134/H444, "NA")</f>
        <v>1.1501496857152194</v>
      </c>
      <c r="J134" s="9"/>
      <c r="K134" s="7">
        <v>868.67</v>
      </c>
      <c r="L134" s="8">
        <f>IFERROR(K134/K444, "NA")</f>
        <v>9.3203355565431387E-3</v>
      </c>
      <c r="M134" s="9"/>
      <c r="N134" s="10">
        <f t="shared" si="29"/>
        <v>-172.48000000000013</v>
      </c>
      <c r="O134" s="8">
        <f>IFERROR(N134/N444, "NA")</f>
        <v>-1.5384258606818404E-2</v>
      </c>
      <c r="P134" s="9"/>
      <c r="Q134" s="7">
        <v>11071.32</v>
      </c>
      <c r="R134" s="8">
        <f>IFERROR(Q134/Q444, "NA")</f>
        <v>9.0500587844450694E-3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-11071.32</v>
      </c>
      <c r="X134" s="8">
        <f>IFERROR(W134/W444, "NA")</f>
        <v>0.11747006647673515</v>
      </c>
      <c r="Y134" s="9"/>
      <c r="Z134" s="7">
        <v>11845.22</v>
      </c>
      <c r="AA134" s="8">
        <f>IFERROR(Z134/Z444, "NA")</f>
        <v>1.0247241136203721E-2</v>
      </c>
      <c r="AB134" s="9"/>
      <c r="AC134" s="10">
        <f t="shared" si="31"/>
        <v>773.89999999999964</v>
      </c>
      <c r="AD134" s="8">
        <f>IFERROR(AC134/AC444, "NA")</f>
        <v>1.1482199252878115E-2</v>
      </c>
    </row>
    <row r="135" spans="1:30" ht="16.5" customHeight="1" x14ac:dyDescent="0.45">
      <c r="A135" s="12" t="s">
        <v>127</v>
      </c>
      <c r="B135" s="7">
        <v>677.05</v>
      </c>
      <c r="C135" s="8">
        <f>IFERROR(B135/B444, "NA")</f>
        <v>6.4843433348938028E-3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-677.05</v>
      </c>
      <c r="I135" s="8">
        <f>IFERROR(H135/H444, "NA")</f>
        <v>0.7479314649315556</v>
      </c>
      <c r="J135" s="9"/>
      <c r="K135" s="7">
        <v>677.02</v>
      </c>
      <c r="L135" s="8">
        <f>IFERROR(K135/K444, "NA")</f>
        <v>7.264039944387209E-3</v>
      </c>
      <c r="M135" s="9"/>
      <c r="N135" s="10">
        <f t="shared" si="29"/>
        <v>-2.9999999999972715E-2</v>
      </c>
      <c r="O135" s="8">
        <f>IFERROR(N135/N444, "NA")</f>
        <v>-2.6758334775285948E-6</v>
      </c>
      <c r="P135" s="9"/>
      <c r="Q135" s="7">
        <v>8632.1299999999992</v>
      </c>
      <c r="R135" s="8">
        <f>IFERROR(Q135/Q444, "NA")</f>
        <v>7.0561851644584212E-3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-8632.1299999999992</v>
      </c>
      <c r="X135" s="8">
        <f>IFERROR(W135/W444, "NA")</f>
        <v>9.1589520033367261E-2</v>
      </c>
      <c r="Y135" s="9"/>
      <c r="Z135" s="7">
        <v>7318.92</v>
      </c>
      <c r="AA135" s="8">
        <f>IFERROR(Z135/Z444, "NA")</f>
        <v>6.3315614312426565E-3</v>
      </c>
      <c r="AB135" s="9"/>
      <c r="AC135" s="10">
        <f t="shared" si="31"/>
        <v>-1313.2099999999991</v>
      </c>
      <c r="AD135" s="8">
        <f>IFERROR(AC135/AC444, "NA")</f>
        <v>-1.9483833674728085E-2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852.58</v>
      </c>
      <c r="L136" s="8">
        <f>IFERROR(K136/K444, "NA")</f>
        <v>9.1476989982358665E-3</v>
      </c>
      <c r="M136" s="9"/>
      <c r="N136" s="10">
        <f t="shared" si="29"/>
        <v>852.58</v>
      </c>
      <c r="O136" s="8">
        <f>IFERROR(N136/N444, "NA")</f>
        <v>7.6045403542446807E-2</v>
      </c>
      <c r="P136" s="9"/>
      <c r="Q136" s="7">
        <v>4617.18</v>
      </c>
      <c r="R136" s="8">
        <f>IFERROR(Q136/Q444, "NA")</f>
        <v>3.7742338238226417E-3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4.8989681585849924E-2</v>
      </c>
      <c r="Y136" s="9"/>
      <c r="Z136" s="7">
        <v>10301.969999999999</v>
      </c>
      <c r="AA136" s="8">
        <f>IFERROR(Z136/Z444, "NA")</f>
        <v>8.9121832070604545E-3</v>
      </c>
      <c r="AB136" s="9"/>
      <c r="AC136" s="10">
        <f t="shared" si="31"/>
        <v>5684.7899999999991</v>
      </c>
      <c r="AD136" s="8">
        <f>IFERROR(AC136/AC444, "NA")</f>
        <v>8.4344090309819097E-2</v>
      </c>
    </row>
    <row r="137" spans="1:30" ht="16.5" customHeight="1" x14ac:dyDescent="0.45">
      <c r="A137" s="12" t="s">
        <v>129</v>
      </c>
      <c r="B137" s="7">
        <v>493.19</v>
      </c>
      <c r="C137" s="8">
        <f>IFERROR(B137/B444, "NA")</f>
        <v>4.7234521665110033E-3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-493.19</v>
      </c>
      <c r="I137" s="8">
        <f>IFERROR(H137/H444, "NA")</f>
        <v>0.54482286269787161</v>
      </c>
      <c r="J137" s="9"/>
      <c r="K137" s="7">
        <v>532.54999999999995</v>
      </c>
      <c r="L137" s="8">
        <f>IFERROR(K137/K444, "NA")</f>
        <v>5.713958926447384E-3</v>
      </c>
      <c r="M137" s="9"/>
      <c r="N137" s="10">
        <f t="shared" si="29"/>
        <v>39.359999999999957</v>
      </c>
      <c r="O137" s="8">
        <f>IFERROR(N137/N444, "NA")</f>
        <v>3.5106935225207051E-3</v>
      </c>
      <c r="P137" s="9"/>
      <c r="Q137" s="7">
        <v>6805.35</v>
      </c>
      <c r="R137" s="8">
        <f>IFERROR(Q137/Q444, "NA")</f>
        <v>5.5629154923462834E-3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-6805.35</v>
      </c>
      <c r="X137" s="8">
        <f>IFERROR(W137/W444, "NA")</f>
        <v>7.220682961900203E-2</v>
      </c>
      <c r="Y137" s="9"/>
      <c r="Z137" s="7">
        <v>7103.01</v>
      </c>
      <c r="AA137" s="8">
        <f>IFERROR(Z137/Z444, "NA")</f>
        <v>6.1447787599442135E-3</v>
      </c>
      <c r="AB137" s="9"/>
      <c r="AC137" s="10">
        <f t="shared" si="31"/>
        <v>297.65999999999985</v>
      </c>
      <c r="AD137" s="8">
        <f>IFERROR(AC137/AC444, "NA")</f>
        <v>4.4163217852586888E-3</v>
      </c>
    </row>
    <row r="138" spans="1:30" ht="16.5" customHeight="1" x14ac:dyDescent="0.45">
      <c r="A138" s="12" t="s">
        <v>130</v>
      </c>
      <c r="B138" s="7">
        <v>6801.61</v>
      </c>
      <c r="C138" s="8">
        <f>IFERROR(B138/B444, "NA")</f>
        <v>6.5141384639313252E-2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-6801.61</v>
      </c>
      <c r="I138" s="8">
        <f>IFERROR(H138/H444, "NA")</f>
        <v>7.5136816057796594</v>
      </c>
      <c r="J138" s="9"/>
      <c r="K138" s="7">
        <v>5628.45</v>
      </c>
      <c r="L138" s="8">
        <f>IFERROR(K138/K444, "NA")</f>
        <v>6.0390070640433342E-2</v>
      </c>
      <c r="M138" s="9"/>
      <c r="N138" s="10">
        <f t="shared" si="29"/>
        <v>-1173.1599999999999</v>
      </c>
      <c r="O138" s="8">
        <f>IFERROR(N138/N444, "NA")</f>
        <v>-0.10463936008334336</v>
      </c>
      <c r="P138" s="9"/>
      <c r="Q138" s="7">
        <v>74583.62</v>
      </c>
      <c r="R138" s="8">
        <f>IFERROR(Q138/Q444, "NA")</f>
        <v>6.0967088419150828E-2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-74583.62</v>
      </c>
      <c r="X138" s="8">
        <f>IFERROR(W138/W444, "NA")</f>
        <v>0.791354851948598</v>
      </c>
      <c r="Y138" s="9"/>
      <c r="Z138" s="7">
        <v>56632.29</v>
      </c>
      <c r="AA138" s="8">
        <f>IFERROR(Z138/Z444, "NA")</f>
        <v>4.8992313500755461E-2</v>
      </c>
      <c r="AB138" s="9"/>
      <c r="AC138" s="10">
        <f t="shared" si="31"/>
        <v>-17951.329999999994</v>
      </c>
      <c r="AD138" s="8">
        <f>IFERROR(AC138/AC444, "NA")</f>
        <v>-0.26634028674785953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22266.93</v>
      </c>
      <c r="C141" s="15">
        <f>IFERROR(B141/B444, "NA")</f>
        <v>0.2132581332753074</v>
      </c>
      <c r="D141" s="2"/>
      <c r="E141" s="14">
        <f>IFERROR(E129+E130+E131+E132+E133+E134+E135+E136+E137+E138+E139+E140, "NA")</f>
        <v>23380.65</v>
      </c>
      <c r="F141" s="15">
        <f>IFERROR(E141/E444, "NA")</f>
        <v>0.22199994359952932</v>
      </c>
      <c r="G141" s="2"/>
      <c r="H141" s="14">
        <f t="shared" si="28"/>
        <v>1113.7200000000012</v>
      </c>
      <c r="I141" s="15">
        <f>IFERROR(H141/H444, "NA")</f>
        <v>-1.2303171569656202</v>
      </c>
      <c r="J141" s="2"/>
      <c r="K141" s="14">
        <f>IFERROR(K129+K130+K131+K132+K133+K134+K135+K136+K137+K138+K139+K140, "NA")</f>
        <v>23258.49</v>
      </c>
      <c r="L141" s="15">
        <f>IFERROR(K141/K444, "NA")</f>
        <v>0.24955038315874045</v>
      </c>
      <c r="M141" s="2"/>
      <c r="N141" s="14">
        <f t="shared" si="29"/>
        <v>991.56000000000131</v>
      </c>
      <c r="O141" s="15">
        <f>IFERROR(N141/N444, "NA")</f>
        <v>8.844164809935566E-2</v>
      </c>
      <c r="P141" s="2"/>
      <c r="Q141" s="14">
        <f>IFERROR(Q129+Q130+Q131+Q132+Q133+Q134+Q135+Q136+Q137+Q138+Q139+Q140, "NA")</f>
        <v>297090.39</v>
      </c>
      <c r="R141" s="15">
        <f>IFERROR(Q141/Q444, "NA")</f>
        <v>0.24285139385310078</v>
      </c>
      <c r="S141" s="2"/>
      <c r="T141" s="14">
        <f>IFERROR(T129+T130+T131+T132+T133+T134+T135+T136+T137+T138+T139+T140, "NA")</f>
        <v>304120.46000000002</v>
      </c>
      <c r="U141" s="15">
        <f>IFERROR(T141/T444, "NA")</f>
        <v>0.23081564183295394</v>
      </c>
      <c r="V141" s="2"/>
      <c r="W141" s="14">
        <f t="shared" si="30"/>
        <v>7030.070000000007</v>
      </c>
      <c r="X141" s="15">
        <f>IFERROR(W141/W444, "NA")</f>
        <v>-7.45911770444809E-2</v>
      </c>
      <c r="Y141" s="2"/>
      <c r="Z141" s="14">
        <f>IFERROR(Z129+Z130+Z131+Z132+Z133+Z134+Z135+Z136+Z137+Z138+Z139+Z140, "NA")</f>
        <v>275787.55</v>
      </c>
      <c r="AA141" s="15">
        <f>IFERROR(Z141/Z444, "NA")</f>
        <v>0.23858244314692681</v>
      </c>
      <c r="AB141" s="2"/>
      <c r="AC141" s="14">
        <f t="shared" si="31"/>
        <v>-21302.840000000026</v>
      </c>
      <c r="AD141" s="15">
        <f>IFERROR(AC141/AC444, "NA")</f>
        <v>-0.31606596915904178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1046.23</v>
      </c>
      <c r="C144" s="8">
        <f>IFERROR(B144/B444, "NA")</f>
        <v>1.002010859946229E-2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-1046.23</v>
      </c>
      <c r="I144" s="8">
        <f>IFERROR(H144/H444, "NA")</f>
        <v>1.1557615191719097</v>
      </c>
      <c r="J144" s="9"/>
      <c r="K144" s="7">
        <v>1223.96</v>
      </c>
      <c r="L144" s="8">
        <f>IFERROR(K144/K444, "NA")</f>
        <v>1.313239539501369E-2</v>
      </c>
      <c r="M144" s="9"/>
      <c r="N144" s="10">
        <f t="shared" si="33"/>
        <v>177.73000000000002</v>
      </c>
      <c r="O144" s="8">
        <f>IFERROR(N144/N444, "NA")</f>
        <v>1.5852529465386324E-2</v>
      </c>
      <c r="P144" s="9"/>
      <c r="Q144" s="7">
        <v>16178.81</v>
      </c>
      <c r="R144" s="8">
        <f>IFERROR(Q144/Q444, "NA")</f>
        <v>1.3225088025851275E-2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-16178.81</v>
      </c>
      <c r="X144" s="8">
        <f>IFERROR(W144/W444, "NA")</f>
        <v>0.17166208602176319</v>
      </c>
      <c r="Y144" s="9"/>
      <c r="Z144" s="7">
        <v>11548.06</v>
      </c>
      <c r="AA144" s="8">
        <f>IFERROR(Z144/Z444, "NA")</f>
        <v>9.9901694924491684E-3</v>
      </c>
      <c r="AB144" s="9"/>
      <c r="AC144" s="10">
        <f t="shared" si="35"/>
        <v>-4630.75</v>
      </c>
      <c r="AD144" s="8">
        <f>IFERROR(AC144/AC444, "NA")</f>
        <v>-6.8705510001635037E-2</v>
      </c>
    </row>
    <row r="145" spans="1:30" ht="16.5" customHeight="1" x14ac:dyDescent="0.45">
      <c r="A145" s="12" t="s">
        <v>136</v>
      </c>
      <c r="B145" s="7">
        <v>64.78</v>
      </c>
      <c r="C145" s="8">
        <f>IFERROR(B145/B444, "NA")</f>
        <v>6.2042059114455442E-4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-64.78</v>
      </c>
      <c r="I145" s="8">
        <f>IFERROR(H145/H444, "NA")</f>
        <v>7.1561923489057197E-2</v>
      </c>
      <c r="J145" s="9"/>
      <c r="K145" s="7">
        <v>76.52</v>
      </c>
      <c r="L145" s="8">
        <f>IFERROR(K145/K444, "NA")</f>
        <v>8.2101612440475791E-4</v>
      </c>
      <c r="M145" s="9"/>
      <c r="N145" s="10">
        <f t="shared" si="33"/>
        <v>11.739999999999995</v>
      </c>
      <c r="O145" s="8">
        <f>IFERROR(N145/N444, "NA")</f>
        <v>1.047142834207142E-3</v>
      </c>
      <c r="P145" s="9"/>
      <c r="Q145" s="7">
        <v>780.92</v>
      </c>
      <c r="R145" s="8">
        <f>IFERROR(Q145/Q444, "NA")</f>
        <v>6.383495288681786E-4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-780.92</v>
      </c>
      <c r="X145" s="8">
        <f>IFERROR(W145/W444, "NA")</f>
        <v>8.28579828900366E-3</v>
      </c>
      <c r="Y145" s="9"/>
      <c r="Z145" s="7">
        <v>722.6</v>
      </c>
      <c r="AA145" s="8">
        <f>IFERROR(Z145/Z444, "NA")</f>
        <v>6.2511767996042359E-4</v>
      </c>
      <c r="AB145" s="9"/>
      <c r="AC145" s="10">
        <f t="shared" si="35"/>
        <v>-58.319999999999936</v>
      </c>
      <c r="AD145" s="8">
        <f>IFERROR(AC145/AC444, "NA")</f>
        <v>-8.6528215587007519E-4</v>
      </c>
    </row>
    <row r="146" spans="1:30" ht="16.5" customHeight="1" x14ac:dyDescent="0.45">
      <c r="A146" s="12" t="s">
        <v>137</v>
      </c>
      <c r="B146" s="7">
        <v>14.95</v>
      </c>
      <c r="C146" s="8">
        <f>IFERROR(B146/B444, "NA")</f>
        <v>1.4318134976244346E-4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-14.95</v>
      </c>
      <c r="I146" s="8">
        <f>IFERROR(H146/H444, "NA")</f>
        <v>1.6515139798724994E-2</v>
      </c>
      <c r="J146" s="9"/>
      <c r="K146" s="7">
        <v>759.04</v>
      </c>
      <c r="L146" s="8">
        <f>IFERROR(K146/K444, "NA")</f>
        <v>8.144067943912538E-3</v>
      </c>
      <c r="M146" s="9"/>
      <c r="N146" s="10">
        <f t="shared" si="33"/>
        <v>744.08999999999992</v>
      </c>
      <c r="O146" s="8">
        <f>IFERROR(N146/N444, "NA")</f>
        <v>6.6368697743202087E-2</v>
      </c>
      <c r="P146" s="9"/>
      <c r="Q146" s="7">
        <v>934.69</v>
      </c>
      <c r="R146" s="8">
        <f>IFERROR(Q146/Q444, "NA")</f>
        <v>7.6404615215105E-4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-934.69</v>
      </c>
      <c r="X146" s="8">
        <f>IFERROR(W146/W444, "NA")</f>
        <v>9.9173446739087637E-3</v>
      </c>
      <c r="Y146" s="9"/>
      <c r="Z146" s="7">
        <v>4030.19</v>
      </c>
      <c r="AA146" s="8">
        <f>IFERROR(Z146/Z444, "NA")</f>
        <v>3.4864974018816767E-3</v>
      </c>
      <c r="AB146" s="9"/>
      <c r="AC146" s="10">
        <f t="shared" si="35"/>
        <v>3095.5</v>
      </c>
      <c r="AD146" s="8">
        <f>IFERROR(AC146/AC444, "NA")</f>
        <v>4.5927313331546996E-2</v>
      </c>
    </row>
    <row r="147" spans="1:30" ht="16.5" customHeight="1" x14ac:dyDescent="0.45">
      <c r="A147" s="12" t="s">
        <v>138</v>
      </c>
      <c r="B147" s="7">
        <v>7.01</v>
      </c>
      <c r="C147" s="8">
        <f>IFERROR(B147/B444, "NA")</f>
        <v>6.7137208149480187E-5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-7.01</v>
      </c>
      <c r="I147" s="8">
        <f>IFERROR(H147/H444, "NA")</f>
        <v>7.7438882935827562E-3</v>
      </c>
      <c r="J147" s="9"/>
      <c r="K147" s="7">
        <v>50.09</v>
      </c>
      <c r="L147" s="8">
        <f>IFERROR(K147/K444, "NA")</f>
        <v>5.3743724087080929E-4</v>
      </c>
      <c r="M147" s="9"/>
      <c r="N147" s="10">
        <f t="shared" si="33"/>
        <v>43.080000000000005</v>
      </c>
      <c r="O147" s="8">
        <f>IFERROR(N147/N444, "NA")</f>
        <v>3.8424968737345569E-3</v>
      </c>
      <c r="P147" s="9"/>
      <c r="Q147" s="7">
        <v>160.55000000000001</v>
      </c>
      <c r="R147" s="8">
        <f>IFERROR(Q147/Q444, "NA")</f>
        <v>1.3123881685676649E-4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-160.55000000000001</v>
      </c>
      <c r="X147" s="8">
        <f>IFERROR(W147/W444, "NA")</f>
        <v>1.7034842433277901E-3</v>
      </c>
      <c r="Y147" s="9"/>
      <c r="Z147" s="7">
        <v>213.16</v>
      </c>
      <c r="AA147" s="8">
        <f>IFERROR(Z147/Z444, "NA")</f>
        <v>1.8440365992300565E-4</v>
      </c>
      <c r="AB147" s="9"/>
      <c r="AC147" s="10">
        <f t="shared" si="35"/>
        <v>52.609999999999985</v>
      </c>
      <c r="AD147" s="8">
        <f>IFERROR(AC147/AC444, "NA")</f>
        <v>7.8056402984095846E-4</v>
      </c>
    </row>
    <row r="148" spans="1:30" ht="16.5" customHeight="1" x14ac:dyDescent="0.45">
      <c r="A148" s="13" t="s">
        <v>139</v>
      </c>
      <c r="B148" s="14">
        <f>IFERROR(B143+B144+B145+B146+B147, "NA")</f>
        <v>1132.97</v>
      </c>
      <c r="C148" s="15">
        <f>IFERROR(B148/B444, "NA")</f>
        <v>1.0850847748518768E-2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-1132.97</v>
      </c>
      <c r="I148" s="15">
        <f>IFERROR(H148/H444, "NA")</f>
        <v>1.2515824707532748</v>
      </c>
      <c r="J148" s="2"/>
      <c r="K148" s="14">
        <f>IFERROR(K143+K144+K145+K146+K147, "NA")</f>
        <v>2109.61</v>
      </c>
      <c r="L148" s="15">
        <f>IFERROR(K148/K444, "NA")</f>
        <v>2.2634916704201796E-2</v>
      </c>
      <c r="M148" s="2"/>
      <c r="N148" s="14">
        <f t="shared" si="33"/>
        <v>976.6400000000001</v>
      </c>
      <c r="O148" s="15">
        <f>IFERROR(N148/N444, "NA")</f>
        <v>8.7110866916530125E-2</v>
      </c>
      <c r="P148" s="2"/>
      <c r="Q148" s="14">
        <f>IFERROR(Q143+Q144+Q145+Q146+Q147, "NA")</f>
        <v>18054.969999999998</v>
      </c>
      <c r="R148" s="15">
        <f>IFERROR(Q148/Q444, "NA")</f>
        <v>1.4758722523727268E-2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-18054.969999999998</v>
      </c>
      <c r="X148" s="15">
        <f>IFERROR(W148/W444, "NA")</f>
        <v>0.1915687132280034</v>
      </c>
      <c r="Y148" s="2"/>
      <c r="Z148" s="14">
        <f>IFERROR(Z143+Z144+Z145+Z146+Z147, "NA")</f>
        <v>16514.010000000002</v>
      </c>
      <c r="AA148" s="15">
        <f>IFERROR(Z148/Z444, "NA")</f>
        <v>1.4286188234214276E-2</v>
      </c>
      <c r="AB148" s="2"/>
      <c r="AC148" s="14">
        <f t="shared" si="35"/>
        <v>-1540.9599999999955</v>
      </c>
      <c r="AD148" s="15">
        <f>IFERROR(AC148/AC444, "NA")</f>
        <v>-2.286291479611709E-2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23399.899999999998</v>
      </c>
      <c r="C149" s="15">
        <f>IFERROR(B149/B444, "NA")</f>
        <v>0.22410898102382615</v>
      </c>
      <c r="D149" s="2"/>
      <c r="E149" s="14">
        <f>IFERROR(E127+E129+E130+E131+E132+E133+E134+E135+E136+E137+E138+E139+E140+E143+E144+E145+E146+E147, "NA")</f>
        <v>23380.65</v>
      </c>
      <c r="F149" s="15">
        <f>IFERROR(E149/E444, "NA")</f>
        <v>0.22199994359952932</v>
      </c>
      <c r="G149" s="2"/>
      <c r="H149" s="14">
        <f t="shared" si="32"/>
        <v>-19.249999999996362</v>
      </c>
      <c r="I149" s="15">
        <f>IFERROR(H149/H444, "NA")</f>
        <v>2.126531378765191E-2</v>
      </c>
      <c r="J149" s="2"/>
      <c r="K149" s="14">
        <f>IFERROR(K127+K129+K130+K131+K132+K133+K134+K135+K136+K137+K138+K139+K140+K143+K144+K145+K146+K147, "NA")</f>
        <v>25368.100000000002</v>
      </c>
      <c r="L149" s="15">
        <f>IFERROR(K149/K444, "NA")</f>
        <v>0.27218529986294226</v>
      </c>
      <c r="M149" s="2"/>
      <c r="N149" s="14">
        <f t="shared" si="33"/>
        <v>1968.2000000000044</v>
      </c>
      <c r="O149" s="15">
        <f>IFERROR(N149/N444, "NA")</f>
        <v>0.17555251501588603</v>
      </c>
      <c r="P149" s="2"/>
      <c r="Q149" s="14">
        <f>IFERROR(Q127+Q129+Q130+Q131+Q132+Q133+Q134+Q135+Q136+Q137+Q138+Q139+Q140+Q143+Q144+Q145+Q146+Q147, "NA")</f>
        <v>315145.36</v>
      </c>
      <c r="R149" s="15">
        <f>IFERROR(Q149/Q444, "NA")</f>
        <v>0.25761011637682801</v>
      </c>
      <c r="S149" s="2"/>
      <c r="T149" s="14">
        <f>IFERROR(T127+T129+T130+T131+T132+T133+T134+T135+T136+T137+T138+T139+T140+T143+T144+T145+T146+T147, "NA")</f>
        <v>304120.46000000002</v>
      </c>
      <c r="U149" s="15">
        <f>IFERROR(T149/T444, "NA")</f>
        <v>0.23081564183295394</v>
      </c>
      <c r="V149" s="2"/>
      <c r="W149" s="14">
        <f t="shared" si="34"/>
        <v>-11024.899999999965</v>
      </c>
      <c r="X149" s="15">
        <f>IFERROR(W149/W444, "NA")</f>
        <v>0.11697753618352222</v>
      </c>
      <c r="Y149" s="2"/>
      <c r="Z149" s="14">
        <f>IFERROR(Z127+Z129+Z130+Z131+Z132+Z133+Z134+Z135+Z136+Z137+Z138+Z139+Z140+Z143+Z144+Z145+Z146+Z147, "NA")</f>
        <v>292301.55999999994</v>
      </c>
      <c r="AA149" s="15">
        <f>IFERROR(Z149/Z444, "NA")</f>
        <v>0.25286863138114102</v>
      </c>
      <c r="AB149" s="2"/>
      <c r="AC149" s="14">
        <f t="shared" si="35"/>
        <v>-22843.800000000047</v>
      </c>
      <c r="AD149" s="15">
        <f>IFERROR(AC149/AC444, "NA")</f>
        <v>-0.33892888395515924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1579.77</v>
      </c>
      <c r="F153" s="8">
        <f>IFERROR(E153/E444, "NA")</f>
        <v>1.4999961545133621E-2</v>
      </c>
      <c r="G153" s="9"/>
      <c r="H153" s="10">
        <f t="shared" ref="H153:H158" si="36">IFERROR(-(B153-E153), "NA")</f>
        <v>1579.77</v>
      </c>
      <c r="I153" s="8">
        <f>IFERROR(H153/H444, "NA")</f>
        <v>-1.7451586889519588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20786.02</v>
      </c>
      <c r="U153" s="8">
        <f>IFERROR(T153/T444, "NA")</f>
        <v>1.5775783541339562E-2</v>
      </c>
      <c r="V153" s="9"/>
      <c r="W153" s="10">
        <f t="shared" ref="W153:W158" si="38">IFERROR(-(Q153-T153), "NA")</f>
        <v>20786.02</v>
      </c>
      <c r="X153" s="8">
        <f>IFERROR(W153/W444, "NA")</f>
        <v>-0.22054598288069954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3284.18</v>
      </c>
      <c r="C154" s="8">
        <f>IFERROR(B154/B444, "NA")</f>
        <v>3.1453734131292412E-2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-3284.18</v>
      </c>
      <c r="I154" s="8">
        <f>IFERROR(H154/H444, "NA")</f>
        <v>3.6280061420853946</v>
      </c>
      <c r="J154" s="9"/>
      <c r="K154" s="7">
        <v>3228.15</v>
      </c>
      <c r="L154" s="8">
        <f>IFERROR(K154/K444, "NA")</f>
        <v>3.4636215394631721E-2</v>
      </c>
      <c r="M154" s="9"/>
      <c r="N154" s="10">
        <f t="shared" si="37"/>
        <v>-56.029999999999745</v>
      </c>
      <c r="O154" s="8">
        <f>IFERROR(N154/N444, "NA")</f>
        <v>-4.9975649915354279E-3</v>
      </c>
      <c r="P154" s="9"/>
      <c r="Q154" s="7">
        <v>42070.28</v>
      </c>
      <c r="R154" s="8">
        <f>IFERROR(Q154/Q444, "NA")</f>
        <v>3.4389621750438401E-2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-42070.28</v>
      </c>
      <c r="X154" s="8">
        <f>IFERROR(W154/W444, "NA")</f>
        <v>0.44637844342814237</v>
      </c>
      <c r="Y154" s="9"/>
      <c r="Z154" s="7">
        <v>38303.980000000003</v>
      </c>
      <c r="AA154" s="8">
        <f>IFERROR(Z154/Z444, "NA")</f>
        <v>3.3136583325284345E-2</v>
      </c>
      <c r="AB154" s="9"/>
      <c r="AC154" s="10">
        <f t="shared" si="39"/>
        <v>-3766.2999999999956</v>
      </c>
      <c r="AD154" s="8">
        <f>IFERROR(AC154/AC444, "NA")</f>
        <v>-5.5879838540011384E-2</v>
      </c>
    </row>
    <row r="155" spans="1:30" ht="16.5" customHeight="1" x14ac:dyDescent="0.45">
      <c r="A155" s="12" t="s">
        <v>144</v>
      </c>
      <c r="B155" s="7">
        <v>1648.98</v>
      </c>
      <c r="C155" s="8">
        <f>IFERROR(B155/B444, "NA")</f>
        <v>1.5792854992058465E-2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-1648.98</v>
      </c>
      <c r="I155" s="8">
        <f>IFERROR(H155/H444, "NA")</f>
        <v>1.8216143963412403</v>
      </c>
      <c r="J155" s="9"/>
      <c r="K155" s="7">
        <v>851.8</v>
      </c>
      <c r="L155" s="8">
        <f>IFERROR(K155/K444, "NA")</f>
        <v>9.1393300414005854E-3</v>
      </c>
      <c r="M155" s="9"/>
      <c r="N155" s="10">
        <f t="shared" si="37"/>
        <v>-797.18000000000006</v>
      </c>
      <c r="O155" s="8">
        <f>IFERROR(N155/N444, "NA")</f>
        <v>-7.1104031053939504E-2</v>
      </c>
      <c r="P155" s="9"/>
      <c r="Q155" s="7">
        <v>12498.59</v>
      </c>
      <c r="R155" s="8">
        <f>IFERROR(Q155/Q444, "NA")</f>
        <v>1.0216755926364453E-2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-12498.59</v>
      </c>
      <c r="X155" s="8">
        <f>IFERROR(W155/W444, "NA")</f>
        <v>0.13261383449899897</v>
      </c>
      <c r="Y155" s="9"/>
      <c r="Z155" s="7">
        <v>12760.02</v>
      </c>
      <c r="AA155" s="8">
        <f>IFERROR(Z155/Z444, "NA")</f>
        <v>1.1038630083931088E-2</v>
      </c>
      <c r="AB155" s="9"/>
      <c r="AC155" s="10">
        <f t="shared" si="39"/>
        <v>261.43000000000029</v>
      </c>
      <c r="AD155" s="8">
        <f>IFERROR(AC155/AC444, "NA")</f>
        <v>3.878784533763962E-3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140.6</v>
      </c>
      <c r="L156" s="8">
        <f>IFERROR(K156/K444, "NA")</f>
        <v>1.5085581167186221E-3</v>
      </c>
      <c r="M156" s="9"/>
      <c r="N156" s="10">
        <f t="shared" si="37"/>
        <v>140.6</v>
      </c>
      <c r="O156" s="8">
        <f>IFERROR(N156/N444, "NA")</f>
        <v>1.2540739564695419E-2</v>
      </c>
      <c r="P156" s="9"/>
      <c r="Q156" s="7">
        <v>203.19</v>
      </c>
      <c r="R156" s="8">
        <f>IFERROR(Q156/Q444, "NA")</f>
        <v>1.6609414635394818E-4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-203.19</v>
      </c>
      <c r="X156" s="8">
        <f>IFERROR(W156/W444, "NA")</f>
        <v>2.1559075889241584E-3</v>
      </c>
      <c r="Y156" s="9"/>
      <c r="Z156" s="7">
        <v>195.37</v>
      </c>
      <c r="AA156" s="8">
        <f>IFERROR(Z156/Z444, "NA")</f>
        <v>1.6901361906153882E-4</v>
      </c>
      <c r="AB156" s="9"/>
      <c r="AC156" s="10">
        <f t="shared" si="39"/>
        <v>-7.8199999999999932</v>
      </c>
      <c r="AD156" s="8">
        <f>IFERROR(AC156/AC444, "NA")</f>
        <v>-1.1602377330082287E-4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4933.16</v>
      </c>
      <c r="C158" s="15">
        <f>IFERROR(B158/B444, "NA")</f>
        <v>4.7246589123350877E-2</v>
      </c>
      <c r="D158" s="2"/>
      <c r="E158" s="14">
        <f>IFERROR(E153+E154+E155+E156+E157, "NA")</f>
        <v>1579.77</v>
      </c>
      <c r="F158" s="15">
        <f>IFERROR(E158/E444, "NA")</f>
        <v>1.4999961545133621E-2</v>
      </c>
      <c r="G158" s="2"/>
      <c r="H158" s="14">
        <f t="shared" si="36"/>
        <v>-3353.39</v>
      </c>
      <c r="I158" s="15">
        <f>IFERROR(H158/H444, "NA")</f>
        <v>3.7044618494746762</v>
      </c>
      <c r="J158" s="2"/>
      <c r="K158" s="14">
        <f>IFERROR(K153+K154+K155+K156+K157, "NA")</f>
        <v>4220.55</v>
      </c>
      <c r="L158" s="15">
        <f>IFERROR(K158/K444, "NA")</f>
        <v>4.5284103552750928E-2</v>
      </c>
      <c r="M158" s="2"/>
      <c r="N158" s="14">
        <f t="shared" si="37"/>
        <v>-712.60999999999967</v>
      </c>
      <c r="O158" s="15">
        <f>IFERROR(N158/N444, "NA")</f>
        <v>-6.3560856480779498E-2</v>
      </c>
      <c r="P158" s="2"/>
      <c r="Q158" s="14">
        <f>IFERROR(Q153+Q154+Q155+Q156+Q157, "NA")</f>
        <v>54772.06</v>
      </c>
      <c r="R158" s="15">
        <f>IFERROR(Q158/Q444, "NA")</f>
        <v>4.4772471823156808E-2</v>
      </c>
      <c r="S158" s="2"/>
      <c r="T158" s="14">
        <f>IFERROR(T153+T154+T155+T156+T157, "NA")</f>
        <v>20786.02</v>
      </c>
      <c r="U158" s="15">
        <f>IFERROR(T158/T444, "NA")</f>
        <v>1.5775783541339562E-2</v>
      </c>
      <c r="V158" s="2"/>
      <c r="W158" s="14">
        <f t="shared" si="38"/>
        <v>-33986.039999999994</v>
      </c>
      <c r="X158" s="15">
        <f>IFERROR(W158/W444, "NA")</f>
        <v>0.36060220263536591</v>
      </c>
      <c r="Y158" s="2"/>
      <c r="Z158" s="14">
        <f>IFERROR(Z153+Z154+Z155+Z156+Z157, "NA")</f>
        <v>51259.37</v>
      </c>
      <c r="AA158" s="15">
        <f>IFERROR(Z158/Z444, "NA")</f>
        <v>4.4344227028276971E-2</v>
      </c>
      <c r="AB158" s="2"/>
      <c r="AC158" s="14">
        <f t="shared" si="39"/>
        <v>-3512.6899999999951</v>
      </c>
      <c r="AD158" s="15">
        <f>IFERROR(AC158/AC444, "NA")</f>
        <v>-5.2117077779548243E-2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401.26</v>
      </c>
      <c r="C161" s="8">
        <f>IFERROR(B161/B444, "NA")</f>
        <v>3.8430065823196031E-3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-401.26</v>
      </c>
      <c r="I161" s="8">
        <f>IFERROR(H161/H444, "NA")</f>
        <v>0.44326856158102951</v>
      </c>
      <c r="J161" s="9"/>
      <c r="K161" s="7">
        <v>399.08</v>
      </c>
      <c r="L161" s="8">
        <f>IFERROR(K161/K444, "NA")</f>
        <v>4.2819016587487034E-3</v>
      </c>
      <c r="M161" s="9"/>
      <c r="N161" s="10">
        <f t="shared" si="41"/>
        <v>-2.1800000000000068</v>
      </c>
      <c r="O161" s="8">
        <f>IFERROR(N161/N444, "NA")</f>
        <v>-1.9444389936725532E-4</v>
      </c>
      <c r="P161" s="9"/>
      <c r="Q161" s="7">
        <v>3430.13</v>
      </c>
      <c r="R161" s="8">
        <f>IFERROR(Q161/Q444, "NA")</f>
        <v>2.8039003604166954E-3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-3430.13</v>
      </c>
      <c r="X161" s="8">
        <f>IFERROR(W161/W444, "NA")</f>
        <v>3.6394720694898491E-2</v>
      </c>
      <c r="Y161" s="9"/>
      <c r="Z161" s="7">
        <v>4570.58</v>
      </c>
      <c r="AA161" s="8">
        <f>IFERROR(Z161/Z444, "NA")</f>
        <v>3.9539861135808371E-3</v>
      </c>
      <c r="AB161" s="9"/>
      <c r="AC161" s="10">
        <f t="shared" si="43"/>
        <v>1140.4499999999998</v>
      </c>
      <c r="AD161" s="8">
        <f>IFERROR(AC161/AC444, "NA")</f>
        <v>1.6920628166358507E-2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401.26</v>
      </c>
      <c r="C166" s="15">
        <f>IFERROR(B166/B444, "NA")</f>
        <v>3.8430065823196031E-3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-401.26</v>
      </c>
      <c r="I166" s="15">
        <f>IFERROR(H166/H444, "NA")</f>
        <v>0.44326856158102951</v>
      </c>
      <c r="J166" s="2"/>
      <c r="K166" s="14">
        <f>IFERROR(K160+K161+K162+K163+K164+K165, "NA")</f>
        <v>399.08</v>
      </c>
      <c r="L166" s="15">
        <f>IFERROR(K166/K444, "NA")</f>
        <v>4.2819016587487034E-3</v>
      </c>
      <c r="M166" s="2"/>
      <c r="N166" s="14">
        <f t="shared" si="41"/>
        <v>-2.1800000000000068</v>
      </c>
      <c r="O166" s="15">
        <f>IFERROR(N166/N444, "NA")</f>
        <v>-1.9444389936725532E-4</v>
      </c>
      <c r="P166" s="2"/>
      <c r="Q166" s="14">
        <f>IFERROR(Q160+Q161+Q162+Q163+Q164+Q165, "NA")</f>
        <v>3430.13</v>
      </c>
      <c r="R166" s="15">
        <f>IFERROR(Q166/Q444, "NA")</f>
        <v>2.8039003604166954E-3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-3430.13</v>
      </c>
      <c r="X166" s="15">
        <f>IFERROR(W166/W444, "NA")</f>
        <v>3.6394720694898491E-2</v>
      </c>
      <c r="Y166" s="2"/>
      <c r="Z166" s="14">
        <f>IFERROR(Z160+Z161+Z162+Z163+Z164+Z165, "NA")</f>
        <v>4570.58</v>
      </c>
      <c r="AA166" s="15">
        <f>IFERROR(Z166/Z444, "NA")</f>
        <v>3.9539861135808371E-3</v>
      </c>
      <c r="AB166" s="2"/>
      <c r="AC166" s="14">
        <f t="shared" si="43"/>
        <v>1140.4499999999998</v>
      </c>
      <c r="AD166" s="15">
        <f>IFERROR(AC166/AC444, "NA")</f>
        <v>1.6920628166358507E-2</v>
      </c>
    </row>
    <row r="167" spans="1:30" ht="16.5" customHeight="1" x14ac:dyDescent="0.45">
      <c r="A167" s="6" t="s">
        <v>155</v>
      </c>
      <c r="B167" s="7">
        <v>110.29</v>
      </c>
      <c r="C167" s="8">
        <f>IFERROR(B167/B444, "NA")</f>
        <v>1.0562856899866148E-3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-110.29</v>
      </c>
      <c r="I167" s="8">
        <f>IFERROR(H167/H444, "NA")</f>
        <v>0.12183643935795183</v>
      </c>
      <c r="J167" s="9"/>
      <c r="K167" s="7">
        <v>112.29</v>
      </c>
      <c r="L167" s="8">
        <f>IFERROR(K167/K444, "NA")</f>
        <v>1.2048079013252781E-3</v>
      </c>
      <c r="M167" s="9"/>
      <c r="N167" s="10">
        <f t="shared" si="41"/>
        <v>2</v>
      </c>
      <c r="O167" s="8">
        <f>IFERROR(N167/N444, "NA")</f>
        <v>1.7838889850206854E-4</v>
      </c>
      <c r="P167" s="9"/>
      <c r="Q167" s="7">
        <v>1407.37</v>
      </c>
      <c r="R167" s="8">
        <f>IFERROR(Q167/Q444, "NA")</f>
        <v>1.1504302315771251E-3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-1407.37</v>
      </c>
      <c r="X167" s="8">
        <f>IFERROR(W167/W444, "NA")</f>
        <v>1.4932622980580701E-2</v>
      </c>
      <c r="Y167" s="9"/>
      <c r="Z167" s="7">
        <v>1441.84</v>
      </c>
      <c r="AA167" s="8">
        <f>IFERROR(Z167/Z444, "NA")</f>
        <v>1.2473286405675853E-3</v>
      </c>
      <c r="AB167" s="9"/>
      <c r="AC167" s="10">
        <f t="shared" si="43"/>
        <v>34.470000000000027</v>
      </c>
      <c r="AD167" s="8">
        <f>IFERROR(AC167/AC444, "NA")</f>
        <v>5.1142448410222132E-4</v>
      </c>
    </row>
    <row r="168" spans="1:30" ht="16.5" customHeight="1" x14ac:dyDescent="0.45">
      <c r="A168" s="6" t="s">
        <v>156</v>
      </c>
      <c r="B168" s="7">
        <v>27.31</v>
      </c>
      <c r="C168" s="8">
        <f>IFERROR(B168/B444, "NA")</f>
        <v>2.6155736869647698E-4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-27.31</v>
      </c>
      <c r="I168" s="8">
        <f>IFERROR(H168/H444, "NA")</f>
        <v>3.01691282878381E-2</v>
      </c>
      <c r="J168" s="9"/>
      <c r="K168" s="7">
        <v>41.6</v>
      </c>
      <c r="L168" s="8">
        <f>IFERROR(K168/K444, "NA")</f>
        <v>4.4634436454832631E-4</v>
      </c>
      <c r="M168" s="9"/>
      <c r="N168" s="10">
        <f t="shared" si="41"/>
        <v>14.290000000000003</v>
      </c>
      <c r="O168" s="8">
        <f>IFERROR(N168/N444, "NA")</f>
        <v>1.27458867979728E-3</v>
      </c>
      <c r="P168" s="9"/>
      <c r="Q168" s="7">
        <v>606.29</v>
      </c>
      <c r="R168" s="8">
        <f>IFERROR(Q168/Q444, "NA")</f>
        <v>4.9560125986975367E-4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-606.29</v>
      </c>
      <c r="X168" s="8">
        <f>IFERROR(W168/W444, "NA")</f>
        <v>6.43292097095737E-3</v>
      </c>
      <c r="Y168" s="9"/>
      <c r="Z168" s="7">
        <v>563.1</v>
      </c>
      <c r="AA168" s="8">
        <f>IFERROR(Z168/Z444, "NA")</f>
        <v>4.8713502018504643E-4</v>
      </c>
      <c r="AB168" s="9"/>
      <c r="AC168" s="10">
        <f t="shared" si="43"/>
        <v>-43.189999999999941</v>
      </c>
      <c r="AD168" s="8">
        <f>IFERROR(AC168/AC444, "NA")</f>
        <v>-6.4080137709239602E-4</v>
      </c>
    </row>
    <row r="169" spans="1:30" ht="16.5" customHeight="1" x14ac:dyDescent="0.45">
      <c r="A169" s="6" t="s">
        <v>157</v>
      </c>
      <c r="B169" s="7">
        <v>-1336.24</v>
      </c>
      <c r="C169" s="8">
        <f>IFERROR(B169/B444, "NA")</f>
        <v>-1.279763523789749E-2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1336.24</v>
      </c>
      <c r="I169" s="8">
        <f>IFERROR(H169/H444, "NA")</f>
        <v>-1.476133137434668</v>
      </c>
      <c r="J169" s="9"/>
      <c r="K169" s="7">
        <v>-2197.91</v>
      </c>
      <c r="L169" s="8">
        <f>IFERROR(K169/K444, "NA")</f>
        <v>-2.3582325535682978E-2</v>
      </c>
      <c r="M169" s="9"/>
      <c r="N169" s="10">
        <f t="shared" si="41"/>
        <v>-861.66999999999985</v>
      </c>
      <c r="O169" s="8">
        <f>IFERROR(N169/N444, "NA")</f>
        <v>-7.6856181086138689E-2</v>
      </c>
      <c r="P169" s="9"/>
      <c r="Q169" s="7">
        <v>-21462.43</v>
      </c>
      <c r="R169" s="8">
        <f>IFERROR(Q169/Q444, "NA")</f>
        <v>-1.754409168527668E-2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21462.43</v>
      </c>
      <c r="X169" s="8">
        <f>IFERROR(W169/W444, "NA")</f>
        <v>-0.22772289834024079</v>
      </c>
      <c r="Y169" s="9"/>
      <c r="Z169" s="7">
        <v>-28301.14</v>
      </c>
      <c r="AA169" s="8">
        <f>IFERROR(Z169/Z444, "NA")</f>
        <v>-2.4483175999218298E-2</v>
      </c>
      <c r="AB169" s="9"/>
      <c r="AC169" s="10">
        <f t="shared" si="43"/>
        <v>-6838.7099999999991</v>
      </c>
      <c r="AD169" s="8">
        <f>IFERROR(AC169/AC444, "NA")</f>
        <v>-0.10146457016752826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4135.7800000000007</v>
      </c>
      <c r="C170" s="15">
        <f>IFERROR(B170/B444, "NA")</f>
        <v>3.9609803526456093E-2</v>
      </c>
      <c r="D170" s="2"/>
      <c r="E170" s="14">
        <f>IFERROR(E151+E153+E154+E155+E156+E157+E160+E161+E162+E163+E164+E165+E167+E168+E169, "NA")</f>
        <v>1579.77</v>
      </c>
      <c r="F170" s="15">
        <f>IFERROR(E170/E444, "NA")</f>
        <v>1.4999961545133621E-2</v>
      </c>
      <c r="G170" s="2"/>
      <c r="H170" s="14">
        <f t="shared" si="40"/>
        <v>-2556.0100000000007</v>
      </c>
      <c r="I170" s="15">
        <f>IFERROR(H170/H444, "NA")</f>
        <v>2.8236028412668284</v>
      </c>
      <c r="J170" s="2"/>
      <c r="K170" s="14">
        <f>IFERROR(K151+K153+K154+K155+K156+K157+K160+K161+K162+K163+K164+K165+K167+K168+K169, "NA")</f>
        <v>2575.6100000000006</v>
      </c>
      <c r="L170" s="15">
        <f>IFERROR(K170/K444, "NA")</f>
        <v>2.7634831941690266E-2</v>
      </c>
      <c r="M170" s="2"/>
      <c r="N170" s="14">
        <f t="shared" si="41"/>
        <v>-1560.17</v>
      </c>
      <c r="O170" s="15">
        <f>IFERROR(N170/N444, "NA")</f>
        <v>-0.13915850388798615</v>
      </c>
      <c r="P170" s="2"/>
      <c r="Q170" s="14">
        <f>IFERROR(Q151+Q153+Q154+Q155+Q156+Q157+Q160+Q161+Q162+Q163+Q164+Q165+Q167+Q168+Q169, "NA")</f>
        <v>38753.42</v>
      </c>
      <c r="R170" s="15">
        <f>IFERROR(Q170/Q444, "NA")</f>
        <v>3.1678311989743704E-2</v>
      </c>
      <c r="S170" s="2"/>
      <c r="T170" s="14">
        <f>IFERROR(T151+T153+T154+T155+T156+T157+T160+T161+T162+T163+T164+T165+T167+T168+T169, "NA")</f>
        <v>20786.02</v>
      </c>
      <c r="U170" s="15">
        <f>IFERROR(T170/T444, "NA")</f>
        <v>1.5775783541339562E-2</v>
      </c>
      <c r="V170" s="2"/>
      <c r="W170" s="14">
        <f t="shared" si="42"/>
        <v>-17967.399999999998</v>
      </c>
      <c r="X170" s="15">
        <f>IFERROR(W170/W444, "NA")</f>
        <v>0.1906395689415617</v>
      </c>
      <c r="Y170" s="2"/>
      <c r="Z170" s="14">
        <f>IFERROR(Z151+Z153+Z154+Z155+Z156+Z157+Z160+Z161+Z162+Z163+Z164+Z165+Z167+Z168+Z169, "NA")</f>
        <v>29533.75</v>
      </c>
      <c r="AA170" s="15">
        <f>IFERROR(Z170/Z444, "NA")</f>
        <v>2.554950080339214E-2</v>
      </c>
      <c r="AB170" s="2"/>
      <c r="AC170" s="14">
        <f t="shared" si="43"/>
        <v>-9219.6699999999983</v>
      </c>
      <c r="AD170" s="15">
        <f>IFERROR(AC170/AC444, "NA")</f>
        <v>-0.13679039667370824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27535.679999999997</v>
      </c>
      <c r="C171" s="15">
        <f>IFERROR(B171/B444, "NA")</f>
        <v>0.26371878455028219</v>
      </c>
      <c r="D171" s="2"/>
      <c r="E171" s="14">
        <f>IFERROR(E127+E129+E130+E131+E132+E133+E134+E135+E136+E137+E138+E139+E140+E143+E144+E145+E146+E147+E151+E153+E154+E155+E156+E157+E160+E161+E162+E163+E164+E165+E167+E168+E169, "NA")</f>
        <v>24960.420000000002</v>
      </c>
      <c r="F171" s="15">
        <f>IFERROR(E171/E444, "NA")</f>
        <v>0.23699990514466293</v>
      </c>
      <c r="G171" s="2"/>
      <c r="H171" s="14">
        <f t="shared" si="40"/>
        <v>-2575.2599999999948</v>
      </c>
      <c r="I171" s="15">
        <f>IFERROR(H171/H444, "NA")</f>
        <v>2.8448681550544777</v>
      </c>
      <c r="J171" s="2"/>
      <c r="K171" s="14">
        <f>IFERROR(K127+K129+K130+K131+K132+K133+K134+K135+K136+K137+K138+K139+K140+K143+K144+K145+K146+K147+K151+K153+K154+K155+K156+K157+K160+K161+K162+K163+K164+K165+K167+K168+K169, "NA")</f>
        <v>27943.710000000003</v>
      </c>
      <c r="L171" s="15">
        <f>IFERROR(K171/K444, "NA")</f>
        <v>0.29982013180463252</v>
      </c>
      <c r="M171" s="2"/>
      <c r="N171" s="14">
        <f t="shared" si="41"/>
        <v>408.03000000000611</v>
      </c>
      <c r="O171" s="15">
        <f>IFERROR(N171/N444, "NA")</f>
        <v>3.6394011127900062E-2</v>
      </c>
      <c r="P171" s="2"/>
      <c r="Q171" s="14">
        <f>IFERROR(Q127+Q129+Q130+Q131+Q132+Q133+Q134+Q135+Q136+Q137+Q138+Q139+Q140+Q143+Q144+Q145+Q146+Q147+Q151+Q153+Q154+Q155+Q156+Q157+Q160+Q161+Q162+Q163+Q164+Q165+Q167+Q168+Q169, "NA")</f>
        <v>353898.78</v>
      </c>
      <c r="R171" s="15">
        <f>IFERROR(Q171/Q444, "NA")</f>
        <v>0.28928842836657176</v>
      </c>
      <c r="S171" s="2"/>
      <c r="T171" s="14">
        <f>IFERROR(T127+T129+T130+T131+T132+T133+T134+T135+T136+T137+T138+T139+T140+T143+T144+T145+T146+T147+T151+T153+T154+T155+T156+T157+T160+T161+T162+T163+T164+T165+T167+T168+T169, "NA")</f>
        <v>324906.48000000004</v>
      </c>
      <c r="U171" s="15">
        <f>IFERROR(T171/T444, "NA")</f>
        <v>0.24659142537429352</v>
      </c>
      <c r="V171" s="2"/>
      <c r="W171" s="14">
        <f t="shared" si="42"/>
        <v>-28992.299999999988</v>
      </c>
      <c r="X171" s="15">
        <f>IFERROR(W171/W444, "NA")</f>
        <v>0.30761710512508417</v>
      </c>
      <c r="Y171" s="2"/>
      <c r="Z171" s="14">
        <f>IFERROR(Z127+Z129+Z130+Z131+Z132+Z133+Z134+Z135+Z136+Z137+Z138+Z139+Z140+Z143+Z144+Z145+Z146+Z147+Z151+Z153+Z154+Z155+Z156+Z157+Z160+Z161+Z162+Z163+Z164+Z165+Z167+Z168+Z169, "NA")</f>
        <v>321835.30999999994</v>
      </c>
      <c r="AA171" s="15">
        <f>IFERROR(Z171/Z444, "NA")</f>
        <v>0.27841813218453315</v>
      </c>
      <c r="AB171" s="2"/>
      <c r="AC171" s="14">
        <f t="shared" si="43"/>
        <v>-32063.470000000088</v>
      </c>
      <c r="AD171" s="15">
        <f>IFERROR(AC171/AC444, "NA")</f>
        <v>-0.47571928062886809</v>
      </c>
    </row>
    <row r="172" spans="1:30" ht="16.5" customHeight="1" x14ac:dyDescent="0.45">
      <c r="A172" s="22" t="s">
        <v>160</v>
      </c>
      <c r="B172" s="23">
        <f>IFERROR(B124-B171, "NA")</f>
        <v>76877.359999999986</v>
      </c>
      <c r="C172" s="24">
        <f>IFERROR(B172/B444, "NA")</f>
        <v>0.7362812154497177</v>
      </c>
      <c r="D172" s="25"/>
      <c r="E172" s="23">
        <f>IFERROR(E124-E171, "NA")</f>
        <v>80357.850000000006</v>
      </c>
      <c r="F172" s="24">
        <f>IFERROR(E172/E444, "NA")</f>
        <v>0.76300009485533704</v>
      </c>
      <c r="G172" s="25"/>
      <c r="H172" s="23">
        <f>IFERROR(B172-E172, "NA")</f>
        <v>-3480.4900000000198</v>
      </c>
      <c r="I172" s="24">
        <f>IFERROR(H172/H444, "NA")</f>
        <v>3.8448681550544941</v>
      </c>
      <c r="J172" s="25"/>
      <c r="K172" s="23">
        <f>IFERROR(K124-K171, "NA")</f>
        <v>65257.869999999966</v>
      </c>
      <c r="L172" s="24">
        <f>IFERROR(K172/K444, "NA")</f>
        <v>0.70017986819536715</v>
      </c>
      <c r="M172" s="25"/>
      <c r="N172" s="23">
        <f>IFERROR(B172-K172, "NA")</f>
        <v>11619.49000000002</v>
      </c>
      <c r="O172" s="24">
        <f>IFERROR(N172/N444, "NA")</f>
        <v>1.036394011127902</v>
      </c>
      <c r="P172" s="25"/>
      <c r="Q172" s="23">
        <f>IFERROR(Q124-Q171, "NA")</f>
        <v>869443.55000000051</v>
      </c>
      <c r="R172" s="24">
        <f>IFERROR(Q172/Q444, "NA")</f>
        <v>0.71071157163342857</v>
      </c>
      <c r="S172" s="25"/>
      <c r="T172" s="23">
        <f>IFERROR(T124-T171, "NA")</f>
        <v>992683.85999999987</v>
      </c>
      <c r="U172" s="24">
        <f>IFERROR(T172/T444, "NA")</f>
        <v>0.75340857462570632</v>
      </c>
      <c r="V172" s="25"/>
      <c r="W172" s="23">
        <f>IFERROR(Q172-T172, "NA")</f>
        <v>-123240.30999999936</v>
      </c>
      <c r="X172" s="24">
        <f>IFERROR(W172/W444, "NA")</f>
        <v>1.3076171051250773</v>
      </c>
      <c r="Y172" s="25"/>
      <c r="Z172" s="23">
        <f>IFERROR(Z124-Z171, "NA")</f>
        <v>834107.03999999969</v>
      </c>
      <c r="AA172" s="24">
        <f>IFERROR(Z172/Z444, "NA")</f>
        <v>0.7215818678154664</v>
      </c>
      <c r="AB172" s="25"/>
      <c r="AC172" s="23">
        <f>IFERROR(Q172-Z172, "NA")</f>
        <v>35336.510000000824</v>
      </c>
      <c r="AD172" s="24">
        <f>IFERROR(AC172/AC444, "NA")</f>
        <v>0.52428071937114573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5.5990707674060634E-2</v>
      </c>
      <c r="D178" s="9"/>
      <c r="E178" s="7">
        <v>5692.31</v>
      </c>
      <c r="F178" s="8">
        <f>IFERROR(E178/E444, "NA")</f>
        <v>5.4048647020122909E-2</v>
      </c>
      <c r="G178" s="9"/>
      <c r="H178" s="10">
        <f t="shared" si="44"/>
        <v>-153.84999999999945</v>
      </c>
      <c r="I178" s="8">
        <f>IFERROR(H178/H444, "NA")</f>
        <v>0.16995680655744691</v>
      </c>
      <c r="J178" s="9"/>
      <c r="K178" s="7">
        <v>5788.47</v>
      </c>
      <c r="L178" s="8">
        <f>IFERROR(K178/K444, "NA")</f>
        <v>6.2106994323486792E-2</v>
      </c>
      <c r="M178" s="9"/>
      <c r="N178" s="10">
        <f t="shared" si="45"/>
        <v>-57.6899999999996</v>
      </c>
      <c r="O178" s="8">
        <f>IFERROR(N178/N444, "NA")</f>
        <v>-5.1456277772921315E-3</v>
      </c>
      <c r="P178" s="9"/>
      <c r="Q178" s="7">
        <v>68417.38</v>
      </c>
      <c r="R178" s="8">
        <f>IFERROR(Q178/Q444, "NA")</f>
        <v>5.5926602327248824E-2</v>
      </c>
      <c r="S178" s="9"/>
      <c r="T178" s="7">
        <v>66884.62</v>
      </c>
      <c r="U178" s="8">
        <f>IFERROR(T178/T444, "NA")</f>
        <v>5.0762834220536249E-2</v>
      </c>
      <c r="V178" s="9"/>
      <c r="W178" s="10">
        <f t="shared" si="46"/>
        <v>-1532.7600000000093</v>
      </c>
      <c r="X178" s="8">
        <f>IFERROR(W178/W444, "NA")</f>
        <v>1.6263048949256426E-2</v>
      </c>
      <c r="Y178" s="9"/>
      <c r="Z178" s="7">
        <v>66154.02</v>
      </c>
      <c r="AA178" s="8">
        <f>IFERROR(Z178/Z444, "NA")</f>
        <v>5.7229514949426324E-2</v>
      </c>
      <c r="AB178" s="9"/>
      <c r="AC178" s="10">
        <f t="shared" si="47"/>
        <v>-2263.3600000000006</v>
      </c>
      <c r="AD178" s="8">
        <f>IFERROR(AC178/AC444, "NA")</f>
        <v>-3.3581018866771194E-2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18734.599999999999</v>
      </c>
      <c r="C180" s="8">
        <f>IFERROR(B180/B444, "NA")</f>
        <v>0.1794277802849146</v>
      </c>
      <c r="D180" s="9"/>
      <c r="E180" s="7">
        <v>21168.97</v>
      </c>
      <c r="F180" s="8">
        <f>IFERROR(E180/E444, "NA")</f>
        <v>0.20099997844628478</v>
      </c>
      <c r="G180" s="9"/>
      <c r="H180" s="10">
        <f t="shared" si="44"/>
        <v>2434.3700000000026</v>
      </c>
      <c r="I180" s="8">
        <f>IFERROR(H180/H444, "NA")</f>
        <v>-2.6892281519613519</v>
      </c>
      <c r="J180" s="9"/>
      <c r="K180" s="7">
        <v>18744.939999999999</v>
      </c>
      <c r="L180" s="8">
        <f>IFERROR(K180/K444, "NA")</f>
        <v>0.20112255607683902</v>
      </c>
      <c r="M180" s="9"/>
      <c r="N180" s="10">
        <f t="shared" si="45"/>
        <v>10.340000000000146</v>
      </c>
      <c r="O180" s="8">
        <f>IFERROR(N180/N444, "NA")</f>
        <v>9.2227060525570741E-4</v>
      </c>
      <c r="P180" s="9"/>
      <c r="Q180" s="7">
        <v>226141.16</v>
      </c>
      <c r="R180" s="8">
        <f>IFERROR(Q180/Q444, "NA")</f>
        <v>0.18485517459368875</v>
      </c>
      <c r="S180" s="9"/>
      <c r="T180" s="7">
        <v>256200.35</v>
      </c>
      <c r="U180" s="8">
        <f>IFERROR(T180/T444, "NA")</f>
        <v>0.19444613566307717</v>
      </c>
      <c r="V180" s="9"/>
      <c r="W180" s="10">
        <f t="shared" si="46"/>
        <v>30059.190000000002</v>
      </c>
      <c r="X180" s="8">
        <f>IFERROR(W180/W444, "NA")</f>
        <v>-0.31893713193519946</v>
      </c>
      <c r="Y180" s="9"/>
      <c r="Z180" s="7">
        <v>232661.99</v>
      </c>
      <c r="AA180" s="8">
        <f>IFERROR(Z180/Z444, "NA")</f>
        <v>0.2012747348516126</v>
      </c>
      <c r="AB180" s="9"/>
      <c r="AC180" s="10">
        <f t="shared" si="47"/>
        <v>6520.8299999999872</v>
      </c>
      <c r="AD180" s="8">
        <f>IFERROR(AC180/AC444, "NA")</f>
        <v>9.6748248293248587E-2</v>
      </c>
    </row>
    <row r="181" spans="1:30" ht="16.5" customHeight="1" x14ac:dyDescent="0.45">
      <c r="A181" s="12" t="s">
        <v>166</v>
      </c>
      <c r="B181" s="7">
        <v>1172.19</v>
      </c>
      <c r="C181" s="8">
        <f>IFERROR(B181/B444, "NA")</f>
        <v>1.1226471329634691E-2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-1172.19</v>
      </c>
      <c r="I181" s="8">
        <f>IFERROR(H181/H444, "NA")</f>
        <v>1.2949084762988263</v>
      </c>
      <c r="J181" s="9"/>
      <c r="K181" s="7">
        <v>46.92</v>
      </c>
      <c r="L181" s="8">
        <f>IFERROR(K181/K444, "NA")</f>
        <v>5.0342494193767958E-4</v>
      </c>
      <c r="M181" s="9"/>
      <c r="N181" s="10">
        <f t="shared" si="45"/>
        <v>-1125.27</v>
      </c>
      <c r="O181" s="8">
        <f>IFERROR(N181/N444, "NA")</f>
        <v>-0.10036783790871133</v>
      </c>
      <c r="P181" s="9"/>
      <c r="Q181" s="7">
        <v>6139.81</v>
      </c>
      <c r="R181" s="8">
        <f>IFERROR(Q181/Q444, "NA")</f>
        <v>5.018881346155986E-3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-6139.81</v>
      </c>
      <c r="X181" s="8">
        <f>IFERROR(W181/W444, "NA")</f>
        <v>6.5145248159616309E-2</v>
      </c>
      <c r="Y181" s="9"/>
      <c r="Z181" s="7">
        <v>1606.82</v>
      </c>
      <c r="AA181" s="8">
        <f>IFERROR(Z181/Z444, "NA")</f>
        <v>1.3900520211929251E-3</v>
      </c>
      <c r="AB181" s="9"/>
      <c r="AC181" s="10">
        <f t="shared" si="47"/>
        <v>-4532.9900000000007</v>
      </c>
      <c r="AD181" s="8">
        <f>IFERROR(AC181/AC444, "NA")</f>
        <v>-6.7255064467378209E-2</v>
      </c>
    </row>
    <row r="182" spans="1:30" ht="16.5" customHeight="1" x14ac:dyDescent="0.45">
      <c r="A182" s="13" t="s">
        <v>167</v>
      </c>
      <c r="B182" s="14">
        <f>IFERROR(B177+B178+B179+B180+B181, "NA")</f>
        <v>25752.949999999997</v>
      </c>
      <c r="C182" s="15">
        <f>IFERROR(B182/B444, "NA")</f>
        <v>0.24664495928860991</v>
      </c>
      <c r="D182" s="2"/>
      <c r="E182" s="14">
        <f>IFERROR(E177+E178+E179+E180+E181, "NA")</f>
        <v>26861.280000000002</v>
      </c>
      <c r="F182" s="15">
        <f>IFERROR(E182/E444, "NA")</f>
        <v>0.25504862546640772</v>
      </c>
      <c r="G182" s="2"/>
      <c r="H182" s="14">
        <f t="shared" si="44"/>
        <v>1108.3300000000054</v>
      </c>
      <c r="I182" s="15">
        <f>IFERROR(H182/H444, "NA")</f>
        <v>-1.2243628691050812</v>
      </c>
      <c r="J182" s="2"/>
      <c r="K182" s="14">
        <f>IFERROR(K177+K178+K179+K180+K181, "NA")</f>
        <v>24580.329999999998</v>
      </c>
      <c r="L182" s="15">
        <f>IFERROR(K182/K444, "NA")</f>
        <v>0.26373297534226348</v>
      </c>
      <c r="M182" s="2"/>
      <c r="N182" s="14">
        <f t="shared" si="45"/>
        <v>-1172.619999999999</v>
      </c>
      <c r="O182" s="15">
        <f>IFERROR(N182/N444, "NA")</f>
        <v>-0.10459119508074773</v>
      </c>
      <c r="P182" s="2"/>
      <c r="Q182" s="14">
        <f>IFERROR(Q177+Q178+Q179+Q180+Q181, "NA")</f>
        <v>300698.35000000003</v>
      </c>
      <c r="R182" s="15">
        <f>IFERROR(Q182/Q444, "NA")</f>
        <v>0.24580065826709357</v>
      </c>
      <c r="S182" s="2"/>
      <c r="T182" s="14">
        <f>IFERROR(T177+T178+T179+T180+T181, "NA")</f>
        <v>323084.96999999997</v>
      </c>
      <c r="U182" s="15">
        <f>IFERROR(T182/T444, "NA")</f>
        <v>0.2452089698836134</v>
      </c>
      <c r="V182" s="2"/>
      <c r="W182" s="14">
        <f t="shared" si="46"/>
        <v>22386.619999999937</v>
      </c>
      <c r="X182" s="15">
        <f>IFERROR(W182/W444, "NA")</f>
        <v>-0.23752883482632614</v>
      </c>
      <c r="Y182" s="2"/>
      <c r="Z182" s="14">
        <f>IFERROR(Z177+Z178+Z179+Z180+Z181, "NA")</f>
        <v>300422.83</v>
      </c>
      <c r="AA182" s="15">
        <f>IFERROR(Z182/Z444, "NA")</f>
        <v>0.25989430182223189</v>
      </c>
      <c r="AB182" s="2"/>
      <c r="AC182" s="14">
        <f t="shared" si="47"/>
        <v>-275.52000000001863</v>
      </c>
      <c r="AD182" s="15">
        <f>IFERROR(AC182/AC444, "NA")</f>
        <v>-4.0878350409008831E-3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-500</v>
      </c>
      <c r="C184" s="8">
        <f>IFERROR(B184/B444, "NA")</f>
        <v>-4.7886739050984443E-3</v>
      </c>
      <c r="D184" s="9"/>
      <c r="E184" s="7">
        <v>500</v>
      </c>
      <c r="F184" s="8">
        <f>IFERROR(E184/E444, "NA")</f>
        <v>4.7475143676401063E-3</v>
      </c>
      <c r="G184" s="9"/>
      <c r="H184" s="10">
        <f t="shared" si="44"/>
        <v>1000</v>
      </c>
      <c r="I184" s="8">
        <f>IFERROR(H184/H444, "NA")</f>
        <v>-1.1046916253327757</v>
      </c>
      <c r="J184" s="9"/>
      <c r="K184" s="7">
        <v>150</v>
      </c>
      <c r="L184" s="8">
        <f>IFERROR(K184/K444, "NA")</f>
        <v>1.6094147760155996E-3</v>
      </c>
      <c r="M184" s="9"/>
      <c r="N184" s="10">
        <f t="shared" si="45"/>
        <v>650</v>
      </c>
      <c r="O184" s="8">
        <f>IFERROR(N184/N444, "NA")</f>
        <v>5.7976392013172277E-2</v>
      </c>
      <c r="P184" s="9"/>
      <c r="Q184" s="7">
        <v>2550</v>
      </c>
      <c r="R184" s="8">
        <f>IFERROR(Q184/Q444, "NA")</f>
        <v>2.0844533353145721E-3</v>
      </c>
      <c r="S184" s="9"/>
      <c r="T184" s="7">
        <v>5500</v>
      </c>
      <c r="U184" s="8">
        <f>IFERROR(T184/T444, "NA")</f>
        <v>4.1742868272698474E-3</v>
      </c>
      <c r="V184" s="9"/>
      <c r="W184" s="10">
        <f t="shared" si="46"/>
        <v>2950</v>
      </c>
      <c r="X184" s="8">
        <f>IFERROR(W184/W444, "NA")</f>
        <v>-3.1300395626390413E-2</v>
      </c>
      <c r="Y184" s="9"/>
      <c r="Z184" s="7">
        <v>3350</v>
      </c>
      <c r="AA184" s="8">
        <f>IFERROR(Z184/Z444, "NA")</f>
        <v>2.8980684028057277E-3</v>
      </c>
      <c r="AB184" s="9"/>
      <c r="AC184" s="10">
        <f t="shared" si="47"/>
        <v>800</v>
      </c>
      <c r="AD184" s="8">
        <f>IFERROR(AC184/AC444, "NA")</f>
        <v>1.1869439723869358E-2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2390.5500000000002</v>
      </c>
      <c r="C186" s="8">
        <f>IFERROR(B186/B444, "NA")</f>
        <v>2.2895128807666171E-2</v>
      </c>
      <c r="D186" s="9"/>
      <c r="E186" s="7">
        <v>2464.34</v>
      </c>
      <c r="F186" s="8">
        <f>IFERROR(E186/E444, "NA")</f>
        <v>2.3398979113500442E-2</v>
      </c>
      <c r="G186" s="9"/>
      <c r="H186" s="10">
        <f t="shared" ref="H186:H197" si="48">IFERROR(-(B186-E186), "NA")</f>
        <v>73.789999999999964</v>
      </c>
      <c r="I186" s="8">
        <f>IFERROR(H186/H444, "NA")</f>
        <v>-8.1515195033305468E-2</v>
      </c>
      <c r="J186" s="9"/>
      <c r="K186" s="7">
        <v>2279.1999999999998</v>
      </c>
      <c r="L186" s="8">
        <f>IFERROR(K186/K444, "NA")</f>
        <v>2.4454521049965032E-2</v>
      </c>
      <c r="M186" s="9"/>
      <c r="N186" s="10">
        <f t="shared" ref="N186:N197" si="49">IFERROR(-(B186-K186), "NA")</f>
        <v>-111.35000000000036</v>
      </c>
      <c r="O186" s="8">
        <f>IFERROR(N186/N444, "NA")</f>
        <v>-9.9318019241026994E-3</v>
      </c>
      <c r="P186" s="9"/>
      <c r="Q186" s="7">
        <v>29553.27</v>
      </c>
      <c r="R186" s="8">
        <f>IFERROR(Q186/Q444, "NA")</f>
        <v>2.4157808714098856E-2</v>
      </c>
      <c r="S186" s="9"/>
      <c r="T186" s="7">
        <v>34417.96</v>
      </c>
      <c r="U186" s="8">
        <f>IFERROR(T186/T444, "NA")</f>
        <v>2.6121897645363729E-2</v>
      </c>
      <c r="V186" s="9"/>
      <c r="W186" s="10">
        <f t="shared" ref="W186:W197" si="50">IFERROR(-(Q186-T186), "NA")</f>
        <v>4864.6899999999987</v>
      </c>
      <c r="X186" s="8">
        <f>IFERROR(W186/W444, "NA")</f>
        <v>-5.1615837830422076E-2</v>
      </c>
      <c r="Y186" s="9"/>
      <c r="Z186" s="7">
        <v>30227.3</v>
      </c>
      <c r="AA186" s="8">
        <f>IFERROR(Z186/Z444, "NA")</f>
        <v>2.6149487472277487E-2</v>
      </c>
      <c r="AB186" s="9"/>
      <c r="AC186" s="10">
        <f t="shared" ref="AC186:AC197" si="51">IFERROR(-(Q186-Z186), "NA")</f>
        <v>674.02999999999884</v>
      </c>
      <c r="AD186" s="8">
        <f>IFERROR(AC186/AC444, "NA")</f>
        <v>1.0000448071349562E-2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-5.1905702736819005E-8</v>
      </c>
      <c r="AB187" s="9"/>
      <c r="AC187" s="10">
        <f t="shared" si="51"/>
        <v>-0.06</v>
      </c>
      <c r="AD187" s="8">
        <f>IFERROR(AC187/AC444, "NA")</f>
        <v>-8.9020797929020175E-7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2390.5500000000002</v>
      </c>
      <c r="C193" s="15">
        <f>IFERROR(B193/B444, "NA")</f>
        <v>2.2895128807666171E-2</v>
      </c>
      <c r="D193" s="2"/>
      <c r="E193" s="14">
        <f>IFERROR(E186+E187+E188+E189+E190+E191+E192, "NA")</f>
        <v>2464.34</v>
      </c>
      <c r="F193" s="15">
        <f>IFERROR(E193/E444, "NA")</f>
        <v>2.3398979113500442E-2</v>
      </c>
      <c r="G193" s="2"/>
      <c r="H193" s="14">
        <f t="shared" si="48"/>
        <v>73.789999999999964</v>
      </c>
      <c r="I193" s="15">
        <f>IFERROR(H193/H444, "NA")</f>
        <v>-8.1515195033305468E-2</v>
      </c>
      <c r="J193" s="2"/>
      <c r="K193" s="14">
        <f>IFERROR(K186+K187+K188+K189+K190+K191+K192, "NA")</f>
        <v>2279.1999999999998</v>
      </c>
      <c r="L193" s="15">
        <f>IFERROR(K193/K444, "NA")</f>
        <v>2.4454521049965032E-2</v>
      </c>
      <c r="M193" s="2"/>
      <c r="N193" s="14">
        <f t="shared" si="49"/>
        <v>-111.35000000000036</v>
      </c>
      <c r="O193" s="15">
        <f>IFERROR(N193/N444, "NA")</f>
        <v>-9.9318019241026994E-3</v>
      </c>
      <c r="P193" s="2"/>
      <c r="Q193" s="14">
        <f>IFERROR(Q186+Q187+Q188+Q189+Q190+Q191+Q192, "NA")</f>
        <v>29553.27</v>
      </c>
      <c r="R193" s="15">
        <f>IFERROR(Q193/Q444, "NA")</f>
        <v>2.4157808714098856E-2</v>
      </c>
      <c r="S193" s="2"/>
      <c r="T193" s="14">
        <f>IFERROR(T186+T187+T188+T189+T190+T191+T192, "NA")</f>
        <v>34417.96</v>
      </c>
      <c r="U193" s="15">
        <f>IFERROR(T193/T444, "NA")</f>
        <v>2.6121897645363729E-2</v>
      </c>
      <c r="V193" s="2"/>
      <c r="W193" s="14">
        <f t="shared" si="50"/>
        <v>4864.6899999999987</v>
      </c>
      <c r="X193" s="15">
        <f>IFERROR(W193/W444, "NA")</f>
        <v>-5.1615837830422076E-2</v>
      </c>
      <c r="Y193" s="2"/>
      <c r="Z193" s="14">
        <f>IFERROR(Z186+Z187+Z188+Z189+Z190+Z191+Z192, "NA")</f>
        <v>30227.239999999998</v>
      </c>
      <c r="AA193" s="15">
        <f>IFERROR(Z193/Z444, "NA")</f>
        <v>2.6149435566574748E-2</v>
      </c>
      <c r="AB193" s="2"/>
      <c r="AC193" s="14">
        <f t="shared" si="51"/>
        <v>673.96999999999753</v>
      </c>
      <c r="AD193" s="15">
        <f>IFERROR(AC193/AC444, "NA")</f>
        <v>9.9995578633702512E-3</v>
      </c>
    </row>
    <row r="194" spans="1:30" ht="16.5" customHeight="1" x14ac:dyDescent="0.45">
      <c r="A194" s="6" t="s">
        <v>178</v>
      </c>
      <c r="B194" s="7">
        <v>212</v>
      </c>
      <c r="C194" s="8">
        <f>IFERROR(B194/B444, "NA")</f>
        <v>2.0303977357617404E-3</v>
      </c>
      <c r="D194" s="9"/>
      <c r="E194" s="7">
        <v>218.89</v>
      </c>
      <c r="F194" s="8">
        <f>IFERROR(E194/E444, "NA")</f>
        <v>2.0783668398654856E-3</v>
      </c>
      <c r="G194" s="9"/>
      <c r="H194" s="10">
        <f t="shared" si="48"/>
        <v>6.8899999999999864</v>
      </c>
      <c r="I194" s="8">
        <f>IFERROR(H194/H444, "NA")</f>
        <v>-7.6113252985428089E-3</v>
      </c>
      <c r="J194" s="9"/>
      <c r="K194" s="7">
        <v>212</v>
      </c>
      <c r="L194" s="8">
        <f>IFERROR(K194/K444, "NA")</f>
        <v>2.2746395501020474E-3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2592</v>
      </c>
      <c r="R194" s="8">
        <f>IFERROR(Q194/Q444, "NA")</f>
        <v>2.118785507896224E-3</v>
      </c>
      <c r="S194" s="9"/>
      <c r="T194" s="7">
        <v>2628.69</v>
      </c>
      <c r="U194" s="8">
        <f>IFERROR(T194/T444, "NA")</f>
        <v>1.9950738254501774E-3</v>
      </c>
      <c r="V194" s="9"/>
      <c r="W194" s="10">
        <f t="shared" si="50"/>
        <v>36.690000000000055</v>
      </c>
      <c r="X194" s="8">
        <f>IFERROR(W194/W444, "NA")</f>
        <v>-3.8929203916347998E-4</v>
      </c>
      <c r="Y194" s="9"/>
      <c r="Z194" s="7">
        <v>2366</v>
      </c>
      <c r="AA194" s="8">
        <f>IFERROR(Z194/Z444, "NA")</f>
        <v>2.0468148779218963E-3</v>
      </c>
      <c r="AB194" s="9"/>
      <c r="AC194" s="10">
        <f t="shared" si="51"/>
        <v>-226</v>
      </c>
      <c r="AD194" s="8">
        <f>IFERROR(AC194/AC444, "NA")</f>
        <v>-3.3531167219930935E-3</v>
      </c>
    </row>
    <row r="195" spans="1:30" ht="16.5" customHeight="1" x14ac:dyDescent="0.45">
      <c r="A195" s="6" t="s">
        <v>179</v>
      </c>
      <c r="B195" s="7">
        <v>57.07</v>
      </c>
      <c r="C195" s="8">
        <f>IFERROR(B195/B444, "NA")</f>
        <v>5.4657923952793638E-4</v>
      </c>
      <c r="D195" s="9"/>
      <c r="E195" s="7">
        <v>191.53</v>
      </c>
      <c r="F195" s="8">
        <f>IFERROR(E195/E444, "NA")</f>
        <v>1.8185828536682192E-3</v>
      </c>
      <c r="G195" s="9"/>
      <c r="H195" s="10">
        <f t="shared" si="48"/>
        <v>134.46</v>
      </c>
      <c r="I195" s="8">
        <f>IFERROR(H195/H444, "NA")</f>
        <v>-0.14853683594224501</v>
      </c>
      <c r="J195" s="9"/>
      <c r="K195" s="7">
        <v>246.55</v>
      </c>
      <c r="L195" s="8">
        <f>IFERROR(K195/K444, "NA")</f>
        <v>2.6453414201776408E-3</v>
      </c>
      <c r="M195" s="9"/>
      <c r="N195" s="10">
        <f t="shared" si="49"/>
        <v>189.48000000000002</v>
      </c>
      <c r="O195" s="8">
        <f>IFERROR(N195/N444, "NA")</f>
        <v>1.6900564244085977E-2</v>
      </c>
      <c r="P195" s="9"/>
      <c r="Q195" s="7">
        <v>2555.19</v>
      </c>
      <c r="R195" s="8">
        <f>IFERROR(Q195/Q444, "NA")</f>
        <v>2.0886958109264477E-3</v>
      </c>
      <c r="S195" s="9"/>
      <c r="T195" s="7">
        <v>2300.11</v>
      </c>
      <c r="U195" s="8">
        <f>IFERROR(T195/T444, "NA")</f>
        <v>1.7456943407766635E-3</v>
      </c>
      <c r="V195" s="9"/>
      <c r="W195" s="10">
        <f t="shared" si="50"/>
        <v>-255.07999999999993</v>
      </c>
      <c r="X195" s="8">
        <f>IFERROR(W195/W444, "NA")</f>
        <v>2.7064762428405638E-3</v>
      </c>
      <c r="Y195" s="9"/>
      <c r="Z195" s="7">
        <v>2471.5500000000002</v>
      </c>
      <c r="AA195" s="8">
        <f>IFERROR(Z195/Z444, "NA")</f>
        <v>2.1381256599864169E-3</v>
      </c>
      <c r="AB195" s="9"/>
      <c r="AC195" s="10">
        <f t="shared" si="51"/>
        <v>-83.639999999999873</v>
      </c>
      <c r="AD195" s="8">
        <f>IFERROR(AC195/AC444, "NA")</f>
        <v>-1.2409499231305395E-3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27912.569999999996</v>
      </c>
      <c r="C196" s="15">
        <f>IFERROR(B196/B444, "NA")</f>
        <v>0.26732839116646728</v>
      </c>
      <c r="D196" s="2"/>
      <c r="E196" s="14">
        <f>IFERROR(E175+E177+E178+E179+E180+E181+E183+E184+E186+E187+E188+E189+E190+E191+E192+E194+E195, "NA")</f>
        <v>30236.04</v>
      </c>
      <c r="F196" s="15">
        <f>IFERROR(E196/E444, "NA")</f>
        <v>0.28709206864108194</v>
      </c>
      <c r="G196" s="2"/>
      <c r="H196" s="14">
        <f t="shared" si="48"/>
        <v>2323.4700000000048</v>
      </c>
      <c r="I196" s="15">
        <f>IFERROR(H196/H444, "NA")</f>
        <v>-2.5667178507119495</v>
      </c>
      <c r="J196" s="2"/>
      <c r="K196" s="14">
        <f>IFERROR(K175+K177+K178+K179+K180+K181+K183+K184+K186+K187+K188+K189+K190+K191+K192+K194+K195, "NA")</f>
        <v>27468.079999999998</v>
      </c>
      <c r="L196" s="15">
        <f>IFERROR(K196/K444, "NA")</f>
        <v>0.29471689213852381</v>
      </c>
      <c r="M196" s="2"/>
      <c r="N196" s="14">
        <f t="shared" si="49"/>
        <v>-444.48999999999796</v>
      </c>
      <c r="O196" s="15">
        <f>IFERROR(N196/N444, "NA")</f>
        <v>-3.9646040747592044E-2</v>
      </c>
      <c r="P196" s="2"/>
      <c r="Q196" s="14">
        <f>IFERROR(Q175+Q177+Q178+Q179+Q180+Q181+Q183+Q184+Q186+Q187+Q188+Q189+Q190+Q191+Q192+Q194+Q195, "NA")</f>
        <v>337948.81000000006</v>
      </c>
      <c r="R196" s="15">
        <f>IFERROR(Q196/Q444, "NA")</f>
        <v>0.27625040163532971</v>
      </c>
      <c r="S196" s="2"/>
      <c r="T196" s="14">
        <f>IFERROR(T175+T177+T178+T179+T180+T181+T183+T184+T186+T187+T188+T189+T190+T191+T192+T194+T195, "NA")</f>
        <v>367931.73</v>
      </c>
      <c r="U196" s="15">
        <f>IFERROR(T196/T444, "NA")</f>
        <v>0.27924592252247382</v>
      </c>
      <c r="V196" s="2"/>
      <c r="W196" s="14">
        <f t="shared" si="50"/>
        <v>29982.919999999925</v>
      </c>
      <c r="X196" s="15">
        <f>IFERROR(W196/W444, "NA")</f>
        <v>-0.31812788407946146</v>
      </c>
      <c r="Y196" s="2"/>
      <c r="Z196" s="14">
        <f>IFERROR(Z175+Z177+Z178+Z179+Z180+Z181+Z183+Z184+Z186+Z187+Z188+Z189+Z190+Z191+Z192+Z194+Z195, "NA")</f>
        <v>338837.62</v>
      </c>
      <c r="AA196" s="15">
        <f>IFERROR(Z196/Z444, "NA")</f>
        <v>0.29312674632952063</v>
      </c>
      <c r="AB196" s="2"/>
      <c r="AC196" s="14">
        <f t="shared" si="51"/>
        <v>888.80999999993946</v>
      </c>
      <c r="AD196" s="15">
        <f>IFERROR(AC196/AC444, "NA")</f>
        <v>1.3187095901214507E-2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27912.569999999996</v>
      </c>
      <c r="C197" s="15">
        <f>IFERROR(B197/B444, "NA")</f>
        <v>0.26732839116646728</v>
      </c>
      <c r="D197" s="2"/>
      <c r="E197" s="14">
        <f>IFERROR(E175+E177+E178+E179+E180+E181+E183+E184+E186+E187+E188+E189+E190+E191+E192+E194+E195, "NA")</f>
        <v>30236.04</v>
      </c>
      <c r="F197" s="15">
        <f>IFERROR(E197/E444, "NA")</f>
        <v>0.28709206864108194</v>
      </c>
      <c r="G197" s="2"/>
      <c r="H197" s="14">
        <f t="shared" si="48"/>
        <v>2323.4700000000048</v>
      </c>
      <c r="I197" s="15">
        <f>IFERROR(H197/H444, "NA")</f>
        <v>-2.5667178507119495</v>
      </c>
      <c r="J197" s="2"/>
      <c r="K197" s="14">
        <f>IFERROR(K175+K177+K178+K179+K180+K181+K183+K184+K186+K187+K188+K189+K190+K191+K192+K194+K195, "NA")</f>
        <v>27468.079999999998</v>
      </c>
      <c r="L197" s="15">
        <f>IFERROR(K197/K444, "NA")</f>
        <v>0.29471689213852381</v>
      </c>
      <c r="M197" s="2"/>
      <c r="N197" s="14">
        <f t="shared" si="49"/>
        <v>-444.48999999999796</v>
      </c>
      <c r="O197" s="15">
        <f>IFERROR(N197/N444, "NA")</f>
        <v>-3.9646040747592044E-2</v>
      </c>
      <c r="P197" s="2"/>
      <c r="Q197" s="14">
        <f>IFERROR(Q175+Q177+Q178+Q179+Q180+Q181+Q183+Q184+Q186+Q187+Q188+Q189+Q190+Q191+Q192+Q194+Q195, "NA")</f>
        <v>337948.81000000006</v>
      </c>
      <c r="R197" s="15">
        <f>IFERROR(Q197/Q444, "NA")</f>
        <v>0.27625040163532971</v>
      </c>
      <c r="S197" s="2"/>
      <c r="T197" s="14">
        <f>IFERROR(T175+T177+T178+T179+T180+T181+T183+T184+T186+T187+T188+T189+T190+T191+T192+T194+T195, "NA")</f>
        <v>367931.73</v>
      </c>
      <c r="U197" s="15">
        <f>IFERROR(T197/T444, "NA")</f>
        <v>0.27924592252247382</v>
      </c>
      <c r="V197" s="2"/>
      <c r="W197" s="14">
        <f t="shared" si="50"/>
        <v>29982.919999999925</v>
      </c>
      <c r="X197" s="15">
        <f>IFERROR(W197/W444, "NA")</f>
        <v>-0.31812788407946146</v>
      </c>
      <c r="Y197" s="2"/>
      <c r="Z197" s="14">
        <f>IFERROR(Z175+Z177+Z178+Z179+Z180+Z181+Z183+Z184+Z186+Z187+Z188+Z189+Z190+Z191+Z192+Z194+Z195, "NA")</f>
        <v>338837.62</v>
      </c>
      <c r="AA197" s="15">
        <f>IFERROR(Z197/Z444, "NA")</f>
        <v>0.29312674632952063</v>
      </c>
      <c r="AB197" s="2"/>
      <c r="AC197" s="14">
        <f t="shared" si="51"/>
        <v>888.80999999993946</v>
      </c>
      <c r="AD197" s="15">
        <f>IFERROR(AC197/AC444, "NA")</f>
        <v>1.3187095901214507E-2</v>
      </c>
    </row>
    <row r="198" spans="1:30" ht="16.5" customHeight="1" x14ac:dyDescent="0.45">
      <c r="A198" s="22" t="s">
        <v>181</v>
      </c>
      <c r="B198" s="23">
        <f>IFERROR(B172-B197, "NA")</f>
        <v>48964.789999999994</v>
      </c>
      <c r="C198" s="24">
        <f>IFERROR(B198/B444, "NA")</f>
        <v>0.46895282428325041</v>
      </c>
      <c r="D198" s="25"/>
      <c r="E198" s="23">
        <f>IFERROR(E172-E197, "NA")</f>
        <v>50121.810000000005</v>
      </c>
      <c r="F198" s="24">
        <f>IFERROR(E198/E444, "NA")</f>
        <v>0.47590802621425515</v>
      </c>
      <c r="G198" s="25"/>
      <c r="H198" s="23">
        <f>IFERROR(B198-E198, "NA")</f>
        <v>-1157.0200000000114</v>
      </c>
      <c r="I198" s="24">
        <f>IFERROR(H198/H444, "NA")</f>
        <v>1.2781503043425406</v>
      </c>
      <c r="J198" s="25"/>
      <c r="K198" s="23">
        <f>IFERROR(K172-K197, "NA")</f>
        <v>37789.789999999964</v>
      </c>
      <c r="L198" s="24">
        <f>IFERROR(K198/K444, "NA")</f>
        <v>0.40546297605684328</v>
      </c>
      <c r="M198" s="25"/>
      <c r="N198" s="23">
        <f>IFERROR(B198-K198, "NA")</f>
        <v>11175.000000000029</v>
      </c>
      <c r="O198" s="24">
        <f>IFERROR(N198/N444, "NA")</f>
        <v>0.9967479703803106</v>
      </c>
      <c r="P198" s="25"/>
      <c r="Q198" s="23">
        <f>IFERROR(Q172-Q197, "NA")</f>
        <v>531494.74000000046</v>
      </c>
      <c r="R198" s="24">
        <f>IFERROR(Q198/Q444, "NA")</f>
        <v>0.43446116999809892</v>
      </c>
      <c r="S198" s="25"/>
      <c r="T198" s="23">
        <f>IFERROR(T172-T197, "NA")</f>
        <v>624752.12999999989</v>
      </c>
      <c r="U198" s="24">
        <f>IFERROR(T198/T444, "NA")</f>
        <v>0.4741626521032325</v>
      </c>
      <c r="V198" s="25"/>
      <c r="W198" s="23">
        <f>IFERROR(Q198-T198, "NA")</f>
        <v>-93257.389999999432</v>
      </c>
      <c r="X198" s="24">
        <f>IFERROR(W198/W444, "NA")</f>
        <v>0.98948922104561599</v>
      </c>
      <c r="Y198" s="25"/>
      <c r="Z198" s="23">
        <f>IFERROR(Z172-Z197, "NA")</f>
        <v>495269.41999999969</v>
      </c>
      <c r="AA198" s="24">
        <f>IFERROR(Z198/Z444, "NA")</f>
        <v>0.42845512148594578</v>
      </c>
      <c r="AB198" s="25"/>
      <c r="AC198" s="23">
        <f>IFERROR(Q198-Z198, "NA")</f>
        <v>36225.320000000764</v>
      </c>
      <c r="AD198" s="24">
        <f>IFERROR(AC198/AC444, "NA")</f>
        <v>0.53746781527236021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2211.6799999999998</v>
      </c>
      <c r="F201" s="8">
        <f>IFERROR(E201/E444, "NA")</f>
        <v>2.0999965153244537E-2</v>
      </c>
      <c r="G201" s="9"/>
      <c r="H201" s="10">
        <f t="shared" ref="H201:H209" si="52">IFERROR(-(B201-E201), "NA")</f>
        <v>2211.6799999999998</v>
      </c>
      <c r="I201" s="8">
        <f>IFERROR(H201/H444, "NA")</f>
        <v>-2.4432243739159927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28010.11</v>
      </c>
      <c r="U201" s="8">
        <f>IFERROR(T201/T444, "NA")</f>
        <v>2.1258587855159897E-2</v>
      </c>
      <c r="V201" s="9"/>
      <c r="W201" s="10">
        <f t="shared" ref="W201:W209" si="54">IFERROR(-(Q201-T201), "NA")</f>
        <v>28010.11</v>
      </c>
      <c r="X201" s="8">
        <f>IFERROR(W201/W444, "NA")</f>
        <v>-0.29719577103007266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1480.52</v>
      </c>
      <c r="C202" s="8">
        <f>IFERROR(B202/B444, "NA")</f>
        <v>1.4179454979952696E-2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-1480.52</v>
      </c>
      <c r="I202" s="8">
        <f>IFERROR(H202/H444, "NA")</f>
        <v>1.635518045137681</v>
      </c>
      <c r="J202" s="9"/>
      <c r="K202" s="7">
        <v>1683.22</v>
      </c>
      <c r="L202" s="8">
        <f>IFERROR(K202/K444, "NA")</f>
        <v>1.8059994261899852E-2</v>
      </c>
      <c r="M202" s="9"/>
      <c r="N202" s="10">
        <f t="shared" si="53"/>
        <v>202.70000000000005</v>
      </c>
      <c r="O202" s="8">
        <f>IFERROR(N202/N444, "NA")</f>
        <v>1.8079714863184652E-2</v>
      </c>
      <c r="P202" s="9"/>
      <c r="Q202" s="7">
        <v>18215.560000000001</v>
      </c>
      <c r="R202" s="8">
        <f>IFERROR(Q202/Q444, "NA")</f>
        <v>1.4889994037891258E-2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-18215.560000000001</v>
      </c>
      <c r="X202" s="8">
        <f>IFERROR(W202/W444, "NA")</f>
        <v>0.1932726218834753</v>
      </c>
      <c r="Y202" s="9"/>
      <c r="Z202" s="7">
        <v>14335.95</v>
      </c>
      <c r="AA202" s="8">
        <f>IFERROR(Z202/Z444, "NA")</f>
        <v>1.2401959319165008E-2</v>
      </c>
      <c r="AB202" s="9"/>
      <c r="AC202" s="10">
        <f t="shared" si="55"/>
        <v>-3879.6100000000006</v>
      </c>
      <c r="AD202" s="8">
        <f>IFERROR(AC202/AC444, "NA")</f>
        <v>-5.7560996308901005E-2</v>
      </c>
    </row>
    <row r="203" spans="1:30" ht="16.5" customHeight="1" x14ac:dyDescent="0.45">
      <c r="A203" s="6" t="s">
        <v>185</v>
      </c>
      <c r="B203" s="7">
        <v>683.61</v>
      </c>
      <c r="C203" s="8">
        <f>IFERROR(B203/B444, "NA")</f>
        <v>6.5471707365286945E-3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-683.61</v>
      </c>
      <c r="I203" s="8">
        <f>IFERROR(H203/H444, "NA")</f>
        <v>0.75517824199373873</v>
      </c>
      <c r="J203" s="9"/>
      <c r="K203" s="7">
        <v>584.65</v>
      </c>
      <c r="L203" s="8">
        <f>IFERROR(K203/K444, "NA")</f>
        <v>6.2729623253168021E-3</v>
      </c>
      <c r="M203" s="9"/>
      <c r="N203" s="10">
        <f t="shared" si="53"/>
        <v>-98.960000000000036</v>
      </c>
      <c r="O203" s="8">
        <f>IFERROR(N203/N444, "NA")</f>
        <v>-8.826682697882355E-3</v>
      </c>
      <c r="P203" s="9"/>
      <c r="Q203" s="7">
        <v>9962.59</v>
      </c>
      <c r="R203" s="8">
        <f>IFERROR(Q203/Q444, "NA")</f>
        <v>8.1437466485770986E-3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-9962.59</v>
      </c>
      <c r="X203" s="8">
        <f>IFERROR(W203/W444, "NA")</f>
        <v>0.10570610456390538</v>
      </c>
      <c r="Y203" s="9"/>
      <c r="Z203" s="7">
        <v>6099.11</v>
      </c>
      <c r="AA203" s="8">
        <f>IFERROR(Z203/Z444, "NA")</f>
        <v>5.2763098436526693E-3</v>
      </c>
      <c r="AB203" s="9"/>
      <c r="AC203" s="10">
        <f t="shared" si="55"/>
        <v>-3863.4800000000005</v>
      </c>
      <c r="AD203" s="8">
        <f>IFERROR(AC203/AC444, "NA")</f>
        <v>-5.7321678730468492E-2</v>
      </c>
    </row>
    <row r="204" spans="1:30" ht="16.5" customHeight="1" x14ac:dyDescent="0.45">
      <c r="A204" s="6" t="s">
        <v>186</v>
      </c>
      <c r="B204" s="7">
        <v>450.29</v>
      </c>
      <c r="C204" s="8">
        <f>IFERROR(B204/B444, "NA")</f>
        <v>4.3125839454535566E-3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-450.29</v>
      </c>
      <c r="I204" s="8">
        <f>IFERROR(H204/H444, "NA")</f>
        <v>0.49743159197109554</v>
      </c>
      <c r="J204" s="9"/>
      <c r="K204" s="7">
        <v>260.62</v>
      </c>
      <c r="L204" s="8">
        <f>IFERROR(K204/K444, "NA")</f>
        <v>2.7963045261679038E-3</v>
      </c>
      <c r="M204" s="9"/>
      <c r="N204" s="10">
        <f t="shared" si="53"/>
        <v>-189.67000000000002</v>
      </c>
      <c r="O204" s="8">
        <f>IFERROR(N204/N444, "NA")</f>
        <v>-1.6917511189443672E-2</v>
      </c>
      <c r="P204" s="9"/>
      <c r="Q204" s="7">
        <v>3166.11</v>
      </c>
      <c r="R204" s="8">
        <f>IFERROR(Q204/Q444, "NA")</f>
        <v>2.5880817841069884E-3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-3166.11</v>
      </c>
      <c r="X204" s="8">
        <f>IFERROR(W204/W444, "NA")</f>
        <v>3.3593388337854559E-2</v>
      </c>
      <c r="Y204" s="9"/>
      <c r="Z204" s="7">
        <v>1441.68</v>
      </c>
      <c r="AA204" s="8">
        <f>IFERROR(Z204/Z444, "NA")</f>
        <v>1.2471902253602871E-3</v>
      </c>
      <c r="AB204" s="9"/>
      <c r="AC204" s="10">
        <f t="shared" si="55"/>
        <v>-1724.43</v>
      </c>
      <c r="AD204" s="8">
        <f>IFERROR(AC204/AC444, "NA")</f>
        <v>-2.5585022428790048E-2</v>
      </c>
    </row>
    <row r="205" spans="1:30" ht="16.5" customHeight="1" x14ac:dyDescent="0.45">
      <c r="A205" s="6" t="s">
        <v>187</v>
      </c>
      <c r="B205" s="7">
        <v>189.72</v>
      </c>
      <c r="C205" s="8">
        <f>IFERROR(B205/B444, "NA")</f>
        <v>1.8170144265505536E-3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-189.72</v>
      </c>
      <c r="I205" s="8">
        <f>IFERROR(H205/H444, "NA")</f>
        <v>0.20958209515813417</v>
      </c>
      <c r="J205" s="9"/>
      <c r="K205" s="7">
        <v>207.88</v>
      </c>
      <c r="L205" s="8">
        <f>IFERROR(K205/K444, "NA")</f>
        <v>2.230434290920819E-3</v>
      </c>
      <c r="M205" s="9"/>
      <c r="N205" s="10">
        <f t="shared" si="53"/>
        <v>18.159999999999997</v>
      </c>
      <c r="O205" s="8">
        <f>IFERROR(N205/N444, "NA")</f>
        <v>1.6197711983987821E-3</v>
      </c>
      <c r="P205" s="9"/>
      <c r="Q205" s="7">
        <v>2660.2</v>
      </c>
      <c r="R205" s="8">
        <f>IFERROR(Q205/Q444, "NA")</f>
        <v>2.1745344167073818E-3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-2660.2</v>
      </c>
      <c r="X205" s="8">
        <f>IFERROR(W205/W444, "NA")</f>
        <v>2.8225529642482632E-2</v>
      </c>
      <c r="Y205" s="9"/>
      <c r="Z205" s="7">
        <v>2552.39</v>
      </c>
      <c r="AA205" s="8">
        <f>IFERROR(Z205/Z444, "NA")</f>
        <v>2.2080599434738243E-3</v>
      </c>
      <c r="AB205" s="9"/>
      <c r="AC205" s="10">
        <f t="shared" si="55"/>
        <v>-107.80999999999995</v>
      </c>
      <c r="AD205" s="8">
        <f>IFERROR(AC205/AC444, "NA")</f>
        <v>-1.5995553707879434E-3</v>
      </c>
    </row>
    <row r="206" spans="1:30" ht="16.5" customHeight="1" x14ac:dyDescent="0.45">
      <c r="A206" s="6" t="s">
        <v>188</v>
      </c>
      <c r="B206" s="7">
        <v>77.180000000000007</v>
      </c>
      <c r="C206" s="8">
        <f>IFERROR(B206/B444, "NA")</f>
        <v>7.3917970399099589E-4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-77.180000000000007</v>
      </c>
      <c r="I206" s="8">
        <f>IFERROR(H206/H444, "NA")</f>
        <v>8.5260099643183623E-2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-77.180000000000007</v>
      </c>
      <c r="O206" s="8">
        <f>IFERROR(N206/N444, "NA")</f>
        <v>-6.8840275931948258E-3</v>
      </c>
      <c r="P206" s="9"/>
      <c r="Q206" s="7">
        <v>1215.46</v>
      </c>
      <c r="R206" s="8">
        <f>IFERROR(Q206/Q444, "NA")</f>
        <v>9.9355672585939216E-4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-1215.46</v>
      </c>
      <c r="X206" s="8">
        <f>IFERROR(W206/W444, "NA")</f>
        <v>1.2896399616288979E-2</v>
      </c>
      <c r="Y206" s="9"/>
      <c r="Z206" s="7">
        <v>239</v>
      </c>
      <c r="AA206" s="8">
        <f>IFERROR(Z206/Z444, "NA")</f>
        <v>2.0675771590166237E-4</v>
      </c>
      <c r="AB206" s="9"/>
      <c r="AC206" s="10">
        <f t="shared" si="55"/>
        <v>-976.46</v>
      </c>
      <c r="AD206" s="8">
        <f>IFERROR(AC206/AC444, "NA")</f>
        <v>-1.4487541390961842E-2</v>
      </c>
    </row>
    <row r="207" spans="1:30" ht="16.5" customHeight="1" x14ac:dyDescent="0.45">
      <c r="A207" s="6" t="s">
        <v>189</v>
      </c>
      <c r="B207" s="7">
        <v>166.9</v>
      </c>
      <c r="C207" s="8">
        <f>IFERROR(B207/B444, "NA")</f>
        <v>1.5984593495218607E-3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-166.9</v>
      </c>
      <c r="I207" s="8">
        <f>IFERROR(H207/H444, "NA")</f>
        <v>0.18437303226804025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-166.9</v>
      </c>
      <c r="O207" s="8">
        <f>IFERROR(N207/N444, "NA")</f>
        <v>-1.4886553579997621E-2</v>
      </c>
      <c r="P207" s="9"/>
      <c r="Q207" s="7">
        <v>1014.57</v>
      </c>
      <c r="R207" s="8">
        <f>IFERROR(Q207/Q444, "NA")</f>
        <v>8.2934267467062964E-4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-1014.57</v>
      </c>
      <c r="X207" s="8">
        <f>IFERROR(W207/W444, "NA")</f>
        <v>1.0764895725649804E-2</v>
      </c>
      <c r="Y207" s="9"/>
      <c r="Z207" s="7">
        <v>563.29</v>
      </c>
      <c r="AA207" s="8">
        <f>IFERROR(Z207/Z444, "NA")</f>
        <v>4.8729938824371296E-4</v>
      </c>
      <c r="AB207" s="9"/>
      <c r="AC207" s="10">
        <f t="shared" si="55"/>
        <v>-451.28000000000009</v>
      </c>
      <c r="AD207" s="8">
        <f>IFERROR(AC207/AC444, "NA")</f>
        <v>-6.6955509482347058E-3</v>
      </c>
    </row>
    <row r="208" spans="1:30" ht="16.5" customHeight="1" x14ac:dyDescent="0.45">
      <c r="A208" s="6" t="s">
        <v>190</v>
      </c>
      <c r="B208" s="7">
        <v>23.31</v>
      </c>
      <c r="C208" s="8">
        <f>IFERROR(B208/B444, "NA")</f>
        <v>2.2324797745568945E-4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-23.31</v>
      </c>
      <c r="I208" s="8">
        <f>IFERROR(H208/H444, "NA")</f>
        <v>2.5750361786506998E-2</v>
      </c>
      <c r="J208" s="9"/>
      <c r="K208" s="7">
        <v>184.01</v>
      </c>
      <c r="L208" s="8">
        <f>IFERROR(K208/K444, "NA")</f>
        <v>1.9743227528975366E-3</v>
      </c>
      <c r="M208" s="9"/>
      <c r="N208" s="10">
        <f t="shared" si="53"/>
        <v>160.69999999999999</v>
      </c>
      <c r="O208" s="8">
        <f>IFERROR(N208/N444, "NA")</f>
        <v>1.4333547994641207E-2</v>
      </c>
      <c r="P208" s="9"/>
      <c r="Q208" s="7">
        <v>1360.32</v>
      </c>
      <c r="R208" s="8">
        <f>IFERROR(Q208/Q444, "NA")</f>
        <v>1.1119700239588699E-3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-1360.32</v>
      </c>
      <c r="X208" s="8">
        <f>IFERROR(W208/W444, "NA")</f>
        <v>1.443340819609878E-2</v>
      </c>
      <c r="Y208" s="9"/>
      <c r="Z208" s="7">
        <v>2161.92</v>
      </c>
      <c r="AA208" s="8">
        <f>IFERROR(Z208/Z444, "NA")</f>
        <v>1.8702662810130626E-3</v>
      </c>
      <c r="AB208" s="9"/>
      <c r="AC208" s="10">
        <f t="shared" si="55"/>
        <v>801.60000000000014</v>
      </c>
      <c r="AD208" s="8">
        <f>IFERROR(AC208/AC444, "NA")</f>
        <v>1.1893178603317098E-2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3071.5299999999997</v>
      </c>
      <c r="C209" s="15">
        <f>IFERROR(B209/B444, "NA")</f>
        <v>2.9417111119454043E-2</v>
      </c>
      <c r="D209" s="2"/>
      <c r="E209" s="14">
        <f>IFERROR(E201+E202+E203+E204+E205+E206+E207+E208, "NA")</f>
        <v>2211.6799999999998</v>
      </c>
      <c r="F209" s="15">
        <f>IFERROR(E209/E444, "NA")</f>
        <v>2.0999965153244537E-2</v>
      </c>
      <c r="G209" s="2"/>
      <c r="H209" s="14">
        <f t="shared" si="52"/>
        <v>-859.84999999999991</v>
      </c>
      <c r="I209" s="15">
        <f>IFERROR(H209/H444, "NA")</f>
        <v>0.94986909404238695</v>
      </c>
      <c r="J209" s="2"/>
      <c r="K209" s="14">
        <f>IFERROR(K201+K202+K203+K204+K205+K206+K207+K208, "NA")</f>
        <v>2920.38</v>
      </c>
      <c r="L209" s="15">
        <f>IFERROR(K209/K444, "NA")</f>
        <v>3.1334018157202916E-2</v>
      </c>
      <c r="M209" s="2"/>
      <c r="N209" s="14">
        <f t="shared" si="53"/>
        <v>-151.14999999999964</v>
      </c>
      <c r="O209" s="15">
        <f>IFERROR(N209/N444, "NA")</f>
        <v>-1.3481741004293798E-2</v>
      </c>
      <c r="P209" s="2"/>
      <c r="Q209" s="14">
        <f>IFERROR(Q201+Q202+Q203+Q204+Q205+Q206+Q207+Q208, "NA")</f>
        <v>37594.81</v>
      </c>
      <c r="R209" s="15">
        <f>IFERROR(Q209/Q444, "NA")</f>
        <v>3.0731226311771616E-2</v>
      </c>
      <c r="S209" s="2"/>
      <c r="T209" s="14">
        <f>IFERROR(T201+T202+T203+T204+T205+T206+T207+T208, "NA")</f>
        <v>28010.11</v>
      </c>
      <c r="U209" s="15">
        <f>IFERROR(T209/T444, "NA")</f>
        <v>2.1258587855159897E-2</v>
      </c>
      <c r="V209" s="2"/>
      <c r="W209" s="14">
        <f t="shared" si="54"/>
        <v>-9584.6999999999971</v>
      </c>
      <c r="X209" s="15">
        <f>IFERROR(W209/W444, "NA")</f>
        <v>0.10169657693568274</v>
      </c>
      <c r="Y209" s="2"/>
      <c r="Z209" s="14">
        <f>IFERROR(Z201+Z202+Z203+Z204+Z205+Z206+Z207+Z208, "NA")</f>
        <v>27393.340000000004</v>
      </c>
      <c r="AA209" s="15">
        <f>IFERROR(Z209/Z444, "NA")</f>
        <v>2.3697842716810229E-2</v>
      </c>
      <c r="AB209" s="2"/>
      <c r="AC209" s="14">
        <f t="shared" si="55"/>
        <v>-10201.469999999994</v>
      </c>
      <c r="AD209" s="15">
        <f>IFERROR(AC209/AC444, "NA")</f>
        <v>-0.15135716657482684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2922.56</v>
      </c>
      <c r="F213" s="8">
        <f>IFERROR(E213/E444, "NA")</f>
        <v>2.7749791180580539E-2</v>
      </c>
      <c r="G213" s="9"/>
      <c r="H213" s="10">
        <f t="shared" ref="H213:H227" si="56">IFERROR(-(B213-E213), "NA")</f>
        <v>2922.56</v>
      </c>
      <c r="I213" s="8">
        <f>IFERROR(H213/H444, "NA")</f>
        <v>-3.2285275565325566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31494.99</v>
      </c>
      <c r="U213" s="8">
        <f>IFERROR(T213/T444, "NA")</f>
        <v>2.390347670581738E-2</v>
      </c>
      <c r="V213" s="9"/>
      <c r="W213" s="10">
        <f t="shared" ref="W213:W227" si="58">IFERROR(-(Q213-T213), "NA")</f>
        <v>31494.99</v>
      </c>
      <c r="X213" s="8">
        <f>IFERROR(W213/W444, "NA")</f>
        <v>-0.33417140584718974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1094.51</v>
      </c>
      <c r="C214" s="8">
        <f>IFERROR(B214/B444, "NA")</f>
        <v>1.0482502951738595E-2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-1094.51</v>
      </c>
      <c r="I214" s="8">
        <f>IFERROR(H214/H444, "NA")</f>
        <v>1.2090960308429761</v>
      </c>
      <c r="J214" s="9"/>
      <c r="K214" s="7">
        <v>2196.2199999999998</v>
      </c>
      <c r="L214" s="8">
        <f>IFERROR(K214/K444, "NA")</f>
        <v>2.3564192795873202E-2</v>
      </c>
      <c r="M214" s="9"/>
      <c r="N214" s="10">
        <f t="shared" si="57"/>
        <v>1101.7099999999998</v>
      </c>
      <c r="O214" s="8">
        <f>IFERROR(N214/N444, "NA")</f>
        <v>9.8266416684356955E-2</v>
      </c>
      <c r="P214" s="9"/>
      <c r="Q214" s="7">
        <v>19445.740000000002</v>
      </c>
      <c r="R214" s="8">
        <f>IFERROR(Q214/Q444, "NA")</f>
        <v>1.5895583372807838E-2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-19445.740000000002</v>
      </c>
      <c r="X214" s="8">
        <f>IFERROR(W214/W444, "NA")</f>
        <v>0.20632520516878819</v>
      </c>
      <c r="Y214" s="9"/>
      <c r="Z214" s="7">
        <v>14186.2</v>
      </c>
      <c r="AA214" s="8">
        <f>IFERROR(Z214/Z444, "NA")</f>
        <v>1.2272411336084364E-2</v>
      </c>
      <c r="AB214" s="9"/>
      <c r="AC214" s="10">
        <f t="shared" si="59"/>
        <v>-5259.5400000000009</v>
      </c>
      <c r="AD214" s="8">
        <f>IFERROR(AC214/AC444, "NA")</f>
        <v>-7.8034741256599816E-2</v>
      </c>
    </row>
    <row r="215" spans="1:30" ht="16.5" customHeight="1" x14ac:dyDescent="0.45">
      <c r="A215" s="12" t="s">
        <v>195</v>
      </c>
      <c r="B215" s="7">
        <v>370.43</v>
      </c>
      <c r="C215" s="8">
        <f>IFERROR(B215/B444, "NA")</f>
        <v>3.5477369493312331E-3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-370.43</v>
      </c>
      <c r="I215" s="8">
        <f>IFERROR(H215/H444, "NA")</f>
        <v>0.40921091877202004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-370.43</v>
      </c>
      <c r="O215" s="8">
        <f>IFERROR(N215/N444, "NA")</f>
        <v>-3.3040299836060626E-2</v>
      </c>
      <c r="P215" s="9"/>
      <c r="Q215" s="7">
        <v>1253.78</v>
      </c>
      <c r="R215" s="8">
        <f>IFERROR(Q215/Q444, "NA")</f>
        <v>1.0248807461767466E-3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-1253.78</v>
      </c>
      <c r="X215" s="8">
        <f>IFERROR(W215/W444, "NA")</f>
        <v>1.3302986450323989E-2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-1253.78</v>
      </c>
      <c r="AD215" s="8">
        <f>IFERROR(AC215/AC444, "NA")</f>
        <v>-1.8602082671241152E-2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196</v>
      </c>
      <c r="L216" s="8">
        <f>IFERROR(K216/K444, "NA")</f>
        <v>2.1029686406603834E-3</v>
      </c>
      <c r="M216" s="9"/>
      <c r="N216" s="10">
        <f t="shared" si="57"/>
        <v>196</v>
      </c>
      <c r="O216" s="8">
        <f>IFERROR(N216/N444, "NA")</f>
        <v>1.7482112053202718E-2</v>
      </c>
      <c r="P216" s="9"/>
      <c r="Q216" s="7">
        <v>2.41</v>
      </c>
      <c r="R216" s="8">
        <f>IFERROR(Q216/Q444, "NA")</f>
        <v>1.9700127600423994E-6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2.5570831681220641E-5</v>
      </c>
      <c r="Y216" s="9"/>
      <c r="Z216" s="7">
        <v>1114.08</v>
      </c>
      <c r="AA216" s="8">
        <f>IFERROR(Z216/Z444, "NA")</f>
        <v>9.6378508841725528E-4</v>
      </c>
      <c r="AB216" s="9"/>
      <c r="AC216" s="10">
        <f t="shared" si="59"/>
        <v>1111.6699999999998</v>
      </c>
      <c r="AD216" s="8">
        <f>IFERROR(AC216/AC444, "NA")</f>
        <v>1.6493625072292309E-2</v>
      </c>
    </row>
    <row r="217" spans="1:30" ht="16.5" customHeight="1" x14ac:dyDescent="0.45">
      <c r="A217" s="12" t="s">
        <v>197</v>
      </c>
      <c r="B217" s="7">
        <v>1580.12</v>
      </c>
      <c r="C217" s="8">
        <f>IFERROR(B217/B444, "NA")</f>
        <v>1.5133358821848306E-2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-1580.12</v>
      </c>
      <c r="I217" s="8">
        <f>IFERROR(H217/H444, "NA")</f>
        <v>1.7455453310208251</v>
      </c>
      <c r="J217" s="9"/>
      <c r="K217" s="7">
        <v>1049.0999999999999</v>
      </c>
      <c r="L217" s="8">
        <f>IFERROR(K217/K444, "NA")</f>
        <v>1.1256246943453103E-2</v>
      </c>
      <c r="M217" s="9"/>
      <c r="N217" s="10">
        <f t="shared" si="57"/>
        <v>-531.02</v>
      </c>
      <c r="O217" s="8">
        <f>IFERROR(N217/N444, "NA")</f>
        <v>-4.7364036441284216E-2</v>
      </c>
      <c r="P217" s="9"/>
      <c r="Q217" s="7">
        <v>16259.43</v>
      </c>
      <c r="R217" s="8">
        <f>IFERROR(Q217/Q444, "NA")</f>
        <v>1.3290989448554436E-2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-16259.43</v>
      </c>
      <c r="X217" s="8">
        <f>IFERROR(W217/W444, "NA")</f>
        <v>0.17251748869816985</v>
      </c>
      <c r="Y217" s="9"/>
      <c r="Z217" s="7">
        <v>18562.84</v>
      </c>
      <c r="AA217" s="8">
        <f>IFERROR(Z217/Z444, "NA")</f>
        <v>1.6058620916518888E-2</v>
      </c>
      <c r="AB217" s="9"/>
      <c r="AC217" s="10">
        <f t="shared" si="59"/>
        <v>2303.41</v>
      </c>
      <c r="AD217" s="8">
        <f>IFERROR(AC217/AC444, "NA")</f>
        <v>3.4175232692947394E-2</v>
      </c>
    </row>
    <row r="218" spans="1:30" ht="16.5" customHeight="1" x14ac:dyDescent="0.45">
      <c r="A218" s="13" t="s">
        <v>198</v>
      </c>
      <c r="B218" s="14">
        <f>IFERROR(B213+B214+B215+B216+B217, "NA")</f>
        <v>3045.06</v>
      </c>
      <c r="C218" s="15">
        <f>IFERROR(B218/B444, "NA")</f>
        <v>2.9163598722918134E-2</v>
      </c>
      <c r="D218" s="2"/>
      <c r="E218" s="14">
        <f>IFERROR(E213+E214+E215+E216+E217, "NA")</f>
        <v>2922.56</v>
      </c>
      <c r="F218" s="15">
        <f>IFERROR(E218/E444, "NA")</f>
        <v>2.7749791180580539E-2</v>
      </c>
      <c r="G218" s="2"/>
      <c r="H218" s="14">
        <f t="shared" si="56"/>
        <v>-122.5</v>
      </c>
      <c r="I218" s="15">
        <f>IFERROR(H218/H444, "NA")</f>
        <v>0.13532472410326501</v>
      </c>
      <c r="J218" s="2"/>
      <c r="K218" s="14">
        <f>IFERROR(K213+K214+K215+K216+K217, "NA")</f>
        <v>3441.3199999999997</v>
      </c>
      <c r="L218" s="15">
        <f>IFERROR(K218/K444, "NA")</f>
        <v>3.6923408379986686E-2</v>
      </c>
      <c r="M218" s="2"/>
      <c r="N218" s="14">
        <f t="shared" si="57"/>
        <v>396.25999999999976</v>
      </c>
      <c r="O218" s="15">
        <f>IFERROR(N218/N444, "NA")</f>
        <v>3.5344192460214821E-2</v>
      </c>
      <c r="P218" s="2"/>
      <c r="Q218" s="14">
        <f>IFERROR(Q213+Q214+Q215+Q216+Q217, "NA")</f>
        <v>36961.360000000001</v>
      </c>
      <c r="R218" s="15">
        <f>IFERROR(Q218/Q444, "NA")</f>
        <v>3.0213423580299062E-2</v>
      </c>
      <c r="S218" s="2"/>
      <c r="T218" s="14">
        <f>IFERROR(T213+T214+T215+T216+T217, "NA")</f>
        <v>31494.99</v>
      </c>
      <c r="U218" s="15">
        <f>IFERROR(T218/T444, "NA")</f>
        <v>2.390347670581738E-2</v>
      </c>
      <c r="V218" s="2"/>
      <c r="W218" s="14">
        <f t="shared" si="58"/>
        <v>-5466.369999999999</v>
      </c>
      <c r="X218" s="15">
        <f>IFERROR(W218/W444, "NA")</f>
        <v>5.7999845301773462E-2</v>
      </c>
      <c r="Y218" s="2"/>
      <c r="Z218" s="14">
        <f>IFERROR(Z213+Z214+Z215+Z216+Z217, "NA")</f>
        <v>33863.120000000003</v>
      </c>
      <c r="AA218" s="15">
        <f>IFERROR(Z218/Z444, "NA")</f>
        <v>2.9294817341020511E-2</v>
      </c>
      <c r="AB218" s="2"/>
      <c r="AC218" s="14">
        <f t="shared" si="59"/>
        <v>-3098.239999999998</v>
      </c>
      <c r="AD218" s="15">
        <f>IFERROR(AC218/AC444, "NA")</f>
        <v>-4.5967966162601216E-2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176.46</v>
      </c>
      <c r="C222" s="8">
        <f>IFERROR(B222/B444, "NA")</f>
        <v>1.6900187945873429E-3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-176.46</v>
      </c>
      <c r="I222" s="8">
        <f>IFERROR(H222/H444, "NA")</f>
        <v>0.1949338842062216</v>
      </c>
      <c r="J222" s="9"/>
      <c r="K222" s="7">
        <v>150</v>
      </c>
      <c r="L222" s="8">
        <f>IFERROR(K222/K444, "NA")</f>
        <v>1.6094147760155996E-3</v>
      </c>
      <c r="M222" s="9"/>
      <c r="N222" s="10">
        <f t="shared" si="57"/>
        <v>-26.460000000000008</v>
      </c>
      <c r="O222" s="8">
        <f>IFERROR(N222/N444, "NA")</f>
        <v>-2.3600851271823675E-3</v>
      </c>
      <c r="P222" s="9"/>
      <c r="Q222" s="7">
        <v>2940.09</v>
      </c>
      <c r="R222" s="8">
        <f>IFERROR(Q222/Q444, "NA")</f>
        <v>2.4033256496568708E-3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-2940.09</v>
      </c>
      <c r="X222" s="8">
        <f>IFERROR(W222/W444, "NA")</f>
        <v>3.1195247517692946E-2</v>
      </c>
      <c r="Y222" s="9"/>
      <c r="Z222" s="7">
        <v>1800.46</v>
      </c>
      <c r="AA222" s="8">
        <f>IFERROR(Z222/Z444, "NA")</f>
        <v>1.5575690258255526E-3</v>
      </c>
      <c r="AB222" s="9"/>
      <c r="AC222" s="10">
        <f t="shared" si="59"/>
        <v>-1139.6300000000001</v>
      </c>
      <c r="AD222" s="8">
        <f>IFERROR(AC222/AC444, "NA")</f>
        <v>-1.6908461990641548E-2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105.32</v>
      </c>
      <c r="F226" s="8">
        <f>IFERROR(E226/E444, "NA")</f>
        <v>1.000016426399712E-3</v>
      </c>
      <c r="G226" s="9"/>
      <c r="H226" s="10">
        <f t="shared" si="56"/>
        <v>105.32</v>
      </c>
      <c r="I226" s="8">
        <f>IFERROR(H226/H444, "NA")</f>
        <v>-0.11634612198004791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1317.59</v>
      </c>
      <c r="U226" s="8">
        <f>IFERROR(T226/T444, "NA")</f>
        <v>9.9999974195317783E-4</v>
      </c>
      <c r="V226" s="9"/>
      <c r="W226" s="10">
        <f t="shared" si="58"/>
        <v>1317.59</v>
      </c>
      <c r="X226" s="8">
        <f>IFERROR(W226/W444, "NA")</f>
        <v>-1.3980029923178216E-2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3221.52</v>
      </c>
      <c r="C227" s="15">
        <f>IFERROR(B227/B444, "NA")</f>
        <v>3.0853617517505479E-2</v>
      </c>
      <c r="D227" s="2"/>
      <c r="E227" s="14">
        <f>IFERROR(E211+E213+E214+E215+E216+E217+E219+E220+E221+E222+E223+E224+E225+E226, "NA")</f>
        <v>3027.88</v>
      </c>
      <c r="F227" s="15">
        <f>IFERROR(E227/E444, "NA")</f>
        <v>2.8749807606980253E-2</v>
      </c>
      <c r="G227" s="2"/>
      <c r="H227" s="14">
        <f t="shared" si="56"/>
        <v>-193.63999999999987</v>
      </c>
      <c r="I227" s="15">
        <f>IFERROR(H227/H444, "NA")</f>
        <v>0.21391248632943852</v>
      </c>
      <c r="J227" s="2"/>
      <c r="K227" s="14">
        <f>IFERROR(K211+K213+K214+K215+K216+K217+K219+K220+K221+K222+K223+K224+K225+K226, "NA")</f>
        <v>3591.3199999999997</v>
      </c>
      <c r="L227" s="15">
        <f>IFERROR(K227/K444, "NA")</f>
        <v>3.8532823156002288E-2</v>
      </c>
      <c r="M227" s="2"/>
      <c r="N227" s="14">
        <f t="shared" si="57"/>
        <v>369.79999999999973</v>
      </c>
      <c r="O227" s="15">
        <f>IFERROR(N227/N444, "NA")</f>
        <v>3.2984107333032447E-2</v>
      </c>
      <c r="P227" s="2"/>
      <c r="Q227" s="14">
        <f>IFERROR(Q211+Q213+Q214+Q215+Q216+Q217+Q219+Q220+Q221+Q222+Q223+Q224+Q225+Q226, "NA")</f>
        <v>39901.449999999997</v>
      </c>
      <c r="R227" s="15">
        <f>IFERROR(Q227/Q444, "NA")</f>
        <v>3.261674922995593E-2</v>
      </c>
      <c r="S227" s="2"/>
      <c r="T227" s="14">
        <f>IFERROR(T211+T213+T214+T215+T216+T217+T219+T220+T221+T222+T223+T224+T225+T226, "NA")</f>
        <v>32812.58</v>
      </c>
      <c r="U227" s="15">
        <f>IFERROR(T227/T444, "NA")</f>
        <v>2.4903476447770558E-2</v>
      </c>
      <c r="V227" s="2"/>
      <c r="W227" s="14">
        <f t="shared" si="58"/>
        <v>-7088.8699999999953</v>
      </c>
      <c r="X227" s="15">
        <f>IFERROR(W227/W444, "NA")</f>
        <v>7.5215062896288154E-2</v>
      </c>
      <c r="Y227" s="2"/>
      <c r="Z227" s="14">
        <f>IFERROR(Z211+Z213+Z214+Z215+Z216+Z217+Z219+Z220+Z221+Z222+Z223+Z224+Z225+Z226, "NA")</f>
        <v>35663.58</v>
      </c>
      <c r="AA227" s="15">
        <f>IFERROR(Z227/Z444, "NA")</f>
        <v>3.0852386366846063E-2</v>
      </c>
      <c r="AB227" s="2"/>
      <c r="AC227" s="14">
        <f t="shared" si="59"/>
        <v>-4237.8699999999953</v>
      </c>
      <c r="AD227" s="15">
        <f>IFERROR(AC227/AC444, "NA")</f>
        <v>-6.2876428153242722E-2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1263.82</v>
      </c>
      <c r="F229" s="8">
        <f>IFERROR(E229/E444, "NA")</f>
        <v>1.2000007216221837E-2</v>
      </c>
      <c r="G229" s="9"/>
      <c r="H229" s="10">
        <f t="shared" ref="H229:H236" si="60">IFERROR(-(B229-E229), "NA")</f>
        <v>1263.82</v>
      </c>
      <c r="I229" s="8">
        <f>IFERROR(H229/H444, "NA")</f>
        <v>-1.3961313699280684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15811.07</v>
      </c>
      <c r="U229" s="8">
        <f>IFERROR(T229/T444, "NA")</f>
        <v>1.1999989313825721E-2</v>
      </c>
      <c r="V229" s="9"/>
      <c r="W229" s="10">
        <f t="shared" ref="W229:W236" si="62">IFERROR(-(Q229-T229), "NA")</f>
        <v>15811.07</v>
      </c>
      <c r="X229" s="8">
        <f>IFERROR(W229/W444, "NA")</f>
        <v>-0.16776025297510258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1.9464638526307129E-4</v>
      </c>
      <c r="AB230" s="9"/>
      <c r="AC230" s="10">
        <f t="shared" si="63"/>
        <v>225</v>
      </c>
      <c r="AD230" s="8">
        <f>IFERROR(AC230/AC444, "NA")</f>
        <v>3.338279922338257E-3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112.69</v>
      </c>
      <c r="L231" s="8">
        <f>IFERROR(K231/K444, "NA")</f>
        <v>1.2090996740613195E-3</v>
      </c>
      <c r="M231" s="9"/>
      <c r="N231" s="10">
        <f t="shared" si="61"/>
        <v>112.69</v>
      </c>
      <c r="O231" s="8">
        <f>IFERROR(N231/N444, "NA")</f>
        <v>1.0051322486099051E-2</v>
      </c>
      <c r="P231" s="9"/>
      <c r="Q231" s="7">
        <v>1137.26</v>
      </c>
      <c r="R231" s="8">
        <f>IFERROR(Q231/Q444, "NA")</f>
        <v>9.2963349024307847E-4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-1137.26</v>
      </c>
      <c r="X231" s="8">
        <f>IFERROR(W231/W444, "NA")</f>
        <v>1.2066673874599579E-2</v>
      </c>
      <c r="Y231" s="9"/>
      <c r="Z231" s="7">
        <v>1996.91</v>
      </c>
      <c r="AA231" s="8">
        <f>IFERROR(Z231/Z444, "NA")</f>
        <v>1.7275169475363542E-3</v>
      </c>
      <c r="AB231" s="9"/>
      <c r="AC231" s="10">
        <f t="shared" si="63"/>
        <v>859.65000000000009</v>
      </c>
      <c r="AD231" s="8">
        <f>IFERROR(AC231/AC444, "NA")</f>
        <v>1.2754454823280368E-2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1391.18</v>
      </c>
      <c r="C234" s="8">
        <f>IFERROR(B234/B444, "NA")</f>
        <v>1.3323814726589707E-2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-1391.18</v>
      </c>
      <c r="I234" s="8">
        <f>IFERROR(H234/H444, "NA")</f>
        <v>1.5368248953304509</v>
      </c>
      <c r="J234" s="9"/>
      <c r="K234" s="7">
        <v>1313.91</v>
      </c>
      <c r="L234" s="8">
        <f>IFERROR(K234/K444, "NA")</f>
        <v>1.4097507789031046E-2</v>
      </c>
      <c r="M234" s="9"/>
      <c r="N234" s="10">
        <f t="shared" si="61"/>
        <v>-77.269999999999982</v>
      </c>
      <c r="O234" s="8">
        <f>IFERROR(N234/N444, "NA")</f>
        <v>-6.8920550936274168E-3</v>
      </c>
      <c r="P234" s="9"/>
      <c r="Q234" s="7">
        <v>14454.84</v>
      </c>
      <c r="R234" s="8">
        <f>IFERROR(Q234/Q444, "NA")</f>
        <v>1.1815858607622937E-2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-14454.84</v>
      </c>
      <c r="X234" s="8">
        <f>IFERROR(W234/W444, "NA")</f>
        <v>0.15337024092073667</v>
      </c>
      <c r="Y234" s="9"/>
      <c r="Z234" s="7">
        <v>14758.68</v>
      </c>
      <c r="AA234" s="8">
        <f>IFERROR(Z234/Z444, "NA")</f>
        <v>1.2767660947797266E-2</v>
      </c>
      <c r="AB234" s="9"/>
      <c r="AC234" s="10">
        <f t="shared" si="63"/>
        <v>303.84000000000015</v>
      </c>
      <c r="AD234" s="8">
        <f>IFERROR(AC234/AC444, "NA")</f>
        <v>4.508013207125584E-3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1391.18</v>
      </c>
      <c r="C236" s="15">
        <f>IFERROR(B236/B444, "NA")</f>
        <v>1.3323814726589707E-2</v>
      </c>
      <c r="D236" s="2"/>
      <c r="E236" s="14">
        <f>IFERROR(E229+E230+E231+E232+E233+E234+E235, "NA")</f>
        <v>1263.82</v>
      </c>
      <c r="F236" s="15">
        <f>IFERROR(E236/E444, "NA")</f>
        <v>1.2000007216221837E-2</v>
      </c>
      <c r="G236" s="2"/>
      <c r="H236" s="14">
        <f t="shared" si="60"/>
        <v>-127.36000000000013</v>
      </c>
      <c r="I236" s="15">
        <f>IFERROR(H236/H444, "NA")</f>
        <v>0.14069352540238245</v>
      </c>
      <c r="J236" s="2"/>
      <c r="K236" s="14">
        <f>IFERROR(K229+K230+K231+K232+K233+K234+K235, "NA")</f>
        <v>1426.6000000000001</v>
      </c>
      <c r="L236" s="15">
        <f>IFERROR(K236/K444, "NA")</f>
        <v>1.5306607463092365E-2</v>
      </c>
      <c r="M236" s="2"/>
      <c r="N236" s="14">
        <f t="shared" si="61"/>
        <v>35.420000000000073</v>
      </c>
      <c r="O236" s="15">
        <f>IFERROR(N236/N444, "NA")</f>
        <v>3.1592673924716406E-3</v>
      </c>
      <c r="P236" s="2"/>
      <c r="Q236" s="14">
        <f>IFERROR(Q229+Q230+Q231+Q232+Q233+Q234+Q235, "NA")</f>
        <v>15592.1</v>
      </c>
      <c r="R236" s="15">
        <f>IFERROR(Q236/Q444, "NA")</f>
        <v>1.2745492097866016E-2</v>
      </c>
      <c r="S236" s="2"/>
      <c r="T236" s="14">
        <f>IFERROR(T229+T230+T231+T232+T233+T234+T235, "NA")</f>
        <v>15811.07</v>
      </c>
      <c r="U236" s="15">
        <f>IFERROR(T236/T444, "NA")</f>
        <v>1.1999989313825721E-2</v>
      </c>
      <c r="V236" s="2"/>
      <c r="W236" s="14">
        <f t="shared" si="62"/>
        <v>218.96999999999935</v>
      </c>
      <c r="X236" s="15">
        <f>IFERROR(W236/W444, "NA")</f>
        <v>-2.3233381797663349E-3</v>
      </c>
      <c r="Y236" s="2"/>
      <c r="Z236" s="14">
        <f>IFERROR(Z229+Z230+Z231+Z232+Z233+Z234+Z235, "NA")</f>
        <v>16980.59</v>
      </c>
      <c r="AA236" s="15">
        <f>IFERROR(Z236/Z444, "NA")</f>
        <v>1.4689824280596691E-2</v>
      </c>
      <c r="AB236" s="2"/>
      <c r="AC236" s="14">
        <f t="shared" si="63"/>
        <v>1388.4899999999998</v>
      </c>
      <c r="AD236" s="15">
        <f>IFERROR(AC236/AC444, "NA")</f>
        <v>2.0600747952744202E-2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4964.7</v>
      </c>
      <c r="F240" s="8">
        <f>IFERROR(E240/E444, "NA")</f>
        <v>4.7139969162045672E-2</v>
      </c>
      <c r="G240" s="9"/>
      <c r="H240" s="10">
        <f t="shared" ref="H240:H263" si="64">IFERROR(-(B240-E240), "NA")</f>
        <v>4964.7</v>
      </c>
      <c r="I240" s="8">
        <f>IFERROR(H240/H444, "NA")</f>
        <v>-5.4844625122896309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62475.58</v>
      </c>
      <c r="U240" s="8">
        <f>IFERROR(T240/T444, "NA")</f>
        <v>4.741654374909883E-2</v>
      </c>
      <c r="V240" s="9"/>
      <c r="W240" s="10">
        <f t="shared" ref="W240:W263" si="66">IFERROR(-(Q240-T240), "NA")</f>
        <v>62475.58</v>
      </c>
      <c r="X240" s="8">
        <f>IFERROR(W240/W444, "NA")</f>
        <v>-0.66288487152142517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1401.14</v>
      </c>
      <c r="C242" s="8">
        <f>IFERROR(B242/B444, "NA")</f>
        <v>1.3419205110779268E-2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-1401.14</v>
      </c>
      <c r="I242" s="8">
        <f>IFERROR(H242/H444, "NA")</f>
        <v>1.5478276239187652</v>
      </c>
      <c r="J242" s="9"/>
      <c r="K242" s="7">
        <v>1057.23</v>
      </c>
      <c r="L242" s="8">
        <f>IFERROR(K242/K444, "NA")</f>
        <v>1.1343477224313151E-2</v>
      </c>
      <c r="M242" s="9"/>
      <c r="N242" s="10">
        <f t="shared" si="65"/>
        <v>-343.91000000000008</v>
      </c>
      <c r="O242" s="8">
        <f>IFERROR(N242/N444, "NA")</f>
        <v>-3.0674863041923205E-2</v>
      </c>
      <c r="P242" s="9"/>
      <c r="Q242" s="7">
        <v>13444.91</v>
      </c>
      <c r="R242" s="8">
        <f>IFERROR(Q242/Q444, "NA")</f>
        <v>1.0990308820589899E-2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-13444.91</v>
      </c>
      <c r="X242" s="8">
        <f>IFERROR(W242/W444, "NA")</f>
        <v>0.14265457700380091</v>
      </c>
      <c r="Y242" s="9"/>
      <c r="Z242" s="7">
        <v>10914.2</v>
      </c>
      <c r="AA242" s="8">
        <f>IFERROR(Z242/Z444, "NA")</f>
        <v>9.4418203468365006E-3</v>
      </c>
      <c r="AB242" s="9"/>
      <c r="AC242" s="10">
        <f t="shared" si="67"/>
        <v>-2530.7099999999991</v>
      </c>
      <c r="AD242" s="8">
        <f>IFERROR(AC242/AC444, "NA")</f>
        <v>-3.7547637254491763E-2</v>
      </c>
    </row>
    <row r="243" spans="1:30" ht="16.5" customHeight="1" x14ac:dyDescent="0.45">
      <c r="A243" s="12" t="s">
        <v>220</v>
      </c>
      <c r="B243" s="7">
        <v>3765.75</v>
      </c>
      <c r="C243" s="8">
        <f>IFERROR(B243/B444, "NA")</f>
        <v>3.6065897516248932E-2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-3765.75</v>
      </c>
      <c r="I243" s="8">
        <f>IFERROR(H243/H444, "NA")</f>
        <v>4.1599924880968997</v>
      </c>
      <c r="J243" s="9"/>
      <c r="K243" s="7">
        <v>1843.59</v>
      </c>
      <c r="L243" s="8">
        <f>IFERROR(K243/K444, "NA")</f>
        <v>1.9780673246097329E-2</v>
      </c>
      <c r="M243" s="9"/>
      <c r="N243" s="10">
        <f t="shared" si="65"/>
        <v>-1922.16</v>
      </c>
      <c r="O243" s="8">
        <f>IFERROR(N243/N444, "NA")</f>
        <v>-0.17144600257236806</v>
      </c>
      <c r="P243" s="9"/>
      <c r="Q243" s="7">
        <v>27402.83</v>
      </c>
      <c r="R243" s="8">
        <f>IFERROR(Q243/Q444, "NA")</f>
        <v>2.2399968780611065E-2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-27402.83</v>
      </c>
      <c r="X243" s="8">
        <f>IFERROR(W243/W444, "NA")</f>
        <v>0.29075234585854914</v>
      </c>
      <c r="Y243" s="9"/>
      <c r="Z243" s="7">
        <v>28374.29</v>
      </c>
      <c r="AA243" s="8">
        <f>IFERROR(Z243/Z444, "NA")</f>
        <v>2.4546457701804938E-2</v>
      </c>
      <c r="AB243" s="9"/>
      <c r="AC243" s="10">
        <f t="shared" si="67"/>
        <v>971.45999999999913</v>
      </c>
      <c r="AD243" s="8">
        <f>IFERROR(AC243/AC444, "NA")</f>
        <v>1.4413357392687644E-2</v>
      </c>
    </row>
    <row r="244" spans="1:30" ht="16.5" customHeight="1" x14ac:dyDescent="0.45">
      <c r="A244" s="12" t="s">
        <v>221</v>
      </c>
      <c r="B244" s="7">
        <v>803.94</v>
      </c>
      <c r="C244" s="8">
        <f>IFERROR(B244/B444, "NA")</f>
        <v>7.6996129985296867E-3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-803.94</v>
      </c>
      <c r="I244" s="8">
        <f>IFERROR(H244/H444, "NA")</f>
        <v>0.8881057852700317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-803.94</v>
      </c>
      <c r="O244" s="8">
        <f>IFERROR(N244/N444, "NA")</f>
        <v>-7.1706985530876496E-2</v>
      </c>
      <c r="P244" s="9"/>
      <c r="Q244" s="7">
        <v>4437.5600000000004</v>
      </c>
      <c r="R244" s="8">
        <f>IFERROR(Q244/Q444, "NA")</f>
        <v>3.6274065657484443E-3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-4437.5600000000004</v>
      </c>
      <c r="X244" s="8">
        <f>IFERROR(W244/W444, "NA")</f>
        <v>4.7083858852828828E-2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-4437.5600000000004</v>
      </c>
      <c r="AD244" s="8">
        <f>IFERROR(AC244/AC444, "NA")</f>
        <v>-6.5839188676317134E-2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106.16</v>
      </c>
      <c r="C246" s="8">
        <f>IFERROR(B246/B444, "NA")</f>
        <v>1.0167312435305016E-3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-106.16</v>
      </c>
      <c r="I246" s="8">
        <f>IFERROR(H246/H444, "NA")</f>
        <v>0.11727406294532745</v>
      </c>
      <c r="J246" s="9"/>
      <c r="K246" s="7">
        <v>425.63</v>
      </c>
      <c r="L246" s="8">
        <f>IFERROR(K246/K444, "NA")</f>
        <v>4.5667680741034644E-3</v>
      </c>
      <c r="M246" s="9"/>
      <c r="N246" s="10">
        <f t="shared" si="65"/>
        <v>319.47000000000003</v>
      </c>
      <c r="O246" s="8">
        <f>IFERROR(N246/N444, "NA")</f>
        <v>2.8494950702227923E-2</v>
      </c>
      <c r="P246" s="9"/>
      <c r="Q246" s="7">
        <v>2698.87</v>
      </c>
      <c r="R246" s="8">
        <f>IFERROR(Q246/Q444, "NA")</f>
        <v>2.2061445384629172E-3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-2698.87</v>
      </c>
      <c r="X246" s="8">
        <f>IFERROR(W246/W444, "NA")</f>
        <v>2.8635830082778403E-2</v>
      </c>
      <c r="Y246" s="9"/>
      <c r="Z246" s="7">
        <v>1949.28</v>
      </c>
      <c r="AA246" s="8">
        <f>IFERROR(Z246/Z444, "NA")</f>
        <v>1.6863124705137759E-3</v>
      </c>
      <c r="AB246" s="9"/>
      <c r="AC246" s="10">
        <f t="shared" si="67"/>
        <v>-749.58999999999992</v>
      </c>
      <c r="AD246" s="8">
        <f>IFERROR(AC246/AC444, "NA")</f>
        <v>-1.1121516653269039E-2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248.81</v>
      </c>
      <c r="C248" s="8">
        <f>IFERROR(B248/B444, "NA")</f>
        <v>2.3829399086550875E-3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-248.81</v>
      </c>
      <c r="I248" s="8">
        <f>IFERROR(H248/H444, "NA")</f>
        <v>0.27485832329904791</v>
      </c>
      <c r="J248" s="9"/>
      <c r="K248" s="7">
        <v>252.39</v>
      </c>
      <c r="L248" s="8">
        <f>IFERROR(K248/K444, "NA")</f>
        <v>2.7080013021238479E-3</v>
      </c>
      <c r="M248" s="9"/>
      <c r="N248" s="10">
        <f t="shared" si="65"/>
        <v>3.5799999999999841</v>
      </c>
      <c r="O248" s="8">
        <f>IFERROR(N248/N444, "NA")</f>
        <v>3.193161283187013E-4</v>
      </c>
      <c r="P248" s="9"/>
      <c r="Q248" s="7">
        <v>2978.49</v>
      </c>
      <c r="R248" s="8">
        <f>IFERROR(Q248/Q444, "NA")</f>
        <v>2.4347150645886665E-3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-2978.49</v>
      </c>
      <c r="X248" s="8">
        <f>IFERROR(W248/W444, "NA")</f>
        <v>3.1602683176016125E-2</v>
      </c>
      <c r="Y248" s="9"/>
      <c r="Z248" s="7">
        <v>2865.32</v>
      </c>
      <c r="AA248" s="8">
        <f>IFERROR(Z248/Z444, "NA")</f>
        <v>2.4787741360977043E-3</v>
      </c>
      <c r="AB248" s="9"/>
      <c r="AC248" s="10">
        <f t="shared" si="67"/>
        <v>-113.16999999999962</v>
      </c>
      <c r="AD248" s="8">
        <f>IFERROR(AC248/AC444, "NA")</f>
        <v>-1.6790806169378633E-3</v>
      </c>
    </row>
    <row r="249" spans="1:30" ht="16.5" customHeight="1" x14ac:dyDescent="0.45">
      <c r="A249" s="12" t="s">
        <v>226</v>
      </c>
      <c r="B249" s="7">
        <v>1369.84</v>
      </c>
      <c r="C249" s="8">
        <f>IFERROR(B249/B444, "NA")</f>
        <v>1.3119434124320104E-2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-1369.84</v>
      </c>
      <c r="I249" s="8">
        <f>IFERROR(H249/H444, "NA")</f>
        <v>1.5132507760458491</v>
      </c>
      <c r="J249" s="9"/>
      <c r="K249" s="7">
        <v>776.56</v>
      </c>
      <c r="L249" s="8">
        <f>IFERROR(K249/K444, "NA")</f>
        <v>8.3320475897511598E-3</v>
      </c>
      <c r="M249" s="9"/>
      <c r="N249" s="10">
        <f t="shared" si="65"/>
        <v>-593.28</v>
      </c>
      <c r="O249" s="8">
        <f>IFERROR(N249/N444, "NA")</f>
        <v>-5.2917282851653612E-2</v>
      </c>
      <c r="P249" s="9"/>
      <c r="Q249" s="7">
        <v>11210.13</v>
      </c>
      <c r="R249" s="8">
        <f>IFERROR(Q249/Q444, "NA")</f>
        <v>9.1635266148274285E-3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-11210.13</v>
      </c>
      <c r="X249" s="8">
        <f>IFERROR(W249/W444, "NA")</f>
        <v>0.11894288271975184</v>
      </c>
      <c r="Y249" s="9"/>
      <c r="Z249" s="7">
        <v>9730.6</v>
      </c>
      <c r="AA249" s="8">
        <f>IFERROR(Z249/Z444, "NA")</f>
        <v>8.4178938508481845E-3</v>
      </c>
      <c r="AB249" s="9"/>
      <c r="AC249" s="10">
        <f t="shared" si="67"/>
        <v>-1479.5299999999988</v>
      </c>
      <c r="AD249" s="8">
        <f>IFERROR(AC249/AC444, "NA")</f>
        <v>-2.195149019332052E-2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2.1320094380139283E-3</v>
      </c>
      <c r="AB254" s="9"/>
      <c r="AC254" s="10">
        <f t="shared" si="67"/>
        <v>2464.48</v>
      </c>
      <c r="AD254" s="8">
        <f>IFERROR(AC254/AC444, "NA")</f>
        <v>3.656499601335194E-2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4961.25</v>
      </c>
      <c r="R257" s="8">
        <f>IFERROR(Q257/Q444, "NA")</f>
        <v>4.055487886207616E-3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5.2640368746247265E-2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-7.3609072287558558E-2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7695.64</v>
      </c>
      <c r="C262" s="15">
        <f>IFERROR(B262/B444, "NA")</f>
        <v>7.370382090206358E-2</v>
      </c>
      <c r="D262" s="2"/>
      <c r="E262" s="14">
        <f>IFERROR(E240+E241+E242+E243+E244+E245+E246+E247+E248+E249+E250+E251+E252+E253+E254+E255+E256+E257+E258+E259+E260+E261, "NA")</f>
        <v>4964.7</v>
      </c>
      <c r="F262" s="15">
        <f>IFERROR(E262/E444, "NA")</f>
        <v>4.7139969162045672E-2</v>
      </c>
      <c r="G262" s="2"/>
      <c r="H262" s="14">
        <f t="shared" si="64"/>
        <v>-2730.9400000000005</v>
      </c>
      <c r="I262" s="15">
        <f>IFERROR(H262/H444, "NA")</f>
        <v>3.0168465472862906</v>
      </c>
      <c r="J262" s="2"/>
      <c r="K262" s="14">
        <f>IFERROR(K240+K241+K242+K243+K244+K245+K246+K247+K248+K249+K250+K251+K252+K253+K254+K255+K256+K257+K258+K259+K260+K261, "NA")</f>
        <v>4355.3999999999996</v>
      </c>
      <c r="L262" s="15">
        <f>IFERROR(K262/K444, "NA")</f>
        <v>4.6730967436388951E-2</v>
      </c>
      <c r="M262" s="2"/>
      <c r="N262" s="14">
        <f t="shared" si="65"/>
        <v>-3340.2400000000007</v>
      </c>
      <c r="O262" s="15">
        <f>IFERROR(N262/N444, "NA")</f>
        <v>-0.29793086716627476</v>
      </c>
      <c r="P262" s="2"/>
      <c r="Q262" s="14">
        <f>IFERROR(Q240+Q241+Q242+Q243+Q244+Q245+Q246+Q247+Q248+Q249+Q250+Q251+Q252+Q253+Q254+Q255+Q256+Q257+Q258+Q259+Q260+Q261, "NA")</f>
        <v>67134.040000000008</v>
      </c>
      <c r="R262" s="15">
        <f>IFERROR(Q262/Q444, "NA")</f>
        <v>5.4877558271036041E-2</v>
      </c>
      <c r="S262" s="2"/>
      <c r="T262" s="14">
        <f>IFERROR(T240+T241+T242+T243+T244+T245+T246+T247+T248+T249+T250+T251+T252+T253+T254+T255+T256+T257+T258+T259+T260+T261, "NA")</f>
        <v>62475.58</v>
      </c>
      <c r="U262" s="15">
        <f>IFERROR(T262/T444, "NA")</f>
        <v>4.741654374909883E-2</v>
      </c>
      <c r="V262" s="2"/>
      <c r="W262" s="14">
        <f t="shared" si="66"/>
        <v>-4658.4600000000064</v>
      </c>
      <c r="X262" s="15">
        <f>IFERROR(W262/W444, "NA")</f>
        <v>4.9427674918547417E-2</v>
      </c>
      <c r="Y262" s="2"/>
      <c r="Z262" s="14">
        <f>IFERROR(Z240+Z241+Z242+Z243+Z244+Z245+Z246+Z247+Z248+Z249+Z250+Z251+Z252+Z253+Z254+Z255+Z256+Z257+Z258+Z259+Z260+Z261, "NA")</f>
        <v>56298.170000000006</v>
      </c>
      <c r="AA262" s="15">
        <f>IFERROR(Z262/Z444, "NA")</f>
        <v>4.8703267944115031E-2</v>
      </c>
      <c r="AB262" s="2"/>
      <c r="AC262" s="14">
        <f t="shared" si="67"/>
        <v>-10835.870000000003</v>
      </c>
      <c r="AD262" s="15">
        <f>IFERROR(AC262/AC444, "NA")</f>
        <v>-0.16076963227585536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7695.64</v>
      </c>
      <c r="C263" s="15">
        <f>IFERROR(B263/B444, "NA")</f>
        <v>7.370382090206358E-2</v>
      </c>
      <c r="D263" s="2"/>
      <c r="E263" s="14">
        <f>IFERROR(E238+E240+E241+E242+E243+E244+E245+E246+E247+E248+E249+E250+E251+E252+E253+E254+E255+E256+E257+E258+E259+E260+E261, "NA")</f>
        <v>4964.7</v>
      </c>
      <c r="F263" s="15">
        <f>IFERROR(E263/E444, "NA")</f>
        <v>4.7139969162045672E-2</v>
      </c>
      <c r="G263" s="2"/>
      <c r="H263" s="14">
        <f t="shared" si="64"/>
        <v>-2730.9400000000005</v>
      </c>
      <c r="I263" s="15">
        <f>IFERROR(H263/H444, "NA")</f>
        <v>3.0168465472862906</v>
      </c>
      <c r="J263" s="2"/>
      <c r="K263" s="14">
        <f>IFERROR(K238+K240+K241+K242+K243+K244+K245+K246+K247+K248+K249+K250+K251+K252+K253+K254+K255+K256+K257+K258+K259+K260+K261, "NA")</f>
        <v>4355.3999999999996</v>
      </c>
      <c r="L263" s="15">
        <f>IFERROR(K263/K444, "NA")</f>
        <v>4.6730967436388951E-2</v>
      </c>
      <c r="M263" s="2"/>
      <c r="N263" s="14">
        <f t="shared" si="65"/>
        <v>-3340.2400000000007</v>
      </c>
      <c r="O263" s="15">
        <f>IFERROR(N263/N444, "NA")</f>
        <v>-0.29793086716627476</v>
      </c>
      <c r="P263" s="2"/>
      <c r="Q263" s="14">
        <f>IFERROR(Q238+Q240+Q241+Q242+Q243+Q244+Q245+Q246+Q247+Q248+Q249+Q250+Q251+Q252+Q253+Q254+Q255+Q256+Q257+Q258+Q259+Q260+Q261, "NA")</f>
        <v>67134.040000000008</v>
      </c>
      <c r="R263" s="15">
        <f>IFERROR(Q263/Q444, "NA")</f>
        <v>5.4877558271036041E-2</v>
      </c>
      <c r="S263" s="2"/>
      <c r="T263" s="14">
        <f>IFERROR(T238+T240+T241+T242+T243+T244+T245+T246+T247+T248+T249+T250+T251+T252+T253+T254+T255+T256+T257+T258+T259+T260+T261, "NA")</f>
        <v>62475.58</v>
      </c>
      <c r="U263" s="15">
        <f>IFERROR(T263/T444, "NA")</f>
        <v>4.741654374909883E-2</v>
      </c>
      <c r="V263" s="2"/>
      <c r="W263" s="14">
        <f t="shared" si="66"/>
        <v>-4658.4600000000064</v>
      </c>
      <c r="X263" s="15">
        <f>IFERROR(W263/W444, "NA")</f>
        <v>4.9427674918547417E-2</v>
      </c>
      <c r="Y263" s="2"/>
      <c r="Z263" s="14">
        <f>IFERROR(Z238+Z240+Z241+Z242+Z243+Z244+Z245+Z246+Z247+Z248+Z249+Z250+Z251+Z252+Z253+Z254+Z255+Z256+Z257+Z258+Z259+Z260+Z261, "NA")</f>
        <v>56298.170000000006</v>
      </c>
      <c r="AA263" s="15">
        <f>IFERROR(Z263/Z444, "NA")</f>
        <v>4.8703267944115031E-2</v>
      </c>
      <c r="AB263" s="2"/>
      <c r="AC263" s="14">
        <f t="shared" si="67"/>
        <v>-10835.870000000003</v>
      </c>
      <c r="AD263" s="15">
        <f>IFERROR(AC263/AC444, "NA")</f>
        <v>-0.16076963227585536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2899.03</v>
      </c>
      <c r="C265" s="8">
        <f>IFERROR(B265/B444, "NA")</f>
        <v>2.7765018622195086E-2</v>
      </c>
      <c r="D265" s="9"/>
      <c r="E265" s="7">
        <v>2948.91</v>
      </c>
      <c r="F265" s="8">
        <f>IFERROR(E265/E444, "NA")</f>
        <v>2.7999985187755171E-2</v>
      </c>
      <c r="G265" s="9"/>
      <c r="H265" s="10">
        <f>IFERROR(-(B265-E265), "NA")</f>
        <v>49.879999999999654</v>
      </c>
      <c r="I265" s="8">
        <f>IFERROR(H265/H444, "NA")</f>
        <v>-5.5102018271598462E-2</v>
      </c>
      <c r="J265" s="9"/>
      <c r="K265" s="7">
        <v>2728.74</v>
      </c>
      <c r="L265" s="8">
        <f>IFERROR(K265/K444, "NA")</f>
        <v>2.9277829839365381E-2</v>
      </c>
      <c r="M265" s="9"/>
      <c r="N265" s="10">
        <f>IFERROR(-(B265-K265), "NA")</f>
        <v>-170.29000000000042</v>
      </c>
      <c r="O265" s="8">
        <f>IFERROR(N265/N444, "NA")</f>
        <v>-1.5188922762958664E-2</v>
      </c>
      <c r="P265" s="9"/>
      <c r="Q265" s="7">
        <v>34491.660000000003</v>
      </c>
      <c r="R265" s="8">
        <f>IFERROR(Q265/Q444, "NA")</f>
        <v>2.8194610089229889E-2</v>
      </c>
      <c r="S265" s="9"/>
      <c r="T265" s="7">
        <v>37062.879999999997</v>
      </c>
      <c r="U265" s="8">
        <f>IFERROR(T265/T444, "NA")</f>
        <v>2.8129289411760558E-2</v>
      </c>
      <c r="V265" s="9"/>
      <c r="W265" s="10">
        <f>IFERROR(-(Q265-T265), "NA")</f>
        <v>2571.2199999999939</v>
      </c>
      <c r="X265" s="8">
        <f>IFERROR(W265/W444, "NA")</f>
        <v>-2.7281424827961816E-2</v>
      </c>
      <c r="Y265" s="9"/>
      <c r="Z265" s="7">
        <v>33743.629999999997</v>
      </c>
      <c r="AA265" s="8">
        <f>IFERROR(Z265/Z444, "NA")</f>
        <v>2.9191447134020131E-2</v>
      </c>
      <c r="AB265" s="9"/>
      <c r="AC265" s="10">
        <f>IFERROR(-(Q265-Z265), "NA")</f>
        <v>-748.03000000000611</v>
      </c>
      <c r="AD265" s="8">
        <f>IFERROR(AC265/AC444, "NA")</f>
        <v>-1.1098371245807585E-2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1164.04</v>
      </c>
      <c r="R266" s="8">
        <f>IFERROR(Q266/Q444, "NA")</f>
        <v>9.5152433742728406E-4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-1164.04</v>
      </c>
      <c r="X266" s="8">
        <f>IFERROR(W266/W444, "NA")</f>
        <v>1.2350817805065591E-2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-1164.04</v>
      </c>
      <c r="AD266" s="8">
        <f>IFERROR(AC266/AC444, "NA")</f>
        <v>-1.727062827021611E-2</v>
      </c>
    </row>
    <row r="267" spans="1:30" ht="16.5" customHeight="1" x14ac:dyDescent="0.45">
      <c r="A267" s="19" t="s">
        <v>243</v>
      </c>
      <c r="B267" s="14">
        <f>IFERROR(B265+B266, "NA")</f>
        <v>2899.03</v>
      </c>
      <c r="C267" s="15">
        <f>IFERROR(B267/B444, "NA")</f>
        <v>2.7765018622195086E-2</v>
      </c>
      <c r="D267" s="2"/>
      <c r="E267" s="14">
        <f>IFERROR(E265+E266, "NA")</f>
        <v>2948.91</v>
      </c>
      <c r="F267" s="15">
        <f>IFERROR(E267/E444, "NA")</f>
        <v>2.7999985187755171E-2</v>
      </c>
      <c r="G267" s="2"/>
      <c r="H267" s="14">
        <f>IFERROR(-(B267-E267), "NA")</f>
        <v>49.879999999999654</v>
      </c>
      <c r="I267" s="15">
        <f>IFERROR(H267/H444, "NA")</f>
        <v>-5.5102018271598462E-2</v>
      </c>
      <c r="J267" s="2"/>
      <c r="K267" s="14">
        <f>IFERROR(K265+K266, "NA")</f>
        <v>2728.74</v>
      </c>
      <c r="L267" s="15">
        <f>IFERROR(K267/K444, "NA")</f>
        <v>2.9277829839365381E-2</v>
      </c>
      <c r="M267" s="2"/>
      <c r="N267" s="14">
        <f>IFERROR(-(B267-K267), "NA")</f>
        <v>-170.29000000000042</v>
      </c>
      <c r="O267" s="15">
        <f>IFERROR(N267/N444, "NA")</f>
        <v>-1.5188922762958664E-2</v>
      </c>
      <c r="P267" s="2"/>
      <c r="Q267" s="14">
        <f>IFERROR(Q265+Q266, "NA")</f>
        <v>35655.700000000004</v>
      </c>
      <c r="R267" s="15">
        <f>IFERROR(Q267/Q444, "NA")</f>
        <v>2.9146134426657175E-2</v>
      </c>
      <c r="S267" s="2"/>
      <c r="T267" s="14">
        <f>IFERROR(T265+T266, "NA")</f>
        <v>37062.879999999997</v>
      </c>
      <c r="U267" s="15">
        <f>IFERROR(T267/T444, "NA")</f>
        <v>2.8129289411760558E-2</v>
      </c>
      <c r="V267" s="2"/>
      <c r="W267" s="14">
        <f>IFERROR(-(Q267-T267), "NA")</f>
        <v>1407.179999999993</v>
      </c>
      <c r="X267" s="15">
        <f>IFERROR(W267/W444, "NA")</f>
        <v>-1.4930607022896216E-2</v>
      </c>
      <c r="Y267" s="2"/>
      <c r="Z267" s="14">
        <f>IFERROR(Z265+Z266, "NA")</f>
        <v>33743.629999999997</v>
      </c>
      <c r="AA267" s="15">
        <f>IFERROR(Z267/Z444, "NA")</f>
        <v>2.9191447134020131E-2</v>
      </c>
      <c r="AB267" s="2"/>
      <c r="AC267" s="14">
        <f>IFERROR(-(Q267-Z267), "NA")</f>
        <v>-1912.070000000007</v>
      </c>
      <c r="AD267" s="15">
        <f>IFERROR(AC267/AC444, "NA")</f>
        <v>-2.8368999516023705E-2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1.8951655846817601E-3</v>
      </c>
      <c r="D270" s="9"/>
      <c r="E270" s="7">
        <v>164.17</v>
      </c>
      <c r="F270" s="8">
        <f>IFERROR(E270/E444, "NA")</f>
        <v>1.5587988674709524E-3</v>
      </c>
      <c r="G270" s="9"/>
      <c r="H270" s="10">
        <f>IFERROR(-(B270-E270), "NA")</f>
        <v>-33.710000000000008</v>
      </c>
      <c r="I270" s="8">
        <f>IFERROR(H270/H444, "NA")</f>
        <v>3.7239154689967871E-2</v>
      </c>
      <c r="J270" s="9"/>
      <c r="K270" s="7">
        <v>175.13</v>
      </c>
      <c r="L270" s="8">
        <f>IFERROR(K270/K444, "NA")</f>
        <v>1.8790453981574131E-3</v>
      </c>
      <c r="M270" s="9"/>
      <c r="N270" s="10">
        <f>IFERROR(-(B270-K270), "NA")</f>
        <v>-22.75</v>
      </c>
      <c r="O270" s="8">
        <f>IFERROR(N270/N444, "NA")</f>
        <v>-2.0291737204610298E-3</v>
      </c>
      <c r="P270" s="9"/>
      <c r="Q270" s="7">
        <v>2204.35</v>
      </c>
      <c r="R270" s="8">
        <f>IFERROR(Q270/Q444, "NA")</f>
        <v>1.8019077292943831E-3</v>
      </c>
      <c r="S270" s="9"/>
      <c r="T270" s="7">
        <v>2132.09</v>
      </c>
      <c r="U270" s="8">
        <f>IFERROR(T270/T444, "NA")</f>
        <v>1.6181736730097763E-3</v>
      </c>
      <c r="V270" s="9"/>
      <c r="W270" s="10">
        <f>IFERROR(-(Q270-T270), "NA")</f>
        <v>-72.259999999999764</v>
      </c>
      <c r="X270" s="8">
        <f>IFERROR(W270/W444, "NA")</f>
        <v>7.6670053829253006E-4</v>
      </c>
      <c r="Y270" s="9"/>
      <c r="Z270" s="7">
        <v>1474.9</v>
      </c>
      <c r="AA270" s="8">
        <f>IFERROR(Z270/Z444, "NA")</f>
        <v>1.2759286827755726E-3</v>
      </c>
      <c r="AB270" s="9"/>
      <c r="AC270" s="10">
        <f>IFERROR(-(Q270-Z270), "NA")</f>
        <v>-729.44999999999982</v>
      </c>
      <c r="AD270" s="8">
        <f>IFERROR(AC270/AC444, "NA")</f>
        <v>-1.0822703508220627E-2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8.5662672018744015E-3</v>
      </c>
      <c r="D271" s="9"/>
      <c r="E271" s="7">
        <v>631.91</v>
      </c>
      <c r="F271" s="8">
        <f>IFERROR(E271/E444, "NA")</f>
        <v>6.0000036081109187E-3</v>
      </c>
      <c r="G271" s="9"/>
      <c r="H271" s="10">
        <f>IFERROR(-(B271-E271), "NA")</f>
        <v>-262.52</v>
      </c>
      <c r="I271" s="8">
        <f>IFERROR(H271/H444, "NA")</f>
        <v>0.29000364548236024</v>
      </c>
      <c r="J271" s="9"/>
      <c r="K271" s="7">
        <v>778.58</v>
      </c>
      <c r="L271" s="8">
        <f>IFERROR(K271/K444, "NA")</f>
        <v>8.3537210420681716E-3</v>
      </c>
      <c r="M271" s="9"/>
      <c r="N271" s="10">
        <f>IFERROR(-(B271-K271), "NA")</f>
        <v>-115.84999999999991</v>
      </c>
      <c r="O271" s="8">
        <f>IFERROR(N271/N444, "NA")</f>
        <v>-1.0333176945732313E-2</v>
      </c>
      <c r="P271" s="9"/>
      <c r="Q271" s="7">
        <v>9194.34</v>
      </c>
      <c r="R271" s="8">
        <f>IFERROR(Q271/Q444, "NA")</f>
        <v>7.5157539917710516E-3</v>
      </c>
      <c r="S271" s="9"/>
      <c r="T271" s="7">
        <v>7905.56</v>
      </c>
      <c r="U271" s="8">
        <f>IFERROR(T271/T444, "NA")</f>
        <v>6.0000136309438937E-3</v>
      </c>
      <c r="V271" s="9"/>
      <c r="W271" s="10">
        <f>IFERROR(-(Q271-T271), "NA")</f>
        <v>-1288.7799999999997</v>
      </c>
      <c r="X271" s="8">
        <f>IFERROR(W271/W444, "NA")</f>
        <v>1.3674347076399805E-2</v>
      </c>
      <c r="Y271" s="9"/>
      <c r="Z271" s="7">
        <v>7341.51</v>
      </c>
      <c r="AA271" s="8">
        <f>IFERROR(Z271/Z444, "NA")</f>
        <v>6.3511039283230689E-3</v>
      </c>
      <c r="AB271" s="9"/>
      <c r="AC271" s="10">
        <f>IFERROR(-(Q271-Z271), "NA")</f>
        <v>-1852.83</v>
      </c>
      <c r="AD271" s="8">
        <f>IFERROR(AC271/AC444, "NA")</f>
        <v>-2.7490067504471076E-2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1.0461432786556162E-2</v>
      </c>
      <c r="D273" s="2"/>
      <c r="E273" s="14">
        <f>IFERROR(E269+E270+E271+E272, "NA")</f>
        <v>796.07999999999993</v>
      </c>
      <c r="F273" s="15">
        <f>IFERROR(E273/E444, "NA")</f>
        <v>7.5588024755818706E-3</v>
      </c>
      <c r="G273" s="2"/>
      <c r="H273" s="14">
        <f>IFERROR(-(B273-E273), "NA")</f>
        <v>-296.23</v>
      </c>
      <c r="I273" s="15">
        <f>IFERROR(H273/H444, "NA")</f>
        <v>0.32724280017232815</v>
      </c>
      <c r="J273" s="2"/>
      <c r="K273" s="14">
        <f>IFERROR(K269+K270+K271+K272, "NA")</f>
        <v>953.71</v>
      </c>
      <c r="L273" s="15">
        <f>IFERROR(K273/K444, "NA")</f>
        <v>1.0232766440225584E-2</v>
      </c>
      <c r="M273" s="2"/>
      <c r="N273" s="14">
        <f>IFERROR(-(B273-K273), "NA")</f>
        <v>-138.59999999999991</v>
      </c>
      <c r="O273" s="15">
        <f>IFERROR(N273/N444, "NA")</f>
        <v>-1.2362350666193343E-2</v>
      </c>
      <c r="P273" s="2"/>
      <c r="Q273" s="14">
        <f>IFERROR(Q269+Q270+Q271+Q272, "NA")</f>
        <v>11398.69</v>
      </c>
      <c r="R273" s="15">
        <f>IFERROR(Q273/Q444, "NA")</f>
        <v>9.3176617210654362E-3</v>
      </c>
      <c r="S273" s="2"/>
      <c r="T273" s="14">
        <f>IFERROR(T269+T270+T271+T272, "NA")</f>
        <v>10037.650000000001</v>
      </c>
      <c r="U273" s="15">
        <f>IFERROR(T273/T444, "NA")</f>
        <v>7.6181873039536715E-3</v>
      </c>
      <c r="V273" s="2"/>
      <c r="W273" s="14">
        <f>IFERROR(-(Q273-T273), "NA")</f>
        <v>-1361.0399999999991</v>
      </c>
      <c r="X273" s="15">
        <f>IFERROR(W273/W444, "NA")</f>
        <v>1.444104761469233E-2</v>
      </c>
      <c r="Y273" s="2"/>
      <c r="Z273" s="14">
        <f>IFERROR(Z269+Z270+Z271+Z272, "NA")</f>
        <v>8816.41</v>
      </c>
      <c r="AA273" s="15">
        <f>IFERROR(Z273/Z444, "NA")</f>
        <v>7.627032611098641E-3</v>
      </c>
      <c r="AB273" s="2"/>
      <c r="AC273" s="14">
        <f>IFERROR(-(Q273-Z273), "NA")</f>
        <v>-2582.2800000000007</v>
      </c>
      <c r="AD273" s="15">
        <f>IFERROR(AC273/AC444, "NA")</f>
        <v>-3.8312771012691718E-2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2.8485086205840638E-3</v>
      </c>
      <c r="G287" s="9"/>
      <c r="H287" s="10">
        <f t="shared" si="72"/>
        <v>300</v>
      </c>
      <c r="I287" s="8">
        <f>IFERROR(H287/H444, "NA")</f>
        <v>-0.33140748759983268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3300</v>
      </c>
      <c r="U287" s="8">
        <f>IFERROR(T287/T444, "NA")</f>
        <v>2.5045720963619085E-3</v>
      </c>
      <c r="V287" s="9"/>
      <c r="W287" s="10">
        <f t="shared" si="74"/>
        <v>3300</v>
      </c>
      <c r="X287" s="8">
        <f>IFERROR(W287/W444, "NA")</f>
        <v>-3.5014001887148594E-2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1.3168853239020721E-3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0.15189509848325664</v>
      </c>
      <c r="J288" s="9"/>
      <c r="K288" s="7">
        <v>137.5</v>
      </c>
      <c r="L288" s="8">
        <f>IFERROR(K288/K444, "NA")</f>
        <v>1.4752968780142998E-3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1512.5</v>
      </c>
      <c r="R288" s="8">
        <f>IFERROR(Q288/Q444, "NA")</f>
        <v>1.2363669292797216E-3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-1512.5</v>
      </c>
      <c r="X288" s="8">
        <f>IFERROR(W288/W444, "NA")</f>
        <v>1.6048084198276441E-2</v>
      </c>
      <c r="Y288" s="9"/>
      <c r="Z288" s="7">
        <v>1512.5</v>
      </c>
      <c r="AA288" s="8">
        <f>IFERROR(Z288/Z444, "NA")</f>
        <v>1.3084562564906457E-3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210.95</v>
      </c>
      <c r="C289" s="8">
        <f>IFERROR(B289/B444, "NA")</f>
        <v>2.0203415205610332E-3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-210.95</v>
      </c>
      <c r="I289" s="8">
        <f>IFERROR(H289/H444, "NA")</f>
        <v>0.23303469836394899</v>
      </c>
      <c r="J289" s="9"/>
      <c r="K289" s="7">
        <v>199.21</v>
      </c>
      <c r="L289" s="8">
        <f>IFERROR(K289/K444, "NA")</f>
        <v>2.1374101168671177E-3</v>
      </c>
      <c r="M289" s="9"/>
      <c r="N289" s="10">
        <f t="shared" si="73"/>
        <v>-11.739999999999981</v>
      </c>
      <c r="O289" s="8">
        <f>IFERROR(N289/N444, "NA")</f>
        <v>-1.0471428342071407E-3</v>
      </c>
      <c r="P289" s="9"/>
      <c r="Q289" s="7">
        <v>2077.9299999999998</v>
      </c>
      <c r="R289" s="8">
        <f>IFERROR(Q289/Q444, "NA")</f>
        <v>1.6985678898236111E-3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-2077.9299999999998</v>
      </c>
      <c r="X289" s="8">
        <f>IFERROR(W289/W444, "NA")</f>
        <v>2.2047468164049296E-2</v>
      </c>
      <c r="Y289" s="9"/>
      <c r="Z289" s="7">
        <v>1758.46</v>
      </c>
      <c r="AA289" s="8">
        <f>IFERROR(Z289/Z444, "NA")</f>
        <v>1.5212350339097792E-3</v>
      </c>
      <c r="AB289" s="9"/>
      <c r="AC289" s="10">
        <f t="shared" si="75"/>
        <v>-319.4699999999998</v>
      </c>
      <c r="AD289" s="8">
        <f>IFERROR(AC289/AC444, "NA")</f>
        <v>-4.7399123857306763E-3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796.2</v>
      </c>
      <c r="L290" s="8">
        <f>IFERROR(K290/K444, "NA")</f>
        <v>8.5427736310908029E-3</v>
      </c>
      <c r="M290" s="9"/>
      <c r="N290" s="10">
        <f t="shared" si="73"/>
        <v>796.2</v>
      </c>
      <c r="O290" s="8">
        <f>IFERROR(N290/N444, "NA")</f>
        <v>7.1016620493673493E-2</v>
      </c>
      <c r="P290" s="9"/>
      <c r="Q290" s="7">
        <v>6836.81</v>
      </c>
      <c r="R290" s="8">
        <f>IFERROR(Q290/Q444, "NA")</f>
        <v>5.588631924475302E-3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-6836.81</v>
      </c>
      <c r="X290" s="8">
        <f>IFERROR(W290/W444, "NA")</f>
        <v>7.2540629770326187E-2</v>
      </c>
      <c r="Y290" s="9"/>
      <c r="Z290" s="7">
        <v>1839.34</v>
      </c>
      <c r="AA290" s="8">
        <f>IFERROR(Z290/Z444, "NA")</f>
        <v>1.5912039211990112E-3</v>
      </c>
      <c r="AB290" s="9"/>
      <c r="AC290" s="10">
        <f t="shared" si="75"/>
        <v>-4997.47</v>
      </c>
      <c r="AD290" s="8">
        <f>IFERROR(AC290/AC444, "NA")</f>
        <v>-7.4146461171056749E-2</v>
      </c>
    </row>
    <row r="291" spans="1:30" ht="16.5" customHeight="1" x14ac:dyDescent="0.45">
      <c r="A291" s="6" t="s">
        <v>264</v>
      </c>
      <c r="B291" s="7">
        <v>795.85</v>
      </c>
      <c r="C291" s="8">
        <f>IFERROR(B291/B444, "NA")</f>
        <v>7.622132254745193E-3</v>
      </c>
      <c r="D291" s="9"/>
      <c r="E291" s="7">
        <v>1263.82</v>
      </c>
      <c r="F291" s="8">
        <f>IFERROR(E291/E444, "NA")</f>
        <v>1.2000007216221837E-2</v>
      </c>
      <c r="G291" s="9"/>
      <c r="H291" s="10">
        <f t="shared" si="72"/>
        <v>467.96999999999991</v>
      </c>
      <c r="I291" s="8">
        <f>IFERROR(H291/H444, "NA")</f>
        <v>-0.51696253990697894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-795.85</v>
      </c>
      <c r="O291" s="8">
        <f>IFERROR(N291/N444, "NA")</f>
        <v>-7.0985402436435627E-2</v>
      </c>
      <c r="P291" s="9"/>
      <c r="Q291" s="7">
        <v>4299.68</v>
      </c>
      <c r="R291" s="8">
        <f>IFERROR(Q291/Q444, "NA")</f>
        <v>3.5146989477589648E-3</v>
      </c>
      <c r="S291" s="9"/>
      <c r="T291" s="7">
        <v>15811.07</v>
      </c>
      <c r="U291" s="8">
        <f>IFERROR(T291/T444, "NA")</f>
        <v>1.1999989313825721E-2</v>
      </c>
      <c r="V291" s="9"/>
      <c r="W291" s="10">
        <f t="shared" si="74"/>
        <v>11511.39</v>
      </c>
      <c r="X291" s="8">
        <f>IFERROR(W291/W444, "NA")</f>
        <v>-0.12213934278294043</v>
      </c>
      <c r="Y291" s="9"/>
      <c r="Z291" s="7">
        <v>1795.47</v>
      </c>
      <c r="AA291" s="8">
        <f>IFERROR(Z291/Z444, "NA")</f>
        <v>1.5532522015479404E-3</v>
      </c>
      <c r="AB291" s="9"/>
      <c r="AC291" s="10">
        <f t="shared" si="75"/>
        <v>-2504.21</v>
      </c>
      <c r="AD291" s="8">
        <f>IFERROR(AC291/AC444, "NA")</f>
        <v>-3.7154462063638607E-2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4.0941933236300258E-4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5.3142766621809834E-3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-7.4311594751215087E-3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3.0239287150310575E-4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3.9250696115493578E-3</v>
      </c>
      <c r="Y293" s="9"/>
      <c r="Z293" s="7">
        <v>424.92</v>
      </c>
      <c r="AA293" s="8">
        <f>IFERROR(Z293/Z444, "NA")</f>
        <v>3.6759618678215223E-4</v>
      </c>
      <c r="AB293" s="9"/>
      <c r="AC293" s="10">
        <f t="shared" si="75"/>
        <v>54.990000000000009</v>
      </c>
      <c r="AD293" s="8">
        <f>IFERROR(AC293/AC444, "NA")</f>
        <v>8.1587561301947012E-4</v>
      </c>
    </row>
    <row r="294" spans="1:30" ht="16.5" customHeight="1" x14ac:dyDescent="0.45">
      <c r="A294" s="6" t="s">
        <v>267</v>
      </c>
      <c r="B294" s="7">
        <v>310</v>
      </c>
      <c r="C294" s="8">
        <f>IFERROR(B294/B444, "NA")</f>
        <v>2.9689778211610353E-3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-310</v>
      </c>
      <c r="I294" s="8">
        <f>IFERROR(H294/H444, "NA")</f>
        <v>0.34245440385316045</v>
      </c>
      <c r="J294" s="9"/>
      <c r="K294" s="7">
        <v>320</v>
      </c>
      <c r="L294" s="8">
        <f>IFERROR(K294/K444, "NA")</f>
        <v>3.4334181888332795E-3</v>
      </c>
      <c r="M294" s="9"/>
      <c r="N294" s="10">
        <f t="shared" si="73"/>
        <v>10</v>
      </c>
      <c r="O294" s="8">
        <f>IFERROR(N294/N444, "NA")</f>
        <v>8.9194449251034271E-4</v>
      </c>
      <c r="P294" s="9"/>
      <c r="Q294" s="7">
        <v>3837.91</v>
      </c>
      <c r="R294" s="8">
        <f>IFERROR(Q294/Q444, "NA")</f>
        <v>3.1372330588773133E-3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-3837.91</v>
      </c>
      <c r="X294" s="8">
        <f>IFERROR(W294/W444, "NA")</f>
        <v>4.0721390297789838E-2</v>
      </c>
      <c r="Y294" s="9"/>
      <c r="Z294" s="7">
        <v>1732.72</v>
      </c>
      <c r="AA294" s="8">
        <f>IFERROR(Z294/Z444, "NA")</f>
        <v>1.498967487435684E-3</v>
      </c>
      <c r="AB294" s="9"/>
      <c r="AC294" s="10">
        <f t="shared" si="75"/>
        <v>-2105.1899999999996</v>
      </c>
      <c r="AD294" s="8">
        <f>IFERROR(AC294/AC444, "NA")</f>
        <v>-3.1234282265365659E-2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1454.3</v>
      </c>
      <c r="C295" s="15">
        <f>IFERROR(B295/B444, "NA")</f>
        <v>1.3928336920369334E-2</v>
      </c>
      <c r="D295" s="2"/>
      <c r="E295" s="14">
        <f>IFERROR(E286+E287+E288+E289+E290+E291+E292+E293+E294, "NA")</f>
        <v>1563.82</v>
      </c>
      <c r="F295" s="15">
        <f>IFERROR(E295/E444, "NA")</f>
        <v>1.4848515836805902E-2</v>
      </c>
      <c r="G295" s="2"/>
      <c r="H295" s="14">
        <f t="shared" si="72"/>
        <v>109.51999999999998</v>
      </c>
      <c r="I295" s="15">
        <f>IFERROR(H295/H444, "NA")</f>
        <v>-0.12098582680644555</v>
      </c>
      <c r="J295" s="2"/>
      <c r="K295" s="14">
        <f>IFERROR(K286+K287+K288+K289+K290+K291+K292+K293+K294, "NA")</f>
        <v>1452.91</v>
      </c>
      <c r="L295" s="15">
        <f>IFERROR(K295/K444, "NA")</f>
        <v>1.5588898814805501E-2</v>
      </c>
      <c r="M295" s="2"/>
      <c r="N295" s="14">
        <f t="shared" si="73"/>
        <v>-1.3899999999998727</v>
      </c>
      <c r="O295" s="15">
        <f>IFERROR(N295/N444, "NA")</f>
        <v>-1.2398028445892629E-4</v>
      </c>
      <c r="P295" s="2"/>
      <c r="Q295" s="14">
        <f>IFERROR(Q286+Q287+Q288+Q289+Q290+Q291+Q292+Q293+Q294, "NA")</f>
        <v>19435.620000000003</v>
      </c>
      <c r="R295" s="15">
        <f>IFERROR(Q295/Q444, "NA")</f>
        <v>1.5887310954081024E-2</v>
      </c>
      <c r="S295" s="2"/>
      <c r="T295" s="14">
        <f>IFERROR(T286+T287+T288+T289+T290+T291+T292+T293+T294, "NA")</f>
        <v>19111.07</v>
      </c>
      <c r="U295" s="15">
        <f>IFERROR(T295/T444, "NA")</f>
        <v>1.450456141018763E-2</v>
      </c>
      <c r="V295" s="2"/>
      <c r="W295" s="14">
        <f t="shared" si="74"/>
        <v>-324.55000000000291</v>
      </c>
      <c r="X295" s="15">
        <f>IFERROR(W295/W444, "NA")</f>
        <v>3.4435740340830845E-3</v>
      </c>
      <c r="Y295" s="2"/>
      <c r="Z295" s="14">
        <f>IFERROR(Z286+Z287+Z288+Z289+Z290+Z291+Z292+Z293+Z294, "NA")</f>
        <v>9063.41</v>
      </c>
      <c r="AA295" s="15">
        <f>IFERROR(Z295/Z444, "NA")</f>
        <v>7.8407110873652125E-3</v>
      </c>
      <c r="AB295" s="2"/>
      <c r="AC295" s="14">
        <f t="shared" si="75"/>
        <v>-10372.210000000003</v>
      </c>
      <c r="AD295" s="15">
        <f>IFERROR(AC295/AC444, "NA")</f>
        <v>-0.15389040174789378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1369.14</v>
      </c>
      <c r="F297" s="8">
        <f>IFERROR(E297/E444, "NA")</f>
        <v>1.3000023642621551E-2</v>
      </c>
      <c r="G297" s="9"/>
      <c r="H297" s="10">
        <f t="shared" ref="H297:H325" si="76">IFERROR(-(B297-E297), "NA")</f>
        <v>1369.14</v>
      </c>
      <c r="I297" s="8">
        <f>IFERROR(H297/H444, "NA")</f>
        <v>-1.5124774919081165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17128.68</v>
      </c>
      <c r="U297" s="8">
        <f>IFERROR(T297/T444, "NA")</f>
        <v>1.3000004235003726E-2</v>
      </c>
      <c r="V297" s="9"/>
      <c r="W297" s="10">
        <f t="shared" ref="W297:W325" si="78">IFERROR(-(Q297-T297), "NA")</f>
        <v>17128.68</v>
      </c>
      <c r="X297" s="8">
        <f>IFERROR(W297/W444, "NA")</f>
        <v>-0.18174049510435286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575.11</v>
      </c>
      <c r="C299" s="8">
        <f>IFERROR(B299/B444, "NA")</f>
        <v>5.5080284991223319E-3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-575.11</v>
      </c>
      <c r="I299" s="8">
        <f>IFERROR(H299/H444, "NA")</f>
        <v>0.63531920064513259</v>
      </c>
      <c r="J299" s="9"/>
      <c r="K299" s="7">
        <v>180.48</v>
      </c>
      <c r="L299" s="8">
        <f>IFERROR(K299/K444, "NA")</f>
        <v>1.9364478585019694E-3</v>
      </c>
      <c r="M299" s="9"/>
      <c r="N299" s="10">
        <f t="shared" si="77"/>
        <v>-394.63</v>
      </c>
      <c r="O299" s="8">
        <f>IFERROR(N299/N444, "NA")</f>
        <v>-3.5198805507935658E-2</v>
      </c>
      <c r="P299" s="9"/>
      <c r="Q299" s="7">
        <v>3854.32</v>
      </c>
      <c r="R299" s="8">
        <f>IFERROR(Q299/Q444, "NA")</f>
        <v>3.150647129164573E-3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-3854.32</v>
      </c>
      <c r="X299" s="8">
        <f>IFERROR(W299/W444, "NA")</f>
        <v>4.0895505379901387E-2</v>
      </c>
      <c r="Y299" s="9"/>
      <c r="Z299" s="7">
        <v>2276.94</v>
      </c>
      <c r="AA299" s="8">
        <f>IFERROR(Z299/Z444, "NA")</f>
        <v>1.9697695131595445E-3</v>
      </c>
      <c r="AB299" s="9"/>
      <c r="AC299" s="10">
        <f t="shared" si="79"/>
        <v>-1577.38</v>
      </c>
      <c r="AD299" s="8">
        <f>IFERROR(AC299/AC444, "NA")</f>
        <v>-2.340327103954631E-2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348.44</v>
      </c>
      <c r="R304" s="8">
        <f>IFERROR(Q304/Q444, "NA")</f>
        <v>2.8482624319882725E-4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-348.44</v>
      </c>
      <c r="X304" s="8">
        <f>IFERROR(W304/W444, "NA")</f>
        <v>3.6970541871388049E-3</v>
      </c>
      <c r="Y304" s="9"/>
      <c r="Z304" s="7">
        <v>402.55</v>
      </c>
      <c r="AA304" s="8">
        <f>IFERROR(Z304/Z444, "NA")</f>
        <v>3.4824401061177485E-4</v>
      </c>
      <c r="AB304" s="9"/>
      <c r="AC304" s="10">
        <f t="shared" si="79"/>
        <v>54.110000000000014</v>
      </c>
      <c r="AD304" s="8">
        <f>IFERROR(AC304/AC444, "NA")</f>
        <v>8.0281922932321382E-4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22</v>
      </c>
      <c r="L310" s="8">
        <f>IFERROR(K310/K444, "NA")</f>
        <v>2.3604750048228796E-4</v>
      </c>
      <c r="M310" s="9"/>
      <c r="N310" s="10">
        <f t="shared" si="77"/>
        <v>22</v>
      </c>
      <c r="O310" s="8">
        <f>IFERROR(N310/N444, "NA")</f>
        <v>1.9622778835227542E-3</v>
      </c>
      <c r="P310" s="9"/>
      <c r="Q310" s="7">
        <v>435.69</v>
      </c>
      <c r="R310" s="8">
        <f>IFERROR(Q310/Q444, "NA")</f>
        <v>3.5614724457380621E-4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-435.69</v>
      </c>
      <c r="X310" s="8">
        <f>IFERROR(W310/W444, "NA")</f>
        <v>4.6228031764278098E-3</v>
      </c>
      <c r="Y310" s="9"/>
      <c r="Z310" s="7">
        <v>437.21</v>
      </c>
      <c r="AA310" s="8">
        <f>IFERROR(Z310/Z444, "NA")</f>
        <v>3.7822820489274398E-4</v>
      </c>
      <c r="AB310" s="9"/>
      <c r="AC310" s="10">
        <f t="shared" si="79"/>
        <v>1.5199999999999818</v>
      </c>
      <c r="AD310" s="8">
        <f>IFERROR(AC310/AC444, "NA")</f>
        <v>2.2551935475351511E-5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2.182545256976434E-5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2.8329510617783863E-4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-3.961425507841398E-4</v>
      </c>
    </row>
    <row r="312" spans="1:30" ht="16.5" customHeight="1" x14ac:dyDescent="0.45">
      <c r="A312" s="6" t="s">
        <v>284</v>
      </c>
      <c r="B312" s="7">
        <v>177.31</v>
      </c>
      <c r="C312" s="8">
        <f>IFERROR(B312/B444, "NA")</f>
        <v>1.6981595402260103E-3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-177.31</v>
      </c>
      <c r="I312" s="8">
        <f>IFERROR(H312/H444, "NA")</f>
        <v>0.19587287208775445</v>
      </c>
      <c r="J312" s="9"/>
      <c r="K312" s="7">
        <v>37.25</v>
      </c>
      <c r="L312" s="8">
        <f>IFERROR(K312/K444, "NA")</f>
        <v>3.9967133604387392E-4</v>
      </c>
      <c r="M312" s="9"/>
      <c r="N312" s="10">
        <f t="shared" si="77"/>
        <v>-140.06</v>
      </c>
      <c r="O312" s="8">
        <f>IFERROR(N312/N444, "NA")</f>
        <v>-1.2492574562099861E-2</v>
      </c>
      <c r="P312" s="9"/>
      <c r="Q312" s="7">
        <v>1863.49</v>
      </c>
      <c r="R312" s="8">
        <f>IFERROR(Q312/Q444, "NA")</f>
        <v>1.5232776258138636E-3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-1863.49</v>
      </c>
      <c r="X312" s="8">
        <f>IFERROR(W312/W444, "NA")</f>
        <v>1.977219465960077E-2</v>
      </c>
      <c r="Y312" s="9"/>
      <c r="Z312" s="7">
        <v>598.5</v>
      </c>
      <c r="AA312" s="8">
        <f>IFERROR(Z312/Z444, "NA")</f>
        <v>5.1775938479976965E-4</v>
      </c>
      <c r="AB312" s="9"/>
      <c r="AC312" s="10">
        <f t="shared" si="79"/>
        <v>-1264.99</v>
      </c>
      <c r="AD312" s="8">
        <f>IFERROR(AC312/AC444, "NA")</f>
        <v>-1.8768403195371874E-2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4.3937006577709117E-5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5.7030381861643547E-4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-7.9747798144747244E-4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7.6054676695554504E-3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0.87724666659301043</v>
      </c>
      <c r="J315" s="9"/>
      <c r="K315" s="7">
        <v>794.11</v>
      </c>
      <c r="L315" s="8">
        <f>IFERROR(K315/K444, "NA")</f>
        <v>8.5203491185449863E-3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8735.17</v>
      </c>
      <c r="R315" s="8">
        <f>IFERROR(Q315/Q444, "NA")</f>
        <v>7.1404134278587415E-3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-8735.17</v>
      </c>
      <c r="X315" s="8">
        <f>IFERROR(W315/W444, "NA")</f>
        <v>9.2682805716534478E-2</v>
      </c>
      <c r="Y315" s="9"/>
      <c r="Z315" s="7">
        <v>1588.22</v>
      </c>
      <c r="AA315" s="8">
        <f>IFERROR(Z315/Z444, "NA")</f>
        <v>1.3739612533445115E-3</v>
      </c>
      <c r="AB315" s="9"/>
      <c r="AC315" s="10">
        <f t="shared" si="79"/>
        <v>-7146.95</v>
      </c>
      <c r="AD315" s="8">
        <f>IFERROR(AC315/AC444, "NA")</f>
        <v>-0.10603786529313512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4.6986468356825933E-3</v>
      </c>
      <c r="D318" s="9"/>
      <c r="E318" s="7">
        <v>718</v>
      </c>
      <c r="F318" s="8">
        <f>IFERROR(E318/E444, "NA")</f>
        <v>6.8174306319311925E-3</v>
      </c>
      <c r="G318" s="9"/>
      <c r="H318" s="10">
        <f t="shared" si="76"/>
        <v>227.39999999999998</v>
      </c>
      <c r="I318" s="8">
        <f>IFERROR(H318/H444, "NA")</f>
        <v>-0.25120687560067312</v>
      </c>
      <c r="J318" s="9"/>
      <c r="K318" s="7">
        <v>490.6</v>
      </c>
      <c r="L318" s="8">
        <f>IFERROR(K318/K444, "NA")</f>
        <v>5.2638592607550218E-3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5648.23</v>
      </c>
      <c r="R318" s="8">
        <f>IFERROR(Q318/Q444, "NA")</f>
        <v>4.6170477890681667E-3</v>
      </c>
      <c r="S318" s="9"/>
      <c r="T318" s="7">
        <v>7898</v>
      </c>
      <c r="U318" s="8">
        <f>IFERROR(T318/T444, "NA")</f>
        <v>5.9942758839595014E-3</v>
      </c>
      <c r="V318" s="9"/>
      <c r="W318" s="10">
        <f t="shared" si="78"/>
        <v>2249.7700000000004</v>
      </c>
      <c r="X318" s="8">
        <f>IFERROR(W318/W444, "NA")</f>
        <v>-2.3870742735045549E-2</v>
      </c>
      <c r="Y318" s="9"/>
      <c r="Z318" s="7">
        <v>5724.71</v>
      </c>
      <c r="AA318" s="8">
        <f>IFERROR(Z318/Z444, "NA")</f>
        <v>4.9524182585749194E-3</v>
      </c>
      <c r="AB318" s="9"/>
      <c r="AC318" s="10">
        <f t="shared" si="79"/>
        <v>76.480000000000473</v>
      </c>
      <c r="AD318" s="8">
        <f>IFERROR(AC318/AC444, "NA")</f>
        <v>1.1347184376019176E-3</v>
      </c>
    </row>
    <row r="319" spans="1:30" ht="16.5" customHeight="1" x14ac:dyDescent="0.45">
      <c r="A319" s="6" t="s">
        <v>291</v>
      </c>
      <c r="B319" s="7">
        <v>160.47999999999999</v>
      </c>
      <c r="C319" s="8">
        <f>IFERROR(B319/B444, "NA")</f>
        <v>1.5369727765803965E-3</v>
      </c>
      <c r="D319" s="9"/>
      <c r="E319" s="7">
        <v>160</v>
      </c>
      <c r="F319" s="8">
        <f>IFERROR(E319/E444, "NA")</f>
        <v>1.5192045976448339E-3</v>
      </c>
      <c r="G319" s="9"/>
      <c r="H319" s="10">
        <f t="shared" si="76"/>
        <v>-0.47999999999998977</v>
      </c>
      <c r="I319" s="8">
        <f>IFERROR(H319/H444, "NA")</f>
        <v>5.3025198015972099E-4</v>
      </c>
      <c r="J319" s="9"/>
      <c r="K319" s="7">
        <v>160.06</v>
      </c>
      <c r="L319" s="8">
        <f>IFERROR(K319/K444, "NA")</f>
        <v>1.717352860327046E-3</v>
      </c>
      <c r="M319" s="9"/>
      <c r="N319" s="10">
        <f t="shared" si="77"/>
        <v>-0.41999999999998749</v>
      </c>
      <c r="O319" s="8">
        <f>IFERROR(N319/N444, "NA")</f>
        <v>-3.7461668685433277E-5</v>
      </c>
      <c r="P319" s="9"/>
      <c r="Q319" s="7">
        <v>1892.37</v>
      </c>
      <c r="R319" s="8">
        <f>IFERROR(Q319/Q444, "NA")</f>
        <v>1.5468850816271514E-3</v>
      </c>
      <c r="S319" s="9"/>
      <c r="T319" s="7">
        <v>1760</v>
      </c>
      <c r="U319" s="8">
        <f>IFERROR(T319/T444, "NA")</f>
        <v>1.3357717847263513E-3</v>
      </c>
      <c r="V319" s="9"/>
      <c r="W319" s="10">
        <f t="shared" si="78"/>
        <v>-132.36999999999989</v>
      </c>
      <c r="X319" s="8">
        <f>IFERROR(W319/W444, "NA")</f>
        <v>1.4044858878187441E-3</v>
      </c>
      <c r="Y319" s="9"/>
      <c r="Z319" s="7">
        <v>1757.69</v>
      </c>
      <c r="AA319" s="8">
        <f>IFERROR(Z319/Z444, "NA")</f>
        <v>1.5205689107246566E-3</v>
      </c>
      <c r="AB319" s="9"/>
      <c r="AC319" s="10">
        <f t="shared" si="79"/>
        <v>-134.67999999999984</v>
      </c>
      <c r="AD319" s="8">
        <f>IFERROR(AC319/AC444, "NA")</f>
        <v>-1.9982201775134039E-3</v>
      </c>
    </row>
    <row r="320" spans="1:30" ht="16.5" customHeight="1" x14ac:dyDescent="0.45">
      <c r="A320" s="6" t="s">
        <v>292</v>
      </c>
      <c r="B320" s="7">
        <v>1121.3599999999999</v>
      </c>
      <c r="C320" s="8">
        <f>IFERROR(B320/B444, "NA")</f>
        <v>1.0739654740442381E-2</v>
      </c>
      <c r="D320" s="9"/>
      <c r="E320" s="7">
        <v>827</v>
      </c>
      <c r="F320" s="8">
        <f>IFERROR(E320/E444, "NA")</f>
        <v>7.852388764076736E-3</v>
      </c>
      <c r="G320" s="9"/>
      <c r="H320" s="10">
        <f t="shared" si="76"/>
        <v>-294.3599999999999</v>
      </c>
      <c r="I320" s="8">
        <f>IFERROR(H320/H444, "NA")</f>
        <v>0.32517702683295568</v>
      </c>
      <c r="J320" s="9"/>
      <c r="K320" s="7">
        <v>1143.24</v>
      </c>
      <c r="L320" s="8">
        <f>IFERROR(K320/K444, "NA")</f>
        <v>1.2266315656880494E-2</v>
      </c>
      <c r="M320" s="9"/>
      <c r="N320" s="10">
        <f t="shared" si="77"/>
        <v>21.880000000000109</v>
      </c>
      <c r="O320" s="8">
        <f>IFERROR(N320/N444, "NA")</f>
        <v>1.9515745496126397E-3</v>
      </c>
      <c r="P320" s="9"/>
      <c r="Q320" s="7">
        <v>12779.21</v>
      </c>
      <c r="R320" s="8">
        <f>IFERROR(Q320/Q444, "NA")</f>
        <v>1.0446143885170718E-2</v>
      </c>
      <c r="S320" s="9"/>
      <c r="T320" s="7">
        <v>9097</v>
      </c>
      <c r="U320" s="8">
        <f>IFERROR(T320/T444, "NA")</f>
        <v>6.9042704123043275E-3</v>
      </c>
      <c r="V320" s="9"/>
      <c r="W320" s="10">
        <f t="shared" si="78"/>
        <v>-3682.2099999999991</v>
      </c>
      <c r="X320" s="8">
        <f>IFERROR(W320/W444, "NA")</f>
        <v>3.9069366026932548E-2</v>
      </c>
      <c r="Y320" s="9"/>
      <c r="Z320" s="7">
        <v>8918.7800000000007</v>
      </c>
      <c r="AA320" s="8">
        <f>IFERROR(Z320/Z444, "NA")</f>
        <v>7.7155923909181107E-3</v>
      </c>
      <c r="AB320" s="9"/>
      <c r="AC320" s="10">
        <f t="shared" si="79"/>
        <v>-3860.4299999999985</v>
      </c>
      <c r="AD320" s="8">
        <f>IFERROR(AC320/AC444, "NA")</f>
        <v>-5.7276426491521204E-2</v>
      </c>
    </row>
    <row r="321" spans="1:30" ht="16.5" customHeight="1" x14ac:dyDescent="0.45">
      <c r="A321" s="6" t="s">
        <v>293</v>
      </c>
      <c r="B321" s="7">
        <v>1336.24</v>
      </c>
      <c r="C321" s="8">
        <f>IFERROR(B321/B444, "NA")</f>
        <v>1.279763523789749E-2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-1336.24</v>
      </c>
      <c r="I321" s="8">
        <f>IFERROR(H321/H444, "NA")</f>
        <v>1.476133137434668</v>
      </c>
      <c r="J321" s="9"/>
      <c r="K321" s="7">
        <v>2197.91</v>
      </c>
      <c r="L321" s="8">
        <f>IFERROR(K321/K444, "NA")</f>
        <v>2.3582325535682978E-2</v>
      </c>
      <c r="M321" s="9"/>
      <c r="N321" s="10">
        <f t="shared" si="77"/>
        <v>861.66999999999985</v>
      </c>
      <c r="O321" s="8">
        <f>IFERROR(N321/N444, "NA")</f>
        <v>7.6856181086138689E-2</v>
      </c>
      <c r="P321" s="9"/>
      <c r="Q321" s="7">
        <v>21462.43</v>
      </c>
      <c r="R321" s="8">
        <f>IFERROR(Q321/Q444, "NA")</f>
        <v>1.754409168527668E-2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-21462.43</v>
      </c>
      <c r="X321" s="8">
        <f>IFERROR(W321/W444, "NA")</f>
        <v>0.22772289834024079</v>
      </c>
      <c r="Y321" s="9"/>
      <c r="Z321" s="7">
        <v>28301.14</v>
      </c>
      <c r="AA321" s="8">
        <f>IFERROR(Z321/Z444, "NA")</f>
        <v>2.4483175999218298E-2</v>
      </c>
      <c r="AB321" s="9"/>
      <c r="AC321" s="10">
        <f t="shared" si="79"/>
        <v>6838.7099999999991</v>
      </c>
      <c r="AD321" s="8">
        <f>IFERROR(AC321/AC444, "NA")</f>
        <v>0.10146457016752826</v>
      </c>
    </row>
    <row r="322" spans="1:30" ht="16.5" customHeight="1" x14ac:dyDescent="0.45">
      <c r="A322" s="6" t="s">
        <v>294</v>
      </c>
      <c r="B322" s="7">
        <v>579.46</v>
      </c>
      <c r="C322" s="8">
        <f>IFERROR(B322/B444, "NA")</f>
        <v>5.5496899620966888E-3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-579.46</v>
      </c>
      <c r="I322" s="8">
        <f>IFERROR(H322/H444, "NA")</f>
        <v>0.64012460921533021</v>
      </c>
      <c r="J322" s="9"/>
      <c r="K322" s="7">
        <v>382.01</v>
      </c>
      <c r="L322" s="8">
        <f>IFERROR(K322/K444, "NA")</f>
        <v>4.0987502572381283E-3</v>
      </c>
      <c r="M322" s="9"/>
      <c r="N322" s="10">
        <f t="shared" si="77"/>
        <v>-197.45000000000005</v>
      </c>
      <c r="O322" s="8">
        <f>IFERROR(N322/N444, "NA")</f>
        <v>-1.7611444004616721E-2</v>
      </c>
      <c r="P322" s="9"/>
      <c r="Q322" s="7">
        <v>4049.55</v>
      </c>
      <c r="R322" s="8">
        <f>IFERROR(Q322/Q444, "NA")</f>
        <v>3.310234511381618E-3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-4049.55</v>
      </c>
      <c r="X322" s="8">
        <f>IFERROR(W322/W444, "NA")</f>
        <v>4.2966954952152303E-2</v>
      </c>
      <c r="Y322" s="9"/>
      <c r="Z322" s="7">
        <v>2591.71</v>
      </c>
      <c r="AA322" s="8">
        <f>IFERROR(Z322/Z444, "NA")</f>
        <v>2.2420754806673532E-3</v>
      </c>
      <c r="AB322" s="9"/>
      <c r="AC322" s="10">
        <f t="shared" si="79"/>
        <v>-1457.8400000000001</v>
      </c>
      <c r="AD322" s="8">
        <f>IFERROR(AC322/AC444, "NA")</f>
        <v>-2.1629680008807134E-2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5234.67</v>
      </c>
      <c r="C324" s="15">
        <f>IFERROR(B324/B444, "NA")</f>
        <v>5.0134255261603346E-2</v>
      </c>
      <c r="D324" s="2"/>
      <c r="E324" s="14">
        <f>IFERROR(E297+E298+E299+E300+E301+E302+E303+E304+E305+E306+E307+E308+E309+E310+E311+E312+E313+E314+E315+E316+E317+E318+E319+E320+E321+E322+E323, "NA")</f>
        <v>3074.1400000000003</v>
      </c>
      <c r="F324" s="15">
        <f>IFERROR(E324/E444, "NA")</f>
        <v>2.9189047636274317E-2</v>
      </c>
      <c r="G324" s="2"/>
      <c r="H324" s="14">
        <f t="shared" si="76"/>
        <v>-2160.5299999999997</v>
      </c>
      <c r="I324" s="15">
        <f>IFERROR(H324/H444, "NA")</f>
        <v>2.3867193972802214</v>
      </c>
      <c r="J324" s="2"/>
      <c r="K324" s="14">
        <f>IFERROR(K297+K298+K299+K300+K301+K302+K303+K304+K305+K306+K307+K308+K309+K310+K311+K312+K313+K314+K315+K316+K317+K318+K319+K320+K321+K322+K323, "NA")</f>
        <v>5407.66</v>
      </c>
      <c r="L324" s="15">
        <f>IFERROR(K324/K444, "NA")</f>
        <v>5.8021119384456782E-2</v>
      </c>
      <c r="M324" s="2"/>
      <c r="N324" s="14">
        <f t="shared" si="77"/>
        <v>172.98999999999978</v>
      </c>
      <c r="O324" s="15">
        <f>IFERROR(N324/N444, "NA")</f>
        <v>1.5429747775936399E-2</v>
      </c>
      <c r="P324" s="2"/>
      <c r="Q324" s="14">
        <f>IFERROR(Q297+Q298+Q299+Q300+Q301+Q302+Q303+Q304+Q305+Q306+Q307+Q308+Q309+Q310+Q311+Q312+Q313+Q314+Q315+Q316+Q317+Q318+Q319+Q320+Q321+Q322+Q323, "NA")</f>
        <v>61149.35</v>
      </c>
      <c r="R324" s="15">
        <f>IFERROR(Q324/Q444, "NA")</f>
        <v>4.9985477082281619E-2</v>
      </c>
      <c r="S324" s="2"/>
      <c r="T324" s="14">
        <f>IFERROR(T297+T298+T299+T300+T301+T302+T303+T304+T305+T306+T307+T308+T309+T310+T311+T312+T313+T314+T315+T316+T317+T318+T319+T320+T321+T322+T323, "NA")</f>
        <v>35883.68</v>
      </c>
      <c r="U324" s="15">
        <f>IFERROR(T324/T444, "NA")</f>
        <v>2.7234322315993906E-2</v>
      </c>
      <c r="V324" s="2"/>
      <c r="W324" s="14">
        <f t="shared" si="78"/>
        <v>-25265.67</v>
      </c>
      <c r="X324" s="15">
        <f>IFERROR(W324/W444, "NA")</f>
        <v>0.26807642941214349</v>
      </c>
      <c r="Y324" s="2"/>
      <c r="Z324" s="14">
        <f>IFERROR(Z297+Z298+Z299+Z300+Z301+Z302+Z303+Z304+Z305+Z306+Z307+Z308+Z309+Z310+Z311+Z312+Z313+Z314+Z315+Z316+Z317+Z318+Z319+Z320+Z321+Z322+Z323, "NA")</f>
        <v>52597.450000000004</v>
      </c>
      <c r="AA324" s="15">
        <f>IFERROR(Z324/Z444, "NA")</f>
        <v>4.5501793406911684E-2</v>
      </c>
      <c r="AB324" s="2"/>
      <c r="AC324" s="14">
        <f t="shared" si="79"/>
        <v>-8551.8999999999942</v>
      </c>
      <c r="AD324" s="15">
        <f>IFERROR(AC324/AC444, "NA")</f>
        <v>-0.12688282696819786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26060.180000000004</v>
      </c>
      <c r="C325" s="15">
        <f>IFERROR(B325/B444, "NA")</f>
        <v>0.24958740785633676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19851.03</v>
      </c>
      <c r="F325" s="15">
        <f>IFERROR(E325/E444, "NA")</f>
        <v>0.18848610027490956</v>
      </c>
      <c r="G325" s="2"/>
      <c r="H325" s="14">
        <f t="shared" si="76"/>
        <v>-6209.1500000000051</v>
      </c>
      <c r="I325" s="15">
        <f>IFERROR(H325/H444, "NA")</f>
        <v>6.8591960054350087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22836.719999999998</v>
      </c>
      <c r="L325" s="15">
        <f>IFERROR(K325/K444, "NA")</f>
        <v>0.24502503069153975</v>
      </c>
      <c r="M325" s="2"/>
      <c r="N325" s="14">
        <f t="shared" si="77"/>
        <v>-3223.4600000000064</v>
      </c>
      <c r="O325" s="15">
        <f>IFERROR(N325/N444, "NA")</f>
        <v>-0.28751473938273953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287861.76000000001</v>
      </c>
      <c r="R325" s="15">
        <f>IFERROR(Q325/Q444, "NA")</f>
        <v>0.23530761009471485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241204.62000000002</v>
      </c>
      <c r="U325" s="15">
        <f>IFERROR(T325/T444, "NA")</f>
        <v>0.18306495780775078</v>
      </c>
      <c r="V325" s="2"/>
      <c r="W325" s="14">
        <f t="shared" si="78"/>
        <v>-46657.139999999985</v>
      </c>
      <c r="X325" s="15">
        <f>IFERROR(W325/W444, "NA")</f>
        <v>0.49504642060877446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240556.58</v>
      </c>
      <c r="AA325" s="15">
        <f>IFERROR(Z325/Z444, "NA")</f>
        <v>0.20810430554776366</v>
      </c>
      <c r="AB325" s="2"/>
      <c r="AC325" s="14">
        <f t="shared" si="79"/>
        <v>-47305.180000000022</v>
      </c>
      <c r="AD325" s="15">
        <f>IFERROR(AC325/AC444, "NA")</f>
        <v>-0.7018574782959881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0.12954780360767199</v>
      </c>
      <c r="D329" s="9"/>
      <c r="E329" s="7">
        <v>12484</v>
      </c>
      <c r="F329" s="8">
        <f>IFERROR(E329/E444, "NA")</f>
        <v>0.11853593873123817</v>
      </c>
      <c r="G329" s="9"/>
      <c r="H329" s="10">
        <f t="shared" si="80"/>
        <v>-1042.4799999999996</v>
      </c>
      <c r="I329" s="8">
        <f>IFERROR(H329/H444, "NA")</f>
        <v>1.1516189255769114</v>
      </c>
      <c r="J329" s="9"/>
      <c r="K329" s="7">
        <v>13132.5</v>
      </c>
      <c r="L329" s="8">
        <f>IFERROR(K329/K444, "NA")</f>
        <v>0.14090426364016576</v>
      </c>
      <c r="M329" s="9"/>
      <c r="N329" s="10">
        <f t="shared" si="81"/>
        <v>-393.97999999999956</v>
      </c>
      <c r="O329" s="8">
        <f>IFERROR(N329/N444, "NA")</f>
        <v>-3.5140829115922444E-2</v>
      </c>
      <c r="P329" s="9"/>
      <c r="Q329" s="7">
        <v>146427.4</v>
      </c>
      <c r="R329" s="8">
        <f>IFERROR(Q329/Q444, "NA")</f>
        <v>0.11969454208291802</v>
      </c>
      <c r="S329" s="9"/>
      <c r="T329" s="7">
        <v>144337</v>
      </c>
      <c r="U329" s="8">
        <f>IFERROR(T329/T444, "NA")</f>
        <v>0.10954618868866327</v>
      </c>
      <c r="V329" s="9"/>
      <c r="W329" s="10">
        <f t="shared" si="82"/>
        <v>-2090.3999999999942</v>
      </c>
      <c r="X329" s="8">
        <f>IFERROR(W329/W444, "NA")</f>
        <v>2.217977864996825E-2</v>
      </c>
      <c r="Y329" s="9"/>
      <c r="Z329" s="7">
        <v>142162.5</v>
      </c>
      <c r="AA329" s="8">
        <f>IFERROR(Z329/Z444, "NA")</f>
        <v>0.12298407442205053</v>
      </c>
      <c r="AB329" s="9"/>
      <c r="AC329" s="10">
        <f t="shared" si="83"/>
        <v>-4264.8999999999942</v>
      </c>
      <c r="AD329" s="8">
        <f>IFERROR(AC329/AC444, "NA")</f>
        <v>-6.3277466847912939E-2</v>
      </c>
    </row>
    <row r="330" spans="1:30" ht="16.5" customHeight="1" x14ac:dyDescent="0.45">
      <c r="A330" s="6" t="s">
        <v>301</v>
      </c>
      <c r="B330" s="7">
        <v>3809.58</v>
      </c>
      <c r="C330" s="8">
        <f>IFERROR(B330/B444, "NA")</f>
        <v>3.648567267076986E-2</v>
      </c>
      <c r="D330" s="9"/>
      <c r="E330" s="7">
        <v>1875</v>
      </c>
      <c r="F330" s="8">
        <f>IFERROR(E330/E444, "NA")</f>
        <v>1.7803178878650398E-2</v>
      </c>
      <c r="G330" s="9"/>
      <c r="H330" s="10">
        <f t="shared" si="80"/>
        <v>-1934.58</v>
      </c>
      <c r="I330" s="8">
        <f>IFERROR(H330/H444, "NA")</f>
        <v>2.1371143245362809</v>
      </c>
      <c r="J330" s="9"/>
      <c r="K330" s="7">
        <v>2239.62</v>
      </c>
      <c r="L330" s="8">
        <f>IFERROR(K330/K444, "NA")</f>
        <v>2.4029850137733715E-2</v>
      </c>
      <c r="M330" s="9"/>
      <c r="N330" s="10">
        <f t="shared" si="81"/>
        <v>-1569.96</v>
      </c>
      <c r="O330" s="8">
        <f>IFERROR(N330/N444, "NA")</f>
        <v>-0.14003171754615376</v>
      </c>
      <c r="P330" s="9"/>
      <c r="Q330" s="7">
        <v>26844.94</v>
      </c>
      <c r="R330" s="8">
        <f>IFERROR(Q330/Q444, "NA")</f>
        <v>2.1943931262478261E-2</v>
      </c>
      <c r="S330" s="9"/>
      <c r="T330" s="7">
        <v>20625</v>
      </c>
      <c r="U330" s="8">
        <f>IFERROR(T330/T444, "NA")</f>
        <v>1.5653575602261927E-2</v>
      </c>
      <c r="V330" s="9"/>
      <c r="W330" s="10">
        <f t="shared" si="82"/>
        <v>-6219.9399999999987</v>
      </c>
      <c r="X330" s="8">
        <f>IFERROR(W330/W444, "NA")</f>
        <v>6.5995451787257881E-2</v>
      </c>
      <c r="Y330" s="9"/>
      <c r="Z330" s="7">
        <v>23177.34</v>
      </c>
      <c r="AA330" s="8">
        <f>IFERROR(Z330/Z444, "NA")</f>
        <v>2.0050602004503079E-2</v>
      </c>
      <c r="AB330" s="9"/>
      <c r="AC330" s="10">
        <f t="shared" si="83"/>
        <v>-3667.5999999999985</v>
      </c>
      <c r="AD330" s="8">
        <f>IFERROR(AC330/AC444, "NA")</f>
        <v>-5.4415446414079048E-2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1.7239226058354399E-3</v>
      </c>
      <c r="D332" s="9"/>
      <c r="E332" s="7">
        <v>180</v>
      </c>
      <c r="F332" s="8">
        <f>IFERROR(E332/E444, "NA")</f>
        <v>1.7091051723504382E-3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1.9312977312187197E-3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1980</v>
      </c>
      <c r="R332" s="8">
        <f>IFERROR(Q332/Q444, "NA")</f>
        <v>1.6185167074207266E-3</v>
      </c>
      <c r="S332" s="9"/>
      <c r="T332" s="7">
        <v>1980</v>
      </c>
      <c r="U332" s="8">
        <f>IFERROR(T332/T444, "NA")</f>
        <v>1.5027432578171452E-3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1980</v>
      </c>
      <c r="AA332" s="8">
        <f>IFERROR(Z332/Z444, "NA")</f>
        <v>1.7128881903150273E-3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1024.7</v>
      </c>
      <c r="C333" s="8">
        <f>IFERROR(B333/B444, "NA")</f>
        <v>9.8139083011087522E-3</v>
      </c>
      <c r="D333" s="9"/>
      <c r="E333" s="7">
        <v>1254</v>
      </c>
      <c r="F333" s="8">
        <f>IFERROR(E333/E444, "NA")</f>
        <v>1.1906766034041387E-2</v>
      </c>
      <c r="G333" s="9"/>
      <c r="H333" s="10">
        <f t="shared" si="80"/>
        <v>229.29999999999995</v>
      </c>
      <c r="I333" s="8">
        <f>IFERROR(H333/H444, "NA")</f>
        <v>-0.25330578968880541</v>
      </c>
      <c r="J333" s="9"/>
      <c r="K333" s="7">
        <v>1254</v>
      </c>
      <c r="L333" s="8">
        <f>IFERROR(K333/K444, "NA")</f>
        <v>1.3454707527490414E-2</v>
      </c>
      <c r="M333" s="9"/>
      <c r="N333" s="10">
        <f t="shared" si="81"/>
        <v>229.29999999999995</v>
      </c>
      <c r="O333" s="8">
        <f>IFERROR(N333/N444, "NA")</f>
        <v>2.0452287213262154E-2</v>
      </c>
      <c r="P333" s="9"/>
      <c r="Q333" s="7">
        <v>11271.64</v>
      </c>
      <c r="R333" s="8">
        <f>IFERROR(Q333/Q444, "NA")</f>
        <v>9.2138068990059371E-3</v>
      </c>
      <c r="S333" s="9"/>
      <c r="T333" s="7">
        <v>13794</v>
      </c>
      <c r="U333" s="8">
        <f>IFERROR(T333/T444, "NA")</f>
        <v>1.0469111362792778E-2</v>
      </c>
      <c r="V333" s="9"/>
      <c r="W333" s="10">
        <f t="shared" si="82"/>
        <v>2522.3600000000006</v>
      </c>
      <c r="X333" s="8">
        <f>IFERROR(W333/W444, "NA")</f>
        <v>-2.6763005393960045E-2</v>
      </c>
      <c r="Y333" s="9"/>
      <c r="Z333" s="7">
        <v>10287.41</v>
      </c>
      <c r="AA333" s="8">
        <f>IFERROR(Z333/Z444, "NA")</f>
        <v>8.8995874231963205E-3</v>
      </c>
      <c r="AB333" s="9"/>
      <c r="AC333" s="10">
        <f t="shared" si="83"/>
        <v>-984.22999999999956</v>
      </c>
      <c r="AD333" s="8">
        <f>IFERROR(AC333/AC444, "NA")</f>
        <v>-1.4602823324279916E-2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-9.9751908382324662E-3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1041.54</v>
      </c>
      <c r="I334" s="8">
        <f>IFERROR(H334/H444, "NA")</f>
        <v>-1.1505805154490991</v>
      </c>
      <c r="J334" s="9"/>
      <c r="K334" s="7">
        <v>-1011.2</v>
      </c>
      <c r="L334" s="8">
        <f>IFERROR(K334/K444, "NA")</f>
        <v>-1.0849601476713164E-2</v>
      </c>
      <c r="M334" s="9"/>
      <c r="N334" s="10">
        <f t="shared" si="81"/>
        <v>30.339999999999918</v>
      </c>
      <c r="O334" s="8">
        <f>IFERROR(N334/N444, "NA")</f>
        <v>2.7061595902763726E-3</v>
      </c>
      <c r="P334" s="9"/>
      <c r="Q334" s="7">
        <v>-2083.08</v>
      </c>
      <c r="R334" s="8">
        <f>IFERROR(Q334/Q444, "NA")</f>
        <v>-1.7027776681282662E-3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2083.08</v>
      </c>
      <c r="X334" s="8">
        <f>IFERROR(W334/W444, "NA")</f>
        <v>-2.2102111227600453E-2</v>
      </c>
      <c r="Y334" s="9"/>
      <c r="Z334" s="7">
        <v>-2022.4</v>
      </c>
      <c r="AA334" s="8">
        <f>IFERROR(Z334/Z444, "NA")</f>
        <v>-1.7495682202490462E-3</v>
      </c>
      <c r="AB334" s="9"/>
      <c r="AC334" s="10">
        <f t="shared" si="83"/>
        <v>60.679999999999836</v>
      </c>
      <c r="AD334" s="8">
        <f>IFERROR(AC334/AC444, "NA")</f>
        <v>9.0029700305548836E-4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1405.12</v>
      </c>
      <c r="F337" s="8">
        <f>IFERROR(E337/E444, "NA")</f>
        <v>1.3341654776516932E-2</v>
      </c>
      <c r="G337" s="9"/>
      <c r="H337" s="10">
        <f t="shared" ref="H337:H344" si="84">IFERROR(-(B337-E337), "NA")</f>
        <v>1405.12</v>
      </c>
      <c r="I337" s="8">
        <f>IFERROR(H337/H444, "NA")</f>
        <v>-1.5522242965875894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15288.99</v>
      </c>
      <c r="U337" s="8">
        <f>IFERROR(T337/T444, "NA")</f>
        <v>1.1603750828956441E-2</v>
      </c>
      <c r="V337" s="9"/>
      <c r="W337" s="10">
        <f t="shared" ref="W337:W344" si="86">IFERROR(-(Q337-T337), "NA")</f>
        <v>15288.99</v>
      </c>
      <c r="X337" s="8">
        <f>IFERROR(W337/W444, "NA")</f>
        <v>-0.16222082567048363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351.68</v>
      </c>
      <c r="C338" s="8">
        <f>IFERROR(B338/B444, "NA")</f>
        <v>3.3681616778900416E-3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-351.68</v>
      </c>
      <c r="I338" s="8">
        <f>IFERROR(H338/H444, "NA")</f>
        <v>0.38849795079703053</v>
      </c>
      <c r="J338" s="9"/>
      <c r="K338" s="7">
        <v>358.26</v>
      </c>
      <c r="L338" s="8">
        <f>IFERROR(K338/K444, "NA")</f>
        <v>3.8439262510356581E-3</v>
      </c>
      <c r="M338" s="9"/>
      <c r="N338" s="10">
        <f t="shared" si="85"/>
        <v>6.5799999999999841</v>
      </c>
      <c r="O338" s="8">
        <f>IFERROR(N338/N444, "NA")</f>
        <v>5.8689947607180415E-4</v>
      </c>
      <c r="P338" s="9"/>
      <c r="Q338" s="7">
        <v>3691.91</v>
      </c>
      <c r="R338" s="8">
        <f>IFERROR(Q338/Q444, "NA")</f>
        <v>3.0178878875220475E-3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-3691.91</v>
      </c>
      <c r="X338" s="8">
        <f>IFERROR(W338/W444, "NA")</f>
        <v>3.9172285971873562E-2</v>
      </c>
      <c r="Y338" s="9"/>
      <c r="Z338" s="7">
        <v>4232.95</v>
      </c>
      <c r="AA338" s="8">
        <f>IFERROR(Z338/Z444, "NA")</f>
        <v>3.6619040733303003E-3</v>
      </c>
      <c r="AB338" s="9"/>
      <c r="AC338" s="10">
        <f t="shared" si="87"/>
        <v>541.04</v>
      </c>
      <c r="AD338" s="8">
        <f>IFERROR(AC338/AC444, "NA")</f>
        <v>8.0273020852528465E-3</v>
      </c>
    </row>
    <row r="339" spans="1:30" ht="16.5" customHeight="1" x14ac:dyDescent="0.45">
      <c r="A339" s="12" t="s">
        <v>309</v>
      </c>
      <c r="B339" s="7">
        <v>392.07</v>
      </c>
      <c r="C339" s="8">
        <f>IFERROR(B339/B444, "NA")</f>
        <v>3.7549907559438936E-3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-392.07</v>
      </c>
      <c r="I339" s="8">
        <f>IFERROR(H339/H444, "NA")</f>
        <v>0.4331164455442213</v>
      </c>
      <c r="J339" s="9"/>
      <c r="K339" s="7">
        <v>353.59</v>
      </c>
      <c r="L339" s="8">
        <f>IFERROR(K339/K444, "NA")</f>
        <v>3.7938198043423726E-3</v>
      </c>
      <c r="M339" s="9"/>
      <c r="N339" s="10">
        <f t="shared" si="85"/>
        <v>-38.480000000000018</v>
      </c>
      <c r="O339" s="8">
        <f>IFERROR(N339/N444, "NA")</f>
        <v>-3.4322024071798004E-3</v>
      </c>
      <c r="P339" s="9"/>
      <c r="Q339" s="7">
        <v>3823.79</v>
      </c>
      <c r="R339" s="8">
        <f>IFERROR(Q339/Q444, "NA")</f>
        <v>3.1256909094284344E-3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-3823.79</v>
      </c>
      <c r="X339" s="8">
        <f>IFERROR(W339/W444, "NA")</f>
        <v>4.0571572810927249E-2</v>
      </c>
      <c r="Y339" s="9"/>
      <c r="Z339" s="7">
        <v>3618.66</v>
      </c>
      <c r="AA339" s="8">
        <f>IFERROR(Z339/Z444, "NA")</f>
        <v>3.130484837760291E-3</v>
      </c>
      <c r="AB339" s="9"/>
      <c r="AC339" s="10">
        <f t="shared" si="87"/>
        <v>-205.13000000000011</v>
      </c>
      <c r="AD339" s="8">
        <f>IFERROR(AC339/AC444, "NA")</f>
        <v>-3.0434727131966534E-3</v>
      </c>
    </row>
    <row r="340" spans="1:30" ht="16.5" customHeight="1" x14ac:dyDescent="0.45">
      <c r="A340" s="12" t="s">
        <v>310</v>
      </c>
      <c r="B340" s="7">
        <v>1148.33</v>
      </c>
      <c r="C340" s="8">
        <f>IFERROR(B340/B444, "NA")</f>
        <v>1.0997955810883392E-2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-1148.33</v>
      </c>
      <c r="I340" s="8">
        <f>IFERROR(H340/H444, "NA")</f>
        <v>1.268550534118386</v>
      </c>
      <c r="J340" s="9"/>
      <c r="K340" s="7">
        <v>395</v>
      </c>
      <c r="L340" s="8">
        <f>IFERROR(K340/K444, "NA")</f>
        <v>4.2381255768410789E-3</v>
      </c>
      <c r="M340" s="9"/>
      <c r="N340" s="10">
        <f t="shared" si="85"/>
        <v>-753.32999999999993</v>
      </c>
      <c r="O340" s="8">
        <f>IFERROR(N340/N444, "NA")</f>
        <v>-6.719285445428165E-2</v>
      </c>
      <c r="P340" s="9"/>
      <c r="Q340" s="7">
        <v>6019.04</v>
      </c>
      <c r="R340" s="8">
        <f>IFERROR(Q340/Q444, "NA")</f>
        <v>4.9201600013301259E-3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-6019.04</v>
      </c>
      <c r="X340" s="8">
        <f>IFERROR(W340/W444, "NA")</f>
        <v>6.386384179358269E-2</v>
      </c>
      <c r="Y340" s="9"/>
      <c r="Z340" s="7">
        <v>4216.05</v>
      </c>
      <c r="AA340" s="8">
        <f>IFERROR(Z340/Z444, "NA")</f>
        <v>3.6472839670594298E-3</v>
      </c>
      <c r="AB340" s="9"/>
      <c r="AC340" s="10">
        <f t="shared" si="87"/>
        <v>-1802.9899999999998</v>
      </c>
      <c r="AD340" s="8">
        <f>IFERROR(AC340/AC444, "NA")</f>
        <v>-2.6750601409674012E-2</v>
      </c>
    </row>
    <row r="341" spans="1:30" ht="16.5" customHeight="1" x14ac:dyDescent="0.45">
      <c r="A341" s="12" t="s">
        <v>311</v>
      </c>
      <c r="B341" s="7">
        <v>472.43</v>
      </c>
      <c r="C341" s="8">
        <f>IFERROR(B341/B444, "NA")</f>
        <v>4.5246264259713159E-3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-472.43</v>
      </c>
      <c r="I341" s="8">
        <f>IFERROR(H341/H444, "NA")</f>
        <v>0.52188946455596319</v>
      </c>
      <c r="J341" s="9"/>
      <c r="K341" s="7">
        <v>439.9</v>
      </c>
      <c r="L341" s="8">
        <f>IFERROR(K341/K444, "NA")</f>
        <v>4.7198770664617484E-3</v>
      </c>
      <c r="M341" s="9"/>
      <c r="N341" s="10">
        <f t="shared" si="85"/>
        <v>-32.53000000000003</v>
      </c>
      <c r="O341" s="8">
        <f>IFERROR(N341/N444, "NA")</f>
        <v>-2.9014954341361476E-3</v>
      </c>
      <c r="P341" s="9"/>
      <c r="Q341" s="7">
        <v>5187.03</v>
      </c>
      <c r="R341" s="8">
        <f>IFERROR(Q341/Q444, "NA")</f>
        <v>4.2400478368144097E-3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-5187.03</v>
      </c>
      <c r="X341" s="8">
        <f>IFERROR(W341/W444, "NA")</f>
        <v>5.5035963093544353E-2</v>
      </c>
      <c r="Y341" s="9"/>
      <c r="Z341" s="7">
        <v>4844.33</v>
      </c>
      <c r="AA341" s="8">
        <f>IFERROR(Z341/Z444, "NA")</f>
        <v>4.1908058823175737E-3</v>
      </c>
      <c r="AB341" s="9"/>
      <c r="AC341" s="10">
        <f t="shared" si="87"/>
        <v>-342.69999999999982</v>
      </c>
      <c r="AD341" s="8">
        <f>IFERROR(AC341/AC444, "NA")</f>
        <v>-5.0845712417125332E-3</v>
      </c>
    </row>
    <row r="342" spans="1:30" ht="16.5" customHeight="1" x14ac:dyDescent="0.45">
      <c r="A342" s="13" t="s">
        <v>312</v>
      </c>
      <c r="B342" s="14">
        <f>IFERROR(B337+B338+B339+B340+B341, "NA")</f>
        <v>2364.5099999999998</v>
      </c>
      <c r="C342" s="15">
        <f>IFERROR(B342/B444, "NA")</f>
        <v>2.2645734670688641E-2</v>
      </c>
      <c r="D342" s="2"/>
      <c r="E342" s="14">
        <f>IFERROR(E337+E338+E339+E340+E341, "NA")</f>
        <v>1405.12</v>
      </c>
      <c r="F342" s="15">
        <f>IFERROR(E342/E444, "NA")</f>
        <v>1.3341654776516932E-2</v>
      </c>
      <c r="G342" s="2"/>
      <c r="H342" s="14">
        <f t="shared" si="84"/>
        <v>-959.38999999999987</v>
      </c>
      <c r="I342" s="15">
        <f>IFERROR(H342/H444, "NA")</f>
        <v>1.0598300984280113</v>
      </c>
      <c r="J342" s="2"/>
      <c r="K342" s="14">
        <f>IFERROR(K337+K338+K339+K340+K341, "NA")</f>
        <v>1546.75</v>
      </c>
      <c r="L342" s="15">
        <f>IFERROR(K342/K444, "NA")</f>
        <v>1.659574869868086E-2</v>
      </c>
      <c r="M342" s="2"/>
      <c r="N342" s="14">
        <f t="shared" si="85"/>
        <v>-817.75999999999976</v>
      </c>
      <c r="O342" s="15">
        <f>IFERROR(N342/N444, "NA")</f>
        <v>-7.293965281952576E-2</v>
      </c>
      <c r="P342" s="2"/>
      <c r="Q342" s="14">
        <f>IFERROR(Q337+Q338+Q339+Q340+Q341, "NA")</f>
        <v>18721.77</v>
      </c>
      <c r="R342" s="15">
        <f>IFERROR(Q342/Q444, "NA")</f>
        <v>1.5303786635095018E-2</v>
      </c>
      <c r="S342" s="2"/>
      <c r="T342" s="14">
        <f>IFERROR(T337+T338+T339+T340+T341, "NA")</f>
        <v>15288.99</v>
      </c>
      <c r="U342" s="15">
        <f>IFERROR(T342/T444, "NA")</f>
        <v>1.1603750828956441E-2</v>
      </c>
      <c r="V342" s="2"/>
      <c r="W342" s="14">
        <f t="shared" si="86"/>
        <v>-3432.7800000000007</v>
      </c>
      <c r="X342" s="15">
        <f>IFERROR(W342/W444, "NA")</f>
        <v>3.6422837999444235E-2</v>
      </c>
      <c r="Y342" s="2"/>
      <c r="Z342" s="14">
        <f>IFERROR(Z337+Z338+Z339+Z340+Z341, "NA")</f>
        <v>16911.989999999998</v>
      </c>
      <c r="AA342" s="15">
        <f>IFERROR(Z342/Z444, "NA")</f>
        <v>1.4630478760467592E-2</v>
      </c>
      <c r="AB342" s="2"/>
      <c r="AC342" s="14">
        <f t="shared" si="87"/>
        <v>-1809.7800000000025</v>
      </c>
      <c r="AD342" s="15">
        <f>IFERROR(AC342/AC444, "NA")</f>
        <v>-2.6851343279330395E-2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19863.729999999996</v>
      </c>
      <c r="C343" s="15">
        <f>IFERROR(B343/B444, "NA")</f>
        <v>0.19024185101784219</v>
      </c>
      <c r="D343" s="2"/>
      <c r="E343" s="14">
        <f>IFERROR(E328+E329+E330+E331+E332+E333+E334+E335+E337+E338+E339+E340+E341, "NA")</f>
        <v>17198.12</v>
      </c>
      <c r="F343" s="15">
        <f>IFERROR(E343/E444, "NA")</f>
        <v>0.16329664359279733</v>
      </c>
      <c r="G343" s="2"/>
      <c r="H343" s="14">
        <f t="shared" si="84"/>
        <v>-2665.6099999999969</v>
      </c>
      <c r="I343" s="15">
        <f>IFERROR(H343/H444, "NA")</f>
        <v>2.9446770434032965</v>
      </c>
      <c r="J343" s="2"/>
      <c r="K343" s="14">
        <f>IFERROR(K328+K329+K330+K331+K332+K333+K334+K335+K337+K338+K339+K340+K341, "NA")</f>
        <v>17341.669999999998</v>
      </c>
      <c r="L343" s="15">
        <f>IFERROR(K343/K444, "NA")</f>
        <v>0.18606626625857628</v>
      </c>
      <c r="M343" s="2"/>
      <c r="N343" s="14">
        <f t="shared" si="85"/>
        <v>-2522.0599999999977</v>
      </c>
      <c r="O343" s="15">
        <f>IFERROR(N343/N444, "NA")</f>
        <v>-0.22495375267806331</v>
      </c>
      <c r="P343" s="2"/>
      <c r="Q343" s="14">
        <f>IFERROR(Q328+Q329+Q330+Q331+Q332+Q333+Q334+Q335+Q337+Q338+Q339+Q340+Q341, "NA")</f>
        <v>203162.67</v>
      </c>
      <c r="R343" s="15">
        <f>IFERROR(Q343/Q444, "NA")</f>
        <v>0.16607180591878973</v>
      </c>
      <c r="S343" s="2"/>
      <c r="T343" s="14">
        <f>IFERROR(T328+T329+T330+T331+T332+T333+T334+T335+T337+T338+T339+T340+T341, "NA")</f>
        <v>196024.99</v>
      </c>
      <c r="U343" s="15">
        <f>IFERROR(T343/T444, "NA")</f>
        <v>0.14877536974049155</v>
      </c>
      <c r="V343" s="2"/>
      <c r="W343" s="14">
        <f t="shared" si="86"/>
        <v>-7137.6800000000221</v>
      </c>
      <c r="X343" s="15">
        <f>IFERROR(W343/W444, "NA")</f>
        <v>7.5732951815110167E-2</v>
      </c>
      <c r="Y343" s="2"/>
      <c r="Z343" s="14">
        <f>IFERROR(Z328+Z329+Z330+Z331+Z332+Z333+Z334+Z335+Z337+Z338+Z339+Z340+Z341, "NA")</f>
        <v>192496.84</v>
      </c>
      <c r="AA343" s="15">
        <f>IFERROR(Z343/Z444, "NA")</f>
        <v>0.16652806258028352</v>
      </c>
      <c r="AB343" s="2"/>
      <c r="AC343" s="14">
        <f t="shared" si="87"/>
        <v>-10665.830000000016</v>
      </c>
      <c r="AD343" s="15">
        <f>IFERROR(AC343/AC444, "NA")</f>
        <v>-0.15824678286254712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19863.729999999996</v>
      </c>
      <c r="C344" s="15">
        <f>IFERROR(B344/B444, "NA")</f>
        <v>0.19024185101784219</v>
      </c>
      <c r="D344" s="2"/>
      <c r="E344" s="14">
        <f>IFERROR(E328+E329+E330+E331+E332+E333+E334+E335+E337+E338+E339+E340+E341, "NA")</f>
        <v>17198.12</v>
      </c>
      <c r="F344" s="15">
        <f>IFERROR(E344/E444, "NA")</f>
        <v>0.16329664359279733</v>
      </c>
      <c r="G344" s="2"/>
      <c r="H344" s="14">
        <f t="shared" si="84"/>
        <v>-2665.6099999999969</v>
      </c>
      <c r="I344" s="15">
        <f>IFERROR(H344/H444, "NA")</f>
        <v>2.9446770434032965</v>
      </c>
      <c r="J344" s="2"/>
      <c r="K344" s="14">
        <f>IFERROR(K328+K329+K330+K331+K332+K333+K334+K335+K337+K338+K339+K340+K341, "NA")</f>
        <v>17341.669999999998</v>
      </c>
      <c r="L344" s="15">
        <f>IFERROR(K344/K444, "NA")</f>
        <v>0.18606626625857628</v>
      </c>
      <c r="M344" s="2"/>
      <c r="N344" s="14">
        <f t="shared" si="85"/>
        <v>-2522.0599999999977</v>
      </c>
      <c r="O344" s="15">
        <f>IFERROR(N344/N444, "NA")</f>
        <v>-0.22495375267806331</v>
      </c>
      <c r="P344" s="2"/>
      <c r="Q344" s="14">
        <f>IFERROR(Q328+Q329+Q330+Q331+Q332+Q333+Q334+Q335+Q337+Q338+Q339+Q340+Q341, "NA")</f>
        <v>203162.67</v>
      </c>
      <c r="R344" s="15">
        <f>IFERROR(Q344/Q444, "NA")</f>
        <v>0.16607180591878973</v>
      </c>
      <c r="S344" s="2"/>
      <c r="T344" s="14">
        <f>IFERROR(T328+T329+T330+T331+T332+T333+T334+T335+T337+T338+T339+T340+T341, "NA")</f>
        <v>196024.99</v>
      </c>
      <c r="U344" s="15">
        <f>IFERROR(T344/T444, "NA")</f>
        <v>0.14877536974049155</v>
      </c>
      <c r="V344" s="2"/>
      <c r="W344" s="14">
        <f t="shared" si="86"/>
        <v>-7137.6800000000221</v>
      </c>
      <c r="X344" s="15">
        <f>IFERROR(W344/W444, "NA")</f>
        <v>7.5732951815110167E-2</v>
      </c>
      <c r="Y344" s="2"/>
      <c r="Z344" s="14">
        <f>IFERROR(Z328+Z329+Z330+Z331+Z332+Z333+Z334+Z335+Z337+Z338+Z339+Z340+Z341, "NA")</f>
        <v>192496.84</v>
      </c>
      <c r="AA344" s="15">
        <f>IFERROR(Z344/Z444, "NA")</f>
        <v>0.16652806258028352</v>
      </c>
      <c r="AB344" s="2"/>
      <c r="AC344" s="14">
        <f t="shared" si="87"/>
        <v>-10665.830000000016</v>
      </c>
      <c r="AD344" s="15">
        <f>IFERROR(AC344/AC444, "NA")</f>
        <v>-0.15824678286254712</v>
      </c>
    </row>
    <row r="345" spans="1:30" ht="16.5" customHeight="1" x14ac:dyDescent="0.45">
      <c r="A345" s="22" t="s">
        <v>315</v>
      </c>
      <c r="B345" s="23">
        <f>IFERROR(B198-B325-B344, "NA")</f>
        <v>3040.8799999999937</v>
      </c>
      <c r="C345" s="24">
        <f>IFERROR(B345/B444, "NA")</f>
        <v>2.9123565409071451E-2</v>
      </c>
      <c r="D345" s="25"/>
      <c r="E345" s="23">
        <f>IFERROR(E198-E325-E344, "NA")</f>
        <v>13072.660000000007</v>
      </c>
      <c r="F345" s="24">
        <f>IFERROR(E345/E444, "NA")</f>
        <v>0.12412528234654829</v>
      </c>
      <c r="G345" s="25"/>
      <c r="H345" s="23">
        <f>IFERROR(B345-E345, "NA")</f>
        <v>-10031.780000000013</v>
      </c>
      <c r="I345" s="24">
        <f>IFERROR(H345/H444, "NA")</f>
        <v>11.082023353180846</v>
      </c>
      <c r="J345" s="25"/>
      <c r="K345" s="23">
        <f>IFERROR(K198-K325-K344, "NA")</f>
        <v>-2388.6000000000313</v>
      </c>
      <c r="L345" s="24">
        <f>IFERROR(K345/K444, "NA")</f>
        <v>-2.5628320893272747E-2</v>
      </c>
      <c r="M345" s="25"/>
      <c r="N345" s="23">
        <f>IFERROR(B345-K345, "NA")</f>
        <v>5429.480000000025</v>
      </c>
      <c r="O345" s="24">
        <f>IFERROR(N345/N444, "NA")</f>
        <v>0.48427947831950779</v>
      </c>
      <c r="P345" s="25"/>
      <c r="Q345" s="23">
        <f>IFERROR(Q198-Q325-Q344, "NA")</f>
        <v>40470.310000000434</v>
      </c>
      <c r="R345" s="24">
        <f>IFERROR(Q345/Q444, "NA")</f>
        <v>3.3081753984594349E-2</v>
      </c>
      <c r="S345" s="25"/>
      <c r="T345" s="23">
        <f>IFERROR(T198-T325-T344, "NA")</f>
        <v>187522.5199999999</v>
      </c>
      <c r="U345" s="24">
        <f>IFERROR(T345/T444, "NA")</f>
        <v>0.14232232455499019</v>
      </c>
      <c r="V345" s="25"/>
      <c r="W345" s="23">
        <f>IFERROR(Q345-T345, "NA")</f>
        <v>-147052.20999999947</v>
      </c>
      <c r="X345" s="24">
        <f>IFERROR(W345/W444, "NA")</f>
        <v>1.5602685934695009</v>
      </c>
      <c r="Y345" s="25"/>
      <c r="Z345" s="23">
        <f>IFERROR(Z198-Z325-Z344, "NA")</f>
        <v>62215.999999999709</v>
      </c>
      <c r="AA345" s="24">
        <f>IFERROR(Z345/Z444, "NA")</f>
        <v>5.3822753357898608E-2</v>
      </c>
      <c r="AB345" s="25"/>
      <c r="AC345" s="23">
        <f>IFERROR(Q345-Z345, "NA")</f>
        <v>-21745.689999999275</v>
      </c>
      <c r="AD345" s="24">
        <f>IFERROR(AC345/AC444, "NA")</f>
        <v>-0.32263644588617507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3040.8799999999937</v>
      </c>
      <c r="C404" s="24">
        <f>IFERROR(B404/B444, "NA")</f>
        <v>2.9123565409071451E-2</v>
      </c>
      <c r="D404" s="25"/>
      <c r="E404" s="23">
        <f>IFERROR(E345-E403, "NA")</f>
        <v>13072.660000000007</v>
      </c>
      <c r="F404" s="24">
        <f>IFERROR(E404/E444, "NA")</f>
        <v>0.12412528234654829</v>
      </c>
      <c r="G404" s="25"/>
      <c r="H404" s="23">
        <f>IFERROR(B404-E404, "NA")</f>
        <v>-10031.780000000013</v>
      </c>
      <c r="I404" s="24">
        <f>IFERROR(H404/H444, "NA")</f>
        <v>11.082023353180846</v>
      </c>
      <c r="J404" s="25"/>
      <c r="K404" s="23">
        <f>IFERROR(K345-K403, "NA")</f>
        <v>-2388.6000000000313</v>
      </c>
      <c r="L404" s="24">
        <f>IFERROR(K404/K444, "NA")</f>
        <v>-2.5628320893272747E-2</v>
      </c>
      <c r="M404" s="25"/>
      <c r="N404" s="23">
        <f>IFERROR(B404-K404, "NA")</f>
        <v>5429.480000000025</v>
      </c>
      <c r="O404" s="24">
        <f>IFERROR(N404/N444, "NA")</f>
        <v>0.48427947831950779</v>
      </c>
      <c r="P404" s="25"/>
      <c r="Q404" s="23">
        <f>IFERROR(Q345-Q403, "NA")</f>
        <v>40470.310000000434</v>
      </c>
      <c r="R404" s="24">
        <f>IFERROR(Q404/Q444, "NA")</f>
        <v>3.3081753984594349E-2</v>
      </c>
      <c r="S404" s="25"/>
      <c r="T404" s="23">
        <f>IFERROR(T345-T403, "NA")</f>
        <v>187522.5199999999</v>
      </c>
      <c r="U404" s="24">
        <f>IFERROR(T404/T444, "NA")</f>
        <v>0.14232232455499019</v>
      </c>
      <c r="V404" s="25"/>
      <c r="W404" s="23">
        <f>IFERROR(Q404-T404, "NA")</f>
        <v>-147052.20999999947</v>
      </c>
      <c r="X404" s="24">
        <f>IFERROR(W404/W444, "NA")</f>
        <v>1.5602685934695009</v>
      </c>
      <c r="Y404" s="25"/>
      <c r="Z404" s="23">
        <f>IFERROR(Z345-Z403, "NA")</f>
        <v>62215.999999999709</v>
      </c>
      <c r="AA404" s="24">
        <f>IFERROR(Z404/Z444, "NA")</f>
        <v>5.3822753357898608E-2</v>
      </c>
      <c r="AB404" s="25"/>
      <c r="AC404" s="23">
        <f>IFERROR(Q404-Z404, "NA")</f>
        <v>-21745.689999999275</v>
      </c>
      <c r="AD404" s="24">
        <f>IFERROR(AC404/AC444, "NA")</f>
        <v>-0.32263644588617507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-215.44</v>
      </c>
      <c r="R408" s="8">
        <f>IFERROR(Q408/Q444, "NA")</f>
        <v>-1.7610769669026329E-4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215.44</v>
      </c>
      <c r="X408" s="8">
        <f>IFERROR(W408/W444, "NA")</f>
        <v>-2.2858838080506948E-3</v>
      </c>
      <c r="Y408" s="9"/>
      <c r="Z408" s="7">
        <v>5201.4399999999996</v>
      </c>
      <c r="AA408" s="8">
        <f>IFERROR(Z408/Z444, "NA")</f>
        <v>4.4997399740566643E-3</v>
      </c>
      <c r="AB408" s="9"/>
      <c r="AC408" s="10">
        <f t="shared" si="103"/>
        <v>5416.8799999999992</v>
      </c>
      <c r="AD408" s="8">
        <f>IFERROR(AC408/AC444, "NA")</f>
        <v>8.0369163314291794E-2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8507.99</v>
      </c>
      <c r="C410" s="8">
        <f>IFERROR(B410/B444, "NA")</f>
        <v>8.1483979395677017E-2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-8507.99</v>
      </c>
      <c r="I410" s="8">
        <f>IFERROR(H410/H444, "NA")</f>
        <v>9.398705301415001</v>
      </c>
      <c r="J410" s="9"/>
      <c r="K410" s="7">
        <v>8002</v>
      </c>
      <c r="L410" s="8">
        <f>IFERROR(K410/K444, "NA")</f>
        <v>8.5856913584512196E-2</v>
      </c>
      <c r="M410" s="9"/>
      <c r="N410" s="10">
        <f t="shared" si="101"/>
        <v>-505.98999999999978</v>
      </c>
      <c r="O410" s="8">
        <f>IFERROR(N410/N444, "NA")</f>
        <v>-4.5131499376530812E-2</v>
      </c>
      <c r="P410" s="9"/>
      <c r="Q410" s="7">
        <v>90815.09</v>
      </c>
      <c r="R410" s="8">
        <f>IFERROR(Q410/Q444, "NA")</f>
        <v>7.4235222449958047E-2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-90815.09</v>
      </c>
      <c r="X410" s="8">
        <f>IFERROR(W410/W444, "NA")</f>
        <v>0.96357567655805132</v>
      </c>
      <c r="Y410" s="9"/>
      <c r="Z410" s="7">
        <v>89885.42</v>
      </c>
      <c r="AA410" s="8">
        <f>IFERROR(Z410/Z444, "NA")</f>
        <v>7.7759431514902097E-2</v>
      </c>
      <c r="AB410" s="9"/>
      <c r="AC410" s="10">
        <f t="shared" si="103"/>
        <v>-929.66999999999825</v>
      </c>
      <c r="AD410" s="8">
        <f>IFERROR(AC410/AC444, "NA")</f>
        <v>-1.3793327535112006E-2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-34.89</v>
      </c>
      <c r="C416" s="8">
        <f>IFERROR(B416/B444, "NA")</f>
        <v>-3.341536650977694E-4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34.89</v>
      </c>
      <c r="I416" s="8">
        <f>IFERROR(H416/H444, "NA")</f>
        <v>-3.854269080786054E-2</v>
      </c>
      <c r="J416" s="9"/>
      <c r="K416" s="7">
        <v>-68.97</v>
      </c>
      <c r="L416" s="8">
        <f>IFERROR(K416/K444, "NA")</f>
        <v>-7.4000891401197278E-4</v>
      </c>
      <c r="M416" s="9"/>
      <c r="N416" s="10">
        <f t="shared" si="101"/>
        <v>-34.08</v>
      </c>
      <c r="O416" s="8">
        <f>IFERROR(N416/N444, "NA")</f>
        <v>-3.0397468304752479E-3</v>
      </c>
      <c r="P416" s="9"/>
      <c r="Q416" s="7">
        <v>-336.56</v>
      </c>
      <c r="R416" s="8">
        <f>IFERROR(Q416/Q444, "NA")</f>
        <v>-2.7511514295430289E-4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336.56</v>
      </c>
      <c r="X416" s="8">
        <f>IFERROR(W416/W444, "NA")</f>
        <v>-3.5710037803450699E-3</v>
      </c>
      <c r="Y416" s="9"/>
      <c r="Z416" s="7">
        <v>-442.12</v>
      </c>
      <c r="AA416" s="8">
        <f>IFERROR(Z416/Z444, "NA")</f>
        <v>-3.8247582156670699E-4</v>
      </c>
      <c r="AB416" s="9"/>
      <c r="AC416" s="10">
        <f t="shared" si="103"/>
        <v>-105.56</v>
      </c>
      <c r="AD416" s="8">
        <f>IFERROR(AC416/AC444, "NA")</f>
        <v>-1.5661725715645617E-3</v>
      </c>
    </row>
    <row r="417" spans="1:30" ht="16.5" customHeight="1" x14ac:dyDescent="0.45">
      <c r="A417" s="6" t="s">
        <v>382</v>
      </c>
      <c r="B417" s="7">
        <v>49.92</v>
      </c>
      <c r="C417" s="8">
        <f>IFERROR(B417/B444, "NA")</f>
        <v>4.7810120268502868E-4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-49.92</v>
      </c>
      <c r="I417" s="8">
        <f>IFERROR(H417/H444, "NA")</f>
        <v>5.514620593661216E-2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-49.92</v>
      </c>
      <c r="O417" s="8">
        <f>IFERROR(N417/N444, "NA")</f>
        <v>-4.452586906611631E-3</v>
      </c>
      <c r="P417" s="9"/>
      <c r="Q417" s="7">
        <v>-870.12</v>
      </c>
      <c r="R417" s="8">
        <f>IFERROR(Q417/Q444, "NA")</f>
        <v>-7.1126452397016291E-4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870.12</v>
      </c>
      <c r="X417" s="8">
        <f>IFERROR(W417/W444, "NA")</f>
        <v>-9.232237370316889E-3</v>
      </c>
      <c r="Y417" s="9"/>
      <c r="Z417" s="7">
        <v>-3.84</v>
      </c>
      <c r="AA417" s="8">
        <f>IFERROR(Z417/Z444, "NA")</f>
        <v>-3.3219649751564163E-6</v>
      </c>
      <c r="AB417" s="9"/>
      <c r="AC417" s="10">
        <f t="shared" si="103"/>
        <v>866.28</v>
      </c>
      <c r="AD417" s="8">
        <f>IFERROR(AC417/AC444, "NA")</f>
        <v>1.2852822804991934E-2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8523.02</v>
      </c>
      <c r="C428" s="15">
        <f>IFERROR(B428/B444, "NA")</f>
        <v>8.1627926933264289E-2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-8523.02</v>
      </c>
      <c r="I428" s="15">
        <f>IFERROR(H428/H444, "NA")</f>
        <v>9.4153088165437531</v>
      </c>
      <c r="J428" s="2"/>
      <c r="K428" s="14">
        <f>IFERROR(K407+K408+K409+K410+K411+K412+K413+K414+K415+K416+K417+K418+K419+K420+K421+K422+K423+K424+K425+K426+K427, "NA")</f>
        <v>7933.03</v>
      </c>
      <c r="L428" s="15">
        <f>IFERROR(K428/K444, "NA")</f>
        <v>8.5116904670500218E-2</v>
      </c>
      <c r="M428" s="2"/>
      <c r="N428" s="14">
        <f t="shared" si="101"/>
        <v>-589.99000000000069</v>
      </c>
      <c r="O428" s="15">
        <f>IFERROR(N428/N444, "NA")</f>
        <v>-5.2623833113617777E-2</v>
      </c>
      <c r="P428" s="2"/>
      <c r="Q428" s="14">
        <f>IFERROR(Q407+Q408+Q409+Q410+Q411+Q412+Q413+Q414+Q415+Q416+Q417+Q418+Q419+Q420+Q421+Q422+Q423+Q424+Q425+Q426+Q427, "NA")</f>
        <v>89392.97</v>
      </c>
      <c r="R428" s="15">
        <f>IFERROR(Q428/Q444, "NA")</f>
        <v>7.3072735086343321E-2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-89392.97</v>
      </c>
      <c r="X428" s="15">
        <f>IFERROR(W428/W444, "NA")</f>
        <v>0.9484865515993387</v>
      </c>
      <c r="Y428" s="2"/>
      <c r="Z428" s="14">
        <f>IFERROR(Z407+Z408+Z409+Z410+Z411+Z412+Z413+Z414+Z415+Z416+Z417+Z418+Z419+Z420+Z421+Z422+Z423+Z424+Z425+Z426+Z427, "NA")</f>
        <v>94640.900000000009</v>
      </c>
      <c r="AA428" s="15">
        <f>IFERROR(Z428/Z444, "NA")</f>
        <v>8.1873373702416902E-2</v>
      </c>
      <c r="AB428" s="2"/>
      <c r="AC428" s="14">
        <f t="shared" si="103"/>
        <v>5247.9300000000076</v>
      </c>
      <c r="AD428" s="15">
        <f>IFERROR(AC428/AC444, "NA")</f>
        <v>7.7862486012607257E-2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8523.02</v>
      </c>
      <c r="C429" s="15">
        <f>IFERROR(B429/B444, "NA")</f>
        <v>8.1627926933264289E-2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-8523.02</v>
      </c>
      <c r="I429" s="15">
        <f>IFERROR(H429/H444, "NA")</f>
        <v>9.4153088165437531</v>
      </c>
      <c r="J429" s="2"/>
      <c r="K429" s="14">
        <f>IFERROR(K407+K408+K409+K410+K411+K412+K413+K414+K415+K416+K417+K418+K419+K420+K421+K422+K423+K424+K425+K426+K427, "NA")</f>
        <v>7933.03</v>
      </c>
      <c r="L429" s="15">
        <f>IFERROR(K429/K444, "NA")</f>
        <v>8.5116904670500218E-2</v>
      </c>
      <c r="M429" s="2"/>
      <c r="N429" s="14">
        <f t="shared" si="101"/>
        <v>-589.99000000000069</v>
      </c>
      <c r="O429" s="15">
        <f>IFERROR(N429/N444, "NA")</f>
        <v>-5.2623833113617777E-2</v>
      </c>
      <c r="P429" s="2"/>
      <c r="Q429" s="14">
        <f>IFERROR(Q407+Q408+Q409+Q410+Q411+Q412+Q413+Q414+Q415+Q416+Q417+Q418+Q419+Q420+Q421+Q422+Q423+Q424+Q425+Q426+Q427, "NA")</f>
        <v>89392.97</v>
      </c>
      <c r="R429" s="15">
        <f>IFERROR(Q429/Q444, "NA")</f>
        <v>7.3072735086343321E-2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-89392.97</v>
      </c>
      <c r="X429" s="15">
        <f>IFERROR(W429/W444, "NA")</f>
        <v>0.9484865515993387</v>
      </c>
      <c r="Y429" s="2"/>
      <c r="Z429" s="14">
        <f>IFERROR(Z407+Z408+Z409+Z410+Z411+Z412+Z413+Z414+Z415+Z416+Z417+Z418+Z419+Z420+Z421+Z422+Z423+Z424+Z425+Z426+Z427, "NA")</f>
        <v>94640.900000000009</v>
      </c>
      <c r="AA429" s="15">
        <f>IFERROR(Z429/Z444, "NA")</f>
        <v>8.1873373702416902E-2</v>
      </c>
      <c r="AB429" s="2"/>
      <c r="AC429" s="14">
        <f t="shared" si="103"/>
        <v>5247.9300000000076</v>
      </c>
      <c r="AD429" s="15">
        <f>IFERROR(AC429/AC444, "NA")</f>
        <v>7.7862486012607257E-2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-5482.1400000000067</v>
      </c>
      <c r="C443" s="24">
        <f>IFERROR(B443/B444, "NA")</f>
        <v>-5.2504361524192834E-2</v>
      </c>
      <c r="D443" s="25"/>
      <c r="E443" s="23">
        <f>IFERROR(E404-E429-E442, "NA")</f>
        <v>13072.660000000007</v>
      </c>
      <c r="F443" s="24">
        <f>IFERROR(E443/E444, "NA")</f>
        <v>0.12412528234654829</v>
      </c>
      <c r="G443" s="25"/>
      <c r="H443" s="23">
        <f>IFERROR(B443-E443, "NA")</f>
        <v>-18554.800000000014</v>
      </c>
      <c r="I443" s="24">
        <f>IFERROR(H443/H444, "NA")</f>
        <v>20.497332169724601</v>
      </c>
      <c r="J443" s="25"/>
      <c r="K443" s="23">
        <f>IFERROR(K404-K429-K442, "NA")</f>
        <v>-10321.63000000003</v>
      </c>
      <c r="L443" s="24">
        <f>IFERROR(K443/K444, "NA")</f>
        <v>-0.11074522556377295</v>
      </c>
      <c r="M443" s="25"/>
      <c r="N443" s="23">
        <f>IFERROR(B443-K443, "NA")</f>
        <v>4839.4900000000234</v>
      </c>
      <c r="O443" s="24">
        <f>IFERROR(N443/N444, "NA")</f>
        <v>0.43165564520588995</v>
      </c>
      <c r="P443" s="25"/>
      <c r="Q443" s="23">
        <f>IFERROR(Q404-Q429-Q442, "NA")</f>
        <v>-48922.659999999567</v>
      </c>
      <c r="R443" s="24">
        <f>IFERROR(Q443/Q444, "NA")</f>
        <v>-3.9990981101748979E-2</v>
      </c>
      <c r="S443" s="25"/>
      <c r="T443" s="23">
        <f>IFERROR(T404-T429-T442, "NA")</f>
        <v>187522.5199999999</v>
      </c>
      <c r="U443" s="24">
        <f>IFERROR(T443/T444, "NA")</f>
        <v>0.14232232455499019</v>
      </c>
      <c r="V443" s="25"/>
      <c r="W443" s="23">
        <f>IFERROR(Q443-T443, "NA")</f>
        <v>-236445.17999999947</v>
      </c>
      <c r="X443" s="24">
        <f>IFERROR(W443/W444, "NA")</f>
        <v>2.5087551450688395</v>
      </c>
      <c r="Y443" s="25"/>
      <c r="Z443" s="23">
        <f>IFERROR(Z404-Z429-Z442, "NA")</f>
        <v>-32424.9000000003</v>
      </c>
      <c r="AA443" s="24">
        <f>IFERROR(Z443/Z444, "NA")</f>
        <v>-2.8050620344518305E-2</v>
      </c>
      <c r="AB443" s="25"/>
      <c r="AC443" s="23">
        <f>IFERROR(Q443-Z443, "NA")</f>
        <v>-16497.759999999267</v>
      </c>
      <c r="AD443" s="24">
        <f>IFERROR(AC443/AC444, "NA")</f>
        <v>-0.24477395987356779</v>
      </c>
    </row>
    <row r="444" spans="1:30" ht="15.75" hidden="1" x14ac:dyDescent="0.45">
      <c r="A444" s="26" t="s">
        <v>117</v>
      </c>
      <c r="B444" s="7">
        <v>104413.04</v>
      </c>
      <c r="C444" s="27"/>
      <c r="D444" s="9"/>
      <c r="E444" s="7">
        <v>105318.27</v>
      </c>
      <c r="F444" s="27"/>
      <c r="G444" s="9"/>
      <c r="H444" s="10">
        <f>IFERROR(B444-E444, "NA")</f>
        <v>-905.23000000001048</v>
      </c>
      <c r="I444" s="27"/>
      <c r="J444" s="9"/>
      <c r="K444" s="7">
        <v>93201.58</v>
      </c>
      <c r="L444" s="27"/>
      <c r="M444" s="9"/>
      <c r="N444" s="10">
        <f>IFERROR(B444-K444, "NA")</f>
        <v>11211.459999999992</v>
      </c>
      <c r="O444" s="27"/>
      <c r="P444" s="9"/>
      <c r="Q444" s="7">
        <v>1223342.33</v>
      </c>
      <c r="R444" s="27"/>
      <c r="S444" s="9"/>
      <c r="T444" s="7">
        <v>1317590.3400000001</v>
      </c>
      <c r="U444" s="27"/>
      <c r="V444" s="9"/>
      <c r="W444" s="10">
        <f>IFERROR(Q444-T444, "NA")</f>
        <v>-94248.010000000009</v>
      </c>
      <c r="X444" s="27"/>
      <c r="Y444" s="9"/>
      <c r="Z444" s="7">
        <v>1155942.3500000001</v>
      </c>
      <c r="AA444" s="27"/>
      <c r="AB444" s="9"/>
      <c r="AC444" s="10">
        <f>IFERROR(Q444-Z444, "NA")</f>
        <v>67399.979999999981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61895.81</v>
      </c>
      <c r="F10" s="8">
        <f>IFERROR(E10/E444, "NA")</f>
        <v>0.53400003019590669</v>
      </c>
      <c r="G10" s="9"/>
      <c r="H10" s="10">
        <f t="shared" ref="H10:H19" si="0">IFERROR(B10-E10, "NA")</f>
        <v>-61895.81</v>
      </c>
      <c r="I10" s="8">
        <f>IFERROR(H10/H444, "NA")</f>
        <v>4.5579189445531032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731072.04</v>
      </c>
      <c r="U10" s="8">
        <f>IFERROR(T10/T444, "NA")</f>
        <v>0.53400001327929358</v>
      </c>
      <c r="V10" s="9"/>
      <c r="W10" s="10">
        <f t="shared" ref="W10:W19" si="2">IFERROR(Q10-T10, "NA")</f>
        <v>-731072.04</v>
      </c>
      <c r="X10" s="8">
        <f>IFERROR(W10/W444, "NA")</f>
        <v>5.6772875583514901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44817.49</v>
      </c>
      <c r="C11" s="8">
        <f>IFERROR(B11/B444, "NA")</f>
        <v>0.43797057966727415</v>
      </c>
      <c r="D11" s="9"/>
      <c r="E11" s="7">
        <v>0</v>
      </c>
      <c r="F11" s="8">
        <f>IFERROR(E11/E444, "NA")</f>
        <v>0</v>
      </c>
      <c r="G11" s="9"/>
      <c r="H11" s="10">
        <f t="shared" si="0"/>
        <v>44817.49</v>
      </c>
      <c r="I11" s="8">
        <f>IFERROR(H11/H444, "NA")</f>
        <v>-3.3002958797747257</v>
      </c>
      <c r="J11" s="9"/>
      <c r="K11" s="7">
        <v>48122.1</v>
      </c>
      <c r="L11" s="8">
        <f>IFERROR(K11/K444, "NA")</f>
        <v>0.46914062880818913</v>
      </c>
      <c r="M11" s="9"/>
      <c r="N11" s="10">
        <f t="shared" si="1"/>
        <v>-3304.6100000000006</v>
      </c>
      <c r="O11" s="8">
        <f>IFERROR(N11/N444, "NA")</f>
        <v>13.483251050634655</v>
      </c>
      <c r="P11" s="9"/>
      <c r="Q11" s="7">
        <v>565772.18000000005</v>
      </c>
      <c r="R11" s="8">
        <f>IFERROR(Q11/Q444, "NA")</f>
        <v>0.45616584941802168</v>
      </c>
      <c r="S11" s="9"/>
      <c r="T11" s="7">
        <v>0</v>
      </c>
      <c r="U11" s="8">
        <f>IFERROR(T11/T444, "NA")</f>
        <v>0</v>
      </c>
      <c r="V11" s="9"/>
      <c r="W11" s="10">
        <f t="shared" si="2"/>
        <v>565772.18000000005</v>
      </c>
      <c r="X11" s="8">
        <f>IFERROR(W11/W444, "NA")</f>
        <v>-4.3936181150839797</v>
      </c>
      <c r="Y11" s="9"/>
      <c r="Z11" s="7">
        <v>614931.89</v>
      </c>
      <c r="AA11" s="8">
        <f>IFERROR(Z11/Z444, "NA")</f>
        <v>0.51525296762441941</v>
      </c>
      <c r="AB11" s="9"/>
      <c r="AC11" s="10">
        <f t="shared" si="3"/>
        <v>-49159.709999999963</v>
      </c>
      <c r="AD11" s="8">
        <f>IFERROR(AC11/AC444, "NA")</f>
        <v>-1.0499480042006684</v>
      </c>
    </row>
    <row r="12" spans="1:30" ht="16.5" customHeight="1" x14ac:dyDescent="0.45">
      <c r="A12" s="12" t="s">
        <v>14</v>
      </c>
      <c r="B12" s="7">
        <v>5248.2</v>
      </c>
      <c r="C12" s="8">
        <f>IFERROR(B12/B444, "NA")</f>
        <v>5.128705771362449E-2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5248.2</v>
      </c>
      <c r="I12" s="8">
        <f>IFERROR(H12/H444, "NA")</f>
        <v>-0.38646994368122167</v>
      </c>
      <c r="J12" s="9"/>
      <c r="K12" s="7">
        <v>5122.2</v>
      </c>
      <c r="L12" s="8">
        <f>IFERROR(K12/K444, "NA")</f>
        <v>4.9936144284669755E-2</v>
      </c>
      <c r="M12" s="9"/>
      <c r="N12" s="10">
        <f t="shared" si="1"/>
        <v>126</v>
      </c>
      <c r="O12" s="8">
        <f>IFERROR(N12/N444, "NA")</f>
        <v>-0.51409686237709329</v>
      </c>
      <c r="P12" s="9"/>
      <c r="Q12" s="7">
        <v>65913</v>
      </c>
      <c r="R12" s="8">
        <f>IFERROR(Q12/Q444, "NA")</f>
        <v>5.3143757674140257E-2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65913</v>
      </c>
      <c r="X12" s="8">
        <f>IFERROR(W12/W444, "NA")</f>
        <v>-0.51186071188500348</v>
      </c>
      <c r="Y12" s="9"/>
      <c r="Z12" s="7">
        <v>64495.3</v>
      </c>
      <c r="AA12" s="8">
        <f>IFERROR(Z12/Z444, "NA")</f>
        <v>5.404077307297759E-2</v>
      </c>
      <c r="AB12" s="9"/>
      <c r="AC12" s="10">
        <f t="shared" si="3"/>
        <v>1417.6999999999971</v>
      </c>
      <c r="AD12" s="8">
        <f>IFERROR(AC12/AC444, "NA")</f>
        <v>3.0279090042542679E-2</v>
      </c>
    </row>
    <row r="13" spans="1:30" ht="16.5" customHeight="1" x14ac:dyDescent="0.45">
      <c r="A13" s="12" t="s">
        <v>15</v>
      </c>
      <c r="B13" s="7">
        <v>252.5</v>
      </c>
      <c r="C13" s="8">
        <f>IFERROR(B13/B444, "NA")</f>
        <v>2.4675092551141695E-3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252.5</v>
      </c>
      <c r="I13" s="8">
        <f>IFERROR(H13/H444, "NA")</f>
        <v>-1.8593738954214487E-2</v>
      </c>
      <c r="J13" s="9"/>
      <c r="K13" s="7">
        <v>134.5</v>
      </c>
      <c r="L13" s="8">
        <f>IFERROR(K13/K444, "NA")</f>
        <v>1.3112356812088717E-3</v>
      </c>
      <c r="M13" s="9"/>
      <c r="N13" s="10">
        <f t="shared" si="1"/>
        <v>118</v>
      </c>
      <c r="O13" s="8">
        <f>IFERROR(N13/N444, "NA")</f>
        <v>-0.48145579174997627</v>
      </c>
      <c r="P13" s="9"/>
      <c r="Q13" s="7">
        <v>2119</v>
      </c>
      <c r="R13" s="8">
        <f>IFERROR(Q13/Q444, "NA")</f>
        <v>1.7084888035972146E-3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2119</v>
      </c>
      <c r="X13" s="8">
        <f>IFERROR(W13/W444, "NA")</f>
        <v>-1.6455522408088275E-2</v>
      </c>
      <c r="Y13" s="9"/>
      <c r="Z13" s="7">
        <v>2850</v>
      </c>
      <c r="AA13" s="8">
        <f>IFERROR(Z13/Z444, "NA")</f>
        <v>2.3880221234413379E-3</v>
      </c>
      <c r="AB13" s="9"/>
      <c r="AC13" s="10">
        <f t="shared" si="3"/>
        <v>-731</v>
      </c>
      <c r="AD13" s="8">
        <f>IFERROR(AC13/AC444, "NA")</f>
        <v>-1.5612622431472626E-2</v>
      </c>
    </row>
    <row r="14" spans="1:30" ht="16.5" customHeight="1" x14ac:dyDescent="0.45">
      <c r="A14" s="12" t="s">
        <v>16</v>
      </c>
      <c r="B14" s="7">
        <v>30</v>
      </c>
      <c r="C14" s="8">
        <f>IFERROR(B14/B444, "NA")</f>
        <v>2.9316941644920826E-4</v>
      </c>
      <c r="D14" s="9"/>
      <c r="E14" s="7">
        <v>0</v>
      </c>
      <c r="F14" s="8">
        <f>IFERROR(E14/E444, "NA")</f>
        <v>0</v>
      </c>
      <c r="G14" s="9"/>
      <c r="H14" s="10">
        <f t="shared" si="0"/>
        <v>30</v>
      </c>
      <c r="I14" s="8">
        <f>IFERROR(H14/H444, "NA")</f>
        <v>-2.2091571034710284E-3</v>
      </c>
      <c r="J14" s="9"/>
      <c r="K14" s="7">
        <v>250</v>
      </c>
      <c r="L14" s="8">
        <f>IFERROR(K14/K444, "NA")</f>
        <v>2.4372410431391664E-3</v>
      </c>
      <c r="M14" s="9"/>
      <c r="N14" s="10">
        <f t="shared" si="1"/>
        <v>-220</v>
      </c>
      <c r="O14" s="8">
        <f>IFERROR(N14/N444, "NA")</f>
        <v>0.8976294422457185</v>
      </c>
      <c r="P14" s="9"/>
      <c r="Q14" s="7">
        <v>2565</v>
      </c>
      <c r="R14" s="8">
        <f>IFERROR(Q14/Q444, "NA")</f>
        <v>2.0680857863269726E-3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2565</v>
      </c>
      <c r="X14" s="8">
        <f>IFERROR(W14/W444, "NA")</f>
        <v>-1.9919025472744892E-2</v>
      </c>
      <c r="Y14" s="9"/>
      <c r="Z14" s="7">
        <v>7085</v>
      </c>
      <c r="AA14" s="8">
        <f>IFERROR(Z14/Z444, "NA")</f>
        <v>5.9365392086252206E-3</v>
      </c>
      <c r="AB14" s="9"/>
      <c r="AC14" s="10">
        <f t="shared" si="3"/>
        <v>-4520</v>
      </c>
      <c r="AD14" s="8">
        <f>IFERROR(AC14/AC444, "NA")</f>
        <v>-9.6537692736328687E-2</v>
      </c>
    </row>
    <row r="15" spans="1:30" ht="16.5" customHeight="1" x14ac:dyDescent="0.45">
      <c r="A15" s="12" t="s">
        <v>17</v>
      </c>
      <c r="B15" s="7">
        <v>118</v>
      </c>
      <c r="C15" s="8">
        <f>IFERROR(B15/B444, "NA")</f>
        <v>1.1531330380335524E-3</v>
      </c>
      <c r="D15" s="9"/>
      <c r="E15" s="7">
        <v>0</v>
      </c>
      <c r="F15" s="8">
        <f>IFERROR(E15/E444, "NA")</f>
        <v>0</v>
      </c>
      <c r="G15" s="9"/>
      <c r="H15" s="10">
        <f t="shared" si="0"/>
        <v>118</v>
      </c>
      <c r="I15" s="8">
        <f>IFERROR(H15/H444, "NA")</f>
        <v>-8.6893512736527113E-3</v>
      </c>
      <c r="J15" s="9"/>
      <c r="K15" s="7">
        <v>57</v>
      </c>
      <c r="L15" s="8">
        <f>IFERROR(K15/K444, "NA")</f>
        <v>5.5569095783572996E-4</v>
      </c>
      <c r="M15" s="9"/>
      <c r="N15" s="10">
        <f t="shared" si="1"/>
        <v>61</v>
      </c>
      <c r="O15" s="8">
        <f>IFERROR(N15/N444, "NA")</f>
        <v>-0.24888816353176738</v>
      </c>
      <c r="P15" s="9"/>
      <c r="Q15" s="7">
        <v>618</v>
      </c>
      <c r="R15" s="8">
        <f>IFERROR(Q15/Q444, "NA")</f>
        <v>4.9827563974661566E-4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618</v>
      </c>
      <c r="X15" s="8">
        <f>IFERROR(W15/W444, "NA")</f>
        <v>-4.7992037981116342E-3</v>
      </c>
      <c r="Y15" s="9"/>
      <c r="Z15" s="7">
        <v>1049</v>
      </c>
      <c r="AA15" s="8">
        <f>IFERROR(Z15/Z444, "NA")</f>
        <v>8.7895972192630293E-4</v>
      </c>
      <c r="AB15" s="9"/>
      <c r="AC15" s="10">
        <f t="shared" si="3"/>
        <v>-431</v>
      </c>
      <c r="AD15" s="8">
        <f>IFERROR(AC15/AC444, "NA")</f>
        <v>-9.205253444548157E-3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50466.189999999995</v>
      </c>
      <c r="C18" s="15">
        <f>IFERROR(B18/B444, "NA")</f>
        <v>0.49317144909049559</v>
      </c>
      <c r="D18" s="2"/>
      <c r="E18" s="14">
        <f>IFERROR(E10+E11+E12+E13+E14+E15+E16+E17, "NA")</f>
        <v>61895.81</v>
      </c>
      <c r="F18" s="15">
        <f>IFERROR(E18/E444, "NA")</f>
        <v>0.53400003019590669</v>
      </c>
      <c r="G18" s="2"/>
      <c r="H18" s="14">
        <f t="shared" si="0"/>
        <v>-11429.620000000003</v>
      </c>
      <c r="I18" s="15">
        <f>IFERROR(H18/H444, "NA")</f>
        <v>0.841660873765818</v>
      </c>
      <c r="J18" s="2"/>
      <c r="K18" s="14">
        <f>IFERROR(K10+K11+K12+K13+K14+K15+K16+K17, "NA")</f>
        <v>53685.799999999996</v>
      </c>
      <c r="L18" s="15">
        <f>IFERROR(K18/K444, "NA")</f>
        <v>0.5233809407750426</v>
      </c>
      <c r="M18" s="2"/>
      <c r="N18" s="14">
        <f t="shared" si="1"/>
        <v>-3219.6100000000006</v>
      </c>
      <c r="O18" s="15">
        <f>IFERROR(N18/N444, "NA")</f>
        <v>13.136439675221537</v>
      </c>
      <c r="P18" s="2"/>
      <c r="Q18" s="14">
        <f>IFERROR(Q10+Q11+Q12+Q13+Q14+Q15+Q16+Q17, "NA")</f>
        <v>636987.18000000005</v>
      </c>
      <c r="R18" s="15">
        <f>IFERROR(Q18/Q444, "NA")</f>
        <v>0.51358445732183278</v>
      </c>
      <c r="S18" s="2"/>
      <c r="T18" s="14">
        <f>IFERROR(T10+T11+T12+T13+T14+T15+T16+T17, "NA")</f>
        <v>731072.04</v>
      </c>
      <c r="U18" s="15">
        <f>IFERROR(T18/T444, "NA")</f>
        <v>0.53400001327929358</v>
      </c>
      <c r="V18" s="2"/>
      <c r="W18" s="14">
        <f t="shared" si="2"/>
        <v>-94084.859999999986</v>
      </c>
      <c r="X18" s="15">
        <f>IFERROR(W18/W444, "NA")</f>
        <v>0.73063497970356206</v>
      </c>
      <c r="Y18" s="2"/>
      <c r="Z18" s="14">
        <f>IFERROR(Z10+Z11+Z12+Z13+Z14+Z15+Z16+Z17, "NA")</f>
        <v>690411.19000000006</v>
      </c>
      <c r="AA18" s="15">
        <f>IFERROR(Z18/Z444, "NA")</f>
        <v>0.57849726175138982</v>
      </c>
      <c r="AB18" s="2"/>
      <c r="AC18" s="14">
        <f t="shared" si="3"/>
        <v>-53424.010000000009</v>
      </c>
      <c r="AD18" s="15">
        <f>IFERROR(AC18/AC444, "NA")</f>
        <v>-1.1410244827704761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12286.43</v>
      </c>
      <c r="F21" s="8">
        <f>IFERROR(E21/E444, "NA")</f>
        <v>0.10599996980409328</v>
      </c>
      <c r="G21" s="9"/>
      <c r="H21" s="10">
        <f t="shared" ref="H21:H29" si="4">IFERROR(B21-E21, "NA")</f>
        <v>-12286.43</v>
      </c>
      <c r="I21" s="8">
        <f>IFERROR(H21/H444, "NA")</f>
        <v>0.90475513702665156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145119.16</v>
      </c>
      <c r="U21" s="8">
        <f>IFERROR(T21/T444, "NA")</f>
        <v>0.10599999607026406</v>
      </c>
      <c r="V21" s="9"/>
      <c r="W21" s="10">
        <f t="shared" ref="W21:W29" si="6">IFERROR(Q21-T21, "NA")</f>
        <v>-145119.16</v>
      </c>
      <c r="X21" s="8">
        <f>IFERROR(W21/W444, "NA")</f>
        <v>1.1269521421533495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7951.56</v>
      </c>
      <c r="C22" s="8">
        <f>IFERROR(B22/B444, "NA")</f>
        <v>7.770514016869555E-2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7951.56</v>
      </c>
      <c r="I22" s="8">
        <f>IFERROR(H22/H444, "NA")</f>
        <v>-0.58554150858920295</v>
      </c>
      <c r="J22" s="9"/>
      <c r="K22" s="7">
        <v>8657.2000000000007</v>
      </c>
      <c r="L22" s="8">
        <f>IFERROR(K22/K444, "NA")</f>
        <v>8.4398732634657581E-2</v>
      </c>
      <c r="M22" s="9"/>
      <c r="N22" s="10">
        <f t="shared" si="5"/>
        <v>-705.64000000000033</v>
      </c>
      <c r="O22" s="8">
        <f>IFERROR(N22/N444, "NA")</f>
        <v>2.8791056346648594</v>
      </c>
      <c r="P22" s="9"/>
      <c r="Q22" s="7">
        <v>102974.61</v>
      </c>
      <c r="R22" s="8">
        <f>IFERROR(Q22/Q444, "NA")</f>
        <v>8.3025468730434052E-2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102974.61</v>
      </c>
      <c r="X22" s="8">
        <f>IFERROR(W22/W444, "NA")</f>
        <v>-0.79967012851304908</v>
      </c>
      <c r="Y22" s="9"/>
      <c r="Z22" s="7">
        <v>109945.97</v>
      </c>
      <c r="AA22" s="8">
        <f>IFERROR(Z22/Z444, "NA")</f>
        <v>9.2124003067795668E-2</v>
      </c>
      <c r="AB22" s="9"/>
      <c r="AC22" s="10">
        <f t="shared" si="7"/>
        <v>-6971.3600000000006</v>
      </c>
      <c r="AD22" s="8">
        <f>IFERROR(AC22/AC444, "NA")</f>
        <v>-0.14889358620228593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581.36</v>
      </c>
      <c r="C24" s="8">
        <f>IFERROR(B24/B444, "NA")</f>
        <v>5.6812323982303901E-3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581.36</v>
      </c>
      <c r="I24" s="8">
        <f>IFERROR(H24/H444, "NA")</f>
        <v>-4.2810519122463898E-2</v>
      </c>
      <c r="J24" s="9"/>
      <c r="K24" s="7">
        <v>959.88</v>
      </c>
      <c r="L24" s="8">
        <f>IFERROR(K24/K444, "NA")</f>
        <v>9.3578357299536931E-3</v>
      </c>
      <c r="M24" s="9"/>
      <c r="N24" s="10">
        <f t="shared" si="5"/>
        <v>-378.52</v>
      </c>
      <c r="O24" s="8">
        <f>IFERROR(N24/N444, "NA")</f>
        <v>1.5444122567220424</v>
      </c>
      <c r="P24" s="9"/>
      <c r="Q24" s="7">
        <v>10477.52</v>
      </c>
      <c r="R24" s="8">
        <f>IFERROR(Q24/Q444, "NA")</f>
        <v>8.4477232701585126E-3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10477.52</v>
      </c>
      <c r="X24" s="8">
        <f>IFERROR(W24/W444, "NA")</f>
        <v>-8.136529737668384E-2</v>
      </c>
      <c r="Y24" s="9"/>
      <c r="Z24" s="7">
        <v>6213.74</v>
      </c>
      <c r="AA24" s="8">
        <f>IFERROR(Z24/Z444, "NA")</f>
        <v>5.2065082769517119E-3</v>
      </c>
      <c r="AB24" s="9"/>
      <c r="AC24" s="10">
        <f t="shared" si="7"/>
        <v>4263.7800000000007</v>
      </c>
      <c r="AD24" s="8">
        <f>IFERROR(AC24/AC444, "NA")</f>
        <v>9.1065372463562749E-2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880.53</v>
      </c>
      <c r="C28" s="8">
        <f>IFERROR(B28/B444, "NA")</f>
        <v>8.6048155422007114E-3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880.53</v>
      </c>
      <c r="I28" s="8">
        <f>IFERROR(H28/H444, "NA")</f>
        <v>-6.4840970143978147E-2</v>
      </c>
      <c r="J28" s="9"/>
      <c r="K28" s="7">
        <v>850.58</v>
      </c>
      <c r="L28" s="8">
        <f>IFERROR(K28/K444, "NA")</f>
        <v>8.2922739458932485E-3</v>
      </c>
      <c r="M28" s="9"/>
      <c r="N28" s="10">
        <f t="shared" si="5"/>
        <v>29.949999999999932</v>
      </c>
      <c r="O28" s="8">
        <f>IFERROR(N28/N444, "NA")</f>
        <v>-0.12220000816026912</v>
      </c>
      <c r="P28" s="9"/>
      <c r="Q28" s="7">
        <v>9691.82</v>
      </c>
      <c r="R28" s="8">
        <f>IFERROR(Q28/Q444, "NA")</f>
        <v>7.8142359398204603E-3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9691.82</v>
      </c>
      <c r="X28" s="8">
        <f>IFERROR(W28/W444, "NA")</f>
        <v>-7.5263785363453559E-2</v>
      </c>
      <c r="Y28" s="9"/>
      <c r="Z28" s="7">
        <v>8974.58</v>
      </c>
      <c r="AA28" s="8">
        <f>IFERROR(Z28/Z444, "NA")</f>
        <v>7.519823013541811E-3</v>
      </c>
      <c r="AB28" s="9"/>
      <c r="AC28" s="10">
        <f t="shared" si="7"/>
        <v>717.23999999999978</v>
      </c>
      <c r="AD28" s="8">
        <f>IFERROR(AC28/AC444, "NA")</f>
        <v>1.5318737773939019E-2</v>
      </c>
    </row>
    <row r="29" spans="1:30" ht="16.5" customHeight="1" x14ac:dyDescent="0.45">
      <c r="A29" s="13" t="s">
        <v>30</v>
      </c>
      <c r="B29" s="14">
        <f>IFERROR(B21+B22+B23+B24+B25+B26+B27+B28, "NA")</f>
        <v>9413.4500000000007</v>
      </c>
      <c r="C29" s="15">
        <f>IFERROR(B29/B444, "NA")</f>
        <v>9.1991188109126654E-2</v>
      </c>
      <c r="D29" s="2"/>
      <c r="E29" s="14">
        <f>IFERROR(E21+E22+E23+E24+E25+E26+E27+E28, "NA")</f>
        <v>12286.43</v>
      </c>
      <c r="F29" s="15">
        <f>IFERROR(E29/E444, "NA")</f>
        <v>0.10599996980409328</v>
      </c>
      <c r="G29" s="2"/>
      <c r="H29" s="14">
        <f t="shared" si="4"/>
        <v>-2872.9799999999996</v>
      </c>
      <c r="I29" s="15">
        <f>IFERROR(H29/H444, "NA")</f>
        <v>0.21156213917100647</v>
      </c>
      <c r="J29" s="2"/>
      <c r="K29" s="14">
        <f>IFERROR(K21+K22+K23+K24+K25+K26+K27+K28, "NA")</f>
        <v>10467.66</v>
      </c>
      <c r="L29" s="15">
        <f>IFERROR(K29/K444, "NA")</f>
        <v>0.10204884231050451</v>
      </c>
      <c r="M29" s="2"/>
      <c r="N29" s="14">
        <f t="shared" si="5"/>
        <v>-1054.2099999999991</v>
      </c>
      <c r="O29" s="15">
        <f>IFERROR(N29/N444, "NA")</f>
        <v>4.3013178832266279</v>
      </c>
      <c r="P29" s="2"/>
      <c r="Q29" s="14">
        <f>IFERROR(Q21+Q22+Q23+Q24+Q25+Q26+Q27+Q28, "NA")</f>
        <v>123143.95000000001</v>
      </c>
      <c r="R29" s="15">
        <f>IFERROR(Q29/Q444, "NA")</f>
        <v>9.9287427940413037E-2</v>
      </c>
      <c r="S29" s="2"/>
      <c r="T29" s="14">
        <f>IFERROR(T21+T22+T23+T24+T25+T26+T27+T28, "NA")</f>
        <v>145119.16</v>
      </c>
      <c r="U29" s="15">
        <f>IFERROR(T29/T444, "NA")</f>
        <v>0.10599999607026406</v>
      </c>
      <c r="V29" s="2"/>
      <c r="W29" s="14">
        <f t="shared" si="6"/>
        <v>-21975.209999999992</v>
      </c>
      <c r="X29" s="15">
        <f>IFERROR(W29/W444, "NA")</f>
        <v>0.17065293090016301</v>
      </c>
      <c r="Y29" s="2"/>
      <c r="Z29" s="14">
        <f>IFERROR(Z21+Z22+Z23+Z24+Z25+Z26+Z27+Z28, "NA")</f>
        <v>125134.29000000001</v>
      </c>
      <c r="AA29" s="15">
        <f>IFERROR(Z29/Z444, "NA")</f>
        <v>0.10485033435828919</v>
      </c>
      <c r="AB29" s="2"/>
      <c r="AC29" s="14">
        <f t="shared" si="7"/>
        <v>-1990.3399999999965</v>
      </c>
      <c r="AD29" s="15">
        <f>IFERROR(AC29/AC444, "NA")</f>
        <v>-4.2509475964784098E-2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22138.76</v>
      </c>
      <c r="F31" s="8">
        <f>IFERROR(E31/E444, "NA")</f>
        <v>0.19099998058834566</v>
      </c>
      <c r="G31" s="9"/>
      <c r="H31" s="10">
        <f t="shared" ref="H31:H40" si="8">IFERROR(B31-E31, "NA")</f>
        <v>-22138.76</v>
      </c>
      <c r="I31" s="8">
        <f>IFERROR(H31/H444, "NA")</f>
        <v>1.6302666305346751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261488.29</v>
      </c>
      <c r="U31" s="8">
        <f>IFERROR(T31/T444, "NA")</f>
        <v>0.19099998726853207</v>
      </c>
      <c r="V31" s="9"/>
      <c r="W31" s="10">
        <f t="shared" ref="W31:W40" si="10">IFERROR(Q31-T31, "NA")</f>
        <v>-261488.29</v>
      </c>
      <c r="X31" s="8">
        <f>IFERROR(W31/W444, "NA")</f>
        <v>2.0306401205982469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9198.5300000000007</v>
      </c>
      <c r="C33" s="8">
        <f>IFERROR(B33/B444, "NA")</f>
        <v>8.9890922409684521E-2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9198.5300000000007</v>
      </c>
      <c r="I33" s="8">
        <f>IFERROR(H33/H444, "NA")</f>
        <v>-0.67736659636637864</v>
      </c>
      <c r="J33" s="9"/>
      <c r="K33" s="7">
        <v>7031.42</v>
      </c>
      <c r="L33" s="8">
        <f>IFERROR(K33/K444, "NA")</f>
        <v>6.8549061662198388E-2</v>
      </c>
      <c r="M33" s="9"/>
      <c r="N33" s="10">
        <f t="shared" si="9"/>
        <v>2167.1100000000006</v>
      </c>
      <c r="O33" s="8">
        <f>IFERROR(N33/N444, "NA")</f>
        <v>-8.8420988208414517</v>
      </c>
      <c r="P33" s="9"/>
      <c r="Q33" s="7">
        <v>91660.800000000003</v>
      </c>
      <c r="R33" s="8">
        <f>IFERROR(Q33/Q444, "NA")</f>
        <v>7.3903468866806779E-2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91660.800000000003</v>
      </c>
      <c r="X33" s="8">
        <f>IFERROR(W33/W444, "NA")</f>
        <v>-0.71181045226205653</v>
      </c>
      <c r="Y33" s="9"/>
      <c r="Z33" s="7">
        <v>70797.490000000005</v>
      </c>
      <c r="AA33" s="8">
        <f>IFERROR(Z33/Z444, "NA")</f>
        <v>5.932139382600593E-2</v>
      </c>
      <c r="AB33" s="9"/>
      <c r="AC33" s="10">
        <f t="shared" si="11"/>
        <v>20863.309999999998</v>
      </c>
      <c r="AD33" s="8">
        <f>IFERROR(AC33/AC444, "NA")</f>
        <v>0.44559641819530388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561.35</v>
      </c>
      <c r="C35" s="8">
        <f>IFERROR(B35/B444, "NA")</f>
        <v>5.4856883974587689E-3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561.35</v>
      </c>
      <c r="I35" s="8">
        <f>IFERROR(H35/H444, "NA")</f>
        <v>-4.1337011334448726E-2</v>
      </c>
      <c r="J35" s="9"/>
      <c r="K35" s="7">
        <v>1572.93</v>
      </c>
      <c r="L35" s="8">
        <f>IFERROR(K35/K444, "NA")</f>
        <v>1.5334438215939557E-2</v>
      </c>
      <c r="M35" s="9"/>
      <c r="N35" s="10">
        <f t="shared" si="9"/>
        <v>-1011.58</v>
      </c>
      <c r="O35" s="8">
        <f>IFERROR(N35/N444, "NA")</f>
        <v>4.1273817781223814</v>
      </c>
      <c r="P35" s="9"/>
      <c r="Q35" s="7">
        <v>12006.9</v>
      </c>
      <c r="R35" s="8">
        <f>IFERROR(Q35/Q444, "NA")</f>
        <v>9.6808184124168931E-3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12006.9</v>
      </c>
      <c r="X35" s="8">
        <f>IFERROR(W35/W444, "NA")</f>
        <v>-9.3242006607680561E-2</v>
      </c>
      <c r="Y35" s="9"/>
      <c r="Z35" s="7">
        <v>6831.54</v>
      </c>
      <c r="AA35" s="8">
        <f>IFERROR(Z35/Z444, "NA")</f>
        <v>5.7241644411138376E-3</v>
      </c>
      <c r="AB35" s="9"/>
      <c r="AC35" s="10">
        <f t="shared" si="11"/>
        <v>5175.3599999999997</v>
      </c>
      <c r="AD35" s="8">
        <f>IFERROR(AC35/AC444, "NA")</f>
        <v>0.11053480386723143</v>
      </c>
    </row>
    <row r="36" spans="1:30" ht="16.5" customHeight="1" x14ac:dyDescent="0.45">
      <c r="A36" s="12" t="s">
        <v>36</v>
      </c>
      <c r="B36" s="7">
        <v>11715.79</v>
      </c>
      <c r="C36" s="8">
        <f>IFERROR(B36/B444, "NA")</f>
        <v>0.11449037725138232</v>
      </c>
      <c r="D36" s="9"/>
      <c r="E36" s="7">
        <v>0</v>
      </c>
      <c r="F36" s="8">
        <f>IFERROR(E36/E444, "NA")</f>
        <v>0</v>
      </c>
      <c r="G36" s="9"/>
      <c r="H36" s="10">
        <f t="shared" si="8"/>
        <v>11715.79</v>
      </c>
      <c r="I36" s="8">
        <f>IFERROR(H36/H444, "NA")</f>
        <v>-0.86273402337582794</v>
      </c>
      <c r="J36" s="9"/>
      <c r="K36" s="7">
        <v>10663.84</v>
      </c>
      <c r="L36" s="8">
        <f>IFERROR(K36/K444, "NA")</f>
        <v>0.10396139410187667</v>
      </c>
      <c r="M36" s="9"/>
      <c r="N36" s="10">
        <f t="shared" si="9"/>
        <v>1051.9500000000007</v>
      </c>
      <c r="O36" s="8">
        <f>IFERROR(N36/N444, "NA")</f>
        <v>-4.2920967807744734</v>
      </c>
      <c r="P36" s="9"/>
      <c r="Q36" s="7">
        <v>109201.25</v>
      </c>
      <c r="R36" s="8">
        <f>IFERROR(Q36/Q444, "NA")</f>
        <v>8.8045829619547114E-2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109201.25</v>
      </c>
      <c r="X36" s="8">
        <f>IFERROR(W36/W444, "NA")</f>
        <v>-0.84802435883258598</v>
      </c>
      <c r="Y36" s="9"/>
      <c r="Z36" s="7">
        <v>109637.98</v>
      </c>
      <c r="AA36" s="8">
        <f>IFERROR(Z36/Z444, "NA")</f>
        <v>9.1865937476989096E-2</v>
      </c>
      <c r="AB36" s="9"/>
      <c r="AC36" s="10">
        <f t="shared" si="11"/>
        <v>-436.72999999999593</v>
      </c>
      <c r="AD36" s="8">
        <f>IFERROR(AC36/AC444, "NA")</f>
        <v>-9.3276341921983263E-3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1848.77</v>
      </c>
      <c r="C39" s="8">
        <f>IFERROR(B39/B444, "NA")</f>
        <v>1.806676073496009E-2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1848.77</v>
      </c>
      <c r="I39" s="8">
        <f>IFERROR(H39/H444, "NA")</f>
        <v>-0.13614077927280444</v>
      </c>
      <c r="J39" s="9"/>
      <c r="K39" s="7">
        <v>962.95</v>
      </c>
      <c r="L39" s="8">
        <f>IFERROR(K39/K444, "NA")</f>
        <v>9.3877650499634424E-3</v>
      </c>
      <c r="M39" s="9"/>
      <c r="N39" s="10">
        <f t="shared" si="9"/>
        <v>885.81999999999994</v>
      </c>
      <c r="O39" s="8">
        <f>IFERROR(N39/N444, "NA")</f>
        <v>-3.6142641478641013</v>
      </c>
      <c r="P39" s="9"/>
      <c r="Q39" s="7">
        <v>10924.58</v>
      </c>
      <c r="R39" s="8">
        <f>IFERROR(Q39/Q444, "NA")</f>
        <v>8.8081749004256995E-3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10924.58</v>
      </c>
      <c r="X39" s="8">
        <f>IFERROR(W39/W444, "NA")</f>
        <v>-8.4837032085395475E-2</v>
      </c>
      <c r="Y39" s="9"/>
      <c r="Z39" s="7">
        <v>9747.89</v>
      </c>
      <c r="AA39" s="8">
        <f>IFERROR(Z39/Z444, "NA")</f>
        <v>8.1677813953938885E-3</v>
      </c>
      <c r="AB39" s="9"/>
      <c r="AC39" s="10">
        <f t="shared" si="11"/>
        <v>1176.6900000000005</v>
      </c>
      <c r="AD39" s="8">
        <f>IFERROR(AC39/AC444, "NA")</f>
        <v>2.5131623377413863E-2</v>
      </c>
    </row>
    <row r="40" spans="1:30" ht="16.5" customHeight="1" x14ac:dyDescent="0.45">
      <c r="A40" s="13" t="s">
        <v>40</v>
      </c>
      <c r="B40" s="14">
        <f>IFERROR(B31+B32+B33+B34+B35+B36+B37+B38+B39, "NA")</f>
        <v>23324.440000000002</v>
      </c>
      <c r="C40" s="15">
        <f>IFERROR(B40/B444, "NA")</f>
        <v>0.22793374879348571</v>
      </c>
      <c r="D40" s="2"/>
      <c r="E40" s="14">
        <f>IFERROR(E31+E32+E33+E34+E35+E36+E37+E38+E39, "NA")</f>
        <v>22138.76</v>
      </c>
      <c r="F40" s="15">
        <f>IFERROR(E40/E444, "NA")</f>
        <v>0.19099998058834566</v>
      </c>
      <c r="G40" s="2"/>
      <c r="H40" s="14">
        <f t="shared" si="8"/>
        <v>1185.6800000000039</v>
      </c>
      <c r="I40" s="15">
        <f>IFERROR(H40/H444, "NA")</f>
        <v>-8.7311779814784579E-2</v>
      </c>
      <c r="J40" s="2"/>
      <c r="K40" s="14">
        <f>IFERROR(K31+K32+K33+K34+K35+K36+K37+K38+K39, "NA")</f>
        <v>20231.140000000003</v>
      </c>
      <c r="L40" s="15">
        <f>IFERROR(K40/K444, "NA")</f>
        <v>0.19723265902997811</v>
      </c>
      <c r="M40" s="2"/>
      <c r="N40" s="14">
        <f t="shared" si="9"/>
        <v>3093.2999999999993</v>
      </c>
      <c r="O40" s="15">
        <f>IFERROR(N40/N444, "NA")</f>
        <v>-12.621077971357638</v>
      </c>
      <c r="P40" s="2"/>
      <c r="Q40" s="14">
        <f>IFERROR(Q31+Q32+Q33+Q34+Q35+Q36+Q37+Q38+Q39, "NA")</f>
        <v>223793.53</v>
      </c>
      <c r="R40" s="15">
        <f>IFERROR(Q40/Q444, "NA")</f>
        <v>0.18043829179919649</v>
      </c>
      <c r="S40" s="2"/>
      <c r="T40" s="14">
        <f>IFERROR(T31+T32+T33+T34+T35+T36+T37+T38+T39, "NA")</f>
        <v>261488.29</v>
      </c>
      <c r="U40" s="15">
        <f>IFERROR(T40/T444, "NA")</f>
        <v>0.19099998726853207</v>
      </c>
      <c r="V40" s="2"/>
      <c r="W40" s="14">
        <f t="shared" si="10"/>
        <v>-37694.760000000009</v>
      </c>
      <c r="X40" s="15">
        <f>IFERROR(W40/W444, "NA")</f>
        <v>0.29272627081052843</v>
      </c>
      <c r="Y40" s="2"/>
      <c r="Z40" s="14">
        <f>IFERROR(Z31+Z32+Z33+Z34+Z35+Z36+Z37+Z38+Z39, "NA")</f>
        <v>197014.90000000002</v>
      </c>
      <c r="AA40" s="15">
        <f>IFERROR(Z40/Z444, "NA")</f>
        <v>0.16507927713950277</v>
      </c>
      <c r="AB40" s="2"/>
      <c r="AC40" s="14">
        <f t="shared" si="11"/>
        <v>26778.629999999976</v>
      </c>
      <c r="AD40" s="15">
        <f>IFERROR(AC40/AC444, "NA")</f>
        <v>0.57193521124775026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7449.02</v>
      </c>
      <c r="C43" s="8">
        <f>IFERROR(B43/B444, "NA")</f>
        <v>7.2794161550616049E-2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7449.02</v>
      </c>
      <c r="I43" s="8">
        <f>IFERROR(H43/H444, "NA")</f>
        <v>-0.54853518156325864</v>
      </c>
      <c r="J43" s="9"/>
      <c r="K43" s="7">
        <v>4601.21</v>
      </c>
      <c r="L43" s="8">
        <f>IFERROR(K43/K444, "NA")</f>
        <v>4.4857031440409458E-2</v>
      </c>
      <c r="M43" s="9"/>
      <c r="N43" s="10">
        <f>IFERROR(B43-K43, "NA")</f>
        <v>2847.8100000000004</v>
      </c>
      <c r="O43" s="8">
        <f>IFERROR(N43/N444, "NA")</f>
        <v>-11.619445917826273</v>
      </c>
      <c r="P43" s="9"/>
      <c r="Q43" s="7">
        <v>62137.31</v>
      </c>
      <c r="R43" s="8">
        <f>IFERROR(Q43/Q444, "NA")</f>
        <v>5.0099527333954334E-2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62137.31</v>
      </c>
      <c r="X43" s="8">
        <f>IFERROR(W43/W444, "NA")</f>
        <v>-0.48253982873210366</v>
      </c>
      <c r="Y43" s="9"/>
      <c r="Z43" s="7">
        <v>9700.7000000000007</v>
      </c>
      <c r="AA43" s="8">
        <f>IFERROR(Z43/Z444, "NA")</f>
        <v>8.1282407764446968E-3</v>
      </c>
      <c r="AB43" s="9"/>
      <c r="AC43" s="10">
        <f>IFERROR(Q43-Z43, "NA")</f>
        <v>52436.61</v>
      </c>
      <c r="AD43" s="8">
        <f>IFERROR(AC43/AC444, "NA")</f>
        <v>1.1199356956448452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22834.22</v>
      </c>
      <c r="F46" s="8">
        <f>IFERROR(E46/E444, "NA")</f>
        <v>0.19699999352944858</v>
      </c>
      <c r="G46" s="9"/>
      <c r="H46" s="10">
        <f t="shared" ref="H46:H62" si="12">IFERROR(B46-E46, "NA")</f>
        <v>-22834.22</v>
      </c>
      <c r="I46" s="8">
        <f>IFERROR(H46/H444, "NA")</f>
        <v>1.6814793105073409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269702.59999999998</v>
      </c>
      <c r="U46" s="8">
        <f>IFERROR(T46/T444, "NA")</f>
        <v>0.19700000013878249</v>
      </c>
      <c r="V46" s="9"/>
      <c r="W46" s="10">
        <f t="shared" ref="W46:W62" si="14">IFERROR(Q46-T46, "NA")</f>
        <v>-269702.59999999998</v>
      </c>
      <c r="X46" s="8">
        <f>IFERROR(W46/W444, "NA")</f>
        <v>2.0944300036902637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11657.14</v>
      </c>
      <c r="C48" s="8">
        <f>IFERROR(B48/B444, "NA")</f>
        <v>0.11391723104222411</v>
      </c>
      <c r="D48" s="9"/>
      <c r="E48" s="7">
        <v>0</v>
      </c>
      <c r="F48" s="8">
        <f>IFERROR(E48/E444, "NA")</f>
        <v>0</v>
      </c>
      <c r="G48" s="9"/>
      <c r="H48" s="10">
        <f t="shared" si="12"/>
        <v>11657.14</v>
      </c>
      <c r="I48" s="8">
        <f>IFERROR(H48/H444, "NA")</f>
        <v>-0.85841512123854202</v>
      </c>
      <c r="J48" s="9"/>
      <c r="K48" s="7">
        <v>16449.37</v>
      </c>
      <c r="L48" s="8">
        <f>IFERROR(K48/K444, "NA")</f>
        <v>0.16036431879112845</v>
      </c>
      <c r="M48" s="9"/>
      <c r="N48" s="10">
        <f t="shared" si="13"/>
        <v>-4792.2299999999996</v>
      </c>
      <c r="O48" s="8">
        <f>IFERROR(N48/N444, "NA")</f>
        <v>19.552939736423632</v>
      </c>
      <c r="P48" s="9"/>
      <c r="Q48" s="7">
        <v>146783.64000000001</v>
      </c>
      <c r="R48" s="8">
        <f>IFERROR(Q48/Q444, "NA")</f>
        <v>0.11834743062352254</v>
      </c>
      <c r="S48" s="9"/>
      <c r="T48" s="7">
        <v>0</v>
      </c>
      <c r="U48" s="8">
        <f>IFERROR(T48/T444, "NA")</f>
        <v>0</v>
      </c>
      <c r="V48" s="9"/>
      <c r="W48" s="10">
        <f t="shared" si="14"/>
        <v>146783.64000000001</v>
      </c>
      <c r="X48" s="8">
        <f>IFERROR(W48/W444, "NA")</f>
        <v>-1.1398779977162636</v>
      </c>
      <c r="Y48" s="9"/>
      <c r="Z48" s="7">
        <v>216978.86</v>
      </c>
      <c r="AA48" s="8">
        <f>IFERROR(Z48/Z444, "NA")</f>
        <v>0.18180712912248448</v>
      </c>
      <c r="AB48" s="9"/>
      <c r="AC48" s="10">
        <f t="shared" si="15"/>
        <v>-70195.219999999972</v>
      </c>
      <c r="AD48" s="8">
        <f>IFERROR(AC48/AC444, "NA")</f>
        <v>-1.4992222521944671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1.0360585713178012E-5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-9.9789269912191748E-5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2.7444897160659813E-4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2000</v>
      </c>
      <c r="R53" s="8">
        <f>IFERROR(Q53/Q444, "NA")</f>
        <v>1.6125425234518307E-3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-1.553140387738393E-2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4.271579324616314E-2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1.8786120398213828E-5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-1.809408551715228E-4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4.9763899131780053E-4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2.8824197606701473E-5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-2.7762384430823775E-4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7.6354480427516611E-4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4.531244490899644E-5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-4.3643244895448849E-4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1.2003137902171842E-3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4.1279266635557021E-4</v>
      </c>
      <c r="AB59" s="9"/>
      <c r="AC59" s="10">
        <f t="shared" si="15"/>
        <v>-492.65</v>
      </c>
      <c r="AD59" s="8">
        <f>IFERROR(AC59/AC444, "NA")</f>
        <v>-1.0521967771361135E-2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11657.14</v>
      </c>
      <c r="C61" s="15">
        <f>IFERROR(B61/B444, "NA")</f>
        <v>0.11391723104222411</v>
      </c>
      <c r="D61" s="2"/>
      <c r="E61" s="14">
        <f>IFERROR(E46+E47+E48+E49+E50+E51+E52+E53+E54+E55+E56+E57+E58+E59+E60, "NA")</f>
        <v>22834.22</v>
      </c>
      <c r="F61" s="15">
        <f>IFERROR(E61/E444, "NA")</f>
        <v>0.19699999352944858</v>
      </c>
      <c r="G61" s="2"/>
      <c r="H61" s="14">
        <f t="shared" si="12"/>
        <v>-11177.080000000002</v>
      </c>
      <c r="I61" s="15">
        <f>IFERROR(H61/H444, "NA")</f>
        <v>0.82306418926879876</v>
      </c>
      <c r="J61" s="2"/>
      <c r="K61" s="14">
        <f>IFERROR(K46+K47+K48+K49+K50+K51+K52+K53+K54+K55+K56+K57+K58+K59+K60, "NA")</f>
        <v>16449.37</v>
      </c>
      <c r="L61" s="15">
        <f>IFERROR(K61/K444, "NA")</f>
        <v>0.16036431879112845</v>
      </c>
      <c r="M61" s="2"/>
      <c r="N61" s="14">
        <f t="shared" si="13"/>
        <v>-4792.2299999999996</v>
      </c>
      <c r="O61" s="15">
        <f>IFERROR(N61/N444, "NA")</f>
        <v>19.552939736423632</v>
      </c>
      <c r="P61" s="2"/>
      <c r="Q61" s="14">
        <f>IFERROR(Q46+Q47+Q48+Q49+Q50+Q51+Q52+Q53+Q54+Q55+Q56+Q57+Q58+Q59+Q60, "NA")</f>
        <v>148911.74000000002</v>
      </c>
      <c r="R61" s="15">
        <f>IFERROR(Q61/Q444, "NA")</f>
        <v>0.12006325649560147</v>
      </c>
      <c r="S61" s="2"/>
      <c r="T61" s="14">
        <f>IFERROR(T46+T47+T48+T49+T50+T51+T52+T53+T54+T55+T56+T57+T58+T59+T60, "NA")</f>
        <v>269702.59999999998</v>
      </c>
      <c r="U61" s="15">
        <f>IFERROR(T61/T444, "NA")</f>
        <v>0.19700000013878249</v>
      </c>
      <c r="V61" s="2"/>
      <c r="W61" s="14">
        <f t="shared" si="14"/>
        <v>-120790.85999999996</v>
      </c>
      <c r="X61" s="15">
        <f>IFERROR(W61/W444, "NA")</f>
        <v>0.93802581567826948</v>
      </c>
      <c r="Y61" s="2"/>
      <c r="Z61" s="14">
        <f>IFERROR(Z46+Z47+Z48+Z49+Z50+Z51+Z52+Z53+Z54+Z55+Z56+Z57+Z58+Z59+Z60, "NA")</f>
        <v>217471.50999999998</v>
      </c>
      <c r="AA61" s="15">
        <f>IFERROR(Z61/Z444, "NA")</f>
        <v>0.18221992178884003</v>
      </c>
      <c r="AB61" s="2"/>
      <c r="AC61" s="14">
        <f t="shared" si="15"/>
        <v>-68559.76999999996</v>
      </c>
      <c r="AD61" s="15">
        <f>IFERROR(AC61/AC444, "NA")</f>
        <v>-1.4642924801622481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19106.16</v>
      </c>
      <c r="C62" s="15">
        <f>IFERROR(B62/B444, "NA")</f>
        <v>0.18671139259284014</v>
      </c>
      <c r="D62" s="2"/>
      <c r="E62" s="14">
        <f>IFERROR(E42+E43+E44+E46+E47+E48+E49+E50+E51+E52+E53+E54+E55+E56+E57+E58+E59+E60, "NA")</f>
        <v>22834.22</v>
      </c>
      <c r="F62" s="15">
        <f>IFERROR(E62/E444, "NA")</f>
        <v>0.19699999352944858</v>
      </c>
      <c r="G62" s="2"/>
      <c r="H62" s="14">
        <f t="shared" si="12"/>
        <v>-3728.0600000000013</v>
      </c>
      <c r="I62" s="15">
        <f>IFERROR(H62/H444, "NA")</f>
        <v>0.27452900770554012</v>
      </c>
      <c r="J62" s="2"/>
      <c r="K62" s="14">
        <f>IFERROR(K42+K43+K44+K46+K47+K48+K49+K50+K51+K52+K53+K54+K55+K56+K57+K58+K59+K60, "NA")</f>
        <v>21050.579999999998</v>
      </c>
      <c r="L62" s="15">
        <f>IFERROR(K62/K444, "NA")</f>
        <v>0.20522135023153787</v>
      </c>
      <c r="M62" s="2"/>
      <c r="N62" s="14">
        <f t="shared" si="13"/>
        <v>-1944.4199999999983</v>
      </c>
      <c r="O62" s="15">
        <f>IFERROR(N62/N444, "NA")</f>
        <v>7.9334938185973556</v>
      </c>
      <c r="P62" s="2"/>
      <c r="Q62" s="14">
        <f>IFERROR(Q42+Q43+Q44+Q46+Q47+Q48+Q49+Q50+Q51+Q52+Q53+Q54+Q55+Q56+Q57+Q58+Q59+Q60, "NA")</f>
        <v>211049.05000000002</v>
      </c>
      <c r="R62" s="15">
        <f>IFERROR(Q62/Q444, "NA")</f>
        <v>0.1701627838295558</v>
      </c>
      <c r="S62" s="2"/>
      <c r="T62" s="14">
        <f>IFERROR(T42+T43+T44+T46+T47+T48+T49+T50+T51+T52+T53+T54+T55+T56+T57+T58+T59+T60, "NA")</f>
        <v>269702.59999999998</v>
      </c>
      <c r="U62" s="15">
        <f>IFERROR(T62/T444, "NA")</f>
        <v>0.19700000013878249</v>
      </c>
      <c r="V62" s="2"/>
      <c r="W62" s="14">
        <f t="shared" si="14"/>
        <v>-58653.549999999959</v>
      </c>
      <c r="X62" s="15">
        <f>IFERROR(W62/W444, "NA")</f>
        <v>0.45548598694616582</v>
      </c>
      <c r="Y62" s="2"/>
      <c r="Z62" s="14">
        <f>IFERROR(Z42+Z43+Z44+Z46+Z47+Z48+Z49+Z50+Z51+Z52+Z53+Z54+Z55+Z56+Z57+Z58+Z59+Z60, "NA")</f>
        <v>227172.21</v>
      </c>
      <c r="AA62" s="15">
        <f>IFERROR(Z62/Z444, "NA")</f>
        <v>0.19034816256528475</v>
      </c>
      <c r="AB62" s="2"/>
      <c r="AC62" s="14">
        <f t="shared" si="15"/>
        <v>-16123.159999999974</v>
      </c>
      <c r="AD62" s="15">
        <f>IFERROR(AC62/AC444, "NA")</f>
        <v>-0.34435678451740326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1117.98</v>
      </c>
      <c r="C65" s="8">
        <f>IFERROR(B65/B444, "NA")</f>
        <v>1.0925251473396194E-2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1117.98</v>
      </c>
      <c r="I65" s="8">
        <f>IFERROR(H65/H444, "NA")</f>
        <v>-8.2326448617951339E-2</v>
      </c>
      <c r="J65" s="9"/>
      <c r="K65" s="7">
        <v>0</v>
      </c>
      <c r="L65" s="8">
        <f>IFERROR(K65/K444, "NA")</f>
        <v>0</v>
      </c>
      <c r="M65" s="9"/>
      <c r="N65" s="10">
        <f t="shared" si="17"/>
        <v>1117.98</v>
      </c>
      <c r="O65" s="8">
        <f>IFERROR(N65/N444, "NA")</f>
        <v>-4.561508017463038</v>
      </c>
      <c r="P65" s="9"/>
      <c r="Q65" s="7">
        <v>24443.67</v>
      </c>
      <c r="R65" s="8">
        <f>IFERROR(Q65/Q444, "NA")</f>
        <v>1.9708228652111904E-2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24443.67</v>
      </c>
      <c r="X65" s="8">
        <f>IFERROR(W65/W444, "NA")</f>
        <v>-0.18982225550774662</v>
      </c>
      <c r="Y65" s="9"/>
      <c r="Z65" s="7">
        <v>1212.95</v>
      </c>
      <c r="AA65" s="8">
        <f>IFERROR(Z65/Z444, "NA")</f>
        <v>1.0163338367116389E-3</v>
      </c>
      <c r="AB65" s="9"/>
      <c r="AC65" s="10">
        <f t="shared" si="19"/>
        <v>23230.719999999998</v>
      </c>
      <c r="AD65" s="8">
        <f>IFERROR(AC65/AC444, "NA")</f>
        <v>0.4961593162397534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48453.01</v>
      </c>
      <c r="R66" s="8">
        <f>IFERROR(Q66/Q444, "NA")</f>
        <v>3.9066269507118397E-2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48453.01</v>
      </c>
      <c r="X66" s="8">
        <f>IFERROR(W66/W444, "NA")</f>
        <v>-0.37627163369246119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48453.01</v>
      </c>
      <c r="AD66" s="8">
        <f>IFERROR(AC66/AC444, "NA")</f>
        <v>1.0348543786571376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1862.2</v>
      </c>
      <c r="C68" s="8">
        <f>IFERROR(B68/B444, "NA")</f>
        <v>1.8198002910390521E-2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1862.2</v>
      </c>
      <c r="I68" s="8">
        <f>IFERROR(H68/H444, "NA")</f>
        <v>-0.13712974526945829</v>
      </c>
      <c r="J68" s="9"/>
      <c r="K68" s="7">
        <v>0</v>
      </c>
      <c r="L68" s="8">
        <f>IFERROR(K68/K444, "NA")</f>
        <v>0</v>
      </c>
      <c r="M68" s="9"/>
      <c r="N68" s="10">
        <f t="shared" si="17"/>
        <v>1862.2</v>
      </c>
      <c r="O68" s="8">
        <f>IFERROR(N68/N444, "NA")</f>
        <v>-7.5980252152271683</v>
      </c>
      <c r="P68" s="9"/>
      <c r="Q68" s="7">
        <v>11392.92</v>
      </c>
      <c r="R68" s="8">
        <f>IFERROR(Q68/Q444, "NA")</f>
        <v>9.1857839831424159E-3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11392.92</v>
      </c>
      <c r="X68" s="8">
        <f>IFERROR(W68/W444, "NA")</f>
        <v>-8.8474020931362474E-2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11392.92</v>
      </c>
      <c r="AD68" s="8">
        <f>IFERROR(AC68/AC444, "NA")</f>
        <v>0.24332880759503847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2980.1800000000003</v>
      </c>
      <c r="C73" s="15">
        <f>IFERROR(B73/B444, "NA")</f>
        <v>2.9123254383786715E-2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2980.1800000000003</v>
      </c>
      <c r="I73" s="15">
        <f>IFERROR(H73/H444, "NA")</f>
        <v>-0.21945619388740964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2980.1800000000003</v>
      </c>
      <c r="O73" s="15">
        <f>IFERROR(N73/N444, "NA")</f>
        <v>-12.159533232690206</v>
      </c>
      <c r="P73" s="2"/>
      <c r="Q73" s="14">
        <f>IFERROR(Q64+Q65+Q66+Q67+Q68+Q69+Q70+Q71+Q72, "NA")</f>
        <v>84289.599999999991</v>
      </c>
      <c r="R73" s="15">
        <f>IFERROR(Q73/Q444, "NA")</f>
        <v>6.7960282142372708E-2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84289.599999999991</v>
      </c>
      <c r="X73" s="15">
        <f>IFERROR(W73/W444, "NA")</f>
        <v>-0.65456791013157023</v>
      </c>
      <c r="Y73" s="2"/>
      <c r="Z73" s="14">
        <f>IFERROR(Z64+Z65+Z66+Z67+Z68+Z69+Z70+Z71+Z72, "NA")</f>
        <v>1212.95</v>
      </c>
      <c r="AA73" s="15">
        <f>IFERROR(Z73/Z444, "NA")</f>
        <v>1.0163338367116389E-3</v>
      </c>
      <c r="AB73" s="2"/>
      <c r="AC73" s="14">
        <f t="shared" si="19"/>
        <v>83076.649999999994</v>
      </c>
      <c r="AD73" s="15">
        <f>IFERROR(AC73/AC444, "NA")</f>
        <v>1.7743425024919293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1738.65</v>
      </c>
      <c r="F75" s="8">
        <f>IFERROR(E75/E444, "NA")</f>
        <v>1.5000032352757211E-2</v>
      </c>
      <c r="G75" s="9"/>
      <c r="H75" s="10">
        <f t="shared" ref="H75:H92" si="20">IFERROR(B75-E75, "NA")</f>
        <v>-1738.65</v>
      </c>
      <c r="I75" s="8">
        <f>IFERROR(H75/H444, "NA")</f>
        <v>0.12803169993166344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20535.740000000002</v>
      </c>
      <c r="U75" s="8">
        <f>IFERROR(T75/T444, "NA")</f>
        <v>1.500000661042942E-2</v>
      </c>
      <c r="V75" s="9"/>
      <c r="W75" s="10">
        <f t="shared" ref="W75:W92" si="22">IFERROR(Q75-T75, "NA")</f>
        <v>-20535.740000000002</v>
      </c>
      <c r="X75" s="8">
        <f>IFERROR(W75/W444, "NA")</f>
        <v>0.15947443593047417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678.3</v>
      </c>
      <c r="C77" s="8">
        <f>IFERROR(B77/B444, "NA")</f>
        <v>6.628560505916598E-3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678.3</v>
      </c>
      <c r="I77" s="8">
        <f>IFERROR(H77/H444, "NA")</f>
        <v>-4.9949042109479945E-2</v>
      </c>
      <c r="J77" s="9"/>
      <c r="K77" s="7">
        <v>532.98</v>
      </c>
      <c r="L77" s="8">
        <f>IFERROR(K77/K444, "NA")</f>
        <v>5.1960029246892522E-3</v>
      </c>
      <c r="M77" s="9"/>
      <c r="N77" s="10">
        <f t="shared" si="21"/>
        <v>145.31999999999994</v>
      </c>
      <c r="O77" s="8">
        <f>IFERROR(N77/N444, "NA")</f>
        <v>-0.59292504794158063</v>
      </c>
      <c r="P77" s="9"/>
      <c r="Q77" s="7">
        <v>5529.64</v>
      </c>
      <c r="R77" s="8">
        <f>IFERROR(Q77/Q444, "NA")</f>
        <v>4.4583898196900902E-3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5529.64</v>
      </c>
      <c r="X77" s="8">
        <f>IFERROR(W77/W444, "NA")</f>
        <v>-4.2941536068268643E-2</v>
      </c>
      <c r="Y77" s="9"/>
      <c r="Z77" s="7">
        <v>1613.53</v>
      </c>
      <c r="AA77" s="8">
        <f>IFERROR(Z77/Z444, "NA")</f>
        <v>1.351980819942562E-3</v>
      </c>
      <c r="AB77" s="9"/>
      <c r="AC77" s="10">
        <f t="shared" si="23"/>
        <v>3916.1100000000006</v>
      </c>
      <c r="AD77" s="8">
        <f>IFERROR(AC77/AC444, "NA")</f>
        <v>8.3639872544615981E-2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3.7579927100471582E-5</v>
      </c>
      <c r="AB79" s="9"/>
      <c r="AC79" s="10">
        <f t="shared" si="23"/>
        <v>-44.85</v>
      </c>
      <c r="AD79" s="8">
        <f>IFERROR(AC79/AC444, "NA")</f>
        <v>-9.5790166354520841E-4</v>
      </c>
    </row>
    <row r="80" spans="1:30" ht="16.5" customHeight="1" x14ac:dyDescent="0.45">
      <c r="A80" s="12" t="s">
        <v>76</v>
      </c>
      <c r="B80" s="7">
        <v>1029.29</v>
      </c>
      <c r="C80" s="8">
        <f>IFERROR(B80/B444, "NA")</f>
        <v>1.0058544955233518E-2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1029.29</v>
      </c>
      <c r="I80" s="8">
        <f>IFERROR(H80/H444, "NA")</f>
        <v>-7.5795443834389811E-2</v>
      </c>
      <c r="J80" s="9"/>
      <c r="K80" s="7">
        <v>1310.31</v>
      </c>
      <c r="L80" s="8">
        <f>IFERROR(K80/K444, "NA")</f>
        <v>1.2774165244942725E-2</v>
      </c>
      <c r="M80" s="9"/>
      <c r="N80" s="10">
        <f t="shared" si="21"/>
        <v>-281.02</v>
      </c>
      <c r="O80" s="8">
        <f>IFERROR(N80/N444, "NA")</f>
        <v>1.1465992084540535</v>
      </c>
      <c r="P80" s="9"/>
      <c r="Q80" s="7">
        <v>12820.93</v>
      </c>
      <c r="R80" s="8">
        <f>IFERROR(Q80/Q444, "NA")</f>
        <v>1.0337147407599639E-2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12820.93</v>
      </c>
      <c r="X80" s="8">
        <f>IFERROR(W80/W444, "NA")</f>
        <v>-9.956352095683399E-2</v>
      </c>
      <c r="Y80" s="9"/>
      <c r="Z80" s="7">
        <v>15190.76</v>
      </c>
      <c r="AA80" s="8">
        <f>IFERROR(Z80/Z444, "NA")</f>
        <v>1.2728375772592188E-2</v>
      </c>
      <c r="AB80" s="9"/>
      <c r="AC80" s="10">
        <f t="shared" si="23"/>
        <v>-2369.83</v>
      </c>
      <c r="AD80" s="8">
        <f>IFERROR(AC80/AC444, "NA")</f>
        <v>-5.0614584154277394E-2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1707.59</v>
      </c>
      <c r="C88" s="15">
        <f>IFERROR(B88/B444, "NA")</f>
        <v>1.6687105461150115E-2</v>
      </c>
      <c r="D88" s="2"/>
      <c r="E88" s="14">
        <f>IFERROR(E75+E76+E77+E78+E79+E80+E81+E82+E83+E84+E85+E86+E87, "NA")</f>
        <v>1738.65</v>
      </c>
      <c r="F88" s="15">
        <f>IFERROR(E88/E444, "NA")</f>
        <v>1.5000032352757211E-2</v>
      </c>
      <c r="G88" s="2"/>
      <c r="H88" s="14">
        <f t="shared" si="20"/>
        <v>-31.060000000000173</v>
      </c>
      <c r="I88" s="15">
        <f>IFERROR(H88/H444, "NA")</f>
        <v>2.2872139877936838E-3</v>
      </c>
      <c r="J88" s="2"/>
      <c r="K88" s="14">
        <f>IFERROR(K75+K76+K77+K78+K79+K80+K81+K82+K83+K84+K85+K86+K87, "NA")</f>
        <v>1843.29</v>
      </c>
      <c r="L88" s="15">
        <f>IFERROR(K88/K444, "NA")</f>
        <v>1.7970168169631977E-2</v>
      </c>
      <c r="M88" s="2"/>
      <c r="N88" s="14">
        <f t="shared" si="21"/>
        <v>-135.70000000000005</v>
      </c>
      <c r="O88" s="15">
        <f>IFERROR(N88/N444, "NA")</f>
        <v>0.55367416051247287</v>
      </c>
      <c r="P88" s="2"/>
      <c r="Q88" s="14">
        <f>IFERROR(Q75+Q76+Q77+Q78+Q79+Q80+Q81+Q82+Q83+Q84+Q85+Q86+Q87, "NA")</f>
        <v>18350.57</v>
      </c>
      <c r="R88" s="15">
        <f>IFERROR(Q88/Q444, "NA")</f>
        <v>1.479553722728973E-2</v>
      </c>
      <c r="S88" s="2"/>
      <c r="T88" s="14">
        <f>IFERROR(T75+T76+T77+T78+T79+T80+T81+T82+T83+T84+T85+T86+T87, "NA")</f>
        <v>20535.740000000002</v>
      </c>
      <c r="U88" s="15">
        <f>IFERROR(T88/T444, "NA")</f>
        <v>1.500000661042942E-2</v>
      </c>
      <c r="V88" s="2"/>
      <c r="W88" s="14">
        <f t="shared" si="22"/>
        <v>-2185.1700000000019</v>
      </c>
      <c r="X88" s="15">
        <f>IFERROR(W88/W444, "NA")</f>
        <v>1.6969378905371538E-2</v>
      </c>
      <c r="Y88" s="2"/>
      <c r="Z88" s="14">
        <f>IFERROR(Z75+Z76+Z77+Z78+Z79+Z80+Z81+Z82+Z83+Z84+Z85+Z86+Z87, "NA")</f>
        <v>16849.14</v>
      </c>
      <c r="AA88" s="15">
        <f>IFERROR(Z88/Z444, "NA")</f>
        <v>1.4117936519635221E-2</v>
      </c>
      <c r="AB88" s="2"/>
      <c r="AC88" s="14">
        <f t="shared" si="23"/>
        <v>1501.4300000000003</v>
      </c>
      <c r="AD88" s="15">
        <f>IFERROR(AC88/AC444, "NA")</f>
        <v>3.2067386726793365E-2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0</v>
      </c>
      <c r="L89" s="8">
        <f>IFERROR(K89/K444, "NA")</f>
        <v>0</v>
      </c>
      <c r="M89" s="9"/>
      <c r="N89" s="10">
        <f t="shared" si="21"/>
        <v>0</v>
      </c>
      <c r="O89" s="8">
        <f>IFERROR(N89/N444, "NA")</f>
        <v>0</v>
      </c>
      <c r="P89" s="9"/>
      <c r="Q89" s="7">
        <v>37.69</v>
      </c>
      <c r="R89" s="8">
        <f>IFERROR(Q89/Q444, "NA")</f>
        <v>3.0388363854449748E-5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37.69</v>
      </c>
      <c r="X89" s="8">
        <f>IFERROR(W89/W444, "NA")</f>
        <v>-2.9268930606930017E-4</v>
      </c>
      <c r="Y89" s="9"/>
      <c r="Z89" s="7">
        <v>194.58</v>
      </c>
      <c r="AA89" s="8">
        <f>IFERROR(Z89/Z444, "NA")</f>
        <v>1.6303906834358439E-4</v>
      </c>
      <c r="AB89" s="9"/>
      <c r="AC89" s="10">
        <f t="shared" si="23"/>
        <v>-156.89000000000001</v>
      </c>
      <c r="AD89" s="8">
        <f>IFERROR(AC89/AC444, "NA")</f>
        <v>-3.3508404011952674E-3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-4984.12</v>
      </c>
      <c r="F94" s="8">
        <f>IFERROR(E94/E444, "NA")</f>
        <v>-4.3000006470551438E-2</v>
      </c>
      <c r="G94" s="9"/>
      <c r="H94" s="10">
        <f t="shared" ref="H94:H124" si="24">IFERROR(B94-E94, "NA")</f>
        <v>4984.12</v>
      </c>
      <c r="I94" s="8">
        <f>IFERROR(H94/H444, "NA")</f>
        <v>-0.36702347008506736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-58869.1</v>
      </c>
      <c r="U94" s="8">
        <f>IFERROR(T94/T444, "NA")</f>
        <v>-4.3000003367301615E-2</v>
      </c>
      <c r="V94" s="9"/>
      <c r="W94" s="10">
        <f t="shared" ref="W94:W124" si="26">IFERROR(Q94-T94, "NA")</f>
        <v>58869.1</v>
      </c>
      <c r="X94" s="8">
        <f>IFERROR(W94/W444, "NA")</f>
        <v>-0.45715988399905116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-1471.99</v>
      </c>
      <c r="C96" s="8">
        <f>IFERROR(B96/B444, "NA")</f>
        <v>-1.4384748310635668E-2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-1471.99</v>
      </c>
      <c r="I96" s="8">
        <f>IFERROR(H96/H444, "NA")</f>
        <v>0.10839523882461063</v>
      </c>
      <c r="J96" s="9"/>
      <c r="K96" s="7">
        <v>-851.03</v>
      </c>
      <c r="L96" s="8">
        <f>IFERROR(K96/K444, "NA")</f>
        <v>-8.2966609797708989E-3</v>
      </c>
      <c r="M96" s="9"/>
      <c r="N96" s="10">
        <f t="shared" si="25"/>
        <v>-620.96</v>
      </c>
      <c r="O96" s="8">
        <f>IFERROR(N96/N444, "NA")</f>
        <v>2.5335999020768245</v>
      </c>
      <c r="P96" s="9"/>
      <c r="Q96" s="7">
        <v>-12238.52</v>
      </c>
      <c r="R96" s="8">
        <f>IFERROR(Q96/Q444, "NA")</f>
        <v>-9.8675669620578495E-3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-12238.52</v>
      </c>
      <c r="X96" s="8">
        <f>IFERROR(W96/W444, "NA")</f>
        <v>9.5040698490720402E-2</v>
      </c>
      <c r="Y96" s="9"/>
      <c r="Z96" s="7">
        <v>-11384</v>
      </c>
      <c r="AA96" s="8">
        <f>IFERROR(Z96/Z444, "NA")</f>
        <v>-9.5386820537741012E-3</v>
      </c>
      <c r="AB96" s="9"/>
      <c r="AC96" s="10">
        <f t="shared" si="27"/>
        <v>-854.52000000000044</v>
      </c>
      <c r="AD96" s="8">
        <f>IFERROR(AC96/AC444, "NA")</f>
        <v>-1.825074982235567E-2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-2153.5300000000002</v>
      </c>
      <c r="C98" s="8">
        <f>IFERROR(B98/B444, "NA")</f>
        <v>-2.1044971113528783E-2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-2153.5300000000002</v>
      </c>
      <c r="I98" s="8">
        <f>IFERROR(H98/H444, "NA")</f>
        <v>0.15858286990126547</v>
      </c>
      <c r="J98" s="9"/>
      <c r="K98" s="7">
        <v>-2377.62</v>
      </c>
      <c r="L98" s="8">
        <f>IFERROR(K98/K444, "NA")</f>
        <v>-2.317933219595418E-2</v>
      </c>
      <c r="M98" s="9"/>
      <c r="N98" s="10">
        <f t="shared" si="25"/>
        <v>224.08999999999969</v>
      </c>
      <c r="O98" s="8">
        <f>IFERROR(N98/N444, "NA")</f>
        <v>-0.91431718960383079</v>
      </c>
      <c r="P98" s="9"/>
      <c r="Q98" s="7">
        <v>-30035.98</v>
      </c>
      <c r="R98" s="8">
        <f>IFERROR(Q98/Q444, "NA")</f>
        <v>-2.4217147491774359E-2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-30035.98</v>
      </c>
      <c r="X98" s="8">
        <f>IFERROR(W98/W444, "NA")</f>
        <v>0.23325046811651309</v>
      </c>
      <c r="Y98" s="9"/>
      <c r="Z98" s="7">
        <v>-31934.959999999999</v>
      </c>
      <c r="AA98" s="8">
        <f>IFERROR(Z98/Z444, "NA")</f>
        <v>-2.6758382803934801E-2</v>
      </c>
      <c r="AB98" s="9"/>
      <c r="AC98" s="10">
        <f t="shared" si="27"/>
        <v>1898.9799999999996</v>
      </c>
      <c r="AD98" s="8">
        <f>IFERROR(AC98/AC444, "NA")</f>
        <v>4.0558218529299431E-2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-27.08</v>
      </c>
      <c r="C100" s="8">
        <f>IFERROR(B100/B444, "NA")</f>
        <v>-2.6463425991481865E-4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-27.08</v>
      </c>
      <c r="I100" s="8">
        <f>IFERROR(H100/H444, "NA")</f>
        <v>1.9941324787331812E-3</v>
      </c>
      <c r="J100" s="9"/>
      <c r="K100" s="7">
        <v>-34.880000000000003</v>
      </c>
      <c r="L100" s="8">
        <f>IFERROR(K100/K444, "NA")</f>
        <v>-3.4004387033877652E-4</v>
      </c>
      <c r="M100" s="9"/>
      <c r="N100" s="10">
        <f t="shared" si="25"/>
        <v>7.8000000000000043</v>
      </c>
      <c r="O100" s="8">
        <f>IFERROR(N100/N444, "NA")</f>
        <v>-3.1825043861439126E-2</v>
      </c>
      <c r="P100" s="9"/>
      <c r="Q100" s="7">
        <v>-3389.27</v>
      </c>
      <c r="R100" s="8">
        <f>IFERROR(Q100/Q444, "NA")</f>
        <v>-2.7326709992297931E-3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-3389.27</v>
      </c>
      <c r="X100" s="8">
        <f>IFERROR(W100/W444, "NA")</f>
        <v>2.6320060609750517E-2</v>
      </c>
      <c r="Y100" s="9"/>
      <c r="Z100" s="7">
        <v>-2895.4</v>
      </c>
      <c r="AA100" s="8">
        <f>IFERROR(Z100/Z444, "NA")</f>
        <v>-2.4260628969165086E-3</v>
      </c>
      <c r="AB100" s="9"/>
      <c r="AC100" s="10">
        <f t="shared" si="27"/>
        <v>-493.86999999999989</v>
      </c>
      <c r="AD100" s="8">
        <f>IFERROR(AC100/AC444, "NA")</f>
        <v>-1.0548024405241292E-2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-244.38</v>
      </c>
      <c r="C102" s="8">
        <f>IFERROR(B102/B444, "NA")</f>
        <v>-2.3881580663952504E-3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-244.38</v>
      </c>
      <c r="I102" s="8">
        <f>IFERROR(H102/H444, "NA")</f>
        <v>1.7995793764874996E-2</v>
      </c>
      <c r="J102" s="9"/>
      <c r="K102" s="7">
        <v>-249.35</v>
      </c>
      <c r="L102" s="8">
        <f>IFERROR(K102/K444, "NA")</f>
        <v>-2.4309042164270046E-3</v>
      </c>
      <c r="M102" s="9"/>
      <c r="N102" s="10">
        <f t="shared" si="25"/>
        <v>4.9699999999999989</v>
      </c>
      <c r="O102" s="8">
        <f>IFERROR(N102/N444, "NA")</f>
        <v>-2.0278265127096452E-2</v>
      </c>
      <c r="P102" s="9"/>
      <c r="Q102" s="7">
        <v>-2887.67</v>
      </c>
      <c r="R102" s="8">
        <f>IFERROR(Q102/Q444, "NA")</f>
        <v>-2.328245334348074E-3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-2887.67</v>
      </c>
      <c r="X102" s="8">
        <f>IFERROR(W102/W444, "NA")</f>
        <v>2.2424784517302628E-2</v>
      </c>
      <c r="Y102" s="9"/>
      <c r="Z102" s="7">
        <v>-2979.08</v>
      </c>
      <c r="AA102" s="8">
        <f>IFERROR(Z102/Z444, "NA")</f>
        <v>-2.496178578070744E-3</v>
      </c>
      <c r="AB102" s="9"/>
      <c r="AC102" s="10">
        <f t="shared" si="27"/>
        <v>91.409999999999854</v>
      </c>
      <c r="AD102" s="8">
        <f>IFERROR(AC102/AC444, "NA")</f>
        <v>1.9523253303158831E-3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-494.31</v>
      </c>
      <c r="C104" s="8">
        <f>IFERROR(B104/B444, "NA")</f>
        <v>-4.830552474833604E-3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-494.31</v>
      </c>
      <c r="I104" s="8">
        <f>IFERROR(H104/H444, "NA")</f>
        <v>3.640028159389213E-2</v>
      </c>
      <c r="J104" s="9"/>
      <c r="K104" s="7">
        <v>-925.09</v>
      </c>
      <c r="L104" s="8">
        <f>IFERROR(K104/K444, "NA")</f>
        <v>-9.0186692663904462E-3</v>
      </c>
      <c r="M104" s="9"/>
      <c r="N104" s="10">
        <f t="shared" si="25"/>
        <v>430.78000000000003</v>
      </c>
      <c r="O104" s="8">
        <f>IFERROR(N104/N444, "NA")</f>
        <v>-1.7576400505936847</v>
      </c>
      <c r="P104" s="9"/>
      <c r="Q104" s="7">
        <v>-8286.86</v>
      </c>
      <c r="R104" s="8">
        <f>IFERROR(Q104/Q444, "NA")</f>
        <v>-6.6814570679460195E-3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-8286.86</v>
      </c>
      <c r="X104" s="8">
        <f>IFERROR(W104/W444, "NA")</f>
        <v>6.4353284767668911E-2</v>
      </c>
      <c r="Y104" s="9"/>
      <c r="Z104" s="7">
        <v>-11726.47</v>
      </c>
      <c r="AA104" s="8">
        <f>IFERROR(Z104/Z444, "NA")</f>
        <v>-9.8256385227618055E-3</v>
      </c>
      <c r="AB104" s="9"/>
      <c r="AC104" s="10">
        <f t="shared" si="27"/>
        <v>3439.6099999999988</v>
      </c>
      <c r="AD104" s="8">
        <f>IFERROR(AC104/AC444, "NA")</f>
        <v>7.3462834803717569E-2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-276.81</v>
      </c>
      <c r="C106" s="8">
        <f>IFERROR(B106/B444, "NA")</f>
        <v>-2.7050742055768446E-3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-276.81</v>
      </c>
      <c r="I106" s="8">
        <f>IFERROR(H106/H444, "NA")</f>
        <v>2.0383892593727176E-2</v>
      </c>
      <c r="J106" s="9"/>
      <c r="K106" s="7">
        <v>-265.5</v>
      </c>
      <c r="L106" s="8">
        <f>IFERROR(K106/K444, "NA")</f>
        <v>-2.5883499878137949E-3</v>
      </c>
      <c r="M106" s="9"/>
      <c r="N106" s="10">
        <f t="shared" si="25"/>
        <v>-11.310000000000002</v>
      </c>
      <c r="O106" s="8">
        <f>IFERROR(N106/N444, "NA")</f>
        <v>4.6146313599086719E-2</v>
      </c>
      <c r="P106" s="9"/>
      <c r="Q106" s="7">
        <v>-535.9</v>
      </c>
      <c r="R106" s="8">
        <f>IFERROR(Q106/Q444, "NA")</f>
        <v>-4.3208076915891798E-4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-535.9</v>
      </c>
      <c r="X106" s="8">
        <f>IFERROR(W106/W444, "NA")</f>
        <v>4.1616396689450243E-3</v>
      </c>
      <c r="Y106" s="9"/>
      <c r="Z106" s="7">
        <v>-3608.07</v>
      </c>
      <c r="AA106" s="8">
        <f>IFERROR(Z106/Z444, "NA")</f>
        <v>-3.0232108712017502E-3</v>
      </c>
      <c r="AB106" s="9"/>
      <c r="AC106" s="10">
        <f t="shared" si="27"/>
        <v>3072.17</v>
      </c>
      <c r="AD106" s="8">
        <f>IFERROR(AC106/AC444, "NA")</f>
        <v>6.5615089268532503E-2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-4.1895124972655052E-6</v>
      </c>
      <c r="AB108" s="9"/>
      <c r="AC108" s="10">
        <f t="shared" si="27"/>
        <v>5</v>
      </c>
      <c r="AD108" s="8">
        <f>IFERROR(AC108/AC444, "NA")</f>
        <v>1.0678948311540784E-4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-4668.1000000000013</v>
      </c>
      <c r="C118" s="15">
        <f>IFERROR(B118/B444, "NA")</f>
        <v>-4.5618138430884976E-2</v>
      </c>
      <c r="D118" s="2"/>
      <c r="E118" s="14">
        <f>IFERROR(E94+E95+E96+E97+E98+E99+E100+E101+E102+E103+E104+E105+E106+E107+E108+E109+E110+E111+E112+E113+E114+E115+E116+E117, "NA")</f>
        <v>-4984.12</v>
      </c>
      <c r="F118" s="15">
        <f>IFERROR(E118/E444, "NA")</f>
        <v>-4.3000006470551438E-2</v>
      </c>
      <c r="G118" s="2"/>
      <c r="H118" s="14">
        <f t="shared" si="24"/>
        <v>316.01999999999862</v>
      </c>
      <c r="I118" s="15">
        <f>IFERROR(H118/H444, "NA")</f>
        <v>-2.3271260927963708E-2</v>
      </c>
      <c r="J118" s="2"/>
      <c r="K118" s="14">
        <f>IFERROR(K94+K95+K96+K97+K98+K99+K100+K101+K102+K103+K104+K105+K106+K107+K108+K109+K110+K111+K112+K113+K114+K115+K116+K117, "NA")</f>
        <v>-4703.4699999999993</v>
      </c>
      <c r="L118" s="15">
        <f>IFERROR(K118/K444, "NA")</f>
        <v>-4.5853960516695096E-2</v>
      </c>
      <c r="M118" s="2"/>
      <c r="N118" s="14">
        <f t="shared" si="25"/>
        <v>35.369999999998072</v>
      </c>
      <c r="O118" s="15">
        <f>IFERROR(N118/N444, "NA")</f>
        <v>-0.14431433351013331</v>
      </c>
      <c r="P118" s="2"/>
      <c r="Q118" s="14">
        <f>IFERROR(Q94+Q95+Q96+Q97+Q98+Q99+Q100+Q101+Q102+Q103+Q104+Q105+Q106+Q107+Q108+Q109+Q110+Q111+Q112+Q113+Q114+Q115+Q116+Q117, "NA")</f>
        <v>-57374.2</v>
      </c>
      <c r="R118" s="15">
        <f>IFERROR(Q118/Q444, "NA")</f>
        <v>-4.6259168624515005E-2</v>
      </c>
      <c r="S118" s="2"/>
      <c r="T118" s="14">
        <f>IFERROR(T94+T95+T96+T97+T98+T99+T100+T101+T102+T103+T104+T105+T106+T107+T108+T109+T110+T111+T112+T113+T114+T115+T116+T117, "NA")</f>
        <v>-58869.1</v>
      </c>
      <c r="U118" s="15">
        <f>IFERROR(T118/T444, "NA")</f>
        <v>-4.3000003367301615E-2</v>
      </c>
      <c r="V118" s="2"/>
      <c r="W118" s="14">
        <f t="shared" si="26"/>
        <v>1494.9000000000015</v>
      </c>
      <c r="X118" s="15">
        <f>IFERROR(W118/W444, "NA")</f>
        <v>-1.1608947828150631E-2</v>
      </c>
      <c r="Y118" s="2"/>
      <c r="Z118" s="14">
        <f>IFERROR(Z94+Z95+Z96+Z97+Z98+Z99+Z100+Z101+Z102+Z103+Z104+Z105+Z106+Z107+Z108+Z109+Z110+Z111+Z112+Z113+Z114+Z115+Z116+Z117, "NA")</f>
        <v>-64532.98</v>
      </c>
      <c r="AA118" s="15">
        <f>IFERROR(Z118/Z444, "NA")</f>
        <v>-5.407234523915698E-2</v>
      </c>
      <c r="AB118" s="2"/>
      <c r="AC118" s="14">
        <f t="shared" si="27"/>
        <v>7158.7800000000061</v>
      </c>
      <c r="AD118" s="15">
        <f>IFERROR(AC118/AC444, "NA")</f>
        <v>0.152896483187384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102329.90999999999</v>
      </c>
      <c r="C122" s="15">
        <f>IFERROR(B122/B444, "NA")</f>
        <v>0.99999999999999989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115909.74999999999</v>
      </c>
      <c r="F122" s="15">
        <f>IFERROR(E122/E444, "NA")</f>
        <v>0.99999999999999989</v>
      </c>
      <c r="G122" s="2"/>
      <c r="H122" s="14">
        <f t="shared" si="24"/>
        <v>-13579.839999999997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102574.99999999999</v>
      </c>
      <c r="L122" s="15">
        <f>IFERROR(K122/K444, "NA")</f>
        <v>0.99999999999999989</v>
      </c>
      <c r="M122" s="2"/>
      <c r="N122" s="14">
        <f t="shared" si="25"/>
        <v>-245.08999999999651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1240277.3699999996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1369048.7299999997</v>
      </c>
      <c r="U122" s="15">
        <f>IFERROR(T122/T444, "NA")</f>
        <v>0.99999999999999978</v>
      </c>
      <c r="V122" s="2"/>
      <c r="W122" s="14">
        <f t="shared" si="26"/>
        <v>-128771.3600000001</v>
      </c>
      <c r="X122" s="15">
        <f>IFERROR(W122/W444, "NA")</f>
        <v>1.0000000000000018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1193456.28</v>
      </c>
      <c r="AA122" s="15">
        <f>IFERROR(Z122/Z444, "NA")</f>
        <v>1</v>
      </c>
      <c r="AB122" s="2"/>
      <c r="AC122" s="14">
        <f t="shared" si="27"/>
        <v>46821.089999999618</v>
      </c>
      <c r="AD122" s="15">
        <f>IFERROR(AC122/AC444, "NA")</f>
        <v>0.99999999999999001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102329.90999999999</v>
      </c>
      <c r="C124" s="15">
        <f>IFERROR(B124/B444, "NA")</f>
        <v>0.99999999999999989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115909.74999999999</v>
      </c>
      <c r="F124" s="15">
        <f>IFERROR(E124/E444, "NA")</f>
        <v>0.99999999999999989</v>
      </c>
      <c r="G124" s="2"/>
      <c r="H124" s="14">
        <f t="shared" si="24"/>
        <v>-13579.839999999997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102574.99999999999</v>
      </c>
      <c r="L124" s="15">
        <f>IFERROR(K124/K444, "NA")</f>
        <v>0.99999999999999989</v>
      </c>
      <c r="M124" s="2"/>
      <c r="N124" s="14">
        <f t="shared" si="25"/>
        <v>-245.08999999999651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1240277.3699999996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1369048.7299999997</v>
      </c>
      <c r="U124" s="15">
        <f>IFERROR(T124/T444, "NA")</f>
        <v>0.99999999999999978</v>
      </c>
      <c r="V124" s="2"/>
      <c r="W124" s="14">
        <f t="shared" si="26"/>
        <v>-128771.3600000001</v>
      </c>
      <c r="X124" s="15">
        <f>IFERROR(W124/W444, "NA")</f>
        <v>1.0000000000000018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1193456.28</v>
      </c>
      <c r="AA124" s="15">
        <f>IFERROR(Z124/Z444, "NA")</f>
        <v>1</v>
      </c>
      <c r="AB124" s="2"/>
      <c r="AC124" s="14">
        <f t="shared" si="27"/>
        <v>46821.089999999618</v>
      </c>
      <c r="AD124" s="15">
        <f>IFERROR(AC124/AC444, "NA")</f>
        <v>0.99999999999999001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25268.33</v>
      </c>
      <c r="F129" s="8">
        <f>IFERROR(E129/E444, "NA")</f>
        <v>0.21800003882330868</v>
      </c>
      <c r="G129" s="9"/>
      <c r="H129" s="10">
        <f t="shared" ref="H129:H141" si="28">IFERROR(-(B129-E129), "NA")</f>
        <v>25268.33</v>
      </c>
      <c r="I129" s="8">
        <f>IFERROR(H129/H444, "NA")</f>
        <v>-1.8607236904116697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312093.15999999997</v>
      </c>
      <c r="U129" s="8">
        <f>IFERROR(T129/T444, "NA")</f>
        <v>0.22796351449082458</v>
      </c>
      <c r="V129" s="9"/>
      <c r="W129" s="10">
        <f t="shared" ref="W129:W141" si="30">IFERROR(-(Q129-T129), "NA")</f>
        <v>312093.15999999997</v>
      </c>
      <c r="X129" s="8">
        <f>IFERROR(W129/W444, "NA")</f>
        <v>-2.4236224576645014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5948.26</v>
      </c>
      <c r="C130" s="8">
        <f>IFERROR(B130/B444, "NA")</f>
        <v>5.812826376960558E-2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-5948.26</v>
      </c>
      <c r="I130" s="8">
        <f>IFERROR(H130/H444, "NA")</f>
        <v>0.43802136107641931</v>
      </c>
      <c r="J130" s="9"/>
      <c r="K130" s="7">
        <v>6256.03</v>
      </c>
      <c r="L130" s="8">
        <f>IFERROR(K130/K444, "NA")</f>
        <v>6.0989812332439677E-2</v>
      </c>
      <c r="M130" s="9"/>
      <c r="N130" s="10">
        <f t="shared" si="29"/>
        <v>307.76999999999953</v>
      </c>
      <c r="O130" s="8">
        <f>IFERROR(N130/N444, "NA")</f>
        <v>-1.2557427883634742</v>
      </c>
      <c r="P130" s="9"/>
      <c r="Q130" s="7">
        <v>70336.83</v>
      </c>
      <c r="R130" s="8">
        <f>IFERROR(Q130/Q444, "NA")</f>
        <v>5.6710564669901216E-2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-70336.83</v>
      </c>
      <c r="X130" s="8">
        <f>IFERROR(W130/W444, "NA")</f>
        <v>0.54621485709244721</v>
      </c>
      <c r="Y130" s="9"/>
      <c r="Z130" s="7">
        <v>80372.3</v>
      </c>
      <c r="AA130" s="8">
        <f>IFERROR(Z130/Z444, "NA")</f>
        <v>6.7344151056794477E-2</v>
      </c>
      <c r="AB130" s="9"/>
      <c r="AC130" s="10">
        <f t="shared" si="31"/>
        <v>10035.470000000001</v>
      </c>
      <c r="AD130" s="8">
        <f>IFERROR(AC130/AC444, "NA")</f>
        <v>0.21433653082403642</v>
      </c>
    </row>
    <row r="131" spans="1:30" ht="16.5" customHeight="1" x14ac:dyDescent="0.45">
      <c r="A131" s="12" t="s">
        <v>123</v>
      </c>
      <c r="B131" s="7">
        <v>2958.73</v>
      </c>
      <c r="C131" s="8">
        <f>IFERROR(B131/B444, "NA")</f>
        <v>2.8913638251025529E-2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-2958.73</v>
      </c>
      <c r="I131" s="8">
        <f>IFERROR(H131/H444, "NA")</f>
        <v>0.21787664655842784</v>
      </c>
      <c r="J131" s="9"/>
      <c r="K131" s="7">
        <v>2538.06</v>
      </c>
      <c r="L131" s="8">
        <f>IFERROR(K131/K444, "NA")</f>
        <v>2.4743456007799172E-2</v>
      </c>
      <c r="M131" s="9"/>
      <c r="N131" s="10">
        <f t="shared" si="29"/>
        <v>-420.67000000000007</v>
      </c>
      <c r="O131" s="8">
        <f>IFERROR(N131/N444, "NA")</f>
        <v>1.7163898975886656</v>
      </c>
      <c r="P131" s="9"/>
      <c r="Q131" s="7">
        <v>38985.230000000003</v>
      </c>
      <c r="R131" s="8">
        <f>IFERROR(Q131/Q444, "NA")</f>
        <v>3.1432670580775007E-2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-38985.230000000003</v>
      </c>
      <c r="X131" s="8">
        <f>IFERROR(W131/W444, "NA")</f>
        <v>0.30274767619135218</v>
      </c>
      <c r="Y131" s="9"/>
      <c r="Z131" s="7">
        <v>38605.68</v>
      </c>
      <c r="AA131" s="8">
        <f>IFERROR(Z131/Z444, "NA")</f>
        <v>3.234779576508659E-2</v>
      </c>
      <c r="AB131" s="9"/>
      <c r="AC131" s="10">
        <f t="shared" si="31"/>
        <v>-379.55000000000291</v>
      </c>
      <c r="AD131" s="8">
        <f>IFERROR(AC131/AC444, "NA")</f>
        <v>-8.106389663290671E-3</v>
      </c>
    </row>
    <row r="132" spans="1:30" ht="16.5" customHeight="1" x14ac:dyDescent="0.45">
      <c r="A132" s="12" t="s">
        <v>124</v>
      </c>
      <c r="B132" s="7">
        <v>3056.37</v>
      </c>
      <c r="C132" s="8">
        <f>IFERROR(B132/B444, "NA")</f>
        <v>2.9867806978428887E-2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-3056.37</v>
      </c>
      <c r="I132" s="8">
        <f>IFERROR(H132/H444, "NA")</f>
        <v>0.22506671654452487</v>
      </c>
      <c r="J132" s="9"/>
      <c r="K132" s="7">
        <v>4016.08</v>
      </c>
      <c r="L132" s="8">
        <f>IFERROR(K132/K444, "NA")</f>
        <v>3.9152620034121371E-2</v>
      </c>
      <c r="M132" s="9"/>
      <c r="N132" s="10">
        <f t="shared" si="29"/>
        <v>959.71</v>
      </c>
      <c r="O132" s="8">
        <f>IFERROR(N132/N444, "NA")</f>
        <v>-3.9157452364438115</v>
      </c>
      <c r="P132" s="9"/>
      <c r="Q132" s="7">
        <v>56228.53</v>
      </c>
      <c r="R132" s="8">
        <f>IFERROR(Q132/Q444, "NA")</f>
        <v>4.5335447828093484E-2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-56228.53</v>
      </c>
      <c r="X132" s="8">
        <f>IFERROR(W132/W444, "NA")</f>
        <v>0.43665400443079933</v>
      </c>
      <c r="Y132" s="9"/>
      <c r="Z132" s="7">
        <v>42241.53</v>
      </c>
      <c r="AA132" s="8">
        <f>IFERROR(Z132/Z444, "NA")</f>
        <v>3.5394283567723152E-2</v>
      </c>
      <c r="AB132" s="9"/>
      <c r="AC132" s="10">
        <f t="shared" si="31"/>
        <v>-13987</v>
      </c>
      <c r="AD132" s="8">
        <f>IFERROR(AC132/AC444, "NA")</f>
        <v>-0.2987329000670419</v>
      </c>
    </row>
    <row r="133" spans="1:30" ht="16.5" customHeight="1" x14ac:dyDescent="0.45">
      <c r="A133" s="12" t="s">
        <v>125</v>
      </c>
      <c r="B133" s="7">
        <v>2760.51</v>
      </c>
      <c r="C133" s="8">
        <f>IFERROR(B133/B444, "NA")</f>
        <v>2.6976570193406796E-2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-2760.51</v>
      </c>
      <c r="I133" s="8">
        <f>IFERROR(H133/H444, "NA")</f>
        <v>0.20328000919009362</v>
      </c>
      <c r="J133" s="9"/>
      <c r="K133" s="7">
        <v>1884.31</v>
      </c>
      <c r="L133" s="8">
        <f>IFERROR(K133/K444, "NA")</f>
        <v>1.837007067999025E-2</v>
      </c>
      <c r="M133" s="9"/>
      <c r="N133" s="10">
        <f t="shared" si="29"/>
        <v>-876.20000000000027</v>
      </c>
      <c r="O133" s="8">
        <f>IFERROR(N133/N444, "NA")</f>
        <v>3.5750132604349942</v>
      </c>
      <c r="P133" s="9"/>
      <c r="Q133" s="7">
        <v>32485.98</v>
      </c>
      <c r="R133" s="8">
        <f>IFERROR(Q133/Q444, "NA")</f>
        <v>2.6192512083002849E-2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-32485.98</v>
      </c>
      <c r="X133" s="8">
        <f>IFERROR(W133/W444, "NA")</f>
        <v>0.25227643786630843</v>
      </c>
      <c r="Y133" s="9"/>
      <c r="Z133" s="7">
        <v>27103.27</v>
      </c>
      <c r="AA133" s="8">
        <f>IFERROR(Z133/Z444, "NA")</f>
        <v>2.2709897676352248E-2</v>
      </c>
      <c r="AB133" s="9"/>
      <c r="AC133" s="10">
        <f t="shared" si="31"/>
        <v>-5382.7099999999991</v>
      </c>
      <c r="AD133" s="8">
        <f>IFERROR(AC133/AC444, "NA")</f>
        <v>-0.11496336373202737</v>
      </c>
    </row>
    <row r="134" spans="1:30" ht="16.5" customHeight="1" x14ac:dyDescent="0.45">
      <c r="A134" s="12" t="s">
        <v>126</v>
      </c>
      <c r="B134" s="7">
        <v>1327.85</v>
      </c>
      <c r="C134" s="8">
        <f>IFERROR(B134/B444, "NA")</f>
        <v>1.2976166987736038E-2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-1327.85</v>
      </c>
      <c r="I134" s="8">
        <f>IFERROR(H134/H444, "NA")</f>
        <v>9.7780975328133485E-2</v>
      </c>
      <c r="J134" s="9"/>
      <c r="K134" s="7">
        <v>555.29</v>
      </c>
      <c r="L134" s="8">
        <f>IFERROR(K134/K444, "NA")</f>
        <v>5.4135023153789909E-3</v>
      </c>
      <c r="M134" s="9"/>
      <c r="N134" s="10">
        <f t="shared" si="29"/>
        <v>-772.56</v>
      </c>
      <c r="O134" s="8">
        <f>IFERROR(N134/N444, "NA")</f>
        <v>3.1521481904606916</v>
      </c>
      <c r="P134" s="9"/>
      <c r="Q134" s="7">
        <v>12675.57</v>
      </c>
      <c r="R134" s="8">
        <f>IFERROR(Q134/Q444, "NA")</f>
        <v>1.0219947816995161E-2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-12675.57</v>
      </c>
      <c r="X134" s="8">
        <f>IFERROR(W134/W444, "NA")</f>
        <v>9.8434698523025721E-2</v>
      </c>
      <c r="Y134" s="9"/>
      <c r="Z134" s="7">
        <v>14198</v>
      </c>
      <c r="AA134" s="8">
        <f>IFERROR(Z134/Z444, "NA")</f>
        <v>1.1896539687235128E-2</v>
      </c>
      <c r="AB134" s="9"/>
      <c r="AC134" s="10">
        <f t="shared" si="31"/>
        <v>1522.4300000000003</v>
      </c>
      <c r="AD134" s="8">
        <f>IFERROR(AC134/AC444, "NA")</f>
        <v>3.2515902555878079E-2</v>
      </c>
    </row>
    <row r="135" spans="1:30" ht="16.5" customHeight="1" x14ac:dyDescent="0.45">
      <c r="A135" s="12" t="s">
        <v>127</v>
      </c>
      <c r="B135" s="7">
        <v>721.36</v>
      </c>
      <c r="C135" s="8">
        <f>IFERROR(B135/B444, "NA")</f>
        <v>7.0493563416600289E-3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-721.36</v>
      </c>
      <c r="I135" s="8">
        <f>IFERROR(H135/H444, "NA")</f>
        <v>5.3119918938662032E-2</v>
      </c>
      <c r="J135" s="9"/>
      <c r="K135" s="7">
        <v>871.43</v>
      </c>
      <c r="L135" s="8">
        <f>IFERROR(K135/K444, "NA")</f>
        <v>8.4955398488910545E-3</v>
      </c>
      <c r="M135" s="9"/>
      <c r="N135" s="10">
        <f t="shared" si="29"/>
        <v>150.06999999999994</v>
      </c>
      <c r="O135" s="8">
        <f>IFERROR(N135/N444, "NA")</f>
        <v>-0.61230568362643145</v>
      </c>
      <c r="P135" s="9"/>
      <c r="Q135" s="7">
        <v>9596.34</v>
      </c>
      <c r="R135" s="8">
        <f>IFERROR(Q135/Q444, "NA")</f>
        <v>7.73725315975087E-3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-9596.34</v>
      </c>
      <c r="X135" s="8">
        <f>IFERROR(W135/W444, "NA")</f>
        <v>7.452231614234725E-2</v>
      </c>
      <c r="Y135" s="9"/>
      <c r="Z135" s="7">
        <v>9566.81</v>
      </c>
      <c r="AA135" s="8">
        <f>IFERROR(Z135/Z444, "NA")</f>
        <v>8.0160540107929203E-3</v>
      </c>
      <c r="AB135" s="9"/>
      <c r="AC135" s="10">
        <f t="shared" si="31"/>
        <v>-29.530000000000655</v>
      </c>
      <c r="AD135" s="8">
        <f>IFERROR(AC135/AC444, "NA")</f>
        <v>-6.3069868727961274E-4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922.69</v>
      </c>
      <c r="L136" s="8">
        <f>IFERROR(K136/K444, "NA")</f>
        <v>8.9952717523763097E-3</v>
      </c>
      <c r="M136" s="9"/>
      <c r="N136" s="10">
        <f t="shared" si="29"/>
        <v>922.69</v>
      </c>
      <c r="O136" s="8">
        <f>IFERROR(N136/N444, "NA")</f>
        <v>-3.7646986821168271</v>
      </c>
      <c r="P136" s="9"/>
      <c r="Q136" s="7">
        <v>5225.92</v>
      </c>
      <c r="R136" s="8">
        <f>IFERROR(Q136/Q444, "NA")</f>
        <v>4.2135091120786951E-3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4.0582937075449119E-2</v>
      </c>
      <c r="Y136" s="9"/>
      <c r="Z136" s="7">
        <v>10324.42</v>
      </c>
      <c r="AA136" s="8">
        <f>IFERROR(Z136/Z444, "NA")</f>
        <v>8.6508573234035848E-3</v>
      </c>
      <c r="AB136" s="9"/>
      <c r="AC136" s="10">
        <f t="shared" si="31"/>
        <v>5098.5</v>
      </c>
      <c r="AD136" s="8">
        <f>IFERROR(AC136/AC444, "NA")</f>
        <v>0.10889323593278138</v>
      </c>
    </row>
    <row r="137" spans="1:30" ht="16.5" customHeight="1" x14ac:dyDescent="0.45">
      <c r="A137" s="12" t="s">
        <v>129</v>
      </c>
      <c r="B137" s="7">
        <v>430.11</v>
      </c>
      <c r="C137" s="8">
        <f>IFERROR(B137/B444, "NA")</f>
        <v>4.2031699236322988E-3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-430.11</v>
      </c>
      <c r="I137" s="8">
        <f>IFERROR(H137/H444, "NA")</f>
        <v>3.167268539246413E-2</v>
      </c>
      <c r="J137" s="9"/>
      <c r="K137" s="7">
        <v>511.94</v>
      </c>
      <c r="L137" s="8">
        <f>IFERROR(K137/K444, "NA")</f>
        <v>4.9908847184986591E-3</v>
      </c>
      <c r="M137" s="9"/>
      <c r="N137" s="10">
        <f t="shared" si="29"/>
        <v>81.829999999999984</v>
      </c>
      <c r="O137" s="8">
        <f>IFERROR(N137/N444, "NA")</f>
        <v>-0.3338773511771233</v>
      </c>
      <c r="P137" s="9"/>
      <c r="Q137" s="7">
        <v>6658.39</v>
      </c>
      <c r="R137" s="8">
        <f>IFERROR(Q137/Q444, "NA")</f>
        <v>5.3684685063632174E-3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-6658.39</v>
      </c>
      <c r="X137" s="8">
        <f>IFERROR(W137/W444, "NA")</f>
        <v>5.1707072131567201E-2</v>
      </c>
      <c r="Y137" s="9"/>
      <c r="Z137" s="7">
        <v>6398.99</v>
      </c>
      <c r="AA137" s="8">
        <f>IFERROR(Z137/Z444, "NA")</f>
        <v>5.3617297149753983E-3</v>
      </c>
      <c r="AB137" s="9"/>
      <c r="AC137" s="10">
        <f t="shared" si="31"/>
        <v>-259.40000000000055</v>
      </c>
      <c r="AD137" s="8">
        <f>IFERROR(AC137/AC444, "NA")</f>
        <v>-5.5402383840273709E-3</v>
      </c>
    </row>
    <row r="138" spans="1:30" ht="16.5" customHeight="1" x14ac:dyDescent="0.45">
      <c r="A138" s="12" t="s">
        <v>130</v>
      </c>
      <c r="B138" s="7">
        <v>8010.04</v>
      </c>
      <c r="C138" s="8">
        <f>IFERROR(B138/B444, "NA")</f>
        <v>7.8276625084493873E-2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-8010.04</v>
      </c>
      <c r="I138" s="8">
        <f>IFERROR(H138/H444, "NA")</f>
        <v>0.58984789216956912</v>
      </c>
      <c r="J138" s="9"/>
      <c r="K138" s="7">
        <v>5915.91</v>
      </c>
      <c r="L138" s="8">
        <f>IFERROR(K138/K444, "NA")</f>
        <v>5.7673994638069701E-2</v>
      </c>
      <c r="M138" s="9"/>
      <c r="N138" s="10">
        <f t="shared" si="29"/>
        <v>-2094.13</v>
      </c>
      <c r="O138" s="8">
        <f>IFERROR(N138/N444, "NA")</f>
        <v>8.5443306540455755</v>
      </c>
      <c r="P138" s="9"/>
      <c r="Q138" s="7">
        <v>79092.59</v>
      </c>
      <c r="R138" s="8">
        <f>IFERROR(Q138/Q444, "NA")</f>
        <v>6.3770082332470515E-2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-79092.59</v>
      </c>
      <c r="X138" s="8">
        <f>IFERROR(W138/W444, "NA")</f>
        <v>0.61420947949916871</v>
      </c>
      <c r="Y138" s="9"/>
      <c r="Z138" s="7">
        <v>60717.39</v>
      </c>
      <c r="AA138" s="8">
        <f>IFERROR(Z138/Z444, "NA")</f>
        <v>5.0875252841268724E-2</v>
      </c>
      <c r="AB138" s="9"/>
      <c r="AC138" s="10">
        <f t="shared" si="31"/>
        <v>-18375.199999999997</v>
      </c>
      <c r="AD138" s="8">
        <f>IFERROR(AC138/AC444, "NA")</f>
        <v>-0.39245562202844836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1.0393342603216266E-4</v>
      </c>
      <c r="AB140" s="9"/>
      <c r="AC140" s="10">
        <f t="shared" si="31"/>
        <v>124.04</v>
      </c>
      <c r="AD140" s="8">
        <f>IFERROR(AC140/AC444, "NA")</f>
        <v>2.6492334971270379E-3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25213.230000000003</v>
      </c>
      <c r="C141" s="15">
        <f>IFERROR(B141/B444, "NA")</f>
        <v>0.24639159752998904</v>
      </c>
      <c r="D141" s="2"/>
      <c r="E141" s="14">
        <f>IFERROR(E129+E130+E131+E132+E133+E134+E135+E136+E137+E138+E139+E140, "NA")</f>
        <v>25268.33</v>
      </c>
      <c r="F141" s="15">
        <f>IFERROR(E141/E444, "NA")</f>
        <v>0.21800003882330868</v>
      </c>
      <c r="G141" s="2"/>
      <c r="H141" s="14">
        <f t="shared" si="28"/>
        <v>55.099999999998545</v>
      </c>
      <c r="I141" s="15">
        <f>IFERROR(H141/H444, "NA")</f>
        <v>-4.0574852133750143E-3</v>
      </c>
      <c r="J141" s="2"/>
      <c r="K141" s="14">
        <f>IFERROR(K129+K130+K131+K132+K133+K134+K135+K136+K137+K138+K139+K140, "NA")</f>
        <v>23471.739999999998</v>
      </c>
      <c r="L141" s="15">
        <f>IFERROR(K141/K444, "NA")</f>
        <v>0.22882515232756517</v>
      </c>
      <c r="M141" s="2"/>
      <c r="N141" s="14">
        <f t="shared" si="29"/>
        <v>-1741.4900000000052</v>
      </c>
      <c r="O141" s="15">
        <f>IFERROR(N141/N444, "NA")</f>
        <v>7.1055122608022767</v>
      </c>
      <c r="P141" s="2"/>
      <c r="Q141" s="14">
        <f>IFERROR(Q129+Q130+Q131+Q132+Q133+Q134+Q135+Q136+Q137+Q138+Q139+Q140, "NA")</f>
        <v>311285.38</v>
      </c>
      <c r="R141" s="15">
        <f>IFERROR(Q141/Q444, "NA")</f>
        <v>0.25098045608943104</v>
      </c>
      <c r="S141" s="2"/>
      <c r="T141" s="14">
        <f>IFERROR(T129+T130+T131+T132+T133+T134+T135+T136+T137+T138+T139+T140, "NA")</f>
        <v>312093.15999999997</v>
      </c>
      <c r="U141" s="15">
        <f>IFERROR(T141/T444, "NA")</f>
        <v>0.22796351449082458</v>
      </c>
      <c r="V141" s="2"/>
      <c r="W141" s="14">
        <f t="shared" si="30"/>
        <v>807.77999999996973</v>
      </c>
      <c r="X141" s="15">
        <f>IFERROR(W141/W444, "NA")</f>
        <v>-6.2729787120363607E-3</v>
      </c>
      <c r="Y141" s="2"/>
      <c r="Z141" s="14">
        <f>IFERROR(Z129+Z130+Z131+Z132+Z133+Z134+Z135+Z136+Z137+Z138+Z139+Z140, "NA")</f>
        <v>289652.43</v>
      </c>
      <c r="AA141" s="15">
        <f>IFERROR(Z141/Z444, "NA")</f>
        <v>0.24270049506966437</v>
      </c>
      <c r="AB141" s="2"/>
      <c r="AC141" s="14">
        <f t="shared" si="31"/>
        <v>-21632.950000000012</v>
      </c>
      <c r="AD141" s="15">
        <f>IFERROR(AC141/AC444, "NA")</f>
        <v>-0.46203430975229265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1607.75</v>
      </c>
      <c r="C144" s="8">
        <f>IFERROR(B144/B444, "NA")</f>
        <v>1.5711437643207152E-2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-1607.75</v>
      </c>
      <c r="I144" s="8">
        <f>IFERROR(H144/H444, "NA")</f>
        <v>0.11839241110351818</v>
      </c>
      <c r="J144" s="9"/>
      <c r="K144" s="7">
        <v>1598.28</v>
      </c>
      <c r="L144" s="8">
        <f>IFERROR(K144/K444, "NA")</f>
        <v>1.5581574457713868E-2</v>
      </c>
      <c r="M144" s="9"/>
      <c r="N144" s="10">
        <f t="shared" si="33"/>
        <v>-9.4700000000000273</v>
      </c>
      <c r="O144" s="8">
        <f>IFERROR(N144/N444, "NA")</f>
        <v>3.86388673548499E-2</v>
      </c>
      <c r="P144" s="9"/>
      <c r="Q144" s="7">
        <v>18236.57</v>
      </c>
      <c r="R144" s="8">
        <f>IFERROR(Q144/Q444, "NA")</f>
        <v>1.4703622303452976E-2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-18236.57</v>
      </c>
      <c r="X144" s="8">
        <f>IFERROR(W144/W444, "NA")</f>
        <v>0.14161976700409173</v>
      </c>
      <c r="Y144" s="9"/>
      <c r="Z144" s="7">
        <v>14665.09</v>
      </c>
      <c r="AA144" s="8">
        <f>IFERROR(Z144/Z444, "NA")</f>
        <v>1.2287915565704677E-2</v>
      </c>
      <c r="AB144" s="9"/>
      <c r="AC144" s="10">
        <f t="shared" si="35"/>
        <v>-3571.4799999999996</v>
      </c>
      <c r="AD144" s="8">
        <f>IFERROR(AC144/AC444, "NA")</f>
        <v>-7.6279300631403354E-2</v>
      </c>
    </row>
    <row r="145" spans="1:30" ht="16.5" customHeight="1" x14ac:dyDescent="0.45">
      <c r="A145" s="12" t="s">
        <v>136</v>
      </c>
      <c r="B145" s="7">
        <v>-9.09</v>
      </c>
      <c r="C145" s="8">
        <f>IFERROR(B145/B444, "NA")</f>
        <v>-8.8830333184110091E-5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9.09</v>
      </c>
      <c r="I145" s="8">
        <f>IFERROR(H145/H444, "NA")</f>
        <v>-6.6937460235172149E-4</v>
      </c>
      <c r="J145" s="9"/>
      <c r="K145" s="7">
        <v>65.28</v>
      </c>
      <c r="L145" s="8">
        <f>IFERROR(K145/K444, "NA")</f>
        <v>6.3641238118449916E-4</v>
      </c>
      <c r="M145" s="9"/>
      <c r="N145" s="10">
        <f t="shared" si="33"/>
        <v>74.37</v>
      </c>
      <c r="O145" s="8">
        <f>IFERROR(N145/N444, "NA")</f>
        <v>-0.30343955281733676</v>
      </c>
      <c r="P145" s="9"/>
      <c r="Q145" s="7">
        <v>564.1</v>
      </c>
      <c r="R145" s="8">
        <f>IFERROR(Q145/Q444, "NA")</f>
        <v>4.5481761873958885E-4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-564.1</v>
      </c>
      <c r="X145" s="8">
        <f>IFERROR(W145/W444, "NA")</f>
        <v>4.3806324636161383E-3</v>
      </c>
      <c r="Y145" s="9"/>
      <c r="Z145" s="7">
        <v>1059.3599999999999</v>
      </c>
      <c r="AA145" s="8">
        <f>IFERROR(Z145/Z444, "NA")</f>
        <v>8.87640391820637E-4</v>
      </c>
      <c r="AB145" s="9"/>
      <c r="AC145" s="10">
        <f t="shared" si="35"/>
        <v>495.25999999999988</v>
      </c>
      <c r="AD145" s="8">
        <f>IFERROR(AC145/AC444, "NA")</f>
        <v>1.0577711881547375E-2</v>
      </c>
    </row>
    <row r="146" spans="1:30" ht="16.5" customHeight="1" x14ac:dyDescent="0.45">
      <c r="A146" s="12" t="s">
        <v>137</v>
      </c>
      <c r="B146" s="7">
        <v>-30.18</v>
      </c>
      <c r="C146" s="8">
        <f>IFERROR(B146/B444, "NA")</f>
        <v>-2.9492843294790351E-4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30.18</v>
      </c>
      <c r="I146" s="8">
        <f>IFERROR(H146/H444, "NA")</f>
        <v>-2.2224120460918543E-3</v>
      </c>
      <c r="J146" s="9"/>
      <c r="K146" s="7">
        <v>132.72999999999999</v>
      </c>
      <c r="L146" s="8">
        <f>IFERROR(K146/K444, "NA")</f>
        <v>1.2939800146234462E-3</v>
      </c>
      <c r="M146" s="9"/>
      <c r="N146" s="10">
        <f t="shared" si="33"/>
        <v>162.91</v>
      </c>
      <c r="O146" s="8">
        <f>IFERROR(N146/N444, "NA")</f>
        <v>-0.66469460198295449</v>
      </c>
      <c r="P146" s="9"/>
      <c r="Q146" s="7">
        <v>881.28</v>
      </c>
      <c r="R146" s="8">
        <f>IFERROR(Q146/Q444, "NA")</f>
        <v>7.1055073753381463E-4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-881.28</v>
      </c>
      <c r="X146" s="8">
        <f>IFERROR(W146/W444, "NA")</f>
        <v>6.8437578045304551E-3</v>
      </c>
      <c r="Y146" s="9"/>
      <c r="Z146" s="7">
        <v>2237.94</v>
      </c>
      <c r="AA146" s="8">
        <f>IFERROR(Z146/Z444, "NA")</f>
        <v>1.875175519626073E-3</v>
      </c>
      <c r="AB146" s="9"/>
      <c r="AC146" s="10">
        <f t="shared" si="35"/>
        <v>1356.66</v>
      </c>
      <c r="AD146" s="8">
        <f>IFERROR(AC146/AC444, "NA")</f>
        <v>2.8975404032669842E-2</v>
      </c>
    </row>
    <row r="147" spans="1:30" ht="16.5" customHeight="1" x14ac:dyDescent="0.45">
      <c r="A147" s="12" t="s">
        <v>138</v>
      </c>
      <c r="B147" s="7">
        <v>37.39</v>
      </c>
      <c r="C147" s="8">
        <f>IFERROR(B147/B444, "NA")</f>
        <v>3.6538681603452987E-4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-37.39</v>
      </c>
      <c r="I147" s="8">
        <f>IFERROR(H147/H444, "NA")</f>
        <v>2.7533461366260584E-3</v>
      </c>
      <c r="J147" s="9"/>
      <c r="K147" s="7">
        <v>17.54</v>
      </c>
      <c r="L147" s="8">
        <f>IFERROR(K147/K444, "NA")</f>
        <v>1.7099683158664392E-4</v>
      </c>
      <c r="M147" s="9"/>
      <c r="N147" s="10">
        <f t="shared" si="33"/>
        <v>-19.850000000000001</v>
      </c>
      <c r="O147" s="8">
        <f>IFERROR(N147/N444, "NA")</f>
        <v>8.0990656493534152E-2</v>
      </c>
      <c r="P147" s="9"/>
      <c r="Q147" s="7">
        <v>208.64</v>
      </c>
      <c r="R147" s="8">
        <f>IFERROR(Q147/Q444, "NA")</f>
        <v>1.6822043604649496E-4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-208.64</v>
      </c>
      <c r="X147" s="8">
        <f>IFERROR(W147/W444, "NA")</f>
        <v>1.6202360524886915E-3</v>
      </c>
      <c r="Y147" s="9"/>
      <c r="Z147" s="7">
        <v>323.17</v>
      </c>
      <c r="AA147" s="8">
        <f>IFERROR(Z147/Z444, "NA")</f>
        <v>2.7078495074825865E-4</v>
      </c>
      <c r="AB147" s="9"/>
      <c r="AC147" s="10">
        <f t="shared" si="35"/>
        <v>114.53000000000003</v>
      </c>
      <c r="AD147" s="8">
        <f>IFERROR(AC147/AC444, "NA")</f>
        <v>2.4461199002415329E-3</v>
      </c>
    </row>
    <row r="148" spans="1:30" ht="16.5" customHeight="1" x14ac:dyDescent="0.45">
      <c r="A148" s="13" t="s">
        <v>139</v>
      </c>
      <c r="B148" s="14">
        <f>IFERROR(B143+B144+B145+B146+B147, "NA")</f>
        <v>1605.8700000000001</v>
      </c>
      <c r="C148" s="15">
        <f>IFERROR(B148/B444, "NA")</f>
        <v>1.5693065693109669E-2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-1605.8700000000001</v>
      </c>
      <c r="I148" s="15">
        <f>IFERROR(H148/H444, "NA")</f>
        <v>0.11825397059170067</v>
      </c>
      <c r="J148" s="2"/>
      <c r="K148" s="14">
        <f>IFERROR(K143+K144+K145+K146+K147, "NA")</f>
        <v>1813.83</v>
      </c>
      <c r="L148" s="15">
        <f>IFERROR(K148/K444, "NA")</f>
        <v>1.7682963685108456E-2</v>
      </c>
      <c r="M148" s="2"/>
      <c r="N148" s="14">
        <f t="shared" si="33"/>
        <v>207.95999999999981</v>
      </c>
      <c r="O148" s="15">
        <f>IFERROR(N148/N444, "NA")</f>
        <v>-0.84850463095190654</v>
      </c>
      <c r="P148" s="2"/>
      <c r="Q148" s="14">
        <f>IFERROR(Q143+Q144+Q145+Q146+Q147, "NA")</f>
        <v>19890.589999999997</v>
      </c>
      <c r="R148" s="15">
        <f>IFERROR(Q148/Q444, "NA")</f>
        <v>1.6037211095772871E-2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-19890.589999999997</v>
      </c>
      <c r="X148" s="15">
        <f>IFERROR(W148/W444, "NA")</f>
        <v>0.154464393324727</v>
      </c>
      <c r="Y148" s="2"/>
      <c r="Z148" s="14">
        <f>IFERROR(Z143+Z144+Z145+Z146+Z147, "NA")</f>
        <v>18285.559999999998</v>
      </c>
      <c r="AA148" s="15">
        <f>IFERROR(Z148/Z444, "NA")</f>
        <v>1.5321516427899643E-2</v>
      </c>
      <c r="AB148" s="2"/>
      <c r="AC148" s="14">
        <f t="shared" si="35"/>
        <v>-1605.0299999999988</v>
      </c>
      <c r="AD148" s="15">
        <f>IFERROR(AC148/AC444, "NA")</f>
        <v>-3.4280064816944587E-2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26819.100000000002</v>
      </c>
      <c r="C149" s="15">
        <f>IFERROR(B149/B444, "NA")</f>
        <v>0.2620846632230987</v>
      </c>
      <c r="D149" s="2"/>
      <c r="E149" s="14">
        <f>IFERROR(E127+E129+E130+E131+E132+E133+E134+E135+E136+E137+E138+E139+E140+E143+E144+E145+E146+E147, "NA")</f>
        <v>25268.33</v>
      </c>
      <c r="F149" s="15">
        <f>IFERROR(E149/E444, "NA")</f>
        <v>0.21800003882330868</v>
      </c>
      <c r="G149" s="2"/>
      <c r="H149" s="14">
        <f t="shared" si="32"/>
        <v>-1550.7700000000004</v>
      </c>
      <c r="I149" s="15">
        <f>IFERROR(H149/H444, "NA")</f>
        <v>0.11419648537832558</v>
      </c>
      <c r="J149" s="2"/>
      <c r="K149" s="14">
        <f>IFERROR(K127+K129+K130+K131+K132+K133+K134+K135+K136+K137+K138+K139+K140+K143+K144+K145+K146+K147, "NA")</f>
        <v>25285.569999999996</v>
      </c>
      <c r="L149" s="15">
        <f>IFERROR(K149/K444, "NA")</f>
        <v>0.24650811601267361</v>
      </c>
      <c r="M149" s="2"/>
      <c r="N149" s="14">
        <f t="shared" si="33"/>
        <v>-1533.5300000000061</v>
      </c>
      <c r="O149" s="15">
        <f>IFERROR(N149/N444, "NA")</f>
        <v>6.2570076298503734</v>
      </c>
      <c r="P149" s="2"/>
      <c r="Q149" s="14">
        <f>IFERROR(Q127+Q129+Q130+Q131+Q132+Q133+Q134+Q135+Q136+Q137+Q138+Q139+Q140+Q143+Q144+Q145+Q146+Q147, "NA")</f>
        <v>331175.97000000003</v>
      </c>
      <c r="R149" s="15">
        <f>IFERROR(Q149/Q444, "NA")</f>
        <v>0.26701766718520392</v>
      </c>
      <c r="S149" s="2"/>
      <c r="T149" s="14">
        <f>IFERROR(T127+T129+T130+T131+T132+T133+T134+T135+T136+T137+T138+T139+T140+T143+T144+T145+T146+T147, "NA")</f>
        <v>312093.15999999997</v>
      </c>
      <c r="U149" s="15">
        <f>IFERROR(T149/T444, "NA")</f>
        <v>0.22796351449082458</v>
      </c>
      <c r="V149" s="2"/>
      <c r="W149" s="14">
        <f t="shared" si="34"/>
        <v>-19082.810000000056</v>
      </c>
      <c r="X149" s="15">
        <f>IFERROR(W149/W444, "NA")</f>
        <v>0.14819141461269086</v>
      </c>
      <c r="Y149" s="2"/>
      <c r="Z149" s="14">
        <f>IFERROR(Z127+Z129+Z130+Z131+Z132+Z133+Z134+Z135+Z136+Z137+Z138+Z139+Z140+Z143+Z144+Z145+Z146+Z147, "NA")</f>
        <v>307937.99</v>
      </c>
      <c r="AA149" s="15">
        <f>IFERROR(Z149/Z444, "NA")</f>
        <v>0.25802201149756404</v>
      </c>
      <c r="AB149" s="2"/>
      <c r="AC149" s="14">
        <f t="shared" si="35"/>
        <v>-23237.98000000004</v>
      </c>
      <c r="AD149" s="15">
        <f>IFERROR(AC149/AC444, "NA")</f>
        <v>-0.49631437456923788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1970.47</v>
      </c>
      <c r="F153" s="8">
        <f>IFERROR(E153/E444, "NA")</f>
        <v>1.7000036666458173E-2</v>
      </c>
      <c r="G153" s="9"/>
      <c r="H153" s="10">
        <f t="shared" ref="H153:H158" si="36">IFERROR(-(B153-E153), "NA")</f>
        <v>1970.47</v>
      </c>
      <c r="I153" s="8">
        <f>IFERROR(H153/H444, "NA")</f>
        <v>-0.14510259325588523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23802.73</v>
      </c>
      <c r="U153" s="8">
        <f>IFERROR(T153/T444, "NA")</f>
        <v>1.7386327804416429E-2</v>
      </c>
      <c r="V153" s="9"/>
      <c r="W153" s="10">
        <f t="shared" ref="W153:W158" si="38">IFERROR(-(Q153-T153), "NA")</f>
        <v>23802.73</v>
      </c>
      <c r="X153" s="8">
        <f>IFERROR(W153/W444, "NA")</f>
        <v>-0.1848449065071614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3048.39</v>
      </c>
      <c r="C154" s="8">
        <f>IFERROR(B154/B444, "NA")</f>
        <v>2.9789823913653396E-2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-3048.39</v>
      </c>
      <c r="I154" s="8">
        <f>IFERROR(H154/H444, "NA")</f>
        <v>0.22447908075500159</v>
      </c>
      <c r="J154" s="9"/>
      <c r="K154" s="7">
        <v>3285.23</v>
      </c>
      <c r="L154" s="8">
        <f>IFERROR(K154/K444, "NA")</f>
        <v>3.2027589568608336E-2</v>
      </c>
      <c r="M154" s="9"/>
      <c r="N154" s="10">
        <f t="shared" si="37"/>
        <v>236.84000000000015</v>
      </c>
      <c r="O154" s="8">
        <f>IFERROR(N154/N444, "NA")</f>
        <v>-0.96633889591580036</v>
      </c>
      <c r="P154" s="9"/>
      <c r="Q154" s="7">
        <v>40764.68</v>
      </c>
      <c r="R154" s="8">
        <f>IFERROR(Q154/Q444, "NA")</f>
        <v>3.2867389977453185E-2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-40764.68</v>
      </c>
      <c r="X154" s="8">
        <f>IFERROR(W154/W444, "NA")</f>
        <v>0.31656635450615761</v>
      </c>
      <c r="Y154" s="9"/>
      <c r="Z154" s="7">
        <v>40106.44</v>
      </c>
      <c r="AA154" s="8">
        <f>IFERROR(Z154/Z444, "NA")</f>
        <v>3.3605286320165829E-2</v>
      </c>
      <c r="AB154" s="9"/>
      <c r="AC154" s="10">
        <f t="shared" si="39"/>
        <v>-658.23999999999796</v>
      </c>
      <c r="AD154" s="8">
        <f>IFERROR(AC154/AC444, "NA")</f>
        <v>-1.4058621873177168E-2</v>
      </c>
    </row>
    <row r="155" spans="1:30" ht="16.5" customHeight="1" x14ac:dyDescent="0.45">
      <c r="A155" s="12" t="s">
        <v>144</v>
      </c>
      <c r="B155" s="7">
        <v>1161.5899999999999</v>
      </c>
      <c r="C155" s="8">
        <f>IFERROR(B155/B444, "NA")</f>
        <v>1.1351422081774526E-2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-1161.5899999999999</v>
      </c>
      <c r="I155" s="8">
        <f>IFERROR(H155/H444, "NA")</f>
        <v>8.553782666069705E-2</v>
      </c>
      <c r="J155" s="9"/>
      <c r="K155" s="7">
        <v>1030.3599999999999</v>
      </c>
      <c r="L155" s="8">
        <f>IFERROR(K155/K444, "NA")</f>
        <v>1.0044942724835484E-2</v>
      </c>
      <c r="M155" s="9"/>
      <c r="N155" s="10">
        <f t="shared" si="37"/>
        <v>-131.23000000000002</v>
      </c>
      <c r="O155" s="8">
        <f>IFERROR(N155/N444, "NA")</f>
        <v>0.53543596229957113</v>
      </c>
      <c r="P155" s="9"/>
      <c r="Q155" s="7">
        <v>12827.73</v>
      </c>
      <c r="R155" s="8">
        <f>IFERROR(Q155/Q444, "NA")</f>
        <v>1.0342630052179376E-2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-12827.73</v>
      </c>
      <c r="X155" s="8">
        <f>IFERROR(W155/W444, "NA")</f>
        <v>9.9616327730017079E-2</v>
      </c>
      <c r="Y155" s="9"/>
      <c r="Z155" s="7">
        <v>14155.99</v>
      </c>
      <c r="AA155" s="8">
        <f>IFERROR(Z155/Z444, "NA")</f>
        <v>1.1861339403233103E-2</v>
      </c>
      <c r="AB155" s="9"/>
      <c r="AC155" s="10">
        <f t="shared" si="39"/>
        <v>1328.2600000000002</v>
      </c>
      <c r="AD155" s="8">
        <f>IFERROR(AC155/AC444, "NA")</f>
        <v>2.8368839768574329E-2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-3.3239592153304518E-5</v>
      </c>
      <c r="AB156" s="9"/>
      <c r="AC156" s="10">
        <f t="shared" si="39"/>
        <v>-39.67</v>
      </c>
      <c r="AD156" s="8">
        <f>IFERROR(AC156/AC444, "NA")</f>
        <v>-8.4726775903764585E-4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4209.9799999999996</v>
      </c>
      <c r="C158" s="15">
        <f>IFERROR(B158/B444, "NA")</f>
        <v>4.1141245995427921E-2</v>
      </c>
      <c r="D158" s="2"/>
      <c r="E158" s="14">
        <f>IFERROR(E153+E154+E155+E156+E157, "NA")</f>
        <v>1970.47</v>
      </c>
      <c r="F158" s="15">
        <f>IFERROR(E158/E444, "NA")</f>
        <v>1.7000036666458173E-2</v>
      </c>
      <c r="G158" s="2"/>
      <c r="H158" s="14">
        <f t="shared" si="36"/>
        <v>-2239.5099999999993</v>
      </c>
      <c r="I158" s="15">
        <f>IFERROR(H158/H444, "NA")</f>
        <v>0.16491431415981336</v>
      </c>
      <c r="J158" s="2"/>
      <c r="K158" s="14">
        <f>IFERROR(K153+K154+K155+K156+K157, "NA")</f>
        <v>4315.59</v>
      </c>
      <c r="L158" s="15">
        <f>IFERROR(K158/K444, "NA")</f>
        <v>4.2072532293443821E-2</v>
      </c>
      <c r="M158" s="2"/>
      <c r="N158" s="14">
        <f t="shared" si="37"/>
        <v>105.61000000000058</v>
      </c>
      <c r="O158" s="15">
        <f>IFERROR(N158/N444, "NA")</f>
        <v>-0.43090293361623111</v>
      </c>
      <c r="P158" s="2"/>
      <c r="Q158" s="14">
        <f>IFERROR(Q153+Q154+Q155+Q156+Q157, "NA")</f>
        <v>53592.41</v>
      </c>
      <c r="R158" s="15">
        <f>IFERROR(Q158/Q444, "NA")</f>
        <v>4.3210020029632562E-2</v>
      </c>
      <c r="S158" s="2"/>
      <c r="T158" s="14">
        <f>IFERROR(T153+T154+T155+T156+T157, "NA")</f>
        <v>23802.73</v>
      </c>
      <c r="U158" s="15">
        <f>IFERROR(T158/T444, "NA")</f>
        <v>1.7386327804416429E-2</v>
      </c>
      <c r="V158" s="2"/>
      <c r="W158" s="14">
        <f t="shared" si="38"/>
        <v>-29789.680000000004</v>
      </c>
      <c r="X158" s="15">
        <f>IFERROR(W158/W444, "NA")</f>
        <v>0.23133777572901329</v>
      </c>
      <c r="Y158" s="2"/>
      <c r="Z158" s="14">
        <f>IFERROR(Z153+Z154+Z155+Z156+Z157, "NA")</f>
        <v>54222.76</v>
      </c>
      <c r="AA158" s="15">
        <f>IFERROR(Z158/Z444, "NA")</f>
        <v>4.5433386131245632E-2</v>
      </c>
      <c r="AB158" s="2"/>
      <c r="AC158" s="14">
        <f t="shared" si="39"/>
        <v>630.34999999999854</v>
      </c>
      <c r="AD158" s="15">
        <f>IFERROR(AC158/AC444, "NA")</f>
        <v>1.3462950136359435E-2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506.2</v>
      </c>
      <c r="C161" s="8">
        <f>IFERROR(B161/B444, "NA")</f>
        <v>4.946745286886307E-3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-506.2</v>
      </c>
      <c r="I161" s="8">
        <f>IFERROR(H161/H444, "NA")</f>
        <v>3.7275844192567818E-2</v>
      </c>
      <c r="J161" s="9"/>
      <c r="K161" s="7">
        <v>212.65</v>
      </c>
      <c r="L161" s="8">
        <f>IFERROR(K161/K444, "NA")</f>
        <v>2.073117231294175E-3</v>
      </c>
      <c r="M161" s="9"/>
      <c r="N161" s="10">
        <f t="shared" si="41"/>
        <v>-293.54999999999995</v>
      </c>
      <c r="O161" s="8">
        <f>IFERROR(N161/N444, "NA")</f>
        <v>1.1977232853237756</v>
      </c>
      <c r="P161" s="9"/>
      <c r="Q161" s="7">
        <v>4580.43</v>
      </c>
      <c r="R161" s="8">
        <f>IFERROR(Q161/Q444, "NA")</f>
        <v>3.6930690753472347E-3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-4580.43</v>
      </c>
      <c r="X161" s="8">
        <f>IFERROR(W161/W444, "NA")</f>
        <v>3.5570254131042839E-2</v>
      </c>
      <c r="Y161" s="9"/>
      <c r="Z161" s="7">
        <v>3671.16</v>
      </c>
      <c r="AA161" s="8">
        <f>IFERROR(Z161/Z444, "NA")</f>
        <v>3.076074139892246E-3</v>
      </c>
      <c r="AB161" s="9"/>
      <c r="AC161" s="10">
        <f t="shared" si="43"/>
        <v>-909.27000000000044</v>
      </c>
      <c r="AD161" s="8">
        <f>IFERROR(AC161/AC444, "NA")</f>
        <v>-1.9420094662469387E-2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506.2</v>
      </c>
      <c r="C166" s="15">
        <f>IFERROR(B166/B444, "NA")</f>
        <v>4.946745286886307E-3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-506.2</v>
      </c>
      <c r="I166" s="15">
        <f>IFERROR(H166/H444, "NA")</f>
        <v>3.7275844192567818E-2</v>
      </c>
      <c r="J166" s="2"/>
      <c r="K166" s="14">
        <f>IFERROR(K160+K161+K162+K163+K164+K165, "NA")</f>
        <v>212.65</v>
      </c>
      <c r="L166" s="15">
        <f>IFERROR(K166/K444, "NA")</f>
        <v>2.073117231294175E-3</v>
      </c>
      <c r="M166" s="2"/>
      <c r="N166" s="14">
        <f t="shared" si="41"/>
        <v>-293.54999999999995</v>
      </c>
      <c r="O166" s="15">
        <f>IFERROR(N166/N444, "NA")</f>
        <v>1.1977232853237756</v>
      </c>
      <c r="P166" s="2"/>
      <c r="Q166" s="14">
        <f>IFERROR(Q160+Q161+Q162+Q163+Q164+Q165, "NA")</f>
        <v>4580.43</v>
      </c>
      <c r="R166" s="15">
        <f>IFERROR(Q166/Q444, "NA")</f>
        <v>3.6930690753472347E-3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-4580.43</v>
      </c>
      <c r="X166" s="15">
        <f>IFERROR(W166/W444, "NA")</f>
        <v>3.5570254131042839E-2</v>
      </c>
      <c r="Y166" s="2"/>
      <c r="Z166" s="14">
        <f>IFERROR(Z160+Z161+Z162+Z163+Z164+Z165, "NA")</f>
        <v>3671.16</v>
      </c>
      <c r="AA166" s="15">
        <f>IFERROR(Z166/Z444, "NA")</f>
        <v>3.076074139892246E-3</v>
      </c>
      <c r="AB166" s="2"/>
      <c r="AC166" s="14">
        <f t="shared" si="43"/>
        <v>-909.27000000000044</v>
      </c>
      <c r="AD166" s="15">
        <f>IFERROR(AC166/AC444, "NA")</f>
        <v>-1.9420094662469387E-2</v>
      </c>
    </row>
    <row r="167" spans="1:30" ht="16.5" customHeight="1" x14ac:dyDescent="0.45">
      <c r="A167" s="6" t="s">
        <v>155</v>
      </c>
      <c r="B167" s="7">
        <v>123.09</v>
      </c>
      <c r="C167" s="8">
        <f>IFERROR(B167/B444, "NA")</f>
        <v>1.2028741156911015E-3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-123.09</v>
      </c>
      <c r="I167" s="8">
        <f>IFERROR(H167/H444, "NA")</f>
        <v>9.0641715955416292E-3</v>
      </c>
      <c r="J167" s="9"/>
      <c r="K167" s="7">
        <v>94.07</v>
      </c>
      <c r="L167" s="8">
        <f>IFERROR(K167/K444, "NA")</f>
        <v>9.1708505971240548E-4</v>
      </c>
      <c r="M167" s="9"/>
      <c r="N167" s="10">
        <f t="shared" si="41"/>
        <v>-29.02000000000001</v>
      </c>
      <c r="O167" s="8">
        <f>IFERROR(N167/N444, "NA")</f>
        <v>0.11840548369986709</v>
      </c>
      <c r="P167" s="9"/>
      <c r="Q167" s="7">
        <v>1332.1</v>
      </c>
      <c r="R167" s="8">
        <f>IFERROR(Q167/Q444, "NA")</f>
        <v>1.0740339477450917E-3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-1332.1</v>
      </c>
      <c r="X167" s="8">
        <f>IFERROR(W167/W444, "NA")</f>
        <v>1.0344691552531567E-2</v>
      </c>
      <c r="Y167" s="9"/>
      <c r="Z167" s="7">
        <v>1337.1</v>
      </c>
      <c r="AA167" s="8">
        <f>IFERROR(Z167/Z444, "NA")</f>
        <v>1.1203594320187413E-3</v>
      </c>
      <c r="AB167" s="9"/>
      <c r="AC167" s="10">
        <f t="shared" si="43"/>
        <v>5</v>
      </c>
      <c r="AD167" s="8">
        <f>IFERROR(AC167/AC444, "NA")</f>
        <v>1.0678948311540784E-4</v>
      </c>
    </row>
    <row r="168" spans="1:30" ht="16.5" customHeight="1" x14ac:dyDescent="0.45">
      <c r="A168" s="6" t="s">
        <v>156</v>
      </c>
      <c r="B168" s="7">
        <v>27.31</v>
      </c>
      <c r="C168" s="8">
        <f>IFERROR(B168/B444, "NA")</f>
        <v>2.6688189210759587E-4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-27.31</v>
      </c>
      <c r="I168" s="8">
        <f>IFERROR(H168/H444, "NA")</f>
        <v>2.0110693498597925E-3</v>
      </c>
      <c r="J168" s="9"/>
      <c r="K168" s="7">
        <v>44.6</v>
      </c>
      <c r="L168" s="8">
        <f>IFERROR(K168/K444, "NA")</f>
        <v>4.3480380209602734E-4</v>
      </c>
      <c r="M168" s="9"/>
      <c r="N168" s="10">
        <f t="shared" si="41"/>
        <v>17.290000000000003</v>
      </c>
      <c r="O168" s="8">
        <f>IFERROR(N168/N444, "NA")</f>
        <v>-7.0545513892856695E-2</v>
      </c>
      <c r="P168" s="9"/>
      <c r="Q168" s="7">
        <v>526.91</v>
      </c>
      <c r="R168" s="8">
        <f>IFERROR(Q168/Q444, "NA")</f>
        <v>4.2483239051600201E-4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-526.91</v>
      </c>
      <c r="X168" s="8">
        <f>IFERROR(W168/W444, "NA")</f>
        <v>4.0918260085161832E-3</v>
      </c>
      <c r="Y168" s="9"/>
      <c r="Z168" s="7">
        <v>530.5</v>
      </c>
      <c r="AA168" s="8">
        <f>IFERROR(Z168/Z444, "NA")</f>
        <v>4.445072759598701E-4</v>
      </c>
      <c r="AB168" s="9"/>
      <c r="AC168" s="10">
        <f t="shared" si="43"/>
        <v>3.5900000000000318</v>
      </c>
      <c r="AD168" s="8">
        <f>IFERROR(AC168/AC444, "NA")</f>
        <v>7.6674848876863514E-5</v>
      </c>
    </row>
    <row r="169" spans="1:30" ht="16.5" customHeight="1" x14ac:dyDescent="0.45">
      <c r="A169" s="6" t="s">
        <v>157</v>
      </c>
      <c r="B169" s="7">
        <v>-1160.96</v>
      </c>
      <c r="C169" s="8">
        <f>IFERROR(B169/B444, "NA")</f>
        <v>-1.1345265524029093E-2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1160.96</v>
      </c>
      <c r="I169" s="8">
        <f>IFERROR(H169/H444, "NA")</f>
        <v>-8.5491434361524163E-2</v>
      </c>
      <c r="J169" s="9"/>
      <c r="K169" s="7">
        <v>-2823.39</v>
      </c>
      <c r="L169" s="8">
        <f>IFERROR(K169/K444, "NA")</f>
        <v>-2.7525127955154764E-2</v>
      </c>
      <c r="M169" s="9"/>
      <c r="N169" s="10">
        <f t="shared" si="41"/>
        <v>-1662.4299999999998</v>
      </c>
      <c r="O169" s="8">
        <f>IFERROR(N169/N444, "NA")</f>
        <v>6.7829368803297712</v>
      </c>
      <c r="P169" s="9"/>
      <c r="Q169" s="7">
        <v>-20637.21</v>
      </c>
      <c r="R169" s="8">
        <f>IFERROR(Q169/Q444, "NA")</f>
        <v>-1.6639189345202678E-2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20637.21</v>
      </c>
      <c r="X169" s="8">
        <f>IFERROR(W169/W444, "NA")</f>
        <v>-0.1602624217061932</v>
      </c>
      <c r="Y169" s="9"/>
      <c r="Z169" s="7">
        <v>-34187.760000000002</v>
      </c>
      <c r="AA169" s="8">
        <f>IFERROR(Z169/Z444, "NA")</f>
        <v>-2.8646009554702749E-2</v>
      </c>
      <c r="AB169" s="9"/>
      <c r="AC169" s="10">
        <f t="shared" si="43"/>
        <v>-13550.550000000003</v>
      </c>
      <c r="AD169" s="8">
        <f>IFERROR(AC169/AC444, "NA")</f>
        <v>-0.28941124608589802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3705.62</v>
      </c>
      <c r="C170" s="15">
        <f>IFERROR(B170/B444, "NA")</f>
        <v>3.6212481766083833E-2</v>
      </c>
      <c r="D170" s="2"/>
      <c r="E170" s="14">
        <f>IFERROR(E151+E153+E154+E155+E156+E157+E160+E161+E162+E163+E164+E165+E167+E168+E169, "NA")</f>
        <v>1970.47</v>
      </c>
      <c r="F170" s="15">
        <f>IFERROR(E170/E444, "NA")</f>
        <v>1.7000036666458173E-2</v>
      </c>
      <c r="G170" s="2"/>
      <c r="H170" s="14">
        <f t="shared" si="40"/>
        <v>-1735.1499999999999</v>
      </c>
      <c r="I170" s="15">
        <f>IFERROR(H170/H444, "NA")</f>
        <v>0.12777396493625848</v>
      </c>
      <c r="J170" s="2"/>
      <c r="K170" s="14">
        <f>IFERROR(K151+K153+K154+K155+K156+K157+K160+K161+K162+K163+K164+K165+K167+K168+K169, "NA")</f>
        <v>1843.52</v>
      </c>
      <c r="L170" s="15">
        <f>IFERROR(K170/K444, "NA")</f>
        <v>1.7972410431391663E-2</v>
      </c>
      <c r="M170" s="2"/>
      <c r="N170" s="14">
        <f t="shared" si="41"/>
        <v>-1862.1</v>
      </c>
      <c r="O170" s="15">
        <f>IFERROR(N170/N444, "NA")</f>
        <v>7.5976172018443284</v>
      </c>
      <c r="P170" s="2"/>
      <c r="Q170" s="14">
        <f>IFERROR(Q151+Q153+Q154+Q155+Q156+Q157+Q160+Q161+Q162+Q163+Q164+Q165+Q167+Q168+Q169, "NA")</f>
        <v>39394.640000000007</v>
      </c>
      <c r="R170" s="15">
        <f>IFERROR(Q170/Q444, "NA")</f>
        <v>3.1762766098038221E-2</v>
      </c>
      <c r="S170" s="2"/>
      <c r="T170" s="14">
        <f>IFERROR(T151+T153+T154+T155+T156+T157+T160+T161+T162+T163+T164+T165+T167+T168+T169, "NA")</f>
        <v>23802.73</v>
      </c>
      <c r="U170" s="15">
        <f>IFERROR(T170/T444, "NA")</f>
        <v>1.7386327804416429E-2</v>
      </c>
      <c r="V170" s="2"/>
      <c r="W170" s="14">
        <f t="shared" si="42"/>
        <v>-15591.910000000007</v>
      </c>
      <c r="X170" s="15">
        <f>IFERROR(W170/W444, "NA")</f>
        <v>0.1210821257149107</v>
      </c>
      <c r="Y170" s="2"/>
      <c r="Z170" s="14">
        <f>IFERROR(Z151+Z153+Z154+Z155+Z156+Z157+Z160+Z161+Z162+Z163+Z164+Z165+Z167+Z168+Z169, "NA")</f>
        <v>25573.759999999995</v>
      </c>
      <c r="AA170" s="15">
        <f>IFERROR(Z170/Z444, "NA")</f>
        <v>2.1428317424413732E-2</v>
      </c>
      <c r="AB170" s="2"/>
      <c r="AC170" s="14">
        <f t="shared" si="43"/>
        <v>-13820.880000000012</v>
      </c>
      <c r="AD170" s="15">
        <f>IFERROR(AC170/AC444, "NA")</f>
        <v>-0.29518492628001586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30524.720000000005</v>
      </c>
      <c r="C171" s="15">
        <f>IFERROR(B171/B444, "NA")</f>
        <v>0.29829714498918258</v>
      </c>
      <c r="D171" s="2"/>
      <c r="E171" s="14">
        <f>IFERROR(E127+E129+E130+E131+E132+E133+E134+E135+E136+E137+E138+E139+E140+E143+E144+E145+E146+E147+E151+E153+E154+E155+E156+E157+E160+E161+E162+E163+E164+E165+E167+E168+E169, "NA")</f>
        <v>27238.800000000003</v>
      </c>
      <c r="F171" s="15">
        <f>IFERROR(E171/E444, "NA")</f>
        <v>0.23500007548976684</v>
      </c>
      <c r="G171" s="2"/>
      <c r="H171" s="14">
        <f t="shared" si="40"/>
        <v>-3285.9200000000019</v>
      </c>
      <c r="I171" s="15">
        <f>IFERROR(H171/H444, "NA")</f>
        <v>0.24197045031458417</v>
      </c>
      <c r="J171" s="2"/>
      <c r="K171" s="14">
        <f>IFERROR(K127+K129+K130+K131+K132+K133+K134+K135+K136+K137+K138+K139+K140+K143+K144+K145+K146+K147+K151+K153+K154+K155+K156+K157+K160+K161+K162+K163+K164+K165+K167+K168+K169, "NA")</f>
        <v>27129.089999999997</v>
      </c>
      <c r="L171" s="15">
        <f>IFERROR(K171/K444, "NA")</f>
        <v>0.26448052644406528</v>
      </c>
      <c r="M171" s="2"/>
      <c r="N171" s="14">
        <f t="shared" si="41"/>
        <v>-3395.6300000000083</v>
      </c>
      <c r="O171" s="15">
        <f>IFERROR(N171/N444, "NA")</f>
        <v>13.854624831694711</v>
      </c>
      <c r="P171" s="2"/>
      <c r="Q171" s="14">
        <f>IFERROR(Q127+Q129+Q130+Q131+Q132+Q133+Q134+Q135+Q136+Q137+Q138+Q139+Q140+Q143+Q144+Q145+Q146+Q147+Q151+Q153+Q154+Q155+Q156+Q157+Q160+Q161+Q162+Q163+Q164+Q165+Q167+Q168+Q169, "NA")</f>
        <v>370570.60999999993</v>
      </c>
      <c r="R171" s="15">
        <f>IFERROR(Q171/Q444, "NA")</f>
        <v>0.29878043328324205</v>
      </c>
      <c r="S171" s="2"/>
      <c r="T171" s="14">
        <f>IFERROR(T127+T129+T130+T131+T132+T133+T134+T135+T136+T137+T138+T139+T140+T143+T144+T145+T146+T147+T151+T153+T154+T155+T156+T157+T160+T161+T162+T163+T164+T165+T167+T168+T169, "NA")</f>
        <v>335895.88999999996</v>
      </c>
      <c r="U171" s="15">
        <f>IFERROR(T171/T444, "NA")</f>
        <v>0.24534984229524098</v>
      </c>
      <c r="V171" s="2"/>
      <c r="W171" s="14">
        <f t="shared" si="42"/>
        <v>-34674.719999999972</v>
      </c>
      <c r="X171" s="15">
        <f>IFERROR(W171/W444, "NA")</f>
        <v>0.26927354032760087</v>
      </c>
      <c r="Y171" s="2"/>
      <c r="Z171" s="14">
        <f>IFERROR(Z127+Z129+Z130+Z131+Z132+Z133+Z134+Z135+Z136+Z137+Z138+Z139+Z140+Z143+Z144+Z145+Z146+Z147+Z151+Z153+Z154+Z155+Z156+Z157+Z160+Z161+Z162+Z163+Z164+Z165+Z167+Z168+Z169, "NA")</f>
        <v>333511.74999999994</v>
      </c>
      <c r="AA171" s="15">
        <f>IFERROR(Z171/Z444, "NA")</f>
        <v>0.27945032892197774</v>
      </c>
      <c r="AB171" s="2"/>
      <c r="AC171" s="14">
        <f t="shared" si="43"/>
        <v>-37058.859999999986</v>
      </c>
      <c r="AD171" s="15">
        <f>IFERROR(AC171/AC444, "NA")</f>
        <v>-0.79149930084925235</v>
      </c>
    </row>
    <row r="172" spans="1:30" ht="16.5" customHeight="1" x14ac:dyDescent="0.45">
      <c r="A172" s="22" t="s">
        <v>160</v>
      </c>
      <c r="B172" s="23">
        <f>IFERROR(B124-B171, "NA")</f>
        <v>71805.189999999988</v>
      </c>
      <c r="C172" s="24">
        <f>IFERROR(B172/B444, "NA")</f>
        <v>0.70170285501081731</v>
      </c>
      <c r="D172" s="25"/>
      <c r="E172" s="23">
        <f>IFERROR(E124-E171, "NA")</f>
        <v>88670.949999999983</v>
      </c>
      <c r="F172" s="24">
        <f>IFERROR(E172/E444, "NA")</f>
        <v>0.76499992451023302</v>
      </c>
      <c r="G172" s="25"/>
      <c r="H172" s="23">
        <f>IFERROR(B172-E172, "NA")</f>
        <v>-16865.759999999995</v>
      </c>
      <c r="I172" s="24">
        <f>IFERROR(H172/H444, "NA")</f>
        <v>1.2419704503145839</v>
      </c>
      <c r="J172" s="25"/>
      <c r="K172" s="23">
        <f>IFERROR(K124-K171, "NA")</f>
        <v>75445.909999999989</v>
      </c>
      <c r="L172" s="24">
        <f>IFERROR(K172/K444, "NA")</f>
        <v>0.73551947355593461</v>
      </c>
      <c r="M172" s="25"/>
      <c r="N172" s="23">
        <f>IFERROR(B172-K172, "NA")</f>
        <v>-3640.7200000000012</v>
      </c>
      <c r="O172" s="24">
        <f>IFERROR(N172/N444, "NA")</f>
        <v>14.854624831694696</v>
      </c>
      <c r="P172" s="25"/>
      <c r="Q172" s="23">
        <f>IFERROR(Q124-Q171, "NA")</f>
        <v>869706.75999999978</v>
      </c>
      <c r="R172" s="24">
        <f>IFERROR(Q172/Q444, "NA")</f>
        <v>0.70121956671675767</v>
      </c>
      <c r="S172" s="25"/>
      <c r="T172" s="23">
        <f>IFERROR(T124-T171, "NA")</f>
        <v>1033152.8399999999</v>
      </c>
      <c r="U172" s="24">
        <f>IFERROR(T172/T444, "NA")</f>
        <v>0.75465015770475885</v>
      </c>
      <c r="V172" s="25"/>
      <c r="W172" s="23">
        <f>IFERROR(Q172-T172, "NA")</f>
        <v>-163446.08000000007</v>
      </c>
      <c r="X172" s="24">
        <f>IFERROR(W172/W444, "NA")</f>
        <v>1.2692735403276028</v>
      </c>
      <c r="Y172" s="25"/>
      <c r="Z172" s="23">
        <f>IFERROR(Z124-Z171, "NA")</f>
        <v>859944.53</v>
      </c>
      <c r="AA172" s="24">
        <f>IFERROR(Z172/Z444, "NA")</f>
        <v>0.72054967107802226</v>
      </c>
      <c r="AB172" s="25"/>
      <c r="AC172" s="23">
        <f>IFERROR(Q172-Z172, "NA")</f>
        <v>9762.2299999997485</v>
      </c>
      <c r="AD172" s="24">
        <f>IFERROR(AC172/AC444, "NA")</f>
        <v>0.20850069915074021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5.0740980813918431E-2</v>
      </c>
      <c r="D178" s="9"/>
      <c r="E178" s="7">
        <v>5461.54</v>
      </c>
      <c r="F178" s="8">
        <f>IFERROR(E178/E444, "NA")</f>
        <v>4.7118900696447023E-2</v>
      </c>
      <c r="G178" s="9"/>
      <c r="H178" s="10">
        <f t="shared" si="44"/>
        <v>269.22000000000025</v>
      </c>
      <c r="I178" s="8">
        <f>IFERROR(H178/H444, "NA")</f>
        <v>-1.9824975846549027E-2</v>
      </c>
      <c r="J178" s="9"/>
      <c r="K178" s="7">
        <v>5192.32</v>
      </c>
      <c r="L178" s="8">
        <f>IFERROR(K178/K444, "NA")</f>
        <v>5.0619741652449424E-2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60734.76</v>
      </c>
      <c r="R178" s="8">
        <f>IFERROR(Q178/Q444, "NA")</f>
        <v>4.8968691575820657E-2</v>
      </c>
      <c r="S178" s="9"/>
      <c r="T178" s="7">
        <v>64173.08</v>
      </c>
      <c r="U178" s="8">
        <f>IFERROR(T178/T444, "NA")</f>
        <v>4.6874211701726648E-2</v>
      </c>
      <c r="V178" s="9"/>
      <c r="W178" s="10">
        <f t="shared" si="46"/>
        <v>3438.3199999999997</v>
      </c>
      <c r="X178" s="8">
        <f>IFERROR(W178/W444, "NA")</f>
        <v>-2.6700968289843356E-2</v>
      </c>
      <c r="Y178" s="9"/>
      <c r="Z178" s="7">
        <v>61009.760000000002</v>
      </c>
      <c r="AA178" s="8">
        <f>IFERROR(Z178/Z444, "NA")</f>
        <v>5.1120230395033828E-2</v>
      </c>
      <c r="AB178" s="9"/>
      <c r="AC178" s="10">
        <f t="shared" si="47"/>
        <v>275</v>
      </c>
      <c r="AD178" s="8">
        <f>IFERROR(AC178/AC444, "NA")</f>
        <v>5.8734215713474314E-3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21414.57</v>
      </c>
      <c r="C180" s="8">
        <f>IFERROR(B180/B444, "NA")</f>
        <v>0.20926989968035736</v>
      </c>
      <c r="D180" s="9"/>
      <c r="E180" s="7">
        <v>22718.31</v>
      </c>
      <c r="F180" s="8">
        <f>IFERROR(E180/E444, "NA")</f>
        <v>0.19599999137259808</v>
      </c>
      <c r="G180" s="9"/>
      <c r="H180" s="10">
        <f t="shared" si="44"/>
        <v>1303.7400000000016</v>
      </c>
      <c r="I180" s="8">
        <f>IFERROR(H180/H444, "NA")</f>
        <v>-9.6005549402644066E-2</v>
      </c>
      <c r="J180" s="9"/>
      <c r="K180" s="7">
        <v>22768.74</v>
      </c>
      <c r="L180" s="8">
        <f>IFERROR(K180/K444, "NA")</f>
        <v>0.22197163051425789</v>
      </c>
      <c r="M180" s="9"/>
      <c r="N180" s="10">
        <f t="shared" si="45"/>
        <v>1354.1700000000019</v>
      </c>
      <c r="O180" s="8">
        <f>IFERROR(N180/N444, "NA")</f>
        <v>-5.5251948263903916</v>
      </c>
      <c r="P180" s="9"/>
      <c r="Q180" s="7">
        <v>259264.38</v>
      </c>
      <c r="R180" s="8">
        <f>IFERROR(Q180/Q444, "NA")</f>
        <v>0.20903741878318716</v>
      </c>
      <c r="S180" s="9"/>
      <c r="T180" s="7">
        <v>276849.78999999998</v>
      </c>
      <c r="U180" s="8">
        <f>IFERROR(T180/T444, "NA")</f>
        <v>0.20222055207633113</v>
      </c>
      <c r="V180" s="9"/>
      <c r="W180" s="10">
        <f t="shared" si="46"/>
        <v>17585.409999999974</v>
      </c>
      <c r="X180" s="8">
        <f>IFERROR(W180/W444, "NA")</f>
        <v>-0.13656305252969289</v>
      </c>
      <c r="Y180" s="9"/>
      <c r="Z180" s="7">
        <v>266450.83</v>
      </c>
      <c r="AA180" s="8">
        <f>IFERROR(Z180/Z444, "NA")</f>
        <v>0.22325981643835333</v>
      </c>
      <c r="AB180" s="9"/>
      <c r="AC180" s="10">
        <f t="shared" si="47"/>
        <v>7186.4500000000116</v>
      </c>
      <c r="AD180" s="8">
        <f>IFERROR(AC180/AC444, "NA")</f>
        <v>0.15348745618694479</v>
      </c>
    </row>
    <row r="181" spans="1:30" ht="16.5" customHeight="1" x14ac:dyDescent="0.45">
      <c r="A181" s="12" t="s">
        <v>166</v>
      </c>
      <c r="B181" s="7">
        <v>842.75</v>
      </c>
      <c r="C181" s="8">
        <f>IFERROR(B181/B444, "NA")</f>
        <v>8.2356175237523407E-3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-842.75</v>
      </c>
      <c r="I181" s="8">
        <f>IFERROR(H181/H444, "NA")</f>
        <v>6.2058904965006968E-2</v>
      </c>
      <c r="J181" s="9"/>
      <c r="K181" s="7">
        <v>306.79000000000002</v>
      </c>
      <c r="L181" s="8">
        <f>IFERROR(K181/K444, "NA")</f>
        <v>2.9908847184986595E-3</v>
      </c>
      <c r="M181" s="9"/>
      <c r="N181" s="10">
        <f t="shared" si="45"/>
        <v>-535.96</v>
      </c>
      <c r="O181" s="8">
        <f>IFERROR(N181/N444, "NA")</f>
        <v>2.1867885266637059</v>
      </c>
      <c r="P181" s="9"/>
      <c r="Q181" s="7">
        <v>3021.75</v>
      </c>
      <c r="R181" s="8">
        <f>IFERROR(Q181/Q444, "NA")</f>
        <v>2.4363501851202844E-3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-3021.75</v>
      </c>
      <c r="X181" s="8">
        <f>IFERROR(W181/W444, "NA")</f>
        <v>2.3466009833242447E-2</v>
      </c>
      <c r="Y181" s="9"/>
      <c r="Z181" s="7">
        <v>1403.02</v>
      </c>
      <c r="AA181" s="8">
        <f>IFERROR(Z181/Z444, "NA")</f>
        <v>1.1755939647826897E-3</v>
      </c>
      <c r="AB181" s="9"/>
      <c r="AC181" s="10">
        <f t="shared" si="47"/>
        <v>-1618.73</v>
      </c>
      <c r="AD181" s="8">
        <f>IFERROR(AC181/AC444, "NA")</f>
        <v>-3.4572668000680831E-2</v>
      </c>
    </row>
    <row r="182" spans="1:30" ht="16.5" customHeight="1" x14ac:dyDescent="0.45">
      <c r="A182" s="13" t="s">
        <v>167</v>
      </c>
      <c r="B182" s="14">
        <f>IFERROR(B177+B178+B179+B180+B181, "NA")</f>
        <v>27449.64</v>
      </c>
      <c r="C182" s="15">
        <f>IFERROR(B182/B444, "NA")</f>
        <v>0.26824649801802813</v>
      </c>
      <c r="D182" s="2"/>
      <c r="E182" s="14">
        <f>IFERROR(E177+E178+E179+E180+E181, "NA")</f>
        <v>28179.850000000002</v>
      </c>
      <c r="F182" s="15">
        <f>IFERROR(E182/E444, "NA")</f>
        <v>0.24311889206904511</v>
      </c>
      <c r="G182" s="2"/>
      <c r="H182" s="14">
        <f t="shared" si="44"/>
        <v>730.21000000000276</v>
      </c>
      <c r="I182" s="15">
        <f>IFERROR(H182/H444, "NA")</f>
        <v>-5.3771620284186188E-2</v>
      </c>
      <c r="J182" s="2"/>
      <c r="K182" s="14">
        <f>IFERROR(K177+K178+K179+K180+K181, "NA")</f>
        <v>28267.850000000002</v>
      </c>
      <c r="L182" s="15">
        <f>IFERROR(K182/K444, "NA")</f>
        <v>0.27558225688520599</v>
      </c>
      <c r="M182" s="2"/>
      <c r="N182" s="14">
        <f t="shared" si="45"/>
        <v>818.21000000000276</v>
      </c>
      <c r="O182" s="15">
        <f>IFERROR(N182/N444, "NA")</f>
        <v>-3.3384062997266897</v>
      </c>
      <c r="P182" s="2"/>
      <c r="Q182" s="14">
        <f>IFERROR(Q177+Q178+Q179+Q180+Q181, "NA")</f>
        <v>323020.89</v>
      </c>
      <c r="R182" s="15">
        <f>IFERROR(Q182/Q444, "NA")</f>
        <v>0.26044246054412812</v>
      </c>
      <c r="S182" s="2"/>
      <c r="T182" s="14">
        <f>IFERROR(T177+T178+T179+T180+T181, "NA")</f>
        <v>341022.87</v>
      </c>
      <c r="U182" s="15">
        <f>IFERROR(T182/T444, "NA")</f>
        <v>0.24909476377805778</v>
      </c>
      <c r="V182" s="2"/>
      <c r="W182" s="14">
        <f t="shared" si="46"/>
        <v>18001.979999999981</v>
      </c>
      <c r="X182" s="15">
        <f>IFERROR(W182/W444, "NA")</f>
        <v>-0.13979801098629385</v>
      </c>
      <c r="Y182" s="2"/>
      <c r="Z182" s="14">
        <f>IFERROR(Z177+Z178+Z179+Z180+Z181, "NA")</f>
        <v>328863.61000000004</v>
      </c>
      <c r="AA182" s="15">
        <f>IFERROR(Z182/Z444, "NA")</f>
        <v>0.27555564079816985</v>
      </c>
      <c r="AB182" s="2"/>
      <c r="AC182" s="14">
        <f t="shared" si="47"/>
        <v>5842.7200000000303</v>
      </c>
      <c r="AD182" s="15">
        <f>IFERROR(AC182/AC444, "NA")</f>
        <v>0.12478820975761179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-1000</v>
      </c>
      <c r="C184" s="8">
        <f>IFERROR(B184/B444, "NA")</f>
        <v>-9.7723138816402742E-3</v>
      </c>
      <c r="D184" s="9"/>
      <c r="E184" s="7">
        <v>500</v>
      </c>
      <c r="F184" s="8">
        <f>IFERROR(E184/E444, "NA")</f>
        <v>4.3137009613082589E-3</v>
      </c>
      <c r="G184" s="9"/>
      <c r="H184" s="10">
        <f t="shared" si="44"/>
        <v>1500</v>
      </c>
      <c r="I184" s="8">
        <f>IFERROR(H184/H444, "NA")</f>
        <v>-0.11045785517355142</v>
      </c>
      <c r="J184" s="9"/>
      <c r="K184" s="7">
        <v>-100</v>
      </c>
      <c r="L184" s="8">
        <f>IFERROR(K184/K444, "NA")</f>
        <v>-9.7489641725566659E-4</v>
      </c>
      <c r="M184" s="9"/>
      <c r="N184" s="10">
        <f t="shared" si="45"/>
        <v>900</v>
      </c>
      <c r="O184" s="8">
        <f>IFERROR(N184/N444, "NA")</f>
        <v>-3.6721204455506662</v>
      </c>
      <c r="P184" s="9"/>
      <c r="Q184" s="7">
        <v>1800</v>
      </c>
      <c r="R184" s="8">
        <f>IFERROR(Q184/Q444, "NA")</f>
        <v>1.4512882711066476E-3</v>
      </c>
      <c r="S184" s="9"/>
      <c r="T184" s="7">
        <v>5500</v>
      </c>
      <c r="U184" s="8">
        <f>IFERROR(T184/T444, "NA")</f>
        <v>4.0173880443247628E-3</v>
      </c>
      <c r="V184" s="9"/>
      <c r="W184" s="10">
        <f t="shared" si="46"/>
        <v>3700</v>
      </c>
      <c r="X184" s="8">
        <f>IFERROR(W184/W444, "NA")</f>
        <v>-2.8733097173160273E-2</v>
      </c>
      <c r="Y184" s="9"/>
      <c r="Z184" s="7">
        <v>2100</v>
      </c>
      <c r="AA184" s="8">
        <f>IFERROR(Z184/Z444, "NA")</f>
        <v>1.7595952488515122E-3</v>
      </c>
      <c r="AB184" s="9"/>
      <c r="AC184" s="10">
        <f t="shared" si="47"/>
        <v>300</v>
      </c>
      <c r="AD184" s="8">
        <f>IFERROR(AC184/AC444, "NA")</f>
        <v>6.4073689869244711E-3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2325.52</v>
      </c>
      <c r="C186" s="8">
        <f>IFERROR(B186/B444, "NA")</f>
        <v>2.2725711378032091E-2</v>
      </c>
      <c r="D186" s="9"/>
      <c r="E186" s="7">
        <v>2583.1</v>
      </c>
      <c r="F186" s="8">
        <f>IFERROR(E186/E444, "NA")</f>
        <v>2.2285441906310727E-2</v>
      </c>
      <c r="G186" s="9"/>
      <c r="H186" s="10">
        <f t="shared" ref="H186:H197" si="48">IFERROR(-(B186-E186), "NA")</f>
        <v>257.57999999999993</v>
      </c>
      <c r="I186" s="8">
        <f>IFERROR(H186/H444, "NA")</f>
        <v>-1.8967822890402244E-2</v>
      </c>
      <c r="J186" s="9"/>
      <c r="K186" s="7">
        <v>2702.61</v>
      </c>
      <c r="L186" s="8">
        <f>IFERROR(K186/K444, "NA")</f>
        <v>2.6347648062393373E-2</v>
      </c>
      <c r="M186" s="9"/>
      <c r="N186" s="10">
        <f t="shared" ref="N186:N197" si="49">IFERROR(-(B186-K186), "NA")</f>
        <v>377.09000000000015</v>
      </c>
      <c r="O186" s="8">
        <f>IFERROR(N186/N444, "NA")</f>
        <v>-1.5385776653474459</v>
      </c>
      <c r="P186" s="9"/>
      <c r="Q186" s="7">
        <v>29148.55</v>
      </c>
      <c r="R186" s="8">
        <f>IFERROR(Q186/Q444, "NA")</f>
        <v>2.3501638185980927E-2</v>
      </c>
      <c r="S186" s="9"/>
      <c r="T186" s="7">
        <v>36399.440000000002</v>
      </c>
      <c r="U186" s="8">
        <f>IFERROR(T186/T444, "NA")</f>
        <v>2.6587395468384827E-2</v>
      </c>
      <c r="V186" s="9"/>
      <c r="W186" s="10">
        <f t="shared" ref="W186:W197" si="50">IFERROR(-(Q186-T186), "NA")</f>
        <v>7250.8900000000031</v>
      </c>
      <c r="X186" s="8">
        <f>IFERROR(W186/W444, "NA")</f>
        <v>-5.6308250530242208E-2</v>
      </c>
      <c r="Y186" s="9"/>
      <c r="Z186" s="7">
        <v>33127.870000000003</v>
      </c>
      <c r="AA186" s="8">
        <f>IFERROR(Z186/Z444, "NA")</f>
        <v>2.7757925074557405E-2</v>
      </c>
      <c r="AB186" s="9"/>
      <c r="AC186" s="10">
        <f t="shared" ref="AC186:AC197" si="51">IFERROR(-(Q186-Z186), "NA")</f>
        <v>3979.3200000000033</v>
      </c>
      <c r="AD186" s="8">
        <f>IFERROR(AC186/AC444, "NA")</f>
        <v>8.4989905190161016E-2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1.6758049989062022E-8</v>
      </c>
      <c r="AB187" s="9"/>
      <c r="AC187" s="10">
        <f t="shared" si="51"/>
        <v>0.02</v>
      </c>
      <c r="AD187" s="8">
        <f>IFERROR(AC187/AC444, "NA")</f>
        <v>4.2715793246163141E-7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2325.52</v>
      </c>
      <c r="C193" s="15">
        <f>IFERROR(B193/B444, "NA")</f>
        <v>2.2725711378032091E-2</v>
      </c>
      <c r="D193" s="2"/>
      <c r="E193" s="14">
        <f>IFERROR(E186+E187+E188+E189+E190+E191+E192, "NA")</f>
        <v>2583.1</v>
      </c>
      <c r="F193" s="15">
        <f>IFERROR(E193/E444, "NA")</f>
        <v>2.2285441906310727E-2</v>
      </c>
      <c r="G193" s="2"/>
      <c r="H193" s="14">
        <f t="shared" si="48"/>
        <v>257.57999999999993</v>
      </c>
      <c r="I193" s="15">
        <f>IFERROR(H193/H444, "NA")</f>
        <v>-1.8967822890402244E-2</v>
      </c>
      <c r="J193" s="2"/>
      <c r="K193" s="14">
        <f>IFERROR(K186+K187+K188+K189+K190+K191+K192, "NA")</f>
        <v>2702.61</v>
      </c>
      <c r="L193" s="15">
        <f>IFERROR(K193/K444, "NA")</f>
        <v>2.6347648062393373E-2</v>
      </c>
      <c r="M193" s="2"/>
      <c r="N193" s="14">
        <f t="shared" si="49"/>
        <v>377.09000000000015</v>
      </c>
      <c r="O193" s="15">
        <f>IFERROR(N193/N444, "NA")</f>
        <v>-1.5385776653474459</v>
      </c>
      <c r="P193" s="2"/>
      <c r="Q193" s="14">
        <f>IFERROR(Q186+Q187+Q188+Q189+Q190+Q191+Q192, "NA")</f>
        <v>29148.55</v>
      </c>
      <c r="R193" s="15">
        <f>IFERROR(Q193/Q444, "NA")</f>
        <v>2.3501638185980927E-2</v>
      </c>
      <c r="S193" s="2"/>
      <c r="T193" s="14">
        <f>IFERROR(T186+T187+T188+T189+T190+T191+T192, "NA")</f>
        <v>36399.440000000002</v>
      </c>
      <c r="U193" s="15">
        <f>IFERROR(T193/T444, "NA")</f>
        <v>2.6587395468384827E-2</v>
      </c>
      <c r="V193" s="2"/>
      <c r="W193" s="14">
        <f t="shared" si="50"/>
        <v>7250.8900000000031</v>
      </c>
      <c r="X193" s="15">
        <f>IFERROR(W193/W444, "NA")</f>
        <v>-5.6308250530242208E-2</v>
      </c>
      <c r="Y193" s="2"/>
      <c r="Z193" s="14">
        <f>IFERROR(Z186+Z187+Z188+Z189+Z190+Z191+Z192, "NA")</f>
        <v>33127.89</v>
      </c>
      <c r="AA193" s="15">
        <f>IFERROR(Z193/Z444, "NA")</f>
        <v>2.7757941832607391E-2</v>
      </c>
      <c r="AB193" s="2"/>
      <c r="AC193" s="14">
        <f t="shared" si="51"/>
        <v>3979.34</v>
      </c>
      <c r="AD193" s="15">
        <f>IFERROR(AC193/AC444, "NA")</f>
        <v>8.4990332348093417E-2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2.6932497057800598E-3</v>
      </c>
      <c r="D194" s="9"/>
      <c r="E194" s="7">
        <v>229.44</v>
      </c>
      <c r="F194" s="8">
        <f>IFERROR(E194/E444, "NA")</f>
        <v>1.9794710971251339E-3</v>
      </c>
      <c r="G194" s="9"/>
      <c r="H194" s="10">
        <f t="shared" si="48"/>
        <v>-46.160000000000025</v>
      </c>
      <c r="I194" s="8">
        <f>IFERROR(H194/H444, "NA")</f>
        <v>3.3991563965407572E-3</v>
      </c>
      <c r="J194" s="9"/>
      <c r="K194" s="7">
        <v>288.32</v>
      </c>
      <c r="L194" s="8">
        <f>IFERROR(K194/K444, "NA")</f>
        <v>2.810821350231538E-3</v>
      </c>
      <c r="M194" s="9"/>
      <c r="N194" s="10">
        <f t="shared" si="49"/>
        <v>12.71999999999997</v>
      </c>
      <c r="O194" s="8">
        <f>IFERROR(N194/N444, "NA")</f>
        <v>-5.1899302297115965E-2</v>
      </c>
      <c r="P194" s="9"/>
      <c r="Q194" s="7">
        <v>3177.48</v>
      </c>
      <c r="R194" s="8">
        <f>IFERROR(Q194/Q444, "NA")</f>
        <v>2.5619108087088613E-3</v>
      </c>
      <c r="S194" s="9"/>
      <c r="T194" s="7">
        <v>2772.19</v>
      </c>
      <c r="U194" s="8">
        <f>IFERROR(T194/T444, "NA")</f>
        <v>2.024902356835757E-3</v>
      </c>
      <c r="V194" s="9"/>
      <c r="W194" s="10">
        <f t="shared" si="50"/>
        <v>-405.28999999999996</v>
      </c>
      <c r="X194" s="8">
        <f>IFERROR(W194/W444, "NA")</f>
        <v>3.1473613387324666E-3</v>
      </c>
      <c r="Y194" s="9"/>
      <c r="Z194" s="7">
        <v>2969.06</v>
      </c>
      <c r="AA194" s="8">
        <f>IFERROR(Z194/Z444, "NA")</f>
        <v>2.4877827950262241E-3</v>
      </c>
      <c r="AB194" s="9"/>
      <c r="AC194" s="10">
        <f t="shared" si="51"/>
        <v>-208.42000000000007</v>
      </c>
      <c r="AD194" s="8">
        <f>IFERROR(AC194/AC444, "NA")</f>
        <v>-4.4514128141826623E-3</v>
      </c>
    </row>
    <row r="195" spans="1:30" ht="16.5" customHeight="1" x14ac:dyDescent="0.45">
      <c r="A195" s="6" t="s">
        <v>179</v>
      </c>
      <c r="B195" s="7">
        <v>-257.57</v>
      </c>
      <c r="C195" s="8">
        <f>IFERROR(B195/B444, "NA")</f>
        <v>-2.5170548864940855E-3</v>
      </c>
      <c r="D195" s="9"/>
      <c r="E195" s="7">
        <v>200.76</v>
      </c>
      <c r="F195" s="8">
        <f>IFERROR(E195/E444, "NA")</f>
        <v>1.7320372099844921E-3</v>
      </c>
      <c r="G195" s="9"/>
      <c r="H195" s="10">
        <f t="shared" si="48"/>
        <v>458.33</v>
      </c>
      <c r="I195" s="8">
        <f>IFERROR(H195/H444, "NA")</f>
        <v>-3.375076584112921E-2</v>
      </c>
      <c r="J195" s="9"/>
      <c r="K195" s="7">
        <v>698.4</v>
      </c>
      <c r="L195" s="8">
        <f>IFERROR(K195/K444, "NA")</f>
        <v>6.8086765781135749E-3</v>
      </c>
      <c r="M195" s="9"/>
      <c r="N195" s="10">
        <f t="shared" si="49"/>
        <v>955.97</v>
      </c>
      <c r="O195" s="8">
        <f>IFERROR(N195/N444, "NA")</f>
        <v>-3.9004855359256339</v>
      </c>
      <c r="P195" s="9"/>
      <c r="Q195" s="7">
        <v>8283.52</v>
      </c>
      <c r="R195" s="8">
        <f>IFERROR(Q195/Q444, "NA")</f>
        <v>6.6787641219318546E-3</v>
      </c>
      <c r="S195" s="9"/>
      <c r="T195" s="7">
        <v>2425.66</v>
      </c>
      <c r="U195" s="8">
        <f>IFERROR(T195/T444, "NA")</f>
        <v>1.7717849970176006E-3</v>
      </c>
      <c r="V195" s="9"/>
      <c r="W195" s="10">
        <f t="shared" si="50"/>
        <v>-5857.8600000000006</v>
      </c>
      <c r="X195" s="8">
        <f>IFERROR(W195/W444, "NA")</f>
        <v>4.5490394758586121E-2</v>
      </c>
      <c r="Y195" s="9"/>
      <c r="Z195" s="7">
        <v>7694.84</v>
      </c>
      <c r="AA195" s="8">
        <f>IFERROR(Z195/Z444, "NA")</f>
        <v>6.4475256688916998E-3</v>
      </c>
      <c r="AB195" s="9"/>
      <c r="AC195" s="10">
        <f t="shared" si="51"/>
        <v>-588.68000000000029</v>
      </c>
      <c r="AD195" s="8">
        <f>IFERROR(AC195/AC444, "NA")</f>
        <v>-1.2572966584075664E-2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28793.19</v>
      </c>
      <c r="C196" s="15">
        <f>IFERROR(B196/B444, "NA")</f>
        <v>0.28137609033370592</v>
      </c>
      <c r="D196" s="2"/>
      <c r="E196" s="14">
        <f>IFERROR(E175+E177+E178+E179+E180+E181+E183+E184+E186+E187+E188+E189+E190+E191+E192+E194+E195, "NA")</f>
        <v>31693.149999999998</v>
      </c>
      <c r="F196" s="15">
        <f>IFERROR(E196/E444, "NA")</f>
        <v>0.27342954324377372</v>
      </c>
      <c r="G196" s="2"/>
      <c r="H196" s="14">
        <f t="shared" si="48"/>
        <v>2899.9599999999991</v>
      </c>
      <c r="I196" s="15">
        <f>IFERROR(H196/H444, "NA")</f>
        <v>-0.21354890779272803</v>
      </c>
      <c r="J196" s="2"/>
      <c r="K196" s="14">
        <f>IFERROR(K175+K177+K178+K179+K180+K181+K183+K184+K186+K187+K188+K189+K190+K191+K192+K194+K195, "NA")</f>
        <v>31857.180000000004</v>
      </c>
      <c r="L196" s="15">
        <f>IFERROR(K196/K444, "NA")</f>
        <v>0.31057450645868878</v>
      </c>
      <c r="M196" s="2"/>
      <c r="N196" s="14">
        <f t="shared" si="49"/>
        <v>3063.9900000000052</v>
      </c>
      <c r="O196" s="15">
        <f>IFERROR(N196/N444, "NA")</f>
        <v>-12.501489248847562</v>
      </c>
      <c r="P196" s="2"/>
      <c r="Q196" s="14">
        <f>IFERROR(Q175+Q177+Q178+Q179+Q180+Q181+Q183+Q184+Q186+Q187+Q188+Q189+Q190+Q191+Q192+Q194+Q195, "NA")</f>
        <v>365430.44</v>
      </c>
      <c r="R196" s="15">
        <f>IFERROR(Q196/Q444, "NA")</f>
        <v>0.29463606193185637</v>
      </c>
      <c r="S196" s="2"/>
      <c r="T196" s="14">
        <f>IFERROR(T175+T177+T178+T179+T180+T181+T183+T184+T186+T187+T188+T189+T190+T191+T192+T194+T195, "NA")</f>
        <v>388120.16</v>
      </c>
      <c r="U196" s="15">
        <f>IFERROR(T196/T444, "NA")</f>
        <v>0.2834962346446207</v>
      </c>
      <c r="V196" s="2"/>
      <c r="W196" s="14">
        <f t="shared" si="50"/>
        <v>22689.719999999972</v>
      </c>
      <c r="X196" s="15">
        <f>IFERROR(W196/W444, "NA")</f>
        <v>-0.17620160259237763</v>
      </c>
      <c r="Y196" s="2"/>
      <c r="Z196" s="14">
        <f>IFERROR(Z175+Z177+Z178+Z179+Z180+Z181+Z183+Z184+Z186+Z187+Z188+Z189+Z190+Z191+Z192+Z194+Z195, "NA")</f>
        <v>374755.40000000008</v>
      </c>
      <c r="AA196" s="15">
        <f>IFERROR(Z196/Z444, "NA")</f>
        <v>0.31400848634354672</v>
      </c>
      <c r="AB196" s="2"/>
      <c r="AC196" s="14">
        <f t="shared" si="51"/>
        <v>9324.9600000000792</v>
      </c>
      <c r="AD196" s="15">
        <f>IFERROR(AC196/AC444, "NA")</f>
        <v>0.1991615316943724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28793.19</v>
      </c>
      <c r="C197" s="15">
        <f>IFERROR(B197/B444, "NA")</f>
        <v>0.28137609033370592</v>
      </c>
      <c r="D197" s="2"/>
      <c r="E197" s="14">
        <f>IFERROR(E175+E177+E178+E179+E180+E181+E183+E184+E186+E187+E188+E189+E190+E191+E192+E194+E195, "NA")</f>
        <v>31693.149999999998</v>
      </c>
      <c r="F197" s="15">
        <f>IFERROR(E197/E444, "NA")</f>
        <v>0.27342954324377372</v>
      </c>
      <c r="G197" s="2"/>
      <c r="H197" s="14">
        <f t="shared" si="48"/>
        <v>2899.9599999999991</v>
      </c>
      <c r="I197" s="15">
        <f>IFERROR(H197/H444, "NA")</f>
        <v>-0.21354890779272803</v>
      </c>
      <c r="J197" s="2"/>
      <c r="K197" s="14">
        <f>IFERROR(K175+K177+K178+K179+K180+K181+K183+K184+K186+K187+K188+K189+K190+K191+K192+K194+K195, "NA")</f>
        <v>31857.180000000004</v>
      </c>
      <c r="L197" s="15">
        <f>IFERROR(K197/K444, "NA")</f>
        <v>0.31057450645868878</v>
      </c>
      <c r="M197" s="2"/>
      <c r="N197" s="14">
        <f t="shared" si="49"/>
        <v>3063.9900000000052</v>
      </c>
      <c r="O197" s="15">
        <f>IFERROR(N197/N444, "NA")</f>
        <v>-12.501489248847562</v>
      </c>
      <c r="P197" s="2"/>
      <c r="Q197" s="14">
        <f>IFERROR(Q175+Q177+Q178+Q179+Q180+Q181+Q183+Q184+Q186+Q187+Q188+Q189+Q190+Q191+Q192+Q194+Q195, "NA")</f>
        <v>365430.44</v>
      </c>
      <c r="R197" s="15">
        <f>IFERROR(Q197/Q444, "NA")</f>
        <v>0.29463606193185637</v>
      </c>
      <c r="S197" s="2"/>
      <c r="T197" s="14">
        <f>IFERROR(T175+T177+T178+T179+T180+T181+T183+T184+T186+T187+T188+T189+T190+T191+T192+T194+T195, "NA")</f>
        <v>388120.16</v>
      </c>
      <c r="U197" s="15">
        <f>IFERROR(T197/T444, "NA")</f>
        <v>0.2834962346446207</v>
      </c>
      <c r="V197" s="2"/>
      <c r="W197" s="14">
        <f t="shared" si="50"/>
        <v>22689.719999999972</v>
      </c>
      <c r="X197" s="15">
        <f>IFERROR(W197/W444, "NA")</f>
        <v>-0.17620160259237763</v>
      </c>
      <c r="Y197" s="2"/>
      <c r="Z197" s="14">
        <f>IFERROR(Z175+Z177+Z178+Z179+Z180+Z181+Z183+Z184+Z186+Z187+Z188+Z189+Z190+Z191+Z192+Z194+Z195, "NA")</f>
        <v>374755.40000000008</v>
      </c>
      <c r="AA197" s="15">
        <f>IFERROR(Z197/Z444, "NA")</f>
        <v>0.31400848634354672</v>
      </c>
      <c r="AB197" s="2"/>
      <c r="AC197" s="14">
        <f t="shared" si="51"/>
        <v>9324.9600000000792</v>
      </c>
      <c r="AD197" s="15">
        <f>IFERROR(AC197/AC444, "NA")</f>
        <v>0.1991615316943724</v>
      </c>
    </row>
    <row r="198" spans="1:30" ht="16.5" customHeight="1" x14ac:dyDescent="0.45">
      <c r="A198" s="22" t="s">
        <v>181</v>
      </c>
      <c r="B198" s="23">
        <f>IFERROR(B172-B197, "NA")</f>
        <v>43011.999999999985</v>
      </c>
      <c r="C198" s="24">
        <f>IFERROR(B198/B444, "NA")</f>
        <v>0.42032676467711133</v>
      </c>
      <c r="D198" s="25"/>
      <c r="E198" s="23">
        <f>IFERROR(E172-E197, "NA")</f>
        <v>56977.799999999988</v>
      </c>
      <c r="F198" s="24">
        <f>IFERROR(E198/E444, "NA")</f>
        <v>0.49157038126645936</v>
      </c>
      <c r="G198" s="25"/>
      <c r="H198" s="23">
        <f>IFERROR(B198-E198, "NA")</f>
        <v>-13965.800000000003</v>
      </c>
      <c r="I198" s="24">
        <f>IFERROR(H198/H444, "NA")</f>
        <v>1.0284215425218564</v>
      </c>
      <c r="J198" s="25"/>
      <c r="K198" s="23">
        <f>IFERROR(K172-K197, "NA")</f>
        <v>43588.729999999981</v>
      </c>
      <c r="L198" s="24">
        <f>IFERROR(K198/K444, "NA")</f>
        <v>0.42494496709724572</v>
      </c>
      <c r="M198" s="25"/>
      <c r="N198" s="23">
        <f>IFERROR(B198-K198, "NA")</f>
        <v>-576.72999999999593</v>
      </c>
      <c r="O198" s="24">
        <f>IFERROR(N198/N444, "NA")</f>
        <v>2.3531355828471341</v>
      </c>
      <c r="P198" s="25"/>
      <c r="Q198" s="23">
        <f>IFERROR(Q172-Q197, "NA")</f>
        <v>504276.31999999977</v>
      </c>
      <c r="R198" s="24">
        <f>IFERROR(Q198/Q444, "NA")</f>
        <v>0.40658350478490124</v>
      </c>
      <c r="S198" s="25"/>
      <c r="T198" s="23">
        <f>IFERROR(T172-T197, "NA")</f>
        <v>645032.67999999993</v>
      </c>
      <c r="U198" s="24">
        <f>IFERROR(T198/T444, "NA")</f>
        <v>0.4711539230601382</v>
      </c>
      <c r="V198" s="25"/>
      <c r="W198" s="23">
        <f>IFERROR(Q198-T198, "NA")</f>
        <v>-140756.36000000016</v>
      </c>
      <c r="X198" s="24">
        <f>IFERROR(W198/W444, "NA")</f>
        <v>1.0930719377352254</v>
      </c>
      <c r="Y198" s="25"/>
      <c r="Z198" s="23">
        <f>IFERROR(Z172-Z197, "NA")</f>
        <v>485189.12999999995</v>
      </c>
      <c r="AA198" s="24">
        <f>IFERROR(Z198/Z444, "NA")</f>
        <v>0.40654118473447554</v>
      </c>
      <c r="AB198" s="25"/>
      <c r="AC198" s="23">
        <f>IFERROR(Q198-Z198, "NA")</f>
        <v>19087.189999999828</v>
      </c>
      <c r="AD198" s="24">
        <f>IFERROR(AC198/AC444, "NA")</f>
        <v>0.40766223084511261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2318.1999999999998</v>
      </c>
      <c r="F201" s="8">
        <f>IFERROR(E201/E444, "NA")</f>
        <v>2.0000043137009611E-2</v>
      </c>
      <c r="G201" s="9"/>
      <c r="H201" s="10">
        <f t="shared" ref="H201:H209" si="52">IFERROR(-(B201-E201), "NA")</f>
        <v>2318.1999999999998</v>
      </c>
      <c r="I201" s="8">
        <f>IFERROR(H201/H444, "NA")</f>
        <v>-0.17070893324221792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27380.99</v>
      </c>
      <c r="U201" s="8">
        <f>IFERROR(T201/T444, "NA")</f>
        <v>2.0000011248686524E-2</v>
      </c>
      <c r="V201" s="9"/>
      <c r="W201" s="10">
        <f t="shared" ref="W201:W209" si="54">IFERROR(-(Q201-T201), "NA")</f>
        <v>27380.99</v>
      </c>
      <c r="X201" s="8">
        <f>IFERROR(W201/W444, "NA")</f>
        <v>-0.21263260712630533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1181.42</v>
      </c>
      <c r="C202" s="8">
        <f>IFERROR(B202/B444, "NA")</f>
        <v>1.1545207066047454E-2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-1181.42</v>
      </c>
      <c r="I202" s="8">
        <f>IFERROR(H202/H444, "NA")</f>
        <v>8.6998079506091411E-2</v>
      </c>
      <c r="J202" s="9"/>
      <c r="K202" s="7">
        <v>963.5</v>
      </c>
      <c r="L202" s="8">
        <f>IFERROR(K202/K444, "NA")</f>
        <v>9.3931269802583484E-3</v>
      </c>
      <c r="M202" s="9"/>
      <c r="N202" s="10">
        <f t="shared" si="53"/>
        <v>-217.92000000000007</v>
      </c>
      <c r="O202" s="8">
        <f>IFERROR(N202/N444, "NA")</f>
        <v>0.88914276388266833</v>
      </c>
      <c r="P202" s="9"/>
      <c r="Q202" s="7">
        <v>11402.05</v>
      </c>
      <c r="R202" s="8">
        <f>IFERROR(Q202/Q444, "NA")</f>
        <v>9.1931452397619722E-3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-11402.05</v>
      </c>
      <c r="X202" s="8">
        <f>IFERROR(W202/W444, "NA")</f>
        <v>8.8544921790062722E-2</v>
      </c>
      <c r="Y202" s="9"/>
      <c r="Z202" s="7">
        <v>8911.57</v>
      </c>
      <c r="AA202" s="8">
        <f>IFERROR(Z202/Z444, "NA")</f>
        <v>7.4670267770512713E-3</v>
      </c>
      <c r="AB202" s="9"/>
      <c r="AC202" s="10">
        <f t="shared" si="55"/>
        <v>-2490.4799999999996</v>
      </c>
      <c r="AD202" s="8">
        <f>IFERROR(AC202/AC444, "NA")</f>
        <v>-5.3191414381852174E-2</v>
      </c>
    </row>
    <row r="203" spans="1:30" ht="16.5" customHeight="1" x14ac:dyDescent="0.45">
      <c r="A203" s="6" t="s">
        <v>185</v>
      </c>
      <c r="B203" s="7">
        <v>555.02</v>
      </c>
      <c r="C203" s="8">
        <f>IFERROR(B203/B444, "NA")</f>
        <v>5.4238296505879852E-3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-555.02</v>
      </c>
      <c r="I203" s="8">
        <f>IFERROR(H203/H444, "NA")</f>
        <v>4.0870879185616334E-2</v>
      </c>
      <c r="J203" s="9"/>
      <c r="K203" s="7">
        <v>626.08000000000004</v>
      </c>
      <c r="L203" s="8">
        <f>IFERROR(K203/K444, "NA")</f>
        <v>6.1036314891542778E-3</v>
      </c>
      <c r="M203" s="9"/>
      <c r="N203" s="10">
        <f t="shared" si="53"/>
        <v>71.060000000000059</v>
      </c>
      <c r="O203" s="8">
        <f>IFERROR(N203/N444, "NA")</f>
        <v>-0.28993430984536728</v>
      </c>
      <c r="P203" s="9"/>
      <c r="Q203" s="7">
        <v>9689.8700000000008</v>
      </c>
      <c r="R203" s="8">
        <f>IFERROR(Q203/Q444, "NA")</f>
        <v>7.8126637108600957E-3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-9689.8700000000008</v>
      </c>
      <c r="X203" s="8">
        <f>IFERROR(W203/W444, "NA")</f>
        <v>7.524864224467312E-2</v>
      </c>
      <c r="Y203" s="9"/>
      <c r="Z203" s="7">
        <v>7443.49</v>
      </c>
      <c r="AA203" s="8">
        <f>IFERROR(Z203/Z444, "NA")</f>
        <v>6.236918875654163E-3</v>
      </c>
      <c r="AB203" s="9"/>
      <c r="AC203" s="10">
        <f t="shared" si="55"/>
        <v>-2246.380000000001</v>
      </c>
      <c r="AD203" s="8">
        <f>IFERROR(AC203/AC444, "NA")</f>
        <v>-4.7977951816157993E-2</v>
      </c>
    </row>
    <row r="204" spans="1:30" ht="16.5" customHeight="1" x14ac:dyDescent="0.45">
      <c r="A204" s="6" t="s">
        <v>186</v>
      </c>
      <c r="B204" s="7">
        <v>118.79</v>
      </c>
      <c r="C204" s="8">
        <f>IFERROR(B204/B444, "NA")</f>
        <v>1.1608531660000482E-3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-118.79</v>
      </c>
      <c r="I204" s="8">
        <f>IFERROR(H204/H444, "NA")</f>
        <v>8.7475257440441153E-3</v>
      </c>
      <c r="J204" s="9"/>
      <c r="K204" s="7">
        <v>390.41</v>
      </c>
      <c r="L204" s="8">
        <f>IFERROR(K204/K444, "NA")</f>
        <v>3.806093102607848E-3</v>
      </c>
      <c r="M204" s="9"/>
      <c r="N204" s="10">
        <f t="shared" si="53"/>
        <v>271.62</v>
      </c>
      <c r="O204" s="8">
        <f>IFERROR(N204/N444, "NA")</f>
        <v>-1.1082459504671911</v>
      </c>
      <c r="P204" s="9"/>
      <c r="Q204" s="7">
        <v>1957.05</v>
      </c>
      <c r="R204" s="8">
        <f>IFERROR(Q204/Q444, "NA")</f>
        <v>1.5779131727607025E-3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-1957.05</v>
      </c>
      <c r="X204" s="8">
        <f>IFERROR(W204/W444, "NA")</f>
        <v>1.5197866979117111E-2</v>
      </c>
      <c r="Y204" s="9"/>
      <c r="Z204" s="7">
        <v>1373.65</v>
      </c>
      <c r="AA204" s="8">
        <f>IFERROR(Z204/Z444, "NA")</f>
        <v>1.1509847683737523E-3</v>
      </c>
      <c r="AB204" s="9"/>
      <c r="AC204" s="10">
        <f t="shared" si="55"/>
        <v>-583.39999999999986</v>
      </c>
      <c r="AD204" s="8">
        <f>IFERROR(AC204/AC444, "NA")</f>
        <v>-1.2460196889905784E-2</v>
      </c>
    </row>
    <row r="205" spans="1:30" ht="16.5" customHeight="1" x14ac:dyDescent="0.45">
      <c r="A205" s="6" t="s">
        <v>187</v>
      </c>
      <c r="B205" s="7">
        <v>273.18</v>
      </c>
      <c r="C205" s="8">
        <f>IFERROR(B205/B444, "NA")</f>
        <v>2.6696007061864902E-3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-273.18</v>
      </c>
      <c r="I205" s="8">
        <f>IFERROR(H205/H444, "NA")</f>
        <v>2.0116584584207182E-2</v>
      </c>
      <c r="J205" s="9"/>
      <c r="K205" s="7">
        <v>359.28</v>
      </c>
      <c r="L205" s="8">
        <f>IFERROR(K205/K444, "NA")</f>
        <v>3.5026078479161588E-3</v>
      </c>
      <c r="M205" s="9"/>
      <c r="N205" s="10">
        <f t="shared" si="53"/>
        <v>86.099999999999966</v>
      </c>
      <c r="O205" s="8">
        <f>IFERROR(N205/N444, "NA")</f>
        <v>-0.35129952262434694</v>
      </c>
      <c r="P205" s="9"/>
      <c r="Q205" s="7">
        <v>4188.76</v>
      </c>
      <c r="R205" s="8">
        <f>IFERROR(Q205/Q444, "NA")</f>
        <v>3.3772768102670451E-3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-4188.76</v>
      </c>
      <c r="X205" s="8">
        <f>IFERROR(W205/W444, "NA")</f>
        <v>3.2528661652715361E-2</v>
      </c>
      <c r="Y205" s="9"/>
      <c r="Z205" s="7">
        <v>4324.26</v>
      </c>
      <c r="AA205" s="8">
        <f>IFERROR(Z205/Z444, "NA")</f>
        <v>3.6233082622850669E-3</v>
      </c>
      <c r="AB205" s="9"/>
      <c r="AC205" s="10">
        <f t="shared" si="55"/>
        <v>135.5</v>
      </c>
      <c r="AD205" s="8">
        <f>IFERROR(AC205/AC444, "NA")</f>
        <v>2.8939949924275525E-3</v>
      </c>
    </row>
    <row r="206" spans="1:30" ht="16.5" customHeight="1" x14ac:dyDescent="0.45">
      <c r="A206" s="6" t="s">
        <v>188</v>
      </c>
      <c r="B206" s="7">
        <v>120.13</v>
      </c>
      <c r="C206" s="8">
        <f>IFERROR(B206/B444, "NA")</f>
        <v>1.1739480666014461E-3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-120.13</v>
      </c>
      <c r="I206" s="8">
        <f>IFERROR(H206/H444, "NA")</f>
        <v>8.8462014279991532E-3</v>
      </c>
      <c r="J206" s="9"/>
      <c r="K206" s="7">
        <v>151.25</v>
      </c>
      <c r="L206" s="8">
        <f>IFERROR(K206/K444, "NA")</f>
        <v>1.4745308310991957E-3</v>
      </c>
      <c r="M206" s="9"/>
      <c r="N206" s="10">
        <f t="shared" si="53"/>
        <v>31.120000000000005</v>
      </c>
      <c r="O206" s="8">
        <f>IFERROR(N206/N444, "NA")</f>
        <v>-0.1269737647394853</v>
      </c>
      <c r="P206" s="9"/>
      <c r="Q206" s="7">
        <v>1068.02</v>
      </c>
      <c r="R206" s="8">
        <f>IFERROR(Q206/Q444, "NA")</f>
        <v>8.6111383294851208E-4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-1068.02</v>
      </c>
      <c r="X206" s="8">
        <f>IFERROR(W206/W444, "NA")</f>
        <v>8.2939249845617926E-3</v>
      </c>
      <c r="Y206" s="9"/>
      <c r="Z206" s="7">
        <v>549.28</v>
      </c>
      <c r="AA206" s="8">
        <f>IFERROR(Z206/Z444, "NA")</f>
        <v>4.6024308489959933E-4</v>
      </c>
      <c r="AB206" s="9"/>
      <c r="AC206" s="10">
        <f t="shared" si="55"/>
        <v>-518.74</v>
      </c>
      <c r="AD206" s="8">
        <f>IFERROR(AC206/AC444, "NA")</f>
        <v>-1.1079195294257334E-2</v>
      </c>
    </row>
    <row r="207" spans="1:30" ht="16.5" customHeight="1" x14ac:dyDescent="0.45">
      <c r="A207" s="6" t="s">
        <v>189</v>
      </c>
      <c r="B207" s="7">
        <v>196.96</v>
      </c>
      <c r="C207" s="8">
        <f>IFERROR(B207/B444, "NA")</f>
        <v>1.9247549421278686E-3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-196.96</v>
      </c>
      <c r="I207" s="8">
        <f>IFERROR(H207/H444, "NA")</f>
        <v>1.4503852769988458E-2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-196.96</v>
      </c>
      <c r="O207" s="8">
        <f>IFERROR(N207/N444, "NA")</f>
        <v>0.80362315883962143</v>
      </c>
      <c r="P207" s="9"/>
      <c r="Q207" s="7">
        <v>1044.6300000000001</v>
      </c>
      <c r="R207" s="8">
        <f>IFERROR(Q207/Q444, "NA")</f>
        <v>8.4225514813674298E-4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-1044.6300000000001</v>
      </c>
      <c r="X207" s="8">
        <f>IFERROR(W207/W444, "NA")</f>
        <v>8.1122852162157887E-3</v>
      </c>
      <c r="Y207" s="9"/>
      <c r="Z207" s="7">
        <v>574.5</v>
      </c>
      <c r="AA207" s="8">
        <f>IFERROR(Z207/Z444, "NA")</f>
        <v>4.8137498593580654E-4</v>
      </c>
      <c r="AB207" s="9"/>
      <c r="AC207" s="10">
        <f t="shared" si="55"/>
        <v>-470.13000000000011</v>
      </c>
      <c r="AD207" s="8">
        <f>IFERROR(AC207/AC444, "NA")</f>
        <v>-1.004098793940934E-2</v>
      </c>
    </row>
    <row r="208" spans="1:30" ht="16.5" customHeight="1" x14ac:dyDescent="0.45">
      <c r="A208" s="6" t="s">
        <v>190</v>
      </c>
      <c r="B208" s="7">
        <v>12.18</v>
      </c>
      <c r="C208" s="8">
        <f>IFERROR(B208/B444, "NA")</f>
        <v>1.1902678307837854E-4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-12.18</v>
      </c>
      <c r="I208" s="8">
        <f>IFERROR(H208/H444, "NA")</f>
        <v>8.9691778400923742E-4</v>
      </c>
      <c r="J208" s="9"/>
      <c r="K208" s="7">
        <v>137.04</v>
      </c>
      <c r="L208" s="8">
        <f>IFERROR(K208/K444, "NA")</f>
        <v>1.3359980502071654E-3</v>
      </c>
      <c r="M208" s="9"/>
      <c r="N208" s="10">
        <f t="shared" si="53"/>
        <v>124.85999999999999</v>
      </c>
      <c r="O208" s="8">
        <f>IFERROR(N208/N444, "NA")</f>
        <v>-0.50944550981272907</v>
      </c>
      <c r="P208" s="9"/>
      <c r="Q208" s="7">
        <v>1277.77</v>
      </c>
      <c r="R208" s="8">
        <f>IFERROR(Q208/Q444, "NA")</f>
        <v>1.0302292300955228E-3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-1277.77</v>
      </c>
      <c r="X208" s="8">
        <f>IFERROR(W208/W444, "NA")</f>
        <v>9.9227809662024331E-3</v>
      </c>
      <c r="Y208" s="9"/>
      <c r="Z208" s="7">
        <v>1272</v>
      </c>
      <c r="AA208" s="8">
        <f>IFERROR(Z208/Z444, "NA")</f>
        <v>1.0658119793043445E-3</v>
      </c>
      <c r="AB208" s="9"/>
      <c r="AC208" s="10">
        <f t="shared" si="55"/>
        <v>-5.7699999999999818</v>
      </c>
      <c r="AD208" s="8">
        <f>IFERROR(AC208/AC444, "NA")</f>
        <v>-1.2323506351518025E-4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2457.6799999999998</v>
      </c>
      <c r="C209" s="15">
        <f>IFERROR(B209/B444, "NA")</f>
        <v>2.4017220380629669E-2</v>
      </c>
      <c r="D209" s="2"/>
      <c r="E209" s="14">
        <f>IFERROR(E201+E202+E203+E204+E205+E206+E207+E208, "NA")</f>
        <v>2318.1999999999998</v>
      </c>
      <c r="F209" s="15">
        <f>IFERROR(E209/E444, "NA")</f>
        <v>2.0000043137009611E-2</v>
      </c>
      <c r="G209" s="2"/>
      <c r="H209" s="14">
        <f t="shared" si="52"/>
        <v>-139.48000000000002</v>
      </c>
      <c r="I209" s="15">
        <f>IFERROR(H209/H444, "NA")</f>
        <v>1.0271107759737969E-2</v>
      </c>
      <c r="J209" s="2"/>
      <c r="K209" s="14">
        <f>IFERROR(K201+K202+K203+K204+K205+K206+K207+K208, "NA")</f>
        <v>2627.56</v>
      </c>
      <c r="L209" s="15">
        <f>IFERROR(K209/K444, "NA")</f>
        <v>2.5615988301242992E-2</v>
      </c>
      <c r="M209" s="2"/>
      <c r="N209" s="14">
        <f t="shared" si="53"/>
        <v>169.88000000000011</v>
      </c>
      <c r="O209" s="15">
        <f>IFERROR(N209/N444, "NA")</f>
        <v>-0.69313313476683069</v>
      </c>
      <c r="P209" s="2"/>
      <c r="Q209" s="14">
        <f>IFERROR(Q201+Q202+Q203+Q204+Q205+Q206+Q207+Q208, "NA")</f>
        <v>30628.149999999998</v>
      </c>
      <c r="R209" s="15">
        <f>IFERROR(Q209/Q444, "NA")</f>
        <v>2.4694597144830591E-2</v>
      </c>
      <c r="S209" s="2"/>
      <c r="T209" s="14">
        <f>IFERROR(T201+T202+T203+T204+T205+T206+T207+T208, "NA")</f>
        <v>27380.99</v>
      </c>
      <c r="U209" s="15">
        <f>IFERROR(T209/T444, "NA")</f>
        <v>2.0000011248686524E-2</v>
      </c>
      <c r="V209" s="2"/>
      <c r="W209" s="14">
        <f t="shared" si="54"/>
        <v>-3247.1599999999962</v>
      </c>
      <c r="X209" s="15">
        <f>IFERROR(W209/W444, "NA")</f>
        <v>2.5216476707242974E-2</v>
      </c>
      <c r="Y209" s="2"/>
      <c r="Z209" s="14">
        <f>IFERROR(Z201+Z202+Z203+Z204+Z205+Z206+Z207+Z208, "NA")</f>
        <v>24448.75</v>
      </c>
      <c r="AA209" s="15">
        <f>IFERROR(Z209/Z444, "NA")</f>
        <v>2.0485668733504003E-2</v>
      </c>
      <c r="AB209" s="2"/>
      <c r="AC209" s="14">
        <f t="shared" si="55"/>
        <v>-6179.3999999999978</v>
      </c>
      <c r="AD209" s="15">
        <f>IFERROR(AC209/AC444, "NA")</f>
        <v>-0.13197898639267019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3236.07</v>
      </c>
      <c r="F213" s="8">
        <f>IFERROR(E213/E444, "NA")</f>
        <v>2.7918876539721638E-2</v>
      </c>
      <c r="G213" s="9"/>
      <c r="H213" s="10">
        <f t="shared" ref="H213:H227" si="56">IFERROR(-(B213-E213), "NA")</f>
        <v>3236.07</v>
      </c>
      <c r="I213" s="8">
        <f>IFERROR(H213/H444, "NA")</f>
        <v>-0.23829956759431636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35804.17</v>
      </c>
      <c r="U213" s="8">
        <f>IFERROR(T213/T444, "NA")</f>
        <v>2.6152589908176607E-2</v>
      </c>
      <c r="V213" s="9"/>
      <c r="W213" s="10">
        <f t="shared" ref="W213:W227" si="58">IFERROR(-(Q213-T213), "NA")</f>
        <v>35804.17</v>
      </c>
      <c r="X213" s="8">
        <f>IFERROR(W213/W444, "NA")</f>
        <v>-0.27804451238225669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1264.24</v>
      </c>
      <c r="C214" s="8">
        <f>IFERROR(B214/B444, "NA")</f>
        <v>1.2354550101724902E-2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-1264.24</v>
      </c>
      <c r="I214" s="8">
        <f>IFERROR(H214/H444, "NA")</f>
        <v>9.3096825883073761E-2</v>
      </c>
      <c r="J214" s="9"/>
      <c r="K214" s="7">
        <v>1890.24</v>
      </c>
      <c r="L214" s="8">
        <f>IFERROR(K214/K444, "NA")</f>
        <v>1.8427882037533511E-2</v>
      </c>
      <c r="M214" s="9"/>
      <c r="N214" s="10">
        <f t="shared" si="57"/>
        <v>626</v>
      </c>
      <c r="O214" s="8">
        <f>IFERROR(N214/N444, "NA")</f>
        <v>-2.5541637765719081</v>
      </c>
      <c r="P214" s="9"/>
      <c r="Q214" s="7">
        <v>18944.97</v>
      </c>
      <c r="R214" s="8">
        <f>IFERROR(Q214/Q444, "NA")</f>
        <v>1.5274784865259615E-2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-18944.97</v>
      </c>
      <c r="X214" s="8">
        <f>IFERROR(W214/W444, "NA")</f>
        <v>0.14712099025746114</v>
      </c>
      <c r="Y214" s="9"/>
      <c r="Z214" s="7">
        <v>12192.4</v>
      </c>
      <c r="AA214" s="8">
        <f>IFERROR(Z214/Z444, "NA")</f>
        <v>1.0216042434331989E-2</v>
      </c>
      <c r="AB214" s="9"/>
      <c r="AC214" s="10">
        <f t="shared" si="59"/>
        <v>-6752.5700000000015</v>
      </c>
      <c r="AD214" s="8">
        <f>IFERROR(AC214/AC444, "NA")</f>
        <v>-0.14422069200012194</v>
      </c>
    </row>
    <row r="215" spans="1:30" ht="16.5" customHeight="1" x14ac:dyDescent="0.45">
      <c r="A215" s="12" t="s">
        <v>195</v>
      </c>
      <c r="B215" s="7">
        <v>219.09</v>
      </c>
      <c r="C215" s="8">
        <f>IFERROR(B215/B444, "NA")</f>
        <v>2.1410162483285677E-3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-219.09</v>
      </c>
      <c r="I215" s="8">
        <f>IFERROR(H215/H444, "NA")</f>
        <v>1.6133474326648918E-2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-219.09</v>
      </c>
      <c r="O215" s="8">
        <f>IFERROR(N215/N444, "NA")</f>
        <v>0.89391652046188386</v>
      </c>
      <c r="P215" s="9"/>
      <c r="Q215" s="7">
        <v>1169.72</v>
      </c>
      <c r="R215" s="8">
        <f>IFERROR(Q215/Q444, "NA")</f>
        <v>9.431116202660377E-4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-1169.72</v>
      </c>
      <c r="X215" s="8">
        <f>IFERROR(W215/W444, "NA")</f>
        <v>9.0836968717267659E-3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-1169.72</v>
      </c>
      <c r="AD215" s="8">
        <f>IFERROR(AC215/AC444, "NA")</f>
        <v>-2.4982758837950973E-2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133</v>
      </c>
      <c r="L216" s="8">
        <f>IFERROR(K216/K444, "NA")</f>
        <v>1.2966122349500366E-3</v>
      </c>
      <c r="M216" s="9"/>
      <c r="N216" s="10">
        <f t="shared" si="57"/>
        <v>133</v>
      </c>
      <c r="O216" s="8">
        <f>IFERROR(N216/N444, "NA")</f>
        <v>-0.54265779917582069</v>
      </c>
      <c r="P216" s="9"/>
      <c r="Q216" s="7">
        <v>2.1</v>
      </c>
      <c r="R216" s="8">
        <f>IFERROR(Q216/Q444, "NA")</f>
        <v>1.6931696496244222E-6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1.6307974071253129E-5</v>
      </c>
      <c r="Y216" s="9"/>
      <c r="Z216" s="7">
        <v>639.74</v>
      </c>
      <c r="AA216" s="8">
        <f>IFERROR(Z216/Z444, "NA")</f>
        <v>5.3603974500012689E-4</v>
      </c>
      <c r="AB216" s="9"/>
      <c r="AC216" s="10">
        <f t="shared" si="59"/>
        <v>637.64</v>
      </c>
      <c r="AD216" s="8">
        <f>IFERROR(AC216/AC444, "NA")</f>
        <v>1.3618649202741731E-2</v>
      </c>
    </row>
    <row r="217" spans="1:30" ht="16.5" customHeight="1" x14ac:dyDescent="0.45">
      <c r="A217" s="12" t="s">
        <v>197</v>
      </c>
      <c r="B217" s="7">
        <v>1569.95</v>
      </c>
      <c r="C217" s="8">
        <f>IFERROR(B217/B444, "NA")</f>
        <v>1.5342044178481149E-2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-1569.95</v>
      </c>
      <c r="I217" s="8">
        <f>IFERROR(H217/H444, "NA")</f>
        <v>0.11560887315314469</v>
      </c>
      <c r="J217" s="9"/>
      <c r="K217" s="7">
        <v>2563.39</v>
      </c>
      <c r="L217" s="8">
        <f>IFERROR(K217/K444, "NA")</f>
        <v>2.4990397270290031E-2</v>
      </c>
      <c r="M217" s="9"/>
      <c r="N217" s="10">
        <f t="shared" si="57"/>
        <v>993.43999999999983</v>
      </c>
      <c r="O217" s="8">
        <f>IFERROR(N217/N444, "NA")</f>
        <v>-4.0533681504753929</v>
      </c>
      <c r="P217" s="9"/>
      <c r="Q217" s="7">
        <v>18528.79</v>
      </c>
      <c r="R217" s="8">
        <f>IFERROR(Q217/Q444, "NA")</f>
        <v>1.4939230891554522E-2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-18528.79</v>
      </c>
      <c r="X217" s="8">
        <f>IFERROR(W217/W444, "NA")</f>
        <v>0.1438890604246163</v>
      </c>
      <c r="Y217" s="9"/>
      <c r="Z217" s="7">
        <v>24516.880000000001</v>
      </c>
      <c r="AA217" s="8">
        <f>IFERROR(Z217/Z444, "NA")</f>
        <v>2.0542755030791744E-2</v>
      </c>
      <c r="AB217" s="9"/>
      <c r="AC217" s="10">
        <f t="shared" si="59"/>
        <v>5988.09</v>
      </c>
      <c r="AD217" s="8">
        <f>IFERROR(AC217/AC444, "NA")</f>
        <v>0.1278930071897085</v>
      </c>
    </row>
    <row r="218" spans="1:30" ht="16.5" customHeight="1" x14ac:dyDescent="0.45">
      <c r="A218" s="13" t="s">
        <v>198</v>
      </c>
      <c r="B218" s="14">
        <f>IFERROR(B213+B214+B215+B216+B217, "NA")</f>
        <v>3053.2799999999997</v>
      </c>
      <c r="C218" s="15">
        <f>IFERROR(B218/B444, "NA")</f>
        <v>2.9837610528534616E-2</v>
      </c>
      <c r="D218" s="2"/>
      <c r="E218" s="14">
        <f>IFERROR(E213+E214+E215+E216+E217, "NA")</f>
        <v>3236.07</v>
      </c>
      <c r="F218" s="15">
        <f>IFERROR(E218/E444, "NA")</f>
        <v>2.7918876539721638E-2</v>
      </c>
      <c r="G218" s="2"/>
      <c r="H218" s="14">
        <f t="shared" si="56"/>
        <v>182.79000000000042</v>
      </c>
      <c r="I218" s="15">
        <f>IFERROR(H218/H444, "NA")</f>
        <v>-1.3460394231449006E-2</v>
      </c>
      <c r="J218" s="2"/>
      <c r="K218" s="14">
        <f>IFERROR(K213+K214+K215+K216+K217, "NA")</f>
        <v>4586.63</v>
      </c>
      <c r="L218" s="15">
        <f>IFERROR(K218/K444, "NA")</f>
        <v>4.4714891542773583E-2</v>
      </c>
      <c r="M218" s="2"/>
      <c r="N218" s="14">
        <f t="shared" si="57"/>
        <v>1533.3500000000004</v>
      </c>
      <c r="O218" s="15">
        <f>IFERROR(N218/N444, "NA")</f>
        <v>-6.2562732057612394</v>
      </c>
      <c r="P218" s="2"/>
      <c r="Q218" s="14">
        <f>IFERROR(Q213+Q214+Q215+Q216+Q217, "NA")</f>
        <v>38645.58</v>
      </c>
      <c r="R218" s="15">
        <f>IFERROR(Q218/Q444, "NA")</f>
        <v>3.1158820546729801E-2</v>
      </c>
      <c r="S218" s="2"/>
      <c r="T218" s="14">
        <f>IFERROR(T213+T214+T215+T216+T217, "NA")</f>
        <v>35804.17</v>
      </c>
      <c r="U218" s="15">
        <f>IFERROR(T218/T444, "NA")</f>
        <v>2.6152589908176607E-2</v>
      </c>
      <c r="V218" s="2"/>
      <c r="W218" s="14">
        <f t="shared" si="58"/>
        <v>-2841.4100000000035</v>
      </c>
      <c r="X218" s="15">
        <f>IFERROR(W218/W444, "NA")</f>
        <v>2.2065543145618764E-2</v>
      </c>
      <c r="Y218" s="2"/>
      <c r="Z218" s="14">
        <f>IFERROR(Z213+Z214+Z215+Z216+Z217, "NA")</f>
        <v>37349.020000000004</v>
      </c>
      <c r="AA218" s="15">
        <f>IFERROR(Z218/Z444, "NA")</f>
        <v>3.1294837210123862E-2</v>
      </c>
      <c r="AB218" s="2"/>
      <c r="AC218" s="14">
        <f t="shared" si="59"/>
        <v>-1296.5599999999977</v>
      </c>
      <c r="AD218" s="15">
        <f>IFERROR(AC218/AC444, "NA")</f>
        <v>-2.769179444562259E-2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1150.56</v>
      </c>
      <c r="R222" s="8">
        <f>IFERROR(Q222/Q444, "NA")</f>
        <v>9.2766346289136913E-4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-1150.56</v>
      </c>
      <c r="X222" s="8">
        <f>IFERROR(W222/W444, "NA")</f>
        <v>8.9349060225814275E-3</v>
      </c>
      <c r="Y222" s="9"/>
      <c r="Z222" s="7">
        <v>56.6</v>
      </c>
      <c r="AA222" s="8">
        <f>IFERROR(Z222/Z444, "NA")</f>
        <v>4.7425281469045521E-5</v>
      </c>
      <c r="AB222" s="9"/>
      <c r="AC222" s="10">
        <f t="shared" si="59"/>
        <v>-1093.96</v>
      </c>
      <c r="AD222" s="8">
        <f>IFERROR(AC222/AC444, "NA")</f>
        <v>-2.3364684589786314E-2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115.91</v>
      </c>
      <c r="F226" s="8">
        <f>IFERROR(E226/E444, "NA")</f>
        <v>1.0000021568504806E-3</v>
      </c>
      <c r="G226" s="9"/>
      <c r="H226" s="10">
        <f t="shared" si="56"/>
        <v>115.91</v>
      </c>
      <c r="I226" s="8">
        <f>IFERROR(H226/H444, "NA")</f>
        <v>-8.535446662110896E-3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1369.06</v>
      </c>
      <c r="U226" s="8">
        <f>IFERROR(T226/T444, "NA")</f>
        <v>1.0000082319933199E-3</v>
      </c>
      <c r="V226" s="9"/>
      <c r="W226" s="10">
        <f t="shared" si="58"/>
        <v>1369.06</v>
      </c>
      <c r="X226" s="8">
        <f>IFERROR(W226/W444, "NA")</f>
        <v>-1.0631711896185623E-2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3053.2799999999997</v>
      </c>
      <c r="C227" s="15">
        <f>IFERROR(B227/B444, "NA")</f>
        <v>2.9837610528534616E-2</v>
      </c>
      <c r="D227" s="2"/>
      <c r="E227" s="14">
        <f>IFERROR(E211+E213+E214+E215+E216+E217+E219+E220+E221+E222+E223+E224+E225+E226, "NA")</f>
        <v>3351.98</v>
      </c>
      <c r="F227" s="15">
        <f>IFERROR(E227/E444, "NA")</f>
        <v>2.8918878696572118E-2</v>
      </c>
      <c r="G227" s="2"/>
      <c r="H227" s="14">
        <f t="shared" si="56"/>
        <v>298.70000000000027</v>
      </c>
      <c r="I227" s="15">
        <f>IFERROR(H227/H444, "NA")</f>
        <v>-2.1995840893559892E-2</v>
      </c>
      <c r="J227" s="2"/>
      <c r="K227" s="14">
        <f>IFERROR(K211+K213+K214+K215+K216+K217+K219+K220+K221+K222+K223+K224+K225+K226, "NA")</f>
        <v>4586.63</v>
      </c>
      <c r="L227" s="15">
        <f>IFERROR(K227/K444, "NA")</f>
        <v>4.4714891542773583E-2</v>
      </c>
      <c r="M227" s="2"/>
      <c r="N227" s="14">
        <f t="shared" si="57"/>
        <v>1533.3500000000004</v>
      </c>
      <c r="O227" s="15">
        <f>IFERROR(N227/N444, "NA")</f>
        <v>-6.2562732057612394</v>
      </c>
      <c r="P227" s="2"/>
      <c r="Q227" s="14">
        <f>IFERROR(Q211+Q213+Q214+Q215+Q216+Q217+Q219+Q220+Q221+Q222+Q223+Q224+Q225+Q226, "NA")</f>
        <v>39796.14</v>
      </c>
      <c r="R227" s="15">
        <f>IFERROR(Q227/Q444, "NA")</f>
        <v>3.208648400962117E-2</v>
      </c>
      <c r="S227" s="2"/>
      <c r="T227" s="14">
        <f>IFERROR(T211+T213+T214+T215+T216+T217+T219+T220+T221+T222+T223+T224+T225+T226, "NA")</f>
        <v>37173.229999999996</v>
      </c>
      <c r="U227" s="15">
        <f>IFERROR(T227/T444, "NA")</f>
        <v>2.7152598140169924E-2</v>
      </c>
      <c r="V227" s="2"/>
      <c r="W227" s="14">
        <f t="shared" si="58"/>
        <v>-2622.9100000000035</v>
      </c>
      <c r="X227" s="15">
        <f>IFERROR(W227/W444, "NA")</f>
        <v>2.0368737272014572E-2</v>
      </c>
      <c r="Y227" s="2"/>
      <c r="Z227" s="14">
        <f>IFERROR(Z211+Z213+Z214+Z215+Z216+Z217+Z219+Z220+Z221+Z222+Z223+Z224+Z225+Z226, "NA")</f>
        <v>37405.620000000003</v>
      </c>
      <c r="AA227" s="15">
        <f>IFERROR(Z227/Z444, "NA")</f>
        <v>3.1342262491592908E-2</v>
      </c>
      <c r="AB227" s="2"/>
      <c r="AC227" s="14">
        <f t="shared" si="59"/>
        <v>-2390.5199999999968</v>
      </c>
      <c r="AD227" s="15">
        <f>IFERROR(AC227/AC444, "NA")</f>
        <v>-5.1056479035408886E-2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1706.19</v>
      </c>
      <c r="F229" s="8">
        <f>IFERROR(E229/E444, "NA")</f>
        <v>1.4719986886349078E-2</v>
      </c>
      <c r="G229" s="9"/>
      <c r="H229" s="10">
        <f t="shared" ref="H229:H236" si="60">IFERROR(-(B229-E229), "NA")</f>
        <v>1706.19</v>
      </c>
      <c r="I229" s="8">
        <f>IFERROR(H229/H444, "NA")</f>
        <v>-0.12564139194570778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20152.400000000001</v>
      </c>
      <c r="U229" s="8">
        <f>IFERROR(T229/T444, "NA")</f>
        <v>1.4720001968081882E-2</v>
      </c>
      <c r="V229" s="9"/>
      <c r="W229" s="10">
        <f t="shared" ref="W229:W236" si="62">IFERROR(-(Q229-T229), "NA")</f>
        <v>20152.400000000001</v>
      </c>
      <c r="X229" s="8">
        <f>IFERROR(W229/W444, "NA")</f>
        <v>-0.15649753174929598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-2.1589395800908603E-4</v>
      </c>
      <c r="AB230" s="9"/>
      <c r="AC230" s="10">
        <f t="shared" si="63"/>
        <v>-257.66000000000003</v>
      </c>
      <c r="AD230" s="8">
        <f>IFERROR(AC230/AC444, "NA")</f>
        <v>-5.5030756439031978E-3</v>
      </c>
    </row>
    <row r="231" spans="1:30" ht="16.5" customHeight="1" x14ac:dyDescent="0.45">
      <c r="A231" s="6" t="s">
        <v>210</v>
      </c>
      <c r="B231" s="7">
        <v>182</v>
      </c>
      <c r="C231" s="8">
        <f>IFERROR(B231/B444, "NA")</f>
        <v>1.77856112645853E-3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-182</v>
      </c>
      <c r="I231" s="8">
        <f>IFERROR(H231/H444, "NA")</f>
        <v>1.3402219761057571E-2</v>
      </c>
      <c r="J231" s="9"/>
      <c r="K231" s="7">
        <v>190.57</v>
      </c>
      <c r="L231" s="8">
        <f>IFERROR(K231/K444, "NA")</f>
        <v>1.8578601023641237E-3</v>
      </c>
      <c r="M231" s="9"/>
      <c r="N231" s="10">
        <f t="shared" si="61"/>
        <v>8.5699999999999932</v>
      </c>
      <c r="O231" s="8">
        <f>IFERROR(N231/N444, "NA")</f>
        <v>-3.4966746909299094E-2</v>
      </c>
      <c r="P231" s="9"/>
      <c r="Q231" s="7">
        <v>1778.05</v>
      </c>
      <c r="R231" s="8">
        <f>IFERROR(Q231/Q444, "NA")</f>
        <v>1.4335906169117636E-3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-1778.05</v>
      </c>
      <c r="X231" s="8">
        <f>IFERROR(W231/W444, "NA")</f>
        <v>1.3807806332091249E-2</v>
      </c>
      <c r="Y231" s="9"/>
      <c r="Z231" s="7">
        <v>2053.0100000000002</v>
      </c>
      <c r="AA231" s="8">
        <f>IFERROR(Z231/Z444, "NA")</f>
        <v>1.720222210402211E-3</v>
      </c>
      <c r="AB231" s="9"/>
      <c r="AC231" s="10">
        <f t="shared" si="63"/>
        <v>274.96000000000026</v>
      </c>
      <c r="AD231" s="8">
        <f>IFERROR(AC231/AC444, "NA")</f>
        <v>5.872567255482514E-3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1319.7</v>
      </c>
      <c r="C234" s="8">
        <f>IFERROR(B234/B444, "NA")</f>
        <v>1.2896522629600671E-2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-1319.7</v>
      </c>
      <c r="I234" s="8">
        <f>IFERROR(H234/H444, "NA")</f>
        <v>9.7180820981690536E-2</v>
      </c>
      <c r="J234" s="9"/>
      <c r="K234" s="7">
        <v>1820.84</v>
      </c>
      <c r="L234" s="8">
        <f>IFERROR(K234/K444, "NA")</f>
        <v>1.775130392395808E-2</v>
      </c>
      <c r="M234" s="9"/>
      <c r="N234" s="10">
        <f t="shared" si="61"/>
        <v>501.13999999999987</v>
      </c>
      <c r="O234" s="8">
        <f>IFERROR(N234/N444, "NA")</f>
        <v>-2.0447182667591783</v>
      </c>
      <c r="P234" s="9"/>
      <c r="Q234" s="7">
        <v>14828.84</v>
      </c>
      <c r="R234" s="8">
        <f>IFERROR(Q234/Q444, "NA")</f>
        <v>1.1956067536731722E-2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-14828.84</v>
      </c>
      <c r="X234" s="8">
        <f>IFERROR(W234/W444, "NA")</f>
        <v>0.11515635153655297</v>
      </c>
      <c r="Y234" s="9"/>
      <c r="Z234" s="7">
        <v>16552.18</v>
      </c>
      <c r="AA234" s="8">
        <f>IFERROR(Z234/Z444, "NA")</f>
        <v>1.3869112993397629E-2</v>
      </c>
      <c r="AB234" s="9"/>
      <c r="AC234" s="10">
        <f t="shared" si="63"/>
        <v>1723.3400000000001</v>
      </c>
      <c r="AD234" s="8">
        <f>IFERROR(AC234/AC444, "NA")</f>
        <v>3.680691756642139E-2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1501.7</v>
      </c>
      <c r="C236" s="15">
        <f>IFERROR(B236/B444, "NA")</f>
        <v>1.4675083756059202E-2</v>
      </c>
      <c r="D236" s="2"/>
      <c r="E236" s="14">
        <f>IFERROR(E229+E230+E231+E232+E233+E234+E235, "NA")</f>
        <v>1706.19</v>
      </c>
      <c r="F236" s="15">
        <f>IFERROR(E236/E444, "NA")</f>
        <v>1.4719986886349078E-2</v>
      </c>
      <c r="G236" s="2"/>
      <c r="H236" s="14">
        <f t="shared" si="60"/>
        <v>204.49</v>
      </c>
      <c r="I236" s="15">
        <f>IFERROR(H236/H444, "NA")</f>
        <v>-1.5058351202959687E-2</v>
      </c>
      <c r="J236" s="2"/>
      <c r="K236" s="14">
        <f>IFERROR(K229+K230+K231+K232+K233+K234+K235, "NA")</f>
        <v>2011.4099999999999</v>
      </c>
      <c r="L236" s="15">
        <f>IFERROR(K236/K444, "NA")</f>
        <v>1.9609164026322203E-2</v>
      </c>
      <c r="M236" s="2"/>
      <c r="N236" s="14">
        <f t="shared" si="61"/>
        <v>509.70999999999981</v>
      </c>
      <c r="O236" s="15">
        <f>IFERROR(N236/N444, "NA")</f>
        <v>-2.079685013668477</v>
      </c>
      <c r="P236" s="2"/>
      <c r="Q236" s="14">
        <f>IFERROR(Q229+Q230+Q231+Q232+Q233+Q234+Q235, "NA")</f>
        <v>16606.89</v>
      </c>
      <c r="R236" s="15">
        <f>IFERROR(Q236/Q444, "NA")</f>
        <v>1.3389658153643486E-2</v>
      </c>
      <c r="S236" s="2"/>
      <c r="T236" s="14">
        <f>IFERROR(T229+T230+T231+T232+T233+T234+T235, "NA")</f>
        <v>20152.400000000001</v>
      </c>
      <c r="U236" s="15">
        <f>IFERROR(T236/T444, "NA")</f>
        <v>1.4720001968081882E-2</v>
      </c>
      <c r="V236" s="2"/>
      <c r="W236" s="14">
        <f t="shared" si="62"/>
        <v>3545.510000000002</v>
      </c>
      <c r="X236" s="15">
        <f>IFERROR(W236/W444, "NA")</f>
        <v>-2.7533373880651767E-2</v>
      </c>
      <c r="Y236" s="2"/>
      <c r="Z236" s="14">
        <f>IFERROR(Z229+Z230+Z231+Z232+Z233+Z234+Z235, "NA")</f>
        <v>18347.53</v>
      </c>
      <c r="AA236" s="15">
        <f>IFERROR(Z236/Z444, "NA")</f>
        <v>1.5373441245790754E-2</v>
      </c>
      <c r="AB236" s="2"/>
      <c r="AC236" s="14">
        <f t="shared" si="63"/>
        <v>1740.6399999999994</v>
      </c>
      <c r="AD236" s="15">
        <f>IFERROR(AC236/AC444, "NA")</f>
        <v>3.7176409178000691E-2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5958.69</v>
      </c>
      <c r="F240" s="8">
        <f>IFERROR(E240/E444, "NA")</f>
        <v>5.1408013562275819E-2</v>
      </c>
      <c r="G240" s="9"/>
      <c r="H240" s="10">
        <f t="shared" ref="H240:H263" si="64">IFERROR(-(B240-E240), "NA")</f>
        <v>5958.69</v>
      </c>
      <c r="I240" s="8">
        <f>IFERROR(H240/H444, "NA")</f>
        <v>-0.43878941136272603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71067.34</v>
      </c>
      <c r="U240" s="8">
        <f>IFERROR(T240/T444, "NA")</f>
        <v>5.1910014919629634E-2</v>
      </c>
      <c r="V240" s="9"/>
      <c r="W240" s="10">
        <f t="shared" ref="W240:W263" si="66">IFERROR(-(Q240-T240), "NA")</f>
        <v>71067.34</v>
      </c>
      <c r="X240" s="8">
        <f>IFERROR(W240/W444, "NA")</f>
        <v>-0.55188778001568106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1363.08</v>
      </c>
      <c r="C242" s="8">
        <f>IFERROR(B242/B444, "NA")</f>
        <v>1.3320445605786225E-2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-1363.08</v>
      </c>
      <c r="I242" s="8">
        <f>IFERROR(H242/H444, "NA")</f>
        <v>0.10037526215330964</v>
      </c>
      <c r="J242" s="9"/>
      <c r="K242" s="7">
        <v>935.22</v>
      </c>
      <c r="L242" s="8">
        <f>IFERROR(K242/K444, "NA")</f>
        <v>9.1174262734584448E-3</v>
      </c>
      <c r="M242" s="9"/>
      <c r="N242" s="10">
        <f t="shared" si="65"/>
        <v>-427.8599999999999</v>
      </c>
      <c r="O242" s="8">
        <f>IFERROR(N242/N444, "NA")</f>
        <v>1.7457260598147863</v>
      </c>
      <c r="P242" s="9"/>
      <c r="Q242" s="7">
        <v>12966.77</v>
      </c>
      <c r="R242" s="8">
        <f>IFERROR(Q242/Q444, "NA")</f>
        <v>1.0454734008409747E-2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-12966.77</v>
      </c>
      <c r="X242" s="8">
        <f>IFERROR(W242/W444, "NA")</f>
        <v>0.10069607092757282</v>
      </c>
      <c r="Y242" s="9"/>
      <c r="Z242" s="7">
        <v>10254.93</v>
      </c>
      <c r="AA242" s="8">
        <f>IFERROR(Z242/Z444, "NA")</f>
        <v>8.5926314787165888E-3</v>
      </c>
      <c r="AB242" s="9"/>
      <c r="AC242" s="10">
        <f t="shared" si="67"/>
        <v>-2711.84</v>
      </c>
      <c r="AD242" s="8">
        <f>IFERROR(AC242/AC444, "NA")</f>
        <v>-5.7919198378337526E-2</v>
      </c>
    </row>
    <row r="243" spans="1:30" ht="16.5" customHeight="1" x14ac:dyDescent="0.45">
      <c r="A243" s="12" t="s">
        <v>220</v>
      </c>
      <c r="B243" s="7">
        <v>2209.02</v>
      </c>
      <c r="C243" s="8">
        <f>IFERROR(B243/B444, "NA")</f>
        <v>2.1587236810821E-2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-2209.02</v>
      </c>
      <c r="I243" s="8">
        <f>IFERROR(H243/H444, "NA")</f>
        <v>0.1626690741569857</v>
      </c>
      <c r="J243" s="9"/>
      <c r="K243" s="7">
        <v>2977.49</v>
      </c>
      <c r="L243" s="8">
        <f>IFERROR(K243/K444, "NA")</f>
        <v>2.9027443334145746E-2</v>
      </c>
      <c r="M243" s="9"/>
      <c r="N243" s="10">
        <f t="shared" si="65"/>
        <v>768.4699999999998</v>
      </c>
      <c r="O243" s="8">
        <f>IFERROR(N243/N444, "NA")</f>
        <v>-3.1354604431025774</v>
      </c>
      <c r="P243" s="9"/>
      <c r="Q243" s="7">
        <v>28915.53</v>
      </c>
      <c r="R243" s="8">
        <f>IFERROR(Q243/Q444, "NA")</f>
        <v>2.3313760856573554E-2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-28915.53</v>
      </c>
      <c r="X243" s="8">
        <f>IFERROR(W243/W444, "NA")</f>
        <v>0.22454938737930569</v>
      </c>
      <c r="Y243" s="9"/>
      <c r="Z243" s="7">
        <v>36589.11</v>
      </c>
      <c r="AA243" s="8">
        <f>IFERROR(Z243/Z444, "NA")</f>
        <v>3.0658106721764455E-2</v>
      </c>
      <c r="AB243" s="9"/>
      <c r="AC243" s="10">
        <f t="shared" si="67"/>
        <v>7673.5800000000017</v>
      </c>
      <c r="AD243" s="8">
        <f>IFERROR(AC243/AC444, "NA")</f>
        <v>0.1638915283689463</v>
      </c>
    </row>
    <row r="244" spans="1:30" ht="16.5" customHeight="1" x14ac:dyDescent="0.45">
      <c r="A244" s="12" t="s">
        <v>221</v>
      </c>
      <c r="B244" s="7">
        <v>228.6</v>
      </c>
      <c r="C244" s="8">
        <f>IFERROR(B244/B444, "NA")</f>
        <v>2.2339509533429668E-3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-228.6</v>
      </c>
      <c r="I244" s="8">
        <f>IFERROR(H244/H444, "NA")</f>
        <v>1.6833777128449235E-2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-228.6</v>
      </c>
      <c r="O244" s="8">
        <f>IFERROR(N244/N444, "NA")</f>
        <v>0.93271859316986927</v>
      </c>
      <c r="P244" s="9"/>
      <c r="Q244" s="7">
        <v>4859.2</v>
      </c>
      <c r="R244" s="8">
        <f>IFERROR(Q244/Q444, "NA")</f>
        <v>3.9178333149785674E-3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-4859.2</v>
      </c>
      <c r="X244" s="8">
        <f>IFERROR(W244/W444, "NA")</f>
        <v>3.7735098860491999E-2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-4859.2</v>
      </c>
      <c r="AD244" s="8">
        <f>IFERROR(AC244/AC444, "NA")</f>
        <v>-0.10378229127087796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88.87</v>
      </c>
      <c r="C246" s="8">
        <f>IFERROR(B246/B444, "NA")</f>
        <v>8.6846553466137129E-4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-88.87</v>
      </c>
      <c r="I246" s="8">
        <f>IFERROR(H246/H444, "NA")</f>
        <v>6.5442597261823427E-3</v>
      </c>
      <c r="J246" s="9"/>
      <c r="K246" s="7">
        <v>437.92</v>
      </c>
      <c r="L246" s="8">
        <f>IFERROR(K246/K444, "NA")</f>
        <v>4.2692663904460157E-3</v>
      </c>
      <c r="M246" s="9"/>
      <c r="N246" s="10">
        <f t="shared" si="65"/>
        <v>349.05</v>
      </c>
      <c r="O246" s="8">
        <f>IFERROR(N246/N444, "NA")</f>
        <v>-1.4241707127994001</v>
      </c>
      <c r="P246" s="9"/>
      <c r="Q246" s="7">
        <v>3231.59</v>
      </c>
      <c r="R246" s="8">
        <f>IFERROR(Q246/Q444, "NA")</f>
        <v>2.6055381466808508E-3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-3231.59</v>
      </c>
      <c r="X246" s="8">
        <f>IFERROR(W246/W444, "NA")</f>
        <v>2.509556472805757E-2</v>
      </c>
      <c r="Y246" s="9"/>
      <c r="Z246" s="7">
        <v>1915.05</v>
      </c>
      <c r="AA246" s="8">
        <f>IFERROR(Z246/Z444, "NA")</f>
        <v>1.604625181577661E-3</v>
      </c>
      <c r="AB246" s="9"/>
      <c r="AC246" s="10">
        <f t="shared" si="67"/>
        <v>-1316.5400000000002</v>
      </c>
      <c r="AD246" s="8">
        <f>IFERROR(AC246/AC444, "NA")</f>
        <v>-2.8118525220151812E-2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263.13</v>
      </c>
      <c r="C248" s="8">
        <f>IFERROR(B248/B444, "NA")</f>
        <v>2.5713889516760053E-3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-263.13</v>
      </c>
      <c r="I248" s="8">
        <f>IFERROR(H248/H444, "NA")</f>
        <v>1.9376516954544388E-2</v>
      </c>
      <c r="J248" s="9"/>
      <c r="K248" s="7">
        <v>254.18</v>
      </c>
      <c r="L248" s="8">
        <f>IFERROR(K248/K444, "NA")</f>
        <v>2.4779917133804534E-3</v>
      </c>
      <c r="M248" s="9"/>
      <c r="N248" s="10">
        <f t="shared" si="65"/>
        <v>-8.9499999999999886</v>
      </c>
      <c r="O248" s="8">
        <f>IFERROR(N248/N444, "NA")</f>
        <v>3.6517197764087135E-2</v>
      </c>
      <c r="P248" s="9"/>
      <c r="Q248" s="7">
        <v>2955.22</v>
      </c>
      <c r="R248" s="8">
        <f>IFERROR(Q248/Q444, "NA")</f>
        <v>2.3827089580776592E-3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-2955.22</v>
      </c>
      <c r="X248" s="8">
        <f>IFERROR(W248/W444, "NA")</f>
        <v>2.2949357683261267E-2</v>
      </c>
      <c r="Y248" s="9"/>
      <c r="Z248" s="7">
        <v>2703.86</v>
      </c>
      <c r="AA248" s="8">
        <f>IFERROR(Z248/Z444, "NA")</f>
        <v>2.2655710521712617E-3</v>
      </c>
      <c r="AB248" s="9"/>
      <c r="AC248" s="10">
        <f t="shared" si="67"/>
        <v>-251.35999999999967</v>
      </c>
      <c r="AD248" s="8">
        <f>IFERROR(AC248/AC444, "NA")</f>
        <v>-5.3685208951777764E-3</v>
      </c>
    </row>
    <row r="249" spans="1:30" ht="16.5" customHeight="1" x14ac:dyDescent="0.45">
      <c r="A249" s="12" t="s">
        <v>226</v>
      </c>
      <c r="B249" s="7">
        <v>1844.17</v>
      </c>
      <c r="C249" s="8">
        <f>IFERROR(B249/B444, "NA")</f>
        <v>1.8021808091104548E-2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-1844.17</v>
      </c>
      <c r="I249" s="8">
        <f>IFERROR(H249/H444, "NA")</f>
        <v>0.1358020418502722</v>
      </c>
      <c r="J249" s="9"/>
      <c r="K249" s="7">
        <v>1340.75</v>
      </c>
      <c r="L249" s="8">
        <f>IFERROR(K249/K444, "NA")</f>
        <v>1.3070923714355349E-2</v>
      </c>
      <c r="M249" s="9"/>
      <c r="N249" s="10">
        <f t="shared" si="65"/>
        <v>-503.42000000000007</v>
      </c>
      <c r="O249" s="8">
        <f>IFERROR(N249/N444, "NA")</f>
        <v>2.0540209718879074</v>
      </c>
      <c r="P249" s="9"/>
      <c r="Q249" s="7">
        <v>15472.17</v>
      </c>
      <c r="R249" s="8">
        <f>IFERROR(Q249/Q444, "NA")</f>
        <v>1.2474766027537856E-2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-15472.17</v>
      </c>
      <c r="X249" s="8">
        <f>IFERROR(W249/W444, "NA")</f>
        <v>0.12015226056477167</v>
      </c>
      <c r="Y249" s="9"/>
      <c r="Z249" s="7">
        <v>14142.24</v>
      </c>
      <c r="AA249" s="8">
        <f>IFERROR(Z249/Z444, "NA")</f>
        <v>1.1849818243865624E-2</v>
      </c>
      <c r="AB249" s="9"/>
      <c r="AC249" s="10">
        <f t="shared" si="67"/>
        <v>-1329.9300000000003</v>
      </c>
      <c r="AD249" s="8">
        <f>IFERROR(AC249/AC444, "NA")</f>
        <v>-2.8404507455934876E-2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7150.14</v>
      </c>
      <c r="R254" s="8">
        <f>IFERROR(Q254/Q444, "NA")</f>
        <v>5.7649523993169366E-3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-7150.14</v>
      </c>
      <c r="X254" s="8">
        <f>IFERROR(W254/W444, "NA")</f>
        <v>5.5525856059918971E-2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-7150.14</v>
      </c>
      <c r="AD254" s="8">
        <f>IFERROR(AC254/AC444, "NA")</f>
        <v>-0.15271195096056045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2.2497682110315762E-5</v>
      </c>
      <c r="AB255" s="9"/>
      <c r="AC255" s="10">
        <f t="shared" si="67"/>
        <v>26.85</v>
      </c>
      <c r="AD255" s="8">
        <f>IFERROR(AC255/AC444, "NA")</f>
        <v>5.7345952432974012E-4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993.17</v>
      </c>
      <c r="R258" s="8">
        <f>IFERROR(Q258/Q444, "NA")</f>
        <v>8.0076442900832727E-4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-993.17</v>
      </c>
      <c r="X258" s="8">
        <f>IFERROR(W258/W444, "NA")</f>
        <v>7.7126621944506989E-3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-993.17</v>
      </c>
      <c r="AD258" s="8">
        <f>IFERROR(AC258/AC444, "NA")</f>
        <v>-2.1212022189145922E-2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5996.87</v>
      </c>
      <c r="C262" s="15">
        <f>IFERROR(B262/B444, "NA")</f>
        <v>5.8603295947392116E-2</v>
      </c>
      <c r="D262" s="2"/>
      <c r="E262" s="14">
        <f>IFERROR(E240+E241+E242+E243+E244+E245+E246+E247+E248+E249+E250+E251+E252+E253+E254+E255+E256+E257+E258+E259+E260+E261, "NA")</f>
        <v>5958.69</v>
      </c>
      <c r="F262" s="15">
        <f>IFERROR(E262/E444, "NA")</f>
        <v>5.1408013562275819E-2</v>
      </c>
      <c r="G262" s="2"/>
      <c r="H262" s="14">
        <f t="shared" si="64"/>
        <v>-38.180000000000291</v>
      </c>
      <c r="I262" s="15">
        <f>IFERROR(H262/H444, "NA")</f>
        <v>2.8115206070174832E-3</v>
      </c>
      <c r="J262" s="2"/>
      <c r="K262" s="14">
        <f>IFERROR(K240+K241+K242+K243+K244+K245+K246+K247+K248+K249+K250+K251+K252+K253+K254+K255+K256+K257+K258+K259+K260+K261, "NA")</f>
        <v>5945.56</v>
      </c>
      <c r="L262" s="15">
        <f>IFERROR(K262/K444, "NA")</f>
        <v>5.7963051425786012E-2</v>
      </c>
      <c r="M262" s="2"/>
      <c r="N262" s="14">
        <f t="shared" si="65"/>
        <v>-51.309999999999491</v>
      </c>
      <c r="O262" s="15">
        <f>IFERROR(N262/N444, "NA")</f>
        <v>0.20935166673466979</v>
      </c>
      <c r="P262" s="2"/>
      <c r="Q262" s="14">
        <f>IFERROR(Q240+Q241+Q242+Q243+Q244+Q245+Q246+Q247+Q248+Q249+Q250+Q251+Q252+Q253+Q254+Q255+Q256+Q257+Q258+Q259+Q260+Q261, "NA")</f>
        <v>76543.789999999994</v>
      </c>
      <c r="R262" s="15">
        <f>IFERROR(Q262/Q444, "NA")</f>
        <v>6.1715058140583492E-2</v>
      </c>
      <c r="S262" s="2"/>
      <c r="T262" s="14">
        <f>IFERROR(T240+T241+T242+T243+T244+T245+T246+T247+T248+T249+T250+T251+T252+T253+T254+T255+T256+T257+T258+T259+T260+T261, "NA")</f>
        <v>71067.34</v>
      </c>
      <c r="U262" s="15">
        <f>IFERROR(T262/T444, "NA")</f>
        <v>5.1910014919629634E-2</v>
      </c>
      <c r="V262" s="2"/>
      <c r="W262" s="14">
        <f t="shared" si="66"/>
        <v>-5476.4499999999971</v>
      </c>
      <c r="X262" s="15">
        <f>IFERROR(W262/W444, "NA")</f>
        <v>4.2528478382149591E-2</v>
      </c>
      <c r="Y262" s="2"/>
      <c r="Z262" s="14">
        <f>IFERROR(Z240+Z241+Z242+Z243+Z244+Z245+Z246+Z247+Z248+Z249+Z250+Z251+Z252+Z253+Z254+Z255+Z256+Z257+Z258+Z259+Z260+Z261, "NA")</f>
        <v>65632.040000000008</v>
      </c>
      <c r="AA262" s="15">
        <f>IFERROR(Z262/Z444, "NA")</f>
        <v>5.4993250360205914E-2</v>
      </c>
      <c r="AB262" s="2"/>
      <c r="AC262" s="14">
        <f t="shared" si="67"/>
        <v>-10911.749999999985</v>
      </c>
      <c r="AD262" s="15">
        <f>IFERROR(AC262/AC444, "NA")</f>
        <v>-0.23305202847691001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5996.87</v>
      </c>
      <c r="C263" s="15">
        <f>IFERROR(B263/B444, "NA")</f>
        <v>5.8603295947392116E-2</v>
      </c>
      <c r="D263" s="2"/>
      <c r="E263" s="14">
        <f>IFERROR(E238+E240+E241+E242+E243+E244+E245+E246+E247+E248+E249+E250+E251+E252+E253+E254+E255+E256+E257+E258+E259+E260+E261, "NA")</f>
        <v>5958.69</v>
      </c>
      <c r="F263" s="15">
        <f>IFERROR(E263/E444, "NA")</f>
        <v>5.1408013562275819E-2</v>
      </c>
      <c r="G263" s="2"/>
      <c r="H263" s="14">
        <f t="shared" si="64"/>
        <v>-38.180000000000291</v>
      </c>
      <c r="I263" s="15">
        <f>IFERROR(H263/H444, "NA")</f>
        <v>2.8115206070174832E-3</v>
      </c>
      <c r="J263" s="2"/>
      <c r="K263" s="14">
        <f>IFERROR(K238+K240+K241+K242+K243+K244+K245+K246+K247+K248+K249+K250+K251+K252+K253+K254+K255+K256+K257+K258+K259+K260+K261, "NA")</f>
        <v>5945.56</v>
      </c>
      <c r="L263" s="15">
        <f>IFERROR(K263/K444, "NA")</f>
        <v>5.7963051425786012E-2</v>
      </c>
      <c r="M263" s="2"/>
      <c r="N263" s="14">
        <f t="shared" si="65"/>
        <v>-51.309999999999491</v>
      </c>
      <c r="O263" s="15">
        <f>IFERROR(N263/N444, "NA")</f>
        <v>0.20935166673466979</v>
      </c>
      <c r="P263" s="2"/>
      <c r="Q263" s="14">
        <f>IFERROR(Q238+Q240+Q241+Q242+Q243+Q244+Q245+Q246+Q247+Q248+Q249+Q250+Q251+Q252+Q253+Q254+Q255+Q256+Q257+Q258+Q259+Q260+Q261, "NA")</f>
        <v>76543.789999999994</v>
      </c>
      <c r="R263" s="15">
        <f>IFERROR(Q263/Q444, "NA")</f>
        <v>6.1715058140583492E-2</v>
      </c>
      <c r="S263" s="2"/>
      <c r="T263" s="14">
        <f>IFERROR(T238+T240+T241+T242+T243+T244+T245+T246+T247+T248+T249+T250+T251+T252+T253+T254+T255+T256+T257+T258+T259+T260+T261, "NA")</f>
        <v>71067.34</v>
      </c>
      <c r="U263" s="15">
        <f>IFERROR(T263/T444, "NA")</f>
        <v>5.1910014919629634E-2</v>
      </c>
      <c r="V263" s="2"/>
      <c r="W263" s="14">
        <f t="shared" si="66"/>
        <v>-5476.4499999999971</v>
      </c>
      <c r="X263" s="15">
        <f>IFERROR(W263/W444, "NA")</f>
        <v>4.2528478382149591E-2</v>
      </c>
      <c r="Y263" s="2"/>
      <c r="Z263" s="14">
        <f>IFERROR(Z238+Z240+Z241+Z242+Z243+Z244+Z245+Z246+Z247+Z248+Z249+Z250+Z251+Z252+Z253+Z254+Z255+Z256+Z257+Z258+Z259+Z260+Z261, "NA")</f>
        <v>65632.040000000008</v>
      </c>
      <c r="AA263" s="15">
        <f>IFERROR(Z263/Z444, "NA")</f>
        <v>5.4993250360205914E-2</v>
      </c>
      <c r="AB263" s="2"/>
      <c r="AC263" s="14">
        <f t="shared" si="67"/>
        <v>-10911.749999999985</v>
      </c>
      <c r="AD263" s="15">
        <f>IFERROR(AC263/AC444, "NA")</f>
        <v>-0.23305202847691001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2631.82</v>
      </c>
      <c r="C265" s="8">
        <f>IFERROR(B265/B444, "NA")</f>
        <v>2.571897111997851E-2</v>
      </c>
      <c r="D265" s="9"/>
      <c r="E265" s="7">
        <v>3245.47</v>
      </c>
      <c r="F265" s="8">
        <f>IFERROR(E265/E444, "NA")</f>
        <v>2.799997411779423E-2</v>
      </c>
      <c r="G265" s="9"/>
      <c r="H265" s="10">
        <f>IFERROR(-(B265-E265), "NA")</f>
        <v>613.64999999999964</v>
      </c>
      <c r="I265" s="8">
        <f>IFERROR(H265/H444, "NA")</f>
        <v>-4.5188308551499856E-2</v>
      </c>
      <c r="J265" s="9"/>
      <c r="K265" s="7">
        <v>2937.36</v>
      </c>
      <c r="L265" s="8">
        <f>IFERROR(K265/K444, "NA")</f>
        <v>2.8636217401901049E-2</v>
      </c>
      <c r="M265" s="9"/>
      <c r="N265" s="10">
        <f>IFERROR(-(B265-K265), "NA")</f>
        <v>305.53999999999996</v>
      </c>
      <c r="O265" s="8">
        <f>IFERROR(N265/N444, "NA")</f>
        <v>-1.2466440899261673</v>
      </c>
      <c r="P265" s="9"/>
      <c r="Q265" s="7">
        <v>33210.980000000003</v>
      </c>
      <c r="R265" s="8">
        <f>IFERROR(Q265/Q444, "NA")</f>
        <v>2.6777058747754143E-2</v>
      </c>
      <c r="S265" s="9"/>
      <c r="T265" s="7">
        <v>38509.660000000003</v>
      </c>
      <c r="U265" s="8">
        <f>IFERROR(T265/T444, "NA")</f>
        <v>2.8128772304547557E-2</v>
      </c>
      <c r="V265" s="9"/>
      <c r="W265" s="10">
        <f>IFERROR(-(Q265-T265), "NA")</f>
        <v>5298.68</v>
      </c>
      <c r="X265" s="8">
        <f>IFERROR(W265/W444, "NA")</f>
        <v>-4.1147969548508342E-2</v>
      </c>
      <c r="Y265" s="9"/>
      <c r="Z265" s="7">
        <v>34411.120000000003</v>
      </c>
      <c r="AA265" s="8">
        <f>IFERROR(Z265/Z444, "NA")</f>
        <v>2.8833163456980594E-2</v>
      </c>
      <c r="AB265" s="9"/>
      <c r="AC265" s="10">
        <f>IFERROR(-(Q265-Z265), "NA")</f>
        <v>1200.1399999999994</v>
      </c>
      <c r="AD265" s="8">
        <f>IFERROR(AC265/AC444, "NA")</f>
        <v>2.5632466053225101E-2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5.974470049389032E-5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5.7543851365707461E-4</v>
      </c>
      <c r="Y266" s="9"/>
      <c r="Z266" s="7">
        <v>-34.299999999999997</v>
      </c>
      <c r="AA266" s="8">
        <f>IFERROR(Z266/Z444, "NA")</f>
        <v>-2.8740055731241361E-5</v>
      </c>
      <c r="AB266" s="9"/>
      <c r="AC266" s="10">
        <f>IFERROR(-(Q266-Z266), "NA")</f>
        <v>-108.39999999999999</v>
      </c>
      <c r="AD266" s="8">
        <f>IFERROR(AC266/AC444, "NA")</f>
        <v>-2.3151959939420419E-3</v>
      </c>
    </row>
    <row r="267" spans="1:30" ht="16.5" customHeight="1" x14ac:dyDescent="0.45">
      <c r="A267" s="19" t="s">
        <v>243</v>
      </c>
      <c r="B267" s="14">
        <f>IFERROR(B265+B266, "NA")</f>
        <v>2631.82</v>
      </c>
      <c r="C267" s="15">
        <f>IFERROR(B267/B444, "NA")</f>
        <v>2.571897111997851E-2</v>
      </c>
      <c r="D267" s="2"/>
      <c r="E267" s="14">
        <f>IFERROR(E265+E266, "NA")</f>
        <v>3245.47</v>
      </c>
      <c r="F267" s="15">
        <f>IFERROR(E267/E444, "NA")</f>
        <v>2.799997411779423E-2</v>
      </c>
      <c r="G267" s="2"/>
      <c r="H267" s="14">
        <f>IFERROR(-(B267-E267), "NA")</f>
        <v>613.64999999999964</v>
      </c>
      <c r="I267" s="15">
        <f>IFERROR(H267/H444, "NA")</f>
        <v>-4.5188308551499856E-2</v>
      </c>
      <c r="J267" s="2"/>
      <c r="K267" s="14">
        <f>IFERROR(K265+K266, "NA")</f>
        <v>2937.36</v>
      </c>
      <c r="L267" s="15">
        <f>IFERROR(K267/K444, "NA")</f>
        <v>2.8636217401901049E-2</v>
      </c>
      <c r="M267" s="2"/>
      <c r="N267" s="14">
        <f>IFERROR(-(B267-K267), "NA")</f>
        <v>305.53999999999996</v>
      </c>
      <c r="O267" s="15">
        <f>IFERROR(N267/N444, "NA")</f>
        <v>-1.2466440899261673</v>
      </c>
      <c r="P267" s="2"/>
      <c r="Q267" s="14">
        <f>IFERROR(Q265+Q266, "NA")</f>
        <v>33285.08</v>
      </c>
      <c r="R267" s="15">
        <f>IFERROR(Q267/Q444, "NA")</f>
        <v>2.6836803448248032E-2</v>
      </c>
      <c r="S267" s="2"/>
      <c r="T267" s="14">
        <f>IFERROR(T265+T266, "NA")</f>
        <v>38509.660000000003</v>
      </c>
      <c r="U267" s="15">
        <f>IFERROR(T267/T444, "NA")</f>
        <v>2.8128772304547557E-2</v>
      </c>
      <c r="V267" s="2"/>
      <c r="W267" s="14">
        <f>IFERROR(-(Q267-T267), "NA")</f>
        <v>5224.5800000000017</v>
      </c>
      <c r="X267" s="15">
        <f>IFERROR(W267/W444, "NA")</f>
        <v>-4.0572531034851284E-2</v>
      </c>
      <c r="Y267" s="2"/>
      <c r="Z267" s="14">
        <f>IFERROR(Z265+Z266, "NA")</f>
        <v>34376.82</v>
      </c>
      <c r="AA267" s="15">
        <f>IFERROR(Z267/Z444, "NA")</f>
        <v>2.8804423401249352E-2</v>
      </c>
      <c r="AB267" s="2"/>
      <c r="AC267" s="14">
        <f>IFERROR(-(Q267-Z267), "NA")</f>
        <v>1091.739999999998</v>
      </c>
      <c r="AD267" s="15">
        <f>IFERROR(AC267/AC444, "NA")</f>
        <v>2.3317270059283027E-2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8.7745606343248028E-4</v>
      </c>
      <c r="D270" s="9"/>
      <c r="E270" s="7">
        <v>172.08</v>
      </c>
      <c r="F270" s="8">
        <f>IFERROR(E270/E444, "NA")</f>
        <v>1.4846033228438505E-3</v>
      </c>
      <c r="G270" s="9"/>
      <c r="H270" s="10">
        <f>IFERROR(-(B270-E270), "NA")</f>
        <v>82.29</v>
      </c>
      <c r="I270" s="8">
        <f>IFERROR(H270/H444, "NA")</f>
        <v>-6.0597179348210305E-3</v>
      </c>
      <c r="J270" s="9"/>
      <c r="K270" s="7">
        <v>183.86</v>
      </c>
      <c r="L270" s="8">
        <f>IFERROR(K270/K444, "NA")</f>
        <v>1.7924445527662688E-3</v>
      </c>
      <c r="M270" s="9"/>
      <c r="N270" s="10">
        <f>IFERROR(-(B270-K270), "NA")</f>
        <v>94.070000000000007</v>
      </c>
      <c r="O270" s="8">
        <f>IFERROR(N270/N444, "NA")</f>
        <v>-0.38381818923661248</v>
      </c>
      <c r="P270" s="9"/>
      <c r="Q270" s="7">
        <v>1246.5</v>
      </c>
      <c r="R270" s="8">
        <f>IFERROR(Q270/Q444, "NA")</f>
        <v>1.0050171277413535E-3</v>
      </c>
      <c r="S270" s="9"/>
      <c r="T270" s="7">
        <v>2253.4899999999998</v>
      </c>
      <c r="U270" s="8">
        <f>IFERROR(T270/T444, "NA")</f>
        <v>1.6460261425464378E-3</v>
      </c>
      <c r="V270" s="9"/>
      <c r="W270" s="10">
        <f>IFERROR(-(Q270-T270), "NA")</f>
        <v>1006.9899999999998</v>
      </c>
      <c r="X270" s="8">
        <f>IFERROR(W270/W444, "NA")</f>
        <v>-7.8199841952434207E-3</v>
      </c>
      <c r="Y270" s="9"/>
      <c r="Z270" s="7">
        <v>2060.34</v>
      </c>
      <c r="AA270" s="8">
        <f>IFERROR(Z270/Z444, "NA")</f>
        <v>1.7263640357232024E-3</v>
      </c>
      <c r="AB270" s="9"/>
      <c r="AC270" s="10">
        <f>IFERROR(-(Q270-Z270), "NA")</f>
        <v>813.84000000000015</v>
      </c>
      <c r="AD270" s="8">
        <f>IFERROR(AC270/AC444, "NA")</f>
        <v>1.7381910587728706E-2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1.1567976557391675E-2</v>
      </c>
      <c r="D271" s="9"/>
      <c r="E271" s="7">
        <v>811.37</v>
      </c>
      <c r="F271" s="8">
        <f>IFERROR(E271/E444, "NA")</f>
        <v>7.0000150979533642E-3</v>
      </c>
      <c r="G271" s="9"/>
      <c r="H271" s="10">
        <f>IFERROR(-(B271-E271), "NA")</f>
        <v>-372.38</v>
      </c>
      <c r="I271" s="8">
        <f>IFERROR(H271/H444, "NA")</f>
        <v>2.7421530739684716E-2</v>
      </c>
      <c r="J271" s="9"/>
      <c r="K271" s="7">
        <v>806.58</v>
      </c>
      <c r="L271" s="8">
        <f>IFERROR(K271/K444, "NA")</f>
        <v>7.8633195223007553E-3</v>
      </c>
      <c r="M271" s="9"/>
      <c r="N271" s="10">
        <f>IFERROR(-(B271-K271), "NA")</f>
        <v>-377.16999999999996</v>
      </c>
      <c r="O271" s="8">
        <f>IFERROR(N271/N444, "NA")</f>
        <v>1.5389040760537163</v>
      </c>
      <c r="P271" s="9"/>
      <c r="Q271" s="7">
        <v>12210.03</v>
      </c>
      <c r="R271" s="8">
        <f>IFERROR(Q271/Q444, "NA")</f>
        <v>9.844596293811278E-3</v>
      </c>
      <c r="S271" s="9"/>
      <c r="T271" s="7">
        <v>9583.34</v>
      </c>
      <c r="U271" s="8">
        <f>IFERROR(T271/T444, "NA")</f>
        <v>6.999999189218049E-3</v>
      </c>
      <c r="V271" s="9"/>
      <c r="W271" s="10">
        <f>IFERROR(-(Q271-T271), "NA")</f>
        <v>-2626.6900000000005</v>
      </c>
      <c r="X271" s="8">
        <f>IFERROR(W271/W444, "NA")</f>
        <v>2.0398091625342802E-2</v>
      </c>
      <c r="Y271" s="9"/>
      <c r="Z271" s="7">
        <v>9393.2000000000007</v>
      </c>
      <c r="AA271" s="8">
        <f>IFERROR(Z271/Z444, "NA")</f>
        <v>7.8705857578628691E-3</v>
      </c>
      <c r="AB271" s="9"/>
      <c r="AC271" s="10">
        <f>IFERROR(-(Q271-Z271), "NA")</f>
        <v>-2816.83</v>
      </c>
      <c r="AD271" s="8">
        <f>IFERROR(AC271/AC444, "NA")</f>
        <v>-6.0161563944794855E-2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1.2445432620824155E-2</v>
      </c>
      <c r="D273" s="2"/>
      <c r="E273" s="14">
        <f>IFERROR(E269+E270+E271+E272, "NA")</f>
        <v>983.45</v>
      </c>
      <c r="F273" s="15">
        <f>IFERROR(E273/E444, "NA")</f>
        <v>8.4846184207972158E-3</v>
      </c>
      <c r="G273" s="2"/>
      <c r="H273" s="14">
        <f>IFERROR(-(B273-E273), "NA")</f>
        <v>-290.08999999999992</v>
      </c>
      <c r="I273" s="15">
        <f>IFERROR(H273/H444, "NA")</f>
        <v>2.136181280486368E-2</v>
      </c>
      <c r="J273" s="2"/>
      <c r="K273" s="14">
        <f>IFERROR(K269+K270+K271+K272, "NA")</f>
        <v>990.44</v>
      </c>
      <c r="L273" s="15">
        <f>IFERROR(K273/K444, "NA")</f>
        <v>9.6557640750670245E-3</v>
      </c>
      <c r="M273" s="2"/>
      <c r="N273" s="14">
        <f>IFERROR(-(B273-K273), "NA")</f>
        <v>-283.09999999999991</v>
      </c>
      <c r="O273" s="15">
        <f>IFERROR(N273/N444, "NA")</f>
        <v>1.1550858868171037</v>
      </c>
      <c r="P273" s="2"/>
      <c r="Q273" s="14">
        <f>IFERROR(Q269+Q270+Q271+Q272, "NA")</f>
        <v>13456.53</v>
      </c>
      <c r="R273" s="15">
        <f>IFERROR(Q273/Q444, "NA")</f>
        <v>1.0849613421552632E-2</v>
      </c>
      <c r="S273" s="2"/>
      <c r="T273" s="14">
        <f>IFERROR(T269+T270+T271+T272, "NA")</f>
        <v>11836.83</v>
      </c>
      <c r="U273" s="15">
        <f>IFERROR(T273/T444, "NA")</f>
        <v>8.6460253317644873E-3</v>
      </c>
      <c r="V273" s="2"/>
      <c r="W273" s="14">
        <f>IFERROR(-(Q273-T273), "NA")</f>
        <v>-1619.7000000000007</v>
      </c>
      <c r="X273" s="15">
        <f>IFERROR(W273/W444, "NA")</f>
        <v>1.2578107430099381E-2</v>
      </c>
      <c r="Y273" s="2"/>
      <c r="Z273" s="14">
        <f>IFERROR(Z269+Z270+Z271+Z272, "NA")</f>
        <v>11453.54</v>
      </c>
      <c r="AA273" s="15">
        <f>IFERROR(Z273/Z444, "NA")</f>
        <v>9.5969497935860706E-3</v>
      </c>
      <c r="AB273" s="2"/>
      <c r="AC273" s="14">
        <f>IFERROR(-(Q273-Z273), "NA")</f>
        <v>-2002.9899999999998</v>
      </c>
      <c r="AD273" s="15">
        <f>IFERROR(AC273/AC444, "NA")</f>
        <v>-4.2779653357066148E-2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3.079982486374097E-3</v>
      </c>
      <c r="G287" s="9"/>
      <c r="H287" s="10">
        <f t="shared" si="72"/>
        <v>357</v>
      </c>
      <c r="I287" s="8">
        <f>IFERROR(H287/H444, "NA")</f>
        <v>-2.6288969531305235E-2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3927</v>
      </c>
      <c r="U287" s="8">
        <f>IFERROR(T287/T444, "NA")</f>
        <v>2.8684150636478804E-3</v>
      </c>
      <c r="V287" s="9"/>
      <c r="W287" s="10">
        <f t="shared" si="74"/>
        <v>3927</v>
      </c>
      <c r="X287" s="8">
        <f>IFERROR(W287/W444, "NA")</f>
        <v>-3.0495911513243348E-2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1.5472504568801047E-3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1.1659194806418931E-2</v>
      </c>
      <c r="J288" s="9"/>
      <c r="K288" s="7">
        <v>158.33000000000001</v>
      </c>
      <c r="L288" s="8">
        <f>IFERROR(K288/K444, "NA")</f>
        <v>1.5435534974408971E-3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1741.65</v>
      </c>
      <c r="R288" s="8">
        <f>IFERROR(Q288/Q444, "NA")</f>
        <v>1.4042423429849406E-3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-1741.65</v>
      </c>
      <c r="X288" s="8">
        <f>IFERROR(W288/W444, "NA")</f>
        <v>1.3525134781522861E-2</v>
      </c>
      <c r="Y288" s="9"/>
      <c r="Z288" s="7">
        <v>1741.67</v>
      </c>
      <c r="AA288" s="8">
        <f>IFERROR(Z288/Z444, "NA")</f>
        <v>1.4593496462224826E-3</v>
      </c>
      <c r="AB288" s="9"/>
      <c r="AC288" s="10">
        <f t="shared" si="75"/>
        <v>1.999999999998181E-2</v>
      </c>
      <c r="AD288" s="8">
        <f>IFERROR(AC288/AC444, "NA")</f>
        <v>4.2715793246124288E-7</v>
      </c>
    </row>
    <row r="289" spans="1:30" ht="16.5" customHeight="1" x14ac:dyDescent="0.45">
      <c r="A289" s="6" t="s">
        <v>262</v>
      </c>
      <c r="B289" s="7">
        <v>233.3</v>
      </c>
      <c r="C289" s="8">
        <f>IFERROR(B289/B444, "NA")</f>
        <v>2.279880828586676E-3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-233.3</v>
      </c>
      <c r="I289" s="8">
        <f>IFERROR(H289/H444, "NA")</f>
        <v>1.7179878407993031E-2</v>
      </c>
      <c r="J289" s="9"/>
      <c r="K289" s="7">
        <v>208.48</v>
      </c>
      <c r="L289" s="8">
        <f>IFERROR(K289/K444, "NA")</f>
        <v>2.0324640506946138E-3</v>
      </c>
      <c r="M289" s="9"/>
      <c r="N289" s="10">
        <f t="shared" si="73"/>
        <v>-24.820000000000022</v>
      </c>
      <c r="O289" s="8">
        <f>IFERROR(N289/N444, "NA")</f>
        <v>0.10126892162063068</v>
      </c>
      <c r="P289" s="9"/>
      <c r="Q289" s="7">
        <v>2375.12</v>
      </c>
      <c r="R289" s="8">
        <f>IFERROR(Q289/Q444, "NA")</f>
        <v>1.9149909991504558E-3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-2375.12</v>
      </c>
      <c r="X289" s="8">
        <f>IFERROR(W289/W444, "NA")</f>
        <v>1.8444473988626059E-2</v>
      </c>
      <c r="Y289" s="9"/>
      <c r="Z289" s="7">
        <v>2205.08</v>
      </c>
      <c r="AA289" s="8">
        <f>IFERROR(Z289/Z444, "NA")</f>
        <v>1.8476420434940439E-3</v>
      </c>
      <c r="AB289" s="9"/>
      <c r="AC289" s="10">
        <f t="shared" si="75"/>
        <v>-170.03999999999996</v>
      </c>
      <c r="AD289" s="8">
        <f>IFERROR(AC289/AC444, "NA")</f>
        <v>-3.631696741788789E-3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512.5</v>
      </c>
      <c r="L290" s="8">
        <f>IFERROR(K290/K444, "NA")</f>
        <v>4.9963441384352917E-3</v>
      </c>
      <c r="M290" s="9"/>
      <c r="N290" s="10">
        <f t="shared" si="73"/>
        <v>512.5</v>
      </c>
      <c r="O290" s="8">
        <f>IFERROR(N290/N444, "NA")</f>
        <v>-2.0910685870496852</v>
      </c>
      <c r="P290" s="9"/>
      <c r="Q290" s="7">
        <v>215.74</v>
      </c>
      <c r="R290" s="8">
        <f>IFERROR(Q290/Q444, "NA")</f>
        <v>1.7394496200474899E-4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1.6753725362534048E-3</v>
      </c>
      <c r="Y290" s="9"/>
      <c r="Z290" s="7">
        <v>3818.63</v>
      </c>
      <c r="AA290" s="8">
        <f>IFERROR(Z290/Z444, "NA")</f>
        <v>3.199639621486595E-3</v>
      </c>
      <c r="AB290" s="9"/>
      <c r="AC290" s="10">
        <f t="shared" si="75"/>
        <v>3602.8900000000003</v>
      </c>
      <c r="AD290" s="8">
        <f>IFERROR(AC290/AC444, "NA")</f>
        <v>7.6950152164334359E-2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1159.0999999999999</v>
      </c>
      <c r="F291" s="8">
        <f>IFERROR(E291/E444, "NA")</f>
        <v>1.0000021568504805E-2</v>
      </c>
      <c r="G291" s="9"/>
      <c r="H291" s="10">
        <f t="shared" si="72"/>
        <v>1159.0999999999999</v>
      </c>
      <c r="I291" s="8">
        <f>IFERROR(H291/H444, "NA")</f>
        <v>-8.535446662110896E-2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2499.58</v>
      </c>
      <c r="R291" s="8">
        <f>IFERROR(Q291/Q444, "NA")</f>
        <v>2.0153395203848633E-3</v>
      </c>
      <c r="S291" s="9"/>
      <c r="T291" s="7">
        <v>13690.48</v>
      </c>
      <c r="U291" s="8">
        <f>IFERROR(T291/T444, "NA")</f>
        <v>9.9999946678304141E-3</v>
      </c>
      <c r="V291" s="9"/>
      <c r="W291" s="10">
        <f t="shared" si="74"/>
        <v>11190.9</v>
      </c>
      <c r="X291" s="8">
        <f>IFERROR(W291/W444, "NA")</f>
        <v>-8.690519382570791E-2</v>
      </c>
      <c r="Y291" s="9"/>
      <c r="Z291" s="7">
        <v>3570.43</v>
      </c>
      <c r="AA291" s="8">
        <f>IFERROR(Z291/Z444, "NA")</f>
        <v>2.9916722211223352E-3</v>
      </c>
      <c r="AB291" s="9"/>
      <c r="AC291" s="10">
        <f t="shared" si="75"/>
        <v>1070.8499999999999</v>
      </c>
      <c r="AD291" s="8">
        <f>IFERROR(AC291/AC444, "NA")</f>
        <v>2.2871103598826895E-2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455.79</v>
      </c>
      <c r="L292" s="8">
        <f>IFERROR(K292/K444, "NA")</f>
        <v>4.443480380209603E-3</v>
      </c>
      <c r="M292" s="9"/>
      <c r="N292" s="10">
        <f t="shared" si="73"/>
        <v>455.79</v>
      </c>
      <c r="O292" s="8">
        <f>IFERROR(N292/N444, "NA")</f>
        <v>-1.8596841976417093</v>
      </c>
      <c r="P292" s="9"/>
      <c r="Q292" s="7">
        <v>764.2</v>
      </c>
      <c r="R292" s="8">
        <f>IFERROR(Q292/Q444, "NA")</f>
        <v>6.1615249821094452E-4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-764.2</v>
      </c>
      <c r="X292" s="8">
        <f>IFERROR(W292/W444, "NA")</f>
        <v>5.9345494215484003E-3</v>
      </c>
      <c r="Y292" s="9"/>
      <c r="Z292" s="7">
        <v>455.79</v>
      </c>
      <c r="AA292" s="8">
        <f>IFERROR(Z292/Z444, "NA")</f>
        <v>3.8190758022572891E-4</v>
      </c>
      <c r="AB292" s="9"/>
      <c r="AC292" s="10">
        <f t="shared" si="75"/>
        <v>-308.41000000000003</v>
      </c>
      <c r="AD292" s="8">
        <f>IFERROR(AC292/AC444, "NA")</f>
        <v>-6.586988897524587E-3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630.96</v>
      </c>
      <c r="R293" s="8">
        <f>IFERROR(Q293/Q444, "NA")</f>
        <v>5.0872491529858357E-4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4.8998472952370828E-3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-1.3475978453299547E-2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3.1760020115330894E-3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2.3932535287602804E-2</v>
      </c>
      <c r="J294" s="9"/>
      <c r="K294" s="7">
        <v>325</v>
      </c>
      <c r="L294" s="8">
        <f>IFERROR(K294/K444, "NA")</f>
        <v>3.1684133560809162E-3</v>
      </c>
      <c r="M294" s="9"/>
      <c r="N294" s="10">
        <f t="shared" si="73"/>
        <v>0</v>
      </c>
      <c r="O294" s="8">
        <f>IFERROR(N294/N444, "NA")</f>
        <v>0</v>
      </c>
      <c r="P294" s="9"/>
      <c r="Q294" s="7">
        <v>4622.3100000000004</v>
      </c>
      <c r="R294" s="8">
        <f>IFERROR(Q294/Q444, "NA")</f>
        <v>3.7268357157883162E-3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-4622.3100000000004</v>
      </c>
      <c r="X294" s="8">
        <f>IFERROR(W294/W444, "NA")</f>
        <v>3.5895481728235264E-2</v>
      </c>
      <c r="Y294" s="9"/>
      <c r="Z294" s="7">
        <v>1820.22</v>
      </c>
      <c r="AA294" s="8">
        <f>IFERROR(Z294/Z444, "NA")</f>
        <v>1.5251668875545235E-3</v>
      </c>
      <c r="AB294" s="9"/>
      <c r="AC294" s="10">
        <f t="shared" si="75"/>
        <v>-2802.09</v>
      </c>
      <c r="AD294" s="8">
        <f>IFERROR(AC294/AC444, "NA")</f>
        <v>-5.9846748548570639E-2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716.63</v>
      </c>
      <c r="C295" s="15">
        <f>IFERROR(B295/B444, "NA")</f>
        <v>7.0031332969998699E-3</v>
      </c>
      <c r="D295" s="2"/>
      <c r="E295" s="14">
        <f>IFERROR(E286+E287+E288+E289+E290+E291+E292+E293+E294, "NA")</f>
        <v>1516.1</v>
      </c>
      <c r="F295" s="15">
        <f>IFERROR(E295/E444, "NA")</f>
        <v>1.3080004054878903E-2</v>
      </c>
      <c r="G295" s="2"/>
      <c r="H295" s="14">
        <f t="shared" si="72"/>
        <v>799.46999999999991</v>
      </c>
      <c r="I295" s="15">
        <f>IFERROR(H295/H444, "NA")</f>
        <v>-5.8871827650399423E-2</v>
      </c>
      <c r="J295" s="2"/>
      <c r="K295" s="14">
        <f>IFERROR(K286+K287+K288+K289+K290+K291+K292+K293+K294, "NA")</f>
        <v>1660.1</v>
      </c>
      <c r="L295" s="15">
        <f>IFERROR(K295/K444, "NA")</f>
        <v>1.618425542286132E-2</v>
      </c>
      <c r="M295" s="2"/>
      <c r="N295" s="14">
        <f t="shared" si="73"/>
        <v>943.46999999999991</v>
      </c>
      <c r="O295" s="15">
        <f>IFERROR(N295/N444, "NA")</f>
        <v>-3.8494838630707631</v>
      </c>
      <c r="P295" s="2"/>
      <c r="Q295" s="14">
        <f>IFERROR(Q286+Q287+Q288+Q289+Q290+Q291+Q292+Q293+Q294, "NA")</f>
        <v>12849.560000000001</v>
      </c>
      <c r="R295" s="15">
        <f>IFERROR(Q295/Q444, "NA")</f>
        <v>1.0360230953822854E-2</v>
      </c>
      <c r="S295" s="2"/>
      <c r="T295" s="14">
        <f>IFERROR(T286+T287+T288+T289+T290+T291+T292+T293+T294, "NA")</f>
        <v>17617.48</v>
      </c>
      <c r="U295" s="15">
        <f>IFERROR(T295/T444, "NA")</f>
        <v>1.2868409731478294E-2</v>
      </c>
      <c r="V295" s="2"/>
      <c r="W295" s="14">
        <f t="shared" si="74"/>
        <v>4767.9199999999983</v>
      </c>
      <c r="X295" s="15">
        <f>IFERROR(W295/W444, "NA")</f>
        <v>-3.7026245587528185E-2</v>
      </c>
      <c r="Y295" s="2"/>
      <c r="Z295" s="14">
        <f>IFERROR(Z286+Z287+Z288+Z289+Z290+Z291+Z292+Z293+Z294, "NA")</f>
        <v>13611.82</v>
      </c>
      <c r="AA295" s="15">
        <f>IFERROR(Z295/Z444, "NA")</f>
        <v>1.140537800010571E-2</v>
      </c>
      <c r="AB295" s="2"/>
      <c r="AC295" s="14">
        <f t="shared" si="75"/>
        <v>762.2599999999984</v>
      </c>
      <c r="AD295" s="15">
        <f>IFERROR(AC295/AC444, "NA")</f>
        <v>1.6280270279910122E-2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1506.83</v>
      </c>
      <c r="F297" s="8">
        <f>IFERROR(E297/E444, "NA")</f>
        <v>1.3000028039056248E-2</v>
      </c>
      <c r="G297" s="9"/>
      <c r="H297" s="10">
        <f t="shared" ref="H297:H325" si="76">IFERROR(-(B297-E297), "NA")</f>
        <v>1506.83</v>
      </c>
      <c r="I297" s="8">
        <f>IFERROR(H297/H444, "NA")</f>
        <v>-0.11096080660744165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17797.650000000001</v>
      </c>
      <c r="U297" s="8">
        <f>IFERROR(T297/T444, "NA")</f>
        <v>1.3000012059468475E-2</v>
      </c>
      <c r="V297" s="9"/>
      <c r="W297" s="10">
        <f t="shared" ref="W297:W325" si="78">IFERROR(-(Q297-T297), "NA")</f>
        <v>17797.650000000001</v>
      </c>
      <c r="X297" s="8">
        <f>IFERROR(W297/W444, "NA")</f>
        <v>-0.13821124510916108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4.5851696732656169E-3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3.4551217098286881E-2</v>
      </c>
      <c r="J299" s="9"/>
      <c r="K299" s="7">
        <v>1520.85</v>
      </c>
      <c r="L299" s="8">
        <f>IFERROR(K299/K444, "NA")</f>
        <v>1.4826712161832805E-2</v>
      </c>
      <c r="M299" s="9"/>
      <c r="N299" s="10">
        <f t="shared" si="77"/>
        <v>1051.6499999999999</v>
      </c>
      <c r="O299" s="8">
        <f>IFERROR(N299/N444, "NA")</f>
        <v>-4.2908727406259528</v>
      </c>
      <c r="P299" s="9"/>
      <c r="Q299" s="7">
        <v>4940.75</v>
      </c>
      <c r="R299" s="8">
        <f>IFERROR(Q299/Q444, "NA")</f>
        <v>3.9835847363723165E-3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-4940.75</v>
      </c>
      <c r="X299" s="8">
        <f>IFERROR(W299/W444, "NA")</f>
        <v>3.836839185359233E-2</v>
      </c>
      <c r="Y299" s="9"/>
      <c r="Z299" s="7">
        <v>3358.35</v>
      </c>
      <c r="AA299" s="8">
        <f>IFERROR(Z299/Z444, "NA")</f>
        <v>2.8139698590383217E-3</v>
      </c>
      <c r="AB299" s="9"/>
      <c r="AC299" s="10">
        <f t="shared" si="79"/>
        <v>-1582.4</v>
      </c>
      <c r="AD299" s="8">
        <f>IFERROR(AC299/AC444, "NA")</f>
        <v>-3.3796735616364273E-2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217.93</v>
      </c>
      <c r="R304" s="8">
        <f>IFERROR(Q304/Q444, "NA")</f>
        <v>1.7571069606792873E-4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1.69237942349914E-3</v>
      </c>
      <c r="Y304" s="9"/>
      <c r="Z304" s="7">
        <v>232.81</v>
      </c>
      <c r="AA304" s="8">
        <f>IFERROR(Z304/Z444, "NA")</f>
        <v>1.9507208089767646E-4</v>
      </c>
      <c r="AB304" s="9"/>
      <c r="AC304" s="10">
        <f t="shared" si="79"/>
        <v>14.879999999999995</v>
      </c>
      <c r="AD304" s="8">
        <f>IFERROR(AC304/AC444, "NA")</f>
        <v>3.1780550175145364E-4</v>
      </c>
    </row>
    <row r="305" spans="1:30" ht="16.5" customHeight="1" x14ac:dyDescent="0.45">
      <c r="A305" s="6" t="s">
        <v>277</v>
      </c>
      <c r="B305" s="7">
        <v>62.27</v>
      </c>
      <c r="C305" s="8">
        <f>IFERROR(B305/B444, "NA")</f>
        <v>6.0852198540973991E-4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-62.27</v>
      </c>
      <c r="I305" s="8">
        <f>IFERROR(H305/H444, "NA")</f>
        <v>4.585473761104698E-3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-62.27</v>
      </c>
      <c r="O305" s="8">
        <f>IFERROR(N305/N444, "NA")</f>
        <v>0.25406993349382223</v>
      </c>
      <c r="P305" s="9"/>
      <c r="Q305" s="7">
        <v>324.35000000000002</v>
      </c>
      <c r="R305" s="8">
        <f>IFERROR(Q305/Q444, "NA")</f>
        <v>2.6151408374080066E-4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-324.35000000000002</v>
      </c>
      <c r="X305" s="8">
        <f>IFERROR(W305/W444, "NA")</f>
        <v>2.5188054238147392E-3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-324.35000000000002</v>
      </c>
      <c r="AD305" s="8">
        <f>IFERROR(AC305/AC444, "NA")</f>
        <v>-6.9274337696965073E-3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25.3</v>
      </c>
      <c r="L310" s="8">
        <f>IFERROR(K310/K444, "NA")</f>
        <v>2.4664879356568368E-4</v>
      </c>
      <c r="M310" s="9"/>
      <c r="N310" s="10">
        <f t="shared" si="77"/>
        <v>25.3</v>
      </c>
      <c r="O310" s="8">
        <f>IFERROR(N310/N444, "NA")</f>
        <v>-0.10322738585825762</v>
      </c>
      <c r="P310" s="9"/>
      <c r="Q310" s="7">
        <v>170.41</v>
      </c>
      <c r="R310" s="8">
        <f>IFERROR(Q310/Q444, "NA")</f>
        <v>1.3739668571071322E-4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-170.41</v>
      </c>
      <c r="X310" s="8">
        <f>IFERROR(W310/W444, "NA")</f>
        <v>1.3233532673724978E-3</v>
      </c>
      <c r="Y310" s="9"/>
      <c r="Z310" s="7">
        <v>158.19999999999999</v>
      </c>
      <c r="AA310" s="8">
        <f>IFERROR(Z310/Z444, "NA")</f>
        <v>1.3255617541348057E-4</v>
      </c>
      <c r="AB310" s="9"/>
      <c r="AC310" s="10">
        <f t="shared" si="79"/>
        <v>-12.210000000000008</v>
      </c>
      <c r="AD310" s="8">
        <f>IFERROR(AC310/AC444, "NA")</f>
        <v>-2.6077991776782614E-4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2.1527442688081937E-5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2.0734424176307547E-4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-5.7025583983627787E-4</v>
      </c>
    </row>
    <row r="312" spans="1:30" ht="16.5" customHeight="1" x14ac:dyDescent="0.45">
      <c r="A312" s="6" t="s">
        <v>284</v>
      </c>
      <c r="B312" s="7">
        <v>240.89</v>
      </c>
      <c r="C312" s="8">
        <f>IFERROR(B312/B444, "NA")</f>
        <v>2.3540526909483256E-3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-240.89</v>
      </c>
      <c r="I312" s="8">
        <f>IFERROR(H312/H444, "NA")</f>
        <v>1.7738795155171197E-2</v>
      </c>
      <c r="J312" s="9"/>
      <c r="K312" s="7">
        <v>41.51</v>
      </c>
      <c r="L312" s="8">
        <f>IFERROR(K312/K444, "NA")</f>
        <v>4.0467950280282717E-4</v>
      </c>
      <c r="M312" s="9"/>
      <c r="N312" s="10">
        <f t="shared" si="77"/>
        <v>-199.38</v>
      </c>
      <c r="O312" s="8">
        <f>IFERROR(N312/N444, "NA")</f>
        <v>0.8134970827043243</v>
      </c>
      <c r="P312" s="9"/>
      <c r="Q312" s="7">
        <v>5144.5600000000004</v>
      </c>
      <c r="R312" s="8">
        <f>IFERROR(Q312/Q444, "NA")</f>
        <v>4.1479108822246756E-3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-5144.5600000000004</v>
      </c>
      <c r="X312" s="8">
        <f>IFERROR(W312/W444, "NA")</f>
        <v>3.995111956571714E-2</v>
      </c>
      <c r="Y312" s="9"/>
      <c r="Z312" s="7">
        <v>62.03</v>
      </c>
      <c r="AA312" s="8">
        <f>IFERROR(Z312/Z444, "NA")</f>
        <v>5.1975092041075854E-5</v>
      </c>
      <c r="AB312" s="9"/>
      <c r="AC312" s="10">
        <f t="shared" si="79"/>
        <v>-5082.5300000000007</v>
      </c>
      <c r="AD312" s="8">
        <f>IFERROR(AC312/AC444, "NA")</f>
        <v>-0.10855215032371078</v>
      </c>
    </row>
    <row r="313" spans="1:30" ht="16.5" customHeight="1" x14ac:dyDescent="0.45">
      <c r="A313" s="6" t="s">
        <v>285</v>
      </c>
      <c r="B313" s="7">
        <v>10</v>
      </c>
      <c r="C313" s="8">
        <f>IFERROR(B313/B444, "NA")</f>
        <v>9.7723138816402749E-5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-10</v>
      </c>
      <c r="I313" s="8">
        <f>IFERROR(H313/H444, "NA")</f>
        <v>7.363857011570094E-4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-10</v>
      </c>
      <c r="O313" s="8">
        <f>IFERROR(N313/N444, "NA")</f>
        <v>4.0801338283896295E-2</v>
      </c>
      <c r="P313" s="9"/>
      <c r="Q313" s="7">
        <v>50.85</v>
      </c>
      <c r="R313" s="8">
        <f>IFERROR(Q313/Q444, "NA")</f>
        <v>4.0998893658762797E-5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-50.85</v>
      </c>
      <c r="X313" s="8">
        <f>IFERROR(W313/W444, "NA")</f>
        <v>3.9488594358248644E-4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-50.85</v>
      </c>
      <c r="AD313" s="8">
        <f>IFERROR(AC313/AC444, "NA")</f>
        <v>-1.0860490432836978E-3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5.2119658856340243E-3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3.9274394985507943E-2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2.1760985760333251</v>
      </c>
      <c r="P315" s="9"/>
      <c r="Q315" s="7">
        <v>4866.72</v>
      </c>
      <c r="R315" s="8">
        <f>IFERROR(Q315/Q444, "NA")</f>
        <v>3.9238964748667471E-3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-4866.72</v>
      </c>
      <c r="X315" s="8">
        <f>IFERROR(W315/W444, "NA")</f>
        <v>3.7793496939070963E-2</v>
      </c>
      <c r="Y315" s="9"/>
      <c r="Z315" s="7">
        <v>300</v>
      </c>
      <c r="AA315" s="8">
        <f>IFERROR(Z315/Z444, "NA")</f>
        <v>2.5137074983593033E-4</v>
      </c>
      <c r="AB315" s="9"/>
      <c r="AC315" s="10">
        <f t="shared" si="79"/>
        <v>-4566.72</v>
      </c>
      <c r="AD315" s="8">
        <f>IFERROR(AC315/AC444, "NA")</f>
        <v>-9.7535533666559066E-2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4.046251501707147E-3</v>
      </c>
      <c r="G318" s="9"/>
      <c r="H318" s="10">
        <f t="shared" si="76"/>
        <v>469</v>
      </c>
      <c r="I318" s="8">
        <f>IFERROR(H318/H444, "NA")</f>
        <v>-3.4536489384263742E-2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5159</v>
      </c>
      <c r="U318" s="8">
        <f>IFERROR(T318/T444, "NA")</f>
        <v>3.7683099855766273E-3</v>
      </c>
      <c r="V318" s="9"/>
      <c r="W318" s="10">
        <f t="shared" si="78"/>
        <v>5159</v>
      </c>
      <c r="X318" s="8">
        <f>IFERROR(W318/W444, "NA")</f>
        <v>-4.0063256301711848E-2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307.73</v>
      </c>
      <c r="C319" s="8">
        <f>IFERROR(B319/B444, "NA")</f>
        <v>3.0072341507971618E-3</v>
      </c>
      <c r="D319" s="9"/>
      <c r="E319" s="7">
        <v>232</v>
      </c>
      <c r="F319" s="8">
        <f>IFERROR(E319/E444, "NA")</f>
        <v>2.0015572460470323E-3</v>
      </c>
      <c r="G319" s="9"/>
      <c r="H319" s="10">
        <f t="shared" si="76"/>
        <v>-75.730000000000018</v>
      </c>
      <c r="I319" s="8">
        <f>IFERROR(H319/H444, "NA")</f>
        <v>5.5766489148620334E-3</v>
      </c>
      <c r="J319" s="9"/>
      <c r="K319" s="7">
        <v>249.57</v>
      </c>
      <c r="L319" s="8">
        <f>IFERROR(K319/K444, "NA")</f>
        <v>2.433048988544967E-3</v>
      </c>
      <c r="M319" s="9"/>
      <c r="N319" s="10">
        <f t="shared" si="77"/>
        <v>-58.160000000000025</v>
      </c>
      <c r="O319" s="8">
        <f>IFERROR(N319/N444, "NA")</f>
        <v>0.23730058345914096</v>
      </c>
      <c r="P319" s="9"/>
      <c r="Q319" s="7">
        <v>3245.11</v>
      </c>
      <c r="R319" s="8">
        <f>IFERROR(Q319/Q444, "NA")</f>
        <v>2.6164389341393852E-3</v>
      </c>
      <c r="S319" s="9"/>
      <c r="T319" s="7">
        <v>2552</v>
      </c>
      <c r="U319" s="8">
        <f>IFERROR(T319/T444, "NA")</f>
        <v>1.8640680525666899E-3</v>
      </c>
      <c r="V319" s="9"/>
      <c r="W319" s="10">
        <f t="shared" si="78"/>
        <v>-693.11000000000013</v>
      </c>
      <c r="X319" s="8">
        <f>IFERROR(W319/W444, "NA")</f>
        <v>5.3824856707267894E-3</v>
      </c>
      <c r="Y319" s="9"/>
      <c r="Z319" s="7">
        <v>2540.98</v>
      </c>
      <c r="AA319" s="8">
        <f>IFERROR(Z319/Z444, "NA")</f>
        <v>2.1290934930603407E-3</v>
      </c>
      <c r="AB319" s="9"/>
      <c r="AC319" s="10">
        <f t="shared" si="79"/>
        <v>-704.13000000000011</v>
      </c>
      <c r="AD319" s="8">
        <f>IFERROR(AC319/AC444, "NA")</f>
        <v>-1.5038735749210427E-2</v>
      </c>
    </row>
    <row r="320" spans="1:30" ht="16.5" customHeight="1" x14ac:dyDescent="0.45">
      <c r="A320" s="6" t="s">
        <v>292</v>
      </c>
      <c r="B320" s="7">
        <v>1185.6400000000001</v>
      </c>
      <c r="C320" s="8">
        <f>IFERROR(B320/B444, "NA")</f>
        <v>1.1586446230627977E-2</v>
      </c>
      <c r="D320" s="9"/>
      <c r="E320" s="7">
        <v>905</v>
      </c>
      <c r="F320" s="8">
        <f>IFERROR(E320/E444, "NA")</f>
        <v>7.8077987399679492E-3</v>
      </c>
      <c r="G320" s="9"/>
      <c r="H320" s="10">
        <f t="shared" si="76"/>
        <v>-280.6400000000001</v>
      </c>
      <c r="I320" s="8">
        <f>IFERROR(H320/H444, "NA")</f>
        <v>2.0665928317270318E-2</v>
      </c>
      <c r="J320" s="9"/>
      <c r="K320" s="7">
        <v>1193.24</v>
      </c>
      <c r="L320" s="8">
        <f>IFERROR(K320/K444, "NA")</f>
        <v>1.1632854009261517E-2</v>
      </c>
      <c r="M320" s="9"/>
      <c r="N320" s="10">
        <f t="shared" si="77"/>
        <v>7.5999999999999091</v>
      </c>
      <c r="O320" s="8">
        <f>IFERROR(N320/N444, "NA")</f>
        <v>-3.1009017095760812E-2</v>
      </c>
      <c r="P320" s="9"/>
      <c r="Q320" s="7">
        <v>13036.19</v>
      </c>
      <c r="R320" s="8">
        <f>IFERROR(Q320/Q444, "NA")</f>
        <v>1.0510705359398761E-2</v>
      </c>
      <c r="S320" s="9"/>
      <c r="T320" s="7">
        <v>9955</v>
      </c>
      <c r="U320" s="8">
        <f>IFERROR(T320/T444, "NA")</f>
        <v>7.2714723602278208E-3</v>
      </c>
      <c r="V320" s="9"/>
      <c r="W320" s="10">
        <f t="shared" si="78"/>
        <v>-3081.1900000000005</v>
      </c>
      <c r="X320" s="8">
        <f>IFERROR(W320/W444, "NA")</f>
        <v>2.3927603156478301E-2</v>
      </c>
      <c r="Y320" s="9"/>
      <c r="Z320" s="7">
        <v>9652.14</v>
      </c>
      <c r="AA320" s="8">
        <f>IFERROR(Z320/Z444, "NA")</f>
        <v>8.0875522310712537E-3</v>
      </c>
      <c r="AB320" s="9"/>
      <c r="AC320" s="10">
        <f t="shared" si="79"/>
        <v>-3384.0500000000011</v>
      </c>
      <c r="AD320" s="8">
        <f>IFERROR(AC320/AC444, "NA")</f>
        <v>-7.2276190067339208E-2</v>
      </c>
    </row>
    <row r="321" spans="1:30" ht="16.5" customHeight="1" x14ac:dyDescent="0.45">
      <c r="A321" s="6" t="s">
        <v>293</v>
      </c>
      <c r="B321" s="7">
        <v>1160.96</v>
      </c>
      <c r="C321" s="8">
        <f>IFERROR(B321/B444, "NA")</f>
        <v>1.1345265524029093E-2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-1160.96</v>
      </c>
      <c r="I321" s="8">
        <f>IFERROR(H321/H444, "NA")</f>
        <v>8.5491434361524163E-2</v>
      </c>
      <c r="J321" s="9"/>
      <c r="K321" s="7">
        <v>2823.39</v>
      </c>
      <c r="L321" s="8">
        <f>IFERROR(K321/K444, "NA")</f>
        <v>2.7525127955154764E-2</v>
      </c>
      <c r="M321" s="9"/>
      <c r="N321" s="10">
        <f t="shared" si="77"/>
        <v>1662.4299999999998</v>
      </c>
      <c r="O321" s="8">
        <f>IFERROR(N321/N444, "NA")</f>
        <v>-6.7829368803297712</v>
      </c>
      <c r="P321" s="9"/>
      <c r="Q321" s="7">
        <v>20637.21</v>
      </c>
      <c r="R321" s="8">
        <f>IFERROR(Q321/Q444, "NA")</f>
        <v>1.6639189345202678E-2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-20637.21</v>
      </c>
      <c r="X321" s="8">
        <f>IFERROR(W321/W444, "NA")</f>
        <v>0.1602624217061932</v>
      </c>
      <c r="Y321" s="9"/>
      <c r="Z321" s="7">
        <v>34187.760000000002</v>
      </c>
      <c r="AA321" s="8">
        <f>IFERROR(Z321/Z444, "NA")</f>
        <v>2.8646009554702749E-2</v>
      </c>
      <c r="AB321" s="9"/>
      <c r="AC321" s="10">
        <f t="shared" si="79"/>
        <v>13550.550000000003</v>
      </c>
      <c r="AD321" s="8">
        <f>IFERROR(AC321/AC444, "NA")</f>
        <v>0.28941124608589802</v>
      </c>
    </row>
    <row r="322" spans="1:30" ht="16.5" customHeight="1" x14ac:dyDescent="0.45">
      <c r="A322" s="6" t="s">
        <v>294</v>
      </c>
      <c r="B322" s="7">
        <v>252.08</v>
      </c>
      <c r="C322" s="8">
        <f>IFERROR(B322/B444, "NA")</f>
        <v>2.4634048832838807E-3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-252.08</v>
      </c>
      <c r="I322" s="8">
        <f>IFERROR(H322/H444, "NA")</f>
        <v>1.8562810754765895E-2</v>
      </c>
      <c r="J322" s="9"/>
      <c r="K322" s="7">
        <v>269.2</v>
      </c>
      <c r="L322" s="8">
        <f>IFERROR(K322/K444, "NA")</f>
        <v>2.6244211552522542E-3</v>
      </c>
      <c r="M322" s="9"/>
      <c r="N322" s="10">
        <f t="shared" si="77"/>
        <v>17.119999999999976</v>
      </c>
      <c r="O322" s="8">
        <f>IFERROR(N322/N444, "NA")</f>
        <v>-6.9851891142030359E-2</v>
      </c>
      <c r="P322" s="9"/>
      <c r="Q322" s="7">
        <v>5356.78</v>
      </c>
      <c r="R322" s="8">
        <f>IFERROR(Q322/Q444, "NA")</f>
        <v>4.3190177693881483E-3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-5356.78</v>
      </c>
      <c r="X322" s="8">
        <f>IFERROR(W322/W444, "NA")</f>
        <v>4.1599156831146344E-2</v>
      </c>
      <c r="Y322" s="9"/>
      <c r="Z322" s="7">
        <v>3727.49</v>
      </c>
      <c r="AA322" s="8">
        <f>IFERROR(Z322/Z444, "NA")</f>
        <v>3.1232731876864395E-3</v>
      </c>
      <c r="AB322" s="9"/>
      <c r="AC322" s="10">
        <f t="shared" si="79"/>
        <v>-1629.29</v>
      </c>
      <c r="AD322" s="8">
        <f>IFERROR(AC322/AC444, "NA")</f>
        <v>-3.479820738902057E-2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4222.1100000000006</v>
      </c>
      <c r="C324" s="15">
        <f>IFERROR(B324/B444, "NA")</f>
        <v>4.1259784162812223E-2</v>
      </c>
      <c r="D324" s="2"/>
      <c r="E324" s="14">
        <f>IFERROR(E297+E298+E299+E300+E301+E302+E303+E304+E305+E306+E307+E308+E309+E310+E311+E312+E313+E314+E315+E316+E317+E318+E319+E320+E321+E322+E323, "NA")</f>
        <v>3112.83</v>
      </c>
      <c r="F324" s="15">
        <f>IFERROR(E324/E444, "NA")</f>
        <v>2.6855635526778377E-2</v>
      </c>
      <c r="G324" s="2"/>
      <c r="H324" s="14">
        <f t="shared" si="76"/>
        <v>-1109.2800000000007</v>
      </c>
      <c r="I324" s="15">
        <f>IFERROR(H324/H444, "NA")</f>
        <v>8.1685793057944781E-2</v>
      </c>
      <c r="J324" s="2"/>
      <c r="K324" s="14">
        <f>IFERROR(K297+K298+K299+K300+K301+K302+K303+K304+K305+K306+K307+K308+K309+K310+K311+K312+K313+K314+K315+K316+K317+K318+K319+K320+K321+K322+K323, "NA")</f>
        <v>6123.0599999999995</v>
      </c>
      <c r="L324" s="15">
        <f>IFERROR(K324/K444, "NA")</f>
        <v>5.9693492566414812E-2</v>
      </c>
      <c r="M324" s="2"/>
      <c r="N324" s="14">
        <f t="shared" si="77"/>
        <v>1900.9499999999989</v>
      </c>
      <c r="O324" s="15">
        <f>IFERROR(N324/N444, "NA")</f>
        <v>-7.7561304010772618</v>
      </c>
      <c r="P324" s="2"/>
      <c r="Q324" s="14">
        <f>IFERROR(Q297+Q298+Q299+Q300+Q301+Q302+Q303+Q304+Q305+Q306+Q307+Q308+Q309+Q310+Q311+Q312+Q313+Q314+Q315+Q316+Q317+Q318+Q319+Q320+Q321+Q322+Q323, "NA")</f>
        <v>58017.56</v>
      </c>
      <c r="R324" s="15">
        <f>IFERROR(Q324/Q444, "NA")</f>
        <v>4.6777891303458996E-2</v>
      </c>
      <c r="S324" s="2"/>
      <c r="T324" s="14">
        <f>IFERROR(T297+T298+T299+T300+T301+T302+T303+T304+T305+T306+T307+T308+T309+T310+T311+T312+T313+T314+T315+T316+T317+T318+T319+T320+T321+T322+T323, "NA")</f>
        <v>35463.65</v>
      </c>
      <c r="U324" s="15">
        <f>IFERROR(T324/T444, "NA")</f>
        <v>2.5903862457839613E-2</v>
      </c>
      <c r="V324" s="2"/>
      <c r="W324" s="14">
        <f t="shared" si="78"/>
        <v>-22553.909999999996</v>
      </c>
      <c r="X324" s="15">
        <f>IFERROR(W324/W444, "NA")</f>
        <v>0.17514694261208408</v>
      </c>
      <c r="Y324" s="2"/>
      <c r="Z324" s="14">
        <f>IFERROR(Z297+Z298+Z299+Z300+Z301+Z302+Z303+Z304+Z305+Z306+Z307+Z308+Z309+Z310+Z311+Z312+Z313+Z314+Z315+Z316+Z317+Z318+Z319+Z320+Z321+Z322+Z323, "NA")</f>
        <v>54219.76</v>
      </c>
      <c r="AA324" s="15">
        <f>IFERROR(Z324/Z444, "NA")</f>
        <v>4.5430872423747271E-2</v>
      </c>
      <c r="AB324" s="2"/>
      <c r="AC324" s="14">
        <f t="shared" si="79"/>
        <v>-3797.7999999999956</v>
      </c>
      <c r="AD324" s="15">
        <f>IFERROR(AC324/AC444, "NA")</f>
        <v>-8.1113019795139088E-2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21853.63</v>
      </c>
      <c r="C325" s="15">
        <f>IFERROR(B325/B444, "NA")</f>
        <v>0.21356053181323037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22192.910000000003</v>
      </c>
      <c r="F325" s="15">
        <f>IFERROR(E325/E444, "NA")</f>
        <v>0.19146715440245538</v>
      </c>
      <c r="G325" s="2"/>
      <c r="H325" s="14">
        <f t="shared" si="76"/>
        <v>339.28000000000247</v>
      </c>
      <c r="I325" s="15">
        <f>IFERROR(H325/H444, "NA")</f>
        <v>-2.4984094068855198E-2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26882.120000000003</v>
      </c>
      <c r="L325" s="15">
        <f>IFERROR(K325/K444, "NA")</f>
        <v>0.26207282476236904</v>
      </c>
      <c r="M325" s="2"/>
      <c r="N325" s="14">
        <f t="shared" si="77"/>
        <v>5028.4900000000016</v>
      </c>
      <c r="O325" s="15">
        <f>IFERROR(N325/N444, "NA")</f>
        <v>-20.516912154718973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281183.70000000007</v>
      </c>
      <c r="R325" s="15">
        <f>IFERROR(Q325/Q444, "NA")</f>
        <v>0.22671033657576131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259201.58</v>
      </c>
      <c r="U325" s="15">
        <f>IFERROR(T325/T444, "NA")</f>
        <v>0.18932969610219791</v>
      </c>
      <c r="V325" s="2"/>
      <c r="W325" s="14">
        <f t="shared" si="78"/>
        <v>-21982.120000000083</v>
      </c>
      <c r="X325" s="15">
        <f>IFERROR(W325/W444, "NA")</f>
        <v>0.17070659190056006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259495.88</v>
      </c>
      <c r="AA325" s="15">
        <f>IFERROR(Z325/Z444, "NA")</f>
        <v>0.21743224644978199</v>
      </c>
      <c r="AB325" s="2"/>
      <c r="AC325" s="14">
        <f t="shared" si="79"/>
        <v>-21687.820000000065</v>
      </c>
      <c r="AD325" s="15">
        <f>IFERROR(AC325/AC444, "NA")</f>
        <v>-0.4632062175400023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0.19602323504437755</v>
      </c>
      <c r="D329" s="9"/>
      <c r="E329" s="7">
        <v>18514</v>
      </c>
      <c r="F329" s="8">
        <f>IFERROR(E329/E444, "NA")</f>
        <v>0.15972771919532222</v>
      </c>
      <c r="G329" s="9"/>
      <c r="H329" s="10">
        <f t="shared" si="80"/>
        <v>-1545.0400000000009</v>
      </c>
      <c r="I329" s="8">
        <f>IFERROR(H329/H444, "NA")</f>
        <v>0.11377453637156265</v>
      </c>
      <c r="J329" s="9"/>
      <c r="K329" s="7">
        <v>19569.79</v>
      </c>
      <c r="L329" s="8">
        <f>IFERROR(K329/K444, "NA")</f>
        <v>0.19078518157445773</v>
      </c>
      <c r="M329" s="9"/>
      <c r="N329" s="10">
        <f t="shared" si="81"/>
        <v>-489.25</v>
      </c>
      <c r="O329" s="8">
        <f>IFERROR(N329/N444, "NA")</f>
        <v>1.9962054755396261</v>
      </c>
      <c r="P329" s="9"/>
      <c r="Q329" s="7">
        <v>217224.69</v>
      </c>
      <c r="R329" s="8">
        <f>IFERROR(Q329/Q444, "NA")</f>
        <v>0.17514202488432082</v>
      </c>
      <c r="S329" s="9"/>
      <c r="T329" s="7">
        <v>214128</v>
      </c>
      <c r="U329" s="8">
        <f>IFERROR(T329/T444, "NA")</f>
        <v>0.1564064122100314</v>
      </c>
      <c r="V329" s="9"/>
      <c r="W329" s="10">
        <f t="shared" si="82"/>
        <v>-3096.6900000000023</v>
      </c>
      <c r="X329" s="8">
        <f>IFERROR(W329/W444, "NA")</f>
        <v>2.4047971536528042E-2</v>
      </c>
      <c r="Y329" s="9"/>
      <c r="Z329" s="7">
        <v>211926.52</v>
      </c>
      <c r="AA329" s="8">
        <f>IFERROR(Z329/Z444, "NA")</f>
        <v>0.1775737608083976</v>
      </c>
      <c r="AB329" s="9"/>
      <c r="AC329" s="10">
        <f t="shared" si="83"/>
        <v>-5298.1700000000128</v>
      </c>
      <c r="AD329" s="8">
        <f>IFERROR(AC329/AC444, "NA")</f>
        <v>-0.11315776715151235</v>
      </c>
    </row>
    <row r="330" spans="1:30" ht="16.5" customHeight="1" x14ac:dyDescent="0.45">
      <c r="A330" s="6" t="s">
        <v>301</v>
      </c>
      <c r="B330" s="7">
        <v>788.51</v>
      </c>
      <c r="C330" s="8">
        <f>IFERROR(B330/B444, "NA")</f>
        <v>7.7055672188121732E-3</v>
      </c>
      <c r="D330" s="9"/>
      <c r="E330" s="7">
        <v>659</v>
      </c>
      <c r="F330" s="8">
        <f>IFERROR(E330/E444, "NA")</f>
        <v>5.6854578670042857E-3</v>
      </c>
      <c r="G330" s="9"/>
      <c r="H330" s="10">
        <f t="shared" si="80"/>
        <v>-129.51</v>
      </c>
      <c r="I330" s="8">
        <f>IFERROR(H330/H444, "NA")</f>
        <v>9.5369312156844289E-3</v>
      </c>
      <c r="J330" s="9"/>
      <c r="K330" s="7">
        <v>691.09</v>
      </c>
      <c r="L330" s="8">
        <f>IFERROR(K330/K444, "NA")</f>
        <v>6.7374116500121869E-3</v>
      </c>
      <c r="M330" s="9"/>
      <c r="N330" s="10">
        <f t="shared" si="81"/>
        <v>-97.419999999999959</v>
      </c>
      <c r="O330" s="8">
        <f>IFERROR(N330/N444, "NA")</f>
        <v>0.39748663756171754</v>
      </c>
      <c r="P330" s="9"/>
      <c r="Q330" s="7">
        <v>8085.32</v>
      </c>
      <c r="R330" s="8">
        <f>IFERROR(Q330/Q444, "NA")</f>
        <v>6.5189611578577774E-3</v>
      </c>
      <c r="S330" s="9"/>
      <c r="T330" s="7">
        <v>7249</v>
      </c>
      <c r="U330" s="8">
        <f>IFERROR(T330/T444, "NA")</f>
        <v>5.2949174424200369E-3</v>
      </c>
      <c r="V330" s="9"/>
      <c r="W330" s="10">
        <f t="shared" si="82"/>
        <v>-836.31999999999971</v>
      </c>
      <c r="X330" s="8">
        <f>IFERROR(W330/W444, "NA")</f>
        <v>6.4946118453668624E-3</v>
      </c>
      <c r="Y330" s="9"/>
      <c r="Z330" s="7">
        <v>7327.93</v>
      </c>
      <c r="AA330" s="8">
        <f>IFERROR(Z330/Z444, "NA")</f>
        <v>6.1400908628173627E-3</v>
      </c>
      <c r="AB330" s="9"/>
      <c r="AC330" s="10">
        <f t="shared" si="83"/>
        <v>-757.38999999999942</v>
      </c>
      <c r="AD330" s="8">
        <f>IFERROR(AC330/AC444, "NA")</f>
        <v>-1.6176257323355737E-2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8.3644166207123595E-3</v>
      </c>
      <c r="D333" s="9"/>
      <c r="E333" s="7">
        <v>761</v>
      </c>
      <c r="F333" s="8">
        <f>IFERROR(E333/E444, "NA")</f>
        <v>6.5654528631111705E-3</v>
      </c>
      <c r="G333" s="9"/>
      <c r="H333" s="10">
        <f t="shared" si="80"/>
        <v>-94.92999999999995</v>
      </c>
      <c r="I333" s="8">
        <f>IFERROR(H333/H444, "NA")</f>
        <v>6.9905094610834863E-3</v>
      </c>
      <c r="J333" s="9"/>
      <c r="K333" s="7">
        <v>760.64</v>
      </c>
      <c r="L333" s="8">
        <f>IFERROR(K333/K444, "NA")</f>
        <v>7.4154521082135019E-3</v>
      </c>
      <c r="M333" s="9"/>
      <c r="N333" s="10">
        <f t="shared" si="81"/>
        <v>-95.289999999999964</v>
      </c>
      <c r="O333" s="8">
        <f>IFERROR(N333/N444, "NA")</f>
        <v>0.38879595250724763</v>
      </c>
      <c r="P333" s="9"/>
      <c r="Q333" s="7">
        <v>9319.94</v>
      </c>
      <c r="R333" s="8">
        <f>IFERROR(Q333/Q444, "NA")</f>
        <v>7.5143997830098277E-3</v>
      </c>
      <c r="S333" s="9"/>
      <c r="T333" s="7">
        <v>8371</v>
      </c>
      <c r="U333" s="8">
        <f>IFERROR(T333/T444, "NA")</f>
        <v>6.1144646034622888E-3</v>
      </c>
      <c r="V333" s="9"/>
      <c r="W333" s="10">
        <f t="shared" si="82"/>
        <v>-948.94000000000051</v>
      </c>
      <c r="X333" s="8">
        <f>IFERROR(W333/W444, "NA")</f>
        <v>7.3691851977023574E-3</v>
      </c>
      <c r="Y333" s="9"/>
      <c r="Z333" s="7">
        <v>10095.75</v>
      </c>
      <c r="AA333" s="8">
        <f>IFERROR(Z333/Z444, "NA")</f>
        <v>8.4592541588536449E-3</v>
      </c>
      <c r="AB333" s="9"/>
      <c r="AC333" s="10">
        <f t="shared" si="83"/>
        <v>775.80999999999949</v>
      </c>
      <c r="AD333" s="8">
        <f>IFERROR(AC333/AC444, "NA")</f>
        <v>1.6569669779152901E-2</v>
      </c>
    </row>
    <row r="334" spans="1:30" ht="16.5" customHeight="1" x14ac:dyDescent="0.45">
      <c r="A334" s="6" t="s">
        <v>305</v>
      </c>
      <c r="B334" s="7">
        <v>-1544.55</v>
      </c>
      <c r="C334" s="8">
        <f>IFERROR(B334/B444, "NA")</f>
        <v>-1.5093827405887486E-2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1544.55</v>
      </c>
      <c r="I334" s="8">
        <f>IFERROR(H334/H444, "NA")</f>
        <v>-0.11373845347220589</v>
      </c>
      <c r="J334" s="9"/>
      <c r="K334" s="7">
        <v>-1470.12</v>
      </c>
      <c r="L334" s="8">
        <f>IFERROR(K334/K444, "NA")</f>
        <v>-1.4332147209359004E-2</v>
      </c>
      <c r="M334" s="9"/>
      <c r="N334" s="10">
        <f t="shared" si="81"/>
        <v>74.430000000000064</v>
      </c>
      <c r="O334" s="8">
        <f>IFERROR(N334/N444, "NA")</f>
        <v>-0.30368436084704037</v>
      </c>
      <c r="P334" s="9"/>
      <c r="Q334" s="7">
        <v>-3089.1</v>
      </c>
      <c r="R334" s="8">
        <f>IFERROR(Q334/Q444, "NA")</f>
        <v>-2.4906525545975249E-3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3089.1</v>
      </c>
      <c r="X334" s="8">
        <f>IFERROR(W334/W444, "NA")</f>
        <v>-2.3989029858813349E-2</v>
      </c>
      <c r="Y334" s="9"/>
      <c r="Z334" s="7">
        <v>-2940.24</v>
      </c>
      <c r="AA334" s="8">
        <f>IFERROR(Z334/Z444, "NA")</f>
        <v>-2.4636344449919857E-3</v>
      </c>
      <c r="AB334" s="9"/>
      <c r="AC334" s="10">
        <f t="shared" si="83"/>
        <v>148.86000000000013</v>
      </c>
      <c r="AD334" s="8">
        <f>IFERROR(AC334/AC444, "NA")</f>
        <v>3.1793364913119252E-3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4687.53</v>
      </c>
      <c r="F337" s="8">
        <f>IFERROR(E337/E444, "NA")</f>
        <v>4.0441205334322605E-2</v>
      </c>
      <c r="G337" s="9"/>
      <c r="H337" s="10">
        <f t="shared" ref="H337:H344" si="84">IFERROR(-(B337-E337), "NA")</f>
        <v>4687.53</v>
      </c>
      <c r="I337" s="8">
        <f>IFERROR(H337/H444, "NA")</f>
        <v>-0.34518300657445161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56452.93</v>
      </c>
      <c r="U337" s="8">
        <f>IFERROR(T337/T444, "NA")</f>
        <v>4.1235150190745952E-2</v>
      </c>
      <c r="V337" s="9"/>
      <c r="W337" s="10">
        <f t="shared" ref="W337:W344" si="86">IFERROR(-(Q337-T337), "NA")</f>
        <v>56452.93</v>
      </c>
      <c r="X337" s="8">
        <f>IFERROR(W337/W444, "NA")</f>
        <v>-0.43839662794584183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1948.04</v>
      </c>
      <c r="C338" s="8">
        <f>IFERROR(B338/B444, "NA")</f>
        <v>1.903685833399052E-2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-1948.04</v>
      </c>
      <c r="I338" s="8">
        <f>IFERROR(H338/H444, "NA")</f>
        <v>0.14345088012819004</v>
      </c>
      <c r="J338" s="9"/>
      <c r="K338" s="7">
        <v>1802.61</v>
      </c>
      <c r="L338" s="8">
        <f>IFERROR(K338/K444, "NA")</f>
        <v>1.7573580307092371E-2</v>
      </c>
      <c r="M338" s="9"/>
      <c r="N338" s="10">
        <f t="shared" si="85"/>
        <v>-145.43000000000006</v>
      </c>
      <c r="O338" s="8">
        <f>IFERROR(N338/N444, "NA")</f>
        <v>0.59337386266270409</v>
      </c>
      <c r="P338" s="9"/>
      <c r="Q338" s="7">
        <v>24055.01</v>
      </c>
      <c r="R338" s="8">
        <f>IFERROR(Q338/Q444, "NA")</f>
        <v>1.9394863263529509E-2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-24055.01</v>
      </c>
      <c r="X338" s="8">
        <f>IFERROR(W338/W444, "NA")</f>
        <v>0.1868040377922546</v>
      </c>
      <c r="Y338" s="9"/>
      <c r="Z338" s="7">
        <v>22521.83</v>
      </c>
      <c r="AA338" s="8">
        <f>IFERROR(Z338/Z444, "NA")</f>
        <v>1.8871097649257835E-2</v>
      </c>
      <c r="AB338" s="9"/>
      <c r="AC338" s="10">
        <f t="shared" si="87"/>
        <v>-1533.1799999999967</v>
      </c>
      <c r="AD338" s="8">
        <f>IFERROR(AC338/AC444, "NA")</f>
        <v>-3.274549994457613E-2</v>
      </c>
    </row>
    <row r="339" spans="1:30" ht="16.5" customHeight="1" x14ac:dyDescent="0.45">
      <c r="A339" s="12" t="s">
        <v>309</v>
      </c>
      <c r="B339" s="7">
        <v>674.2</v>
      </c>
      <c r="C339" s="8">
        <f>IFERROR(B339/B444, "NA")</f>
        <v>6.5884940190018733E-3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-674.2</v>
      </c>
      <c r="I339" s="8">
        <f>IFERROR(H339/H444, "NA")</f>
        <v>4.9647123972005575E-2</v>
      </c>
      <c r="J339" s="9"/>
      <c r="K339" s="7">
        <v>740.38</v>
      </c>
      <c r="L339" s="8">
        <f>IFERROR(K339/K444, "NA")</f>
        <v>7.2179380940775046E-3</v>
      </c>
      <c r="M339" s="9"/>
      <c r="N339" s="10">
        <f t="shared" si="85"/>
        <v>66.17999999999995</v>
      </c>
      <c r="O339" s="8">
        <f>IFERROR(N339/N444, "NA")</f>
        <v>-0.27002325676282546</v>
      </c>
      <c r="P339" s="9"/>
      <c r="Q339" s="7">
        <v>8345.6</v>
      </c>
      <c r="R339" s="8">
        <f>IFERROR(Q339/Q444, "NA")</f>
        <v>6.7288174418597994E-3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-8345.6</v>
      </c>
      <c r="X339" s="8">
        <f>IFERROR(W339/W444, "NA")</f>
        <v>6.4809442099547671E-2</v>
      </c>
      <c r="Y339" s="9"/>
      <c r="Z339" s="7">
        <v>8444.73</v>
      </c>
      <c r="AA339" s="8">
        <f>IFERROR(Z339/Z444, "NA")</f>
        <v>7.0758603742065856E-3</v>
      </c>
      <c r="AB339" s="9"/>
      <c r="AC339" s="10">
        <f t="shared" si="87"/>
        <v>99.1299999999992</v>
      </c>
      <c r="AD339" s="8">
        <f>IFERROR(AC339/AC444, "NA")</f>
        <v>2.1172082922460587E-3</v>
      </c>
    </row>
    <row r="340" spans="1:30" ht="16.5" customHeight="1" x14ac:dyDescent="0.45">
      <c r="A340" s="12" t="s">
        <v>310</v>
      </c>
      <c r="B340" s="7">
        <v>975.54</v>
      </c>
      <c r="C340" s="8">
        <f>IFERROR(B340/B444, "NA")</f>
        <v>9.533283084095354E-3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-975.54</v>
      </c>
      <c r="I340" s="8">
        <f>IFERROR(H340/H444, "NA")</f>
        <v>7.1837370690670893E-2</v>
      </c>
      <c r="J340" s="9"/>
      <c r="K340" s="7">
        <v>795.63</v>
      </c>
      <c r="L340" s="8">
        <f>IFERROR(K340/K444, "NA")</f>
        <v>7.7565683646112597E-3</v>
      </c>
      <c r="M340" s="9"/>
      <c r="N340" s="10">
        <f t="shared" si="85"/>
        <v>-179.90999999999997</v>
      </c>
      <c r="O340" s="8">
        <f>IFERROR(N340/N444, "NA")</f>
        <v>0.7340568770655781</v>
      </c>
      <c r="P340" s="9"/>
      <c r="Q340" s="7">
        <v>9862.76</v>
      </c>
      <c r="R340" s="8">
        <f>IFERROR(Q340/Q444, "NA")</f>
        <v>7.9520599492998879E-3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-9862.76</v>
      </c>
      <c r="X340" s="8">
        <f>IFERROR(W340/W444, "NA")</f>
        <v>7.6591254452853572E-2</v>
      </c>
      <c r="Y340" s="9"/>
      <c r="Z340" s="7">
        <v>9849.3799999999992</v>
      </c>
      <c r="AA340" s="8">
        <f>IFERROR(Z340/Z444, "NA")</f>
        <v>8.2528201200633838E-3</v>
      </c>
      <c r="AB340" s="9"/>
      <c r="AC340" s="10">
        <f t="shared" si="87"/>
        <v>-13.380000000001019</v>
      </c>
      <c r="AD340" s="8">
        <f>IFERROR(AC340/AC444, "NA")</f>
        <v>-2.8576865681685312E-4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1.0084930202713947E-2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7.599426797370222E-2</v>
      </c>
      <c r="J341" s="9"/>
      <c r="K341" s="7">
        <v>996.35</v>
      </c>
      <c r="L341" s="8">
        <f>IFERROR(K341/K444, "NA")</f>
        <v>9.713380453326835E-3</v>
      </c>
      <c r="M341" s="9"/>
      <c r="N341" s="10">
        <f t="shared" si="85"/>
        <v>-35.639999999999986</v>
      </c>
      <c r="O341" s="8">
        <f>IFERROR(N341/N444, "NA")</f>
        <v>0.14541596964380632</v>
      </c>
      <c r="P341" s="9"/>
      <c r="Q341" s="7">
        <v>11314.21</v>
      </c>
      <c r="R341" s="8">
        <f>IFERROR(Q341/Q444, "NA")</f>
        <v>9.122322372131968E-3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-11314.21</v>
      </c>
      <c r="X341" s="8">
        <f>IFERROR(W341/W444, "NA")</f>
        <v>8.7862782531768019E-2</v>
      </c>
      <c r="Y341" s="9"/>
      <c r="Z341" s="7">
        <v>10688.46</v>
      </c>
      <c r="AA341" s="8">
        <f>IFERROR(Z341/Z444, "NA")</f>
        <v>8.9558873493044908E-3</v>
      </c>
      <c r="AB341" s="9"/>
      <c r="AC341" s="10">
        <f t="shared" si="87"/>
        <v>-625.75</v>
      </c>
      <c r="AD341" s="8">
        <f>IFERROR(AC341/AC444, "NA")</f>
        <v>-1.3364703811893293E-2</v>
      </c>
    </row>
    <row r="342" spans="1:30" ht="16.5" customHeight="1" x14ac:dyDescent="0.45">
      <c r="A342" s="13" t="s">
        <v>312</v>
      </c>
      <c r="B342" s="14">
        <f>IFERROR(B337+B338+B339+B340+B341, "NA")</f>
        <v>4629.7699999999995</v>
      </c>
      <c r="C342" s="15">
        <f>IFERROR(B342/B444, "NA")</f>
        <v>4.524356563980169E-2</v>
      </c>
      <c r="D342" s="2"/>
      <c r="E342" s="14">
        <f>IFERROR(E337+E338+E339+E340+E341, "NA")</f>
        <v>4687.53</v>
      </c>
      <c r="F342" s="15">
        <f>IFERROR(E342/E444, "NA")</f>
        <v>4.0441205334322605E-2</v>
      </c>
      <c r="G342" s="2"/>
      <c r="H342" s="14">
        <f t="shared" si="84"/>
        <v>57.760000000000218</v>
      </c>
      <c r="I342" s="15">
        <f>IFERROR(H342/H444, "NA")</f>
        <v>-4.2533638098829025E-3</v>
      </c>
      <c r="J342" s="2"/>
      <c r="K342" s="14">
        <f>IFERROR(K337+K338+K339+K340+K341, "NA")</f>
        <v>4334.97</v>
      </c>
      <c r="L342" s="15">
        <f>IFERROR(K342/K444, "NA")</f>
        <v>4.2261467219107972E-2</v>
      </c>
      <c r="M342" s="2"/>
      <c r="N342" s="14">
        <f t="shared" si="85"/>
        <v>-294.79999999999927</v>
      </c>
      <c r="O342" s="15">
        <f>IFERROR(N342/N444, "NA")</f>
        <v>1.2028234526092598</v>
      </c>
      <c r="P342" s="2"/>
      <c r="Q342" s="14">
        <f>IFERROR(Q337+Q338+Q339+Q340+Q341, "NA")</f>
        <v>53577.58</v>
      </c>
      <c r="R342" s="15">
        <f>IFERROR(Q342/Q444, "NA")</f>
        <v>4.3198063026821165E-2</v>
      </c>
      <c r="S342" s="2"/>
      <c r="T342" s="14">
        <f>IFERROR(T337+T338+T339+T340+T341, "NA")</f>
        <v>56452.93</v>
      </c>
      <c r="U342" s="15">
        <f>IFERROR(T342/T444, "NA")</f>
        <v>4.1235150190745952E-2</v>
      </c>
      <c r="V342" s="2"/>
      <c r="W342" s="14">
        <f t="shared" si="86"/>
        <v>2875.3499999999985</v>
      </c>
      <c r="X342" s="15">
        <f>IFERROR(W342/W444, "NA")</f>
        <v>-2.2329111069417932E-2</v>
      </c>
      <c r="Y342" s="2"/>
      <c r="Z342" s="14">
        <f>IFERROR(Z337+Z338+Z339+Z340+Z341, "NA")</f>
        <v>51504.4</v>
      </c>
      <c r="AA342" s="15">
        <f>IFERROR(Z342/Z444, "NA")</f>
        <v>4.3155665492832299E-2</v>
      </c>
      <c r="AB342" s="2"/>
      <c r="AC342" s="14">
        <f t="shared" si="87"/>
        <v>-2073.1800000000003</v>
      </c>
      <c r="AD342" s="15">
        <f>IFERROR(AC342/AC444, "NA")</f>
        <v>-4.4278764121040252E-2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24788.700000000004</v>
      </c>
      <c r="C343" s="15">
        <f>IFERROR(B343/B444, "NA")</f>
        <v>0.24224295711781632</v>
      </c>
      <c r="D343" s="2"/>
      <c r="E343" s="14">
        <f>IFERROR(E328+E329+E330+E331+E332+E333+E334+E335+E337+E338+E339+E340+E341, "NA")</f>
        <v>24621.53</v>
      </c>
      <c r="F343" s="15">
        <f>IFERROR(E343/E444, "NA")</f>
        <v>0.21241983525976027</v>
      </c>
      <c r="G343" s="2"/>
      <c r="H343" s="14">
        <f t="shared" si="84"/>
        <v>-167.17000000000553</v>
      </c>
      <c r="I343" s="15">
        <f>IFERROR(H343/H444, "NA")</f>
        <v>1.2310159766242133E-2</v>
      </c>
      <c r="J343" s="2"/>
      <c r="K343" s="14">
        <f>IFERROR(K328+K329+K330+K331+K332+K333+K334+K335+K337+K338+K339+K340+K341, "NA")</f>
        <v>23886.370000000003</v>
      </c>
      <c r="L343" s="15">
        <f>IFERROR(K343/K444, "NA")</f>
        <v>0.23286736534243238</v>
      </c>
      <c r="M343" s="2"/>
      <c r="N343" s="14">
        <f t="shared" si="85"/>
        <v>-902.33000000000175</v>
      </c>
      <c r="O343" s="15">
        <f>IFERROR(N343/N444, "NA")</f>
        <v>3.6816271573708215</v>
      </c>
      <c r="P343" s="2"/>
      <c r="Q343" s="14">
        <f>IFERROR(Q328+Q329+Q330+Q331+Q332+Q333+Q334+Q335+Q337+Q338+Q339+Q340+Q341, "NA")</f>
        <v>285118.43000000005</v>
      </c>
      <c r="R343" s="15">
        <f>IFERROR(Q343/Q444, "NA")</f>
        <v>0.2298827962974121</v>
      </c>
      <c r="S343" s="2"/>
      <c r="T343" s="14">
        <f>IFERROR(T328+T329+T330+T331+T332+T333+T334+T335+T337+T338+T339+T340+T341, "NA")</f>
        <v>286200.93</v>
      </c>
      <c r="U343" s="15">
        <f>IFERROR(T343/T444, "NA")</f>
        <v>0.2090509444466597</v>
      </c>
      <c r="V343" s="2"/>
      <c r="W343" s="14">
        <f t="shared" si="86"/>
        <v>1082.4999999999418</v>
      </c>
      <c r="X343" s="15">
        <f>IFERROR(W343/W444, "NA")</f>
        <v>-8.4063723486335999E-3</v>
      </c>
      <c r="Y343" s="2"/>
      <c r="Z343" s="14">
        <f>IFERROR(Z328+Z329+Z330+Z331+Z332+Z333+Z334+Z335+Z337+Z338+Z339+Z340+Z341, "NA")</f>
        <v>277914.36</v>
      </c>
      <c r="AA343" s="15">
        <f>IFERROR(Z343/Z444, "NA")</f>
        <v>0.23286513687790891</v>
      </c>
      <c r="AB343" s="2"/>
      <c r="AC343" s="14">
        <f t="shared" si="87"/>
        <v>-7204.0700000000652</v>
      </c>
      <c r="AD343" s="15">
        <f>IFERROR(AC343/AC444, "NA")</f>
        <v>-0.15386378232544462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24788.700000000004</v>
      </c>
      <c r="C344" s="15">
        <f>IFERROR(B344/B444, "NA")</f>
        <v>0.24224295711781632</v>
      </c>
      <c r="D344" s="2"/>
      <c r="E344" s="14">
        <f>IFERROR(E328+E329+E330+E331+E332+E333+E334+E335+E337+E338+E339+E340+E341, "NA")</f>
        <v>24621.53</v>
      </c>
      <c r="F344" s="15">
        <f>IFERROR(E344/E444, "NA")</f>
        <v>0.21241983525976027</v>
      </c>
      <c r="G344" s="2"/>
      <c r="H344" s="14">
        <f t="shared" si="84"/>
        <v>-167.17000000000553</v>
      </c>
      <c r="I344" s="15">
        <f>IFERROR(H344/H444, "NA")</f>
        <v>1.2310159766242133E-2</v>
      </c>
      <c r="J344" s="2"/>
      <c r="K344" s="14">
        <f>IFERROR(K328+K329+K330+K331+K332+K333+K334+K335+K337+K338+K339+K340+K341, "NA")</f>
        <v>23886.370000000003</v>
      </c>
      <c r="L344" s="15">
        <f>IFERROR(K344/K444, "NA")</f>
        <v>0.23286736534243238</v>
      </c>
      <c r="M344" s="2"/>
      <c r="N344" s="14">
        <f t="shared" si="85"/>
        <v>-902.33000000000175</v>
      </c>
      <c r="O344" s="15">
        <f>IFERROR(N344/N444, "NA")</f>
        <v>3.6816271573708215</v>
      </c>
      <c r="P344" s="2"/>
      <c r="Q344" s="14">
        <f>IFERROR(Q328+Q329+Q330+Q331+Q332+Q333+Q334+Q335+Q337+Q338+Q339+Q340+Q341, "NA")</f>
        <v>285118.43000000005</v>
      </c>
      <c r="R344" s="15">
        <f>IFERROR(Q344/Q444, "NA")</f>
        <v>0.2298827962974121</v>
      </c>
      <c r="S344" s="2"/>
      <c r="T344" s="14">
        <f>IFERROR(T328+T329+T330+T331+T332+T333+T334+T335+T337+T338+T339+T340+T341, "NA")</f>
        <v>286200.93</v>
      </c>
      <c r="U344" s="15">
        <f>IFERROR(T344/T444, "NA")</f>
        <v>0.2090509444466597</v>
      </c>
      <c r="V344" s="2"/>
      <c r="W344" s="14">
        <f t="shared" si="86"/>
        <v>1082.4999999999418</v>
      </c>
      <c r="X344" s="15">
        <f>IFERROR(W344/W444, "NA")</f>
        <v>-8.4063723486335999E-3</v>
      </c>
      <c r="Y344" s="2"/>
      <c r="Z344" s="14">
        <f>IFERROR(Z328+Z329+Z330+Z331+Z332+Z333+Z334+Z335+Z337+Z338+Z339+Z340+Z341, "NA")</f>
        <v>277914.36</v>
      </c>
      <c r="AA344" s="15">
        <f>IFERROR(Z344/Z444, "NA")</f>
        <v>0.23286513687790891</v>
      </c>
      <c r="AB344" s="2"/>
      <c r="AC344" s="14">
        <f t="shared" si="87"/>
        <v>-7204.0700000000652</v>
      </c>
      <c r="AD344" s="15">
        <f>IFERROR(AC344/AC444, "NA")</f>
        <v>-0.15386378232544462</v>
      </c>
    </row>
    <row r="345" spans="1:30" ht="16.5" customHeight="1" x14ac:dyDescent="0.45">
      <c r="A345" s="22" t="s">
        <v>315</v>
      </c>
      <c r="B345" s="23">
        <f>IFERROR(B198-B325-B344, "NA")</f>
        <v>-3630.3300000000199</v>
      </c>
      <c r="C345" s="24">
        <f>IFERROR(B345/B444, "NA")</f>
        <v>-3.5476724253935332E-2</v>
      </c>
      <c r="D345" s="25"/>
      <c r="E345" s="23">
        <f>IFERROR(E198-E325-E344, "NA")</f>
        <v>10163.359999999986</v>
      </c>
      <c r="F345" s="24">
        <f>IFERROR(E345/E444, "NA")</f>
        <v>8.7683391604243696E-2</v>
      </c>
      <c r="G345" s="25"/>
      <c r="H345" s="23">
        <f>IFERROR(B345-E345, "NA")</f>
        <v>-13793.690000000006</v>
      </c>
      <c r="I345" s="24">
        <f>IFERROR(H345/H444, "NA")</f>
        <v>1.0157476082192434</v>
      </c>
      <c r="J345" s="25"/>
      <c r="K345" s="23">
        <f>IFERROR(K198-K325-K344, "NA")</f>
        <v>-7179.7600000000239</v>
      </c>
      <c r="L345" s="24">
        <f>IFERROR(K345/K444, "NA")</f>
        <v>-6.9995223007555674E-2</v>
      </c>
      <c r="M345" s="25"/>
      <c r="N345" s="23">
        <f>IFERROR(B345-K345, "NA")</f>
        <v>3549.4300000000039</v>
      </c>
      <c r="O345" s="24">
        <f>IFERROR(N345/N444, "NA")</f>
        <v>-14.482149414501018</v>
      </c>
      <c r="P345" s="25"/>
      <c r="Q345" s="23">
        <f>IFERROR(Q198-Q325-Q344, "NA")</f>
        <v>-62025.810000000347</v>
      </c>
      <c r="R345" s="24">
        <f>IFERROR(Q345/Q444, "NA")</f>
        <v>-5.0009628088272175E-2</v>
      </c>
      <c r="S345" s="25"/>
      <c r="T345" s="23">
        <f>IFERROR(T198-T325-T344, "NA")</f>
        <v>99630.169999999984</v>
      </c>
      <c r="U345" s="24">
        <f>IFERROR(T345/T444, "NA")</f>
        <v>7.2773282511280651E-2</v>
      </c>
      <c r="V345" s="25"/>
      <c r="W345" s="23">
        <f>IFERROR(Q345-T345, "NA")</f>
        <v>-161655.98000000033</v>
      </c>
      <c r="X345" s="24">
        <f>IFERROR(W345/W444, "NA")</f>
        <v>1.2553721572871521</v>
      </c>
      <c r="Y345" s="25"/>
      <c r="Z345" s="23">
        <f>IFERROR(Z198-Z325-Z344, "NA")</f>
        <v>-52221.110000000044</v>
      </c>
      <c r="AA345" s="24">
        <f>IFERROR(Z345/Z444, "NA")</f>
        <v>-4.3756198593215362E-2</v>
      </c>
      <c r="AB345" s="25"/>
      <c r="AC345" s="23">
        <f>IFERROR(Q345-Z345, "NA")</f>
        <v>-9804.7000000003027</v>
      </c>
      <c r="AD345" s="24">
        <f>IFERROR(AC345/AC444, "NA")</f>
        <v>-0.20940776902033431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-3630.3300000000199</v>
      </c>
      <c r="C404" s="24">
        <f>IFERROR(B404/B444, "NA")</f>
        <v>-3.5476724253935332E-2</v>
      </c>
      <c r="D404" s="25"/>
      <c r="E404" s="23">
        <f>IFERROR(E345-E403, "NA")</f>
        <v>10163.359999999986</v>
      </c>
      <c r="F404" s="24">
        <f>IFERROR(E404/E444, "NA")</f>
        <v>8.7683391604243696E-2</v>
      </c>
      <c r="G404" s="25"/>
      <c r="H404" s="23">
        <f>IFERROR(B404-E404, "NA")</f>
        <v>-13793.690000000006</v>
      </c>
      <c r="I404" s="24">
        <f>IFERROR(H404/H444, "NA")</f>
        <v>1.0157476082192434</v>
      </c>
      <c r="J404" s="25"/>
      <c r="K404" s="23">
        <f>IFERROR(K345-K403, "NA")</f>
        <v>-7179.7600000000239</v>
      </c>
      <c r="L404" s="24">
        <f>IFERROR(K404/K444, "NA")</f>
        <v>-6.9995223007555674E-2</v>
      </c>
      <c r="M404" s="25"/>
      <c r="N404" s="23">
        <f>IFERROR(B404-K404, "NA")</f>
        <v>3549.4300000000039</v>
      </c>
      <c r="O404" s="24">
        <f>IFERROR(N404/N444, "NA")</f>
        <v>-14.482149414501018</v>
      </c>
      <c r="P404" s="25"/>
      <c r="Q404" s="23">
        <f>IFERROR(Q345-Q403, "NA")</f>
        <v>-62025.810000000347</v>
      </c>
      <c r="R404" s="24">
        <f>IFERROR(Q404/Q444, "NA")</f>
        <v>-5.0009628088272175E-2</v>
      </c>
      <c r="S404" s="25"/>
      <c r="T404" s="23">
        <f>IFERROR(T345-T403, "NA")</f>
        <v>99630.169999999984</v>
      </c>
      <c r="U404" s="24">
        <f>IFERROR(T404/T444, "NA")</f>
        <v>7.2773282511280651E-2</v>
      </c>
      <c r="V404" s="25"/>
      <c r="W404" s="23">
        <f>IFERROR(Q404-T404, "NA")</f>
        <v>-161655.98000000033</v>
      </c>
      <c r="X404" s="24">
        <f>IFERROR(W404/W444, "NA")</f>
        <v>1.2553721572871521</v>
      </c>
      <c r="Y404" s="25"/>
      <c r="Z404" s="23">
        <f>IFERROR(Z345-Z403, "NA")</f>
        <v>-52221.110000000044</v>
      </c>
      <c r="AA404" s="24">
        <f>IFERROR(Z404/Z444, "NA")</f>
        <v>-4.3756198593215362E-2</v>
      </c>
      <c r="AB404" s="25"/>
      <c r="AC404" s="23">
        <f>IFERROR(Q404-Z404, "NA")</f>
        <v>-9804.7000000003027</v>
      </c>
      <c r="AD404" s="24">
        <f>IFERROR(AC404/AC444, "NA")</f>
        <v>-0.20940776902033431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-85.8</v>
      </c>
      <c r="L408" s="8">
        <f>IFERROR(K408/K444, "NA")</f>
        <v>-8.3646112600536189E-4</v>
      </c>
      <c r="M408" s="9"/>
      <c r="N408" s="10">
        <f t="shared" si="101"/>
        <v>-85.8</v>
      </c>
      <c r="O408" s="8">
        <f>IFERROR(N408/N444, "NA")</f>
        <v>0.3500754824758302</v>
      </c>
      <c r="P408" s="9"/>
      <c r="Q408" s="7">
        <v>-142.4</v>
      </c>
      <c r="R408" s="8">
        <f>IFERROR(Q408/Q444, "NA")</f>
        <v>-1.1481302766977035E-4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142.4</v>
      </c>
      <c r="X408" s="8">
        <f>IFERROR(W408/W444, "NA")</f>
        <v>-1.1058359560697359E-3</v>
      </c>
      <c r="Y408" s="9"/>
      <c r="Z408" s="7">
        <v>5636.76</v>
      </c>
      <c r="AA408" s="8">
        <f>IFERROR(Z408/Z444, "NA")</f>
        <v>4.7230552928172621E-3</v>
      </c>
      <c r="AB408" s="9"/>
      <c r="AC408" s="10">
        <f t="shared" si="103"/>
        <v>5779.16</v>
      </c>
      <c r="AD408" s="8">
        <f>IFERROR(AC408/AC444, "NA")</f>
        <v>0.12343070184824807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10648.87</v>
      </c>
      <c r="C410" s="8">
        <f>IFERROR(B410/B444, "NA")</f>
        <v>0.10406410012478268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-10648.87</v>
      </c>
      <c r="I410" s="8">
        <f>IFERROR(H410/H444, "NA")</f>
        <v>0.78416756014798428</v>
      </c>
      <c r="J410" s="9"/>
      <c r="K410" s="7">
        <v>9542.9</v>
      </c>
      <c r="L410" s="8">
        <f>IFERROR(K410/K444, "NA")</f>
        <v>9.3033390202290997E-2</v>
      </c>
      <c r="M410" s="9"/>
      <c r="N410" s="10">
        <f t="shared" si="101"/>
        <v>-1105.9700000000012</v>
      </c>
      <c r="O410" s="8">
        <f>IFERROR(N410/N444, "NA")</f>
        <v>4.5125056101840828</v>
      </c>
      <c r="P410" s="9"/>
      <c r="Q410" s="7">
        <v>110685.66</v>
      </c>
      <c r="R410" s="8">
        <f>IFERROR(Q410/Q444, "NA")</f>
        <v>8.924266674316568E-2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-110685.66</v>
      </c>
      <c r="X410" s="8">
        <f>IFERROR(W410/W444, "NA")</f>
        <v>0.85955184444739974</v>
      </c>
      <c r="Y410" s="9"/>
      <c r="Z410" s="7">
        <v>104971.9</v>
      </c>
      <c r="AA410" s="8">
        <f>IFERROR(Z410/Z444, "NA")</f>
        <v>8.7956217382340968E-2</v>
      </c>
      <c r="AB410" s="9"/>
      <c r="AC410" s="10">
        <f t="shared" si="103"/>
        <v>-5713.7600000000093</v>
      </c>
      <c r="AD410" s="8">
        <f>IFERROR(AC410/AC444, "NA")</f>
        <v>-0.12203389540909874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-60.76</v>
      </c>
      <c r="C416" s="8">
        <f>IFERROR(B416/B444, "NA")</f>
        <v>-5.9376579144846309E-4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60.76</v>
      </c>
      <c r="I416" s="8">
        <f>IFERROR(H416/H444, "NA")</f>
        <v>-4.4742795202299887E-3</v>
      </c>
      <c r="J416" s="9"/>
      <c r="K416" s="7">
        <v>70.16</v>
      </c>
      <c r="L416" s="8">
        <f>IFERROR(K416/K444, "NA")</f>
        <v>6.8398732634657568E-4</v>
      </c>
      <c r="M416" s="9"/>
      <c r="N416" s="10">
        <f t="shared" si="101"/>
        <v>130.91999999999999</v>
      </c>
      <c r="O416" s="8">
        <f>IFERROR(N416/N444, "NA")</f>
        <v>-0.53417112081277018</v>
      </c>
      <c r="P416" s="9"/>
      <c r="Q416" s="7">
        <v>-188.26</v>
      </c>
      <c r="R416" s="8">
        <f>IFERROR(Q416/Q444, "NA")</f>
        <v>-1.5178862773252081E-4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188.26</v>
      </c>
      <c r="X416" s="8">
        <f>IFERROR(W416/W444, "NA")</f>
        <v>-1.4619710469781493E-3</v>
      </c>
      <c r="Y416" s="9"/>
      <c r="Z416" s="7">
        <v>-468.94</v>
      </c>
      <c r="AA416" s="8">
        <f>IFERROR(Z416/Z444, "NA")</f>
        <v>-3.929259980935372E-4</v>
      </c>
      <c r="AB416" s="9"/>
      <c r="AC416" s="10">
        <f t="shared" si="103"/>
        <v>-280.68</v>
      </c>
      <c r="AD416" s="8">
        <f>IFERROR(AC416/AC444, "NA")</f>
        <v>-5.9947344241665351E-3</v>
      </c>
    </row>
    <row r="417" spans="1:30" ht="16.5" customHeight="1" x14ac:dyDescent="0.45">
      <c r="A417" s="6" t="s">
        <v>382</v>
      </c>
      <c r="B417" s="7">
        <v>-29.89</v>
      </c>
      <c r="C417" s="8">
        <f>IFERROR(B417/B444, "NA")</f>
        <v>-2.920944619222278E-4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29.89</v>
      </c>
      <c r="I417" s="8">
        <f>IFERROR(H417/H444, "NA")</f>
        <v>-2.2010568607583013E-3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29.89</v>
      </c>
      <c r="O417" s="8">
        <f>IFERROR(N417/N444, "NA")</f>
        <v>-0.12195520013056602</v>
      </c>
      <c r="P417" s="9"/>
      <c r="Q417" s="7">
        <v>-400.38</v>
      </c>
      <c r="R417" s="8">
        <f>IFERROR(Q417/Q444, "NA")</f>
        <v>-3.2281488776982195E-4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400.38</v>
      </c>
      <c r="X417" s="8">
        <f>IFERROR(W417/W444, "NA")</f>
        <v>-3.1092317422134891E-3</v>
      </c>
      <c r="Y417" s="9"/>
      <c r="Z417" s="7">
        <v>-79.650000000000006</v>
      </c>
      <c r="AA417" s="8">
        <f>IFERROR(Z417/Z444, "NA")</f>
        <v>-6.6738934081439499E-5</v>
      </c>
      <c r="AB417" s="9"/>
      <c r="AC417" s="10">
        <f t="shared" si="103"/>
        <v>320.73</v>
      </c>
      <c r="AD417" s="8">
        <f>IFERROR(AC417/AC444, "NA")</f>
        <v>6.8501181839209519E-3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300</v>
      </c>
      <c r="L424" s="8">
        <f>IFERROR(K424/K444, "NA")</f>
        <v>2.9246892517669999E-3</v>
      </c>
      <c r="M424" s="9"/>
      <c r="N424" s="10">
        <f t="shared" si="101"/>
        <v>300</v>
      </c>
      <c r="O424" s="8">
        <f>IFERROR(N424/N444, "NA")</f>
        <v>-1.2240401485168888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324.48</v>
      </c>
      <c r="AA424" s="8">
        <f>IFERROR(Z424/Z444, "NA")</f>
        <v>2.7188260302254226E-4</v>
      </c>
      <c r="AB424" s="9"/>
      <c r="AC424" s="10">
        <f t="shared" si="103"/>
        <v>324.48</v>
      </c>
      <c r="AD424" s="8">
        <f>IFERROR(AC424/AC444, "NA")</f>
        <v>6.9302102962575081E-3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10558.220000000001</v>
      </c>
      <c r="C428" s="15">
        <f>IFERROR(B428/B444, "NA")</f>
        <v>0.10317823987141199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-10558.220000000001</v>
      </c>
      <c r="I428" s="15">
        <f>IFERROR(H428/H444, "NA")</f>
        <v>0.77749222376699612</v>
      </c>
      <c r="J428" s="2"/>
      <c r="K428" s="14">
        <f>IFERROR(K407+K408+K409+K410+K411+K412+K413+K414+K415+K416+K417+K418+K419+K420+K421+K422+K423+K424+K425+K426+K427, "NA")</f>
        <v>9827.26</v>
      </c>
      <c r="L428" s="15">
        <f>IFERROR(K428/K444, "NA")</f>
        <v>9.5805605654399217E-2</v>
      </c>
      <c r="M428" s="2"/>
      <c r="N428" s="14">
        <f t="shared" si="101"/>
        <v>-730.96000000000095</v>
      </c>
      <c r="O428" s="15">
        <f>IFERROR(N428/N444, "NA")</f>
        <v>2.9824146231996873</v>
      </c>
      <c r="P428" s="2"/>
      <c r="Q428" s="14">
        <f>IFERROR(Q407+Q408+Q409+Q410+Q411+Q412+Q413+Q414+Q415+Q416+Q417+Q418+Q419+Q420+Q421+Q422+Q423+Q424+Q425+Q426+Q427, "NA")</f>
        <v>109954.62000000001</v>
      </c>
      <c r="R428" s="15">
        <f>IFERROR(Q428/Q444, "NA")</f>
        <v>8.8653250199993566E-2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-109954.62000000001</v>
      </c>
      <c r="X428" s="15">
        <f>IFERROR(W428/W444, "NA")</f>
        <v>0.85387480570213847</v>
      </c>
      <c r="Y428" s="2"/>
      <c r="Z428" s="14">
        <f>IFERROR(Z407+Z408+Z409+Z410+Z411+Z412+Z413+Z414+Z415+Z416+Z417+Z418+Z419+Z420+Z421+Z422+Z423+Z424+Z425+Z426+Z427, "NA")</f>
        <v>110384.54999999999</v>
      </c>
      <c r="AA428" s="15">
        <f>IFERROR(Z428/Z444, "NA")</f>
        <v>9.2491490346005789E-2</v>
      </c>
      <c r="AB428" s="2"/>
      <c r="AC428" s="14">
        <f t="shared" si="103"/>
        <v>429.92999999997846</v>
      </c>
      <c r="AD428" s="15">
        <f>IFERROR(AC428/AC444, "NA")</f>
        <v>9.1824004951609993E-3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10558.220000000001</v>
      </c>
      <c r="C429" s="15">
        <f>IFERROR(B429/B444, "NA")</f>
        <v>0.10317823987141199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-10558.220000000001</v>
      </c>
      <c r="I429" s="15">
        <f>IFERROR(H429/H444, "NA")</f>
        <v>0.77749222376699612</v>
      </c>
      <c r="J429" s="2"/>
      <c r="K429" s="14">
        <f>IFERROR(K407+K408+K409+K410+K411+K412+K413+K414+K415+K416+K417+K418+K419+K420+K421+K422+K423+K424+K425+K426+K427, "NA")</f>
        <v>9827.26</v>
      </c>
      <c r="L429" s="15">
        <f>IFERROR(K429/K444, "NA")</f>
        <v>9.5805605654399217E-2</v>
      </c>
      <c r="M429" s="2"/>
      <c r="N429" s="14">
        <f t="shared" si="101"/>
        <v>-730.96000000000095</v>
      </c>
      <c r="O429" s="15">
        <f>IFERROR(N429/N444, "NA")</f>
        <v>2.9824146231996873</v>
      </c>
      <c r="P429" s="2"/>
      <c r="Q429" s="14">
        <f>IFERROR(Q407+Q408+Q409+Q410+Q411+Q412+Q413+Q414+Q415+Q416+Q417+Q418+Q419+Q420+Q421+Q422+Q423+Q424+Q425+Q426+Q427, "NA")</f>
        <v>109954.62000000001</v>
      </c>
      <c r="R429" s="15">
        <f>IFERROR(Q429/Q444, "NA")</f>
        <v>8.8653250199993566E-2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-109954.62000000001</v>
      </c>
      <c r="X429" s="15">
        <f>IFERROR(W429/W444, "NA")</f>
        <v>0.85387480570213847</v>
      </c>
      <c r="Y429" s="2"/>
      <c r="Z429" s="14">
        <f>IFERROR(Z407+Z408+Z409+Z410+Z411+Z412+Z413+Z414+Z415+Z416+Z417+Z418+Z419+Z420+Z421+Z422+Z423+Z424+Z425+Z426+Z427, "NA")</f>
        <v>110384.54999999999</v>
      </c>
      <c r="AA429" s="15">
        <f>IFERROR(Z429/Z444, "NA")</f>
        <v>9.2491490346005789E-2</v>
      </c>
      <c r="AB429" s="2"/>
      <c r="AC429" s="14">
        <f t="shared" si="103"/>
        <v>429.92999999997846</v>
      </c>
      <c r="AD429" s="15">
        <f>IFERROR(AC429/AC444, "NA")</f>
        <v>9.1824004951609993E-3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-14188.550000000021</v>
      </c>
      <c r="C443" s="24">
        <f>IFERROR(B443/B444, "NA")</f>
        <v>-0.13865496412534734</v>
      </c>
      <c r="D443" s="25"/>
      <c r="E443" s="23">
        <f>IFERROR(E404-E429-E442, "NA")</f>
        <v>10163.359999999986</v>
      </c>
      <c r="F443" s="24">
        <f>IFERROR(E443/E444, "NA")</f>
        <v>8.7683391604243696E-2</v>
      </c>
      <c r="G443" s="25"/>
      <c r="H443" s="23">
        <f>IFERROR(B443-E443, "NA")</f>
        <v>-24351.910000000007</v>
      </c>
      <c r="I443" s="24">
        <f>IFERROR(H443/H444, "NA")</f>
        <v>1.7932398319862395</v>
      </c>
      <c r="J443" s="25"/>
      <c r="K443" s="23">
        <f>IFERROR(K404-K429-K442, "NA")</f>
        <v>-17007.020000000026</v>
      </c>
      <c r="L443" s="24">
        <f>IFERROR(K443/K444, "NA")</f>
        <v>-0.16580082866195492</v>
      </c>
      <c r="M443" s="25"/>
      <c r="N443" s="23">
        <f>IFERROR(B443-K443, "NA")</f>
        <v>2818.4700000000048</v>
      </c>
      <c r="O443" s="24">
        <f>IFERROR(N443/N444, "NA")</f>
        <v>-11.499734791301337</v>
      </c>
      <c r="P443" s="25"/>
      <c r="Q443" s="23">
        <f>IFERROR(Q404-Q429-Q442, "NA")</f>
        <v>-171980.43000000034</v>
      </c>
      <c r="R443" s="24">
        <f>IFERROR(Q443/Q444, "NA")</f>
        <v>-0.13866287828826573</v>
      </c>
      <c r="S443" s="25"/>
      <c r="T443" s="23">
        <f>IFERROR(T404-T429-T442, "NA")</f>
        <v>99630.169999999984</v>
      </c>
      <c r="U443" s="24">
        <f>IFERROR(T443/T444, "NA")</f>
        <v>7.2773282511280651E-2</v>
      </c>
      <c r="V443" s="25"/>
      <c r="W443" s="23">
        <f>IFERROR(Q443-T443, "NA")</f>
        <v>-271610.60000000033</v>
      </c>
      <c r="X443" s="24">
        <f>IFERROR(W443/W444, "NA")</f>
        <v>2.1092469629892903</v>
      </c>
      <c r="Y443" s="25"/>
      <c r="Z443" s="23">
        <f>IFERROR(Z404-Z429-Z442, "NA")</f>
        <v>-162605.66000000003</v>
      </c>
      <c r="AA443" s="24">
        <f>IFERROR(Z443/Z444, "NA")</f>
        <v>-0.13624768893922115</v>
      </c>
      <c r="AB443" s="25"/>
      <c r="AC443" s="23">
        <f>IFERROR(Q443-Z443, "NA")</f>
        <v>-9374.7700000003097</v>
      </c>
      <c r="AD443" s="24">
        <f>IFERROR(AC443/AC444, "NA")</f>
        <v>-0.200225368525173</v>
      </c>
    </row>
    <row r="444" spans="1:30" ht="15.75" hidden="1" x14ac:dyDescent="0.45">
      <c r="A444" s="26" t="s">
        <v>117</v>
      </c>
      <c r="B444" s="7">
        <v>102329.91</v>
      </c>
      <c r="C444" s="27"/>
      <c r="D444" s="9"/>
      <c r="E444" s="7">
        <v>115909.75</v>
      </c>
      <c r="F444" s="27"/>
      <c r="G444" s="9"/>
      <c r="H444" s="10">
        <f>IFERROR(B444-E444, "NA")</f>
        <v>-13579.839999999997</v>
      </c>
      <c r="I444" s="27"/>
      <c r="J444" s="9"/>
      <c r="K444" s="7">
        <v>102575</v>
      </c>
      <c r="L444" s="27"/>
      <c r="M444" s="9"/>
      <c r="N444" s="10">
        <f>IFERROR(B444-K444, "NA")</f>
        <v>-245.08999999999651</v>
      </c>
      <c r="O444" s="27"/>
      <c r="P444" s="9"/>
      <c r="Q444" s="7">
        <v>1240277.3700000001</v>
      </c>
      <c r="R444" s="27"/>
      <c r="S444" s="9"/>
      <c r="T444" s="7">
        <v>1369048.73</v>
      </c>
      <c r="U444" s="27"/>
      <c r="V444" s="9"/>
      <c r="W444" s="10">
        <f>IFERROR(Q444-T444, "NA")</f>
        <v>-128771.35999999987</v>
      </c>
      <c r="X444" s="27"/>
      <c r="Y444" s="9"/>
      <c r="Z444" s="7">
        <v>1193456.28</v>
      </c>
      <c r="AA444" s="27"/>
      <c r="AB444" s="9"/>
      <c r="AC444" s="10">
        <f>IFERROR(Q444-Z444, "NA")</f>
        <v>46821.090000000084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2026-04-07T02:03:13Z</dcterms:created>
  <dcterms:modified xsi:type="dcterms:W3CDTF">2026-04-07T02:03:44Z</dcterms:modified>
</cp:coreProperties>
</file>